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raboweboc.sharepoint.com/sites/BS_CFO/GroupTax/Shared Documents/Compliance/2026/AU Returns/FBT Return/AI Project/"/>
    </mc:Choice>
  </mc:AlternateContent>
  <xr:revisionPtr revIDLastSave="4248" documentId="8_{227A9381-9451-4538-87C7-4897B0054E02}" xr6:coauthVersionLast="47" xr6:coauthVersionMax="47" xr10:uidLastSave="{3473143C-BA83-4C82-A602-0A9D7FC15E16}"/>
  <bookViews>
    <workbookView xWindow="28680" yWindow="-7650" windowWidth="29040" windowHeight="15720" xr2:uid="{9922133B-1C60-4B5E-B849-BA23B72A2BA3}"/>
  </bookViews>
  <sheets>
    <sheet name="Summary" sheetId="2" r:id="rId1"/>
    <sheet name="Ext Training" sheetId="4" r:id="rId2"/>
    <sheet name="Training Travel&amp;lodging" sheetId="5" r:id="rId3"/>
    <sheet name="Publicity&amp;Advertising" sheetId="6" r:id="rId4"/>
    <sheet name="Opening Jubilees" sheetId="7" r:id="rId5"/>
    <sheet name="Sponsoring" sheetId="8" r:id="rId6"/>
    <sheet name="Promotional gifts" sheetId="9" r:id="rId7"/>
    <sheet name="Marketing exp" sheetId="10" r:id="rId8"/>
    <sheet name="Business Dev" sheetId="11" r:id="rId9"/>
    <sheet name="Public relations" sheetId="12" r:id="rId10"/>
    <sheet name="Membership" sheetId="14" r:id="rId11"/>
    <sheet name="Meeting costs" sheetId="15" r:id="rId12"/>
    <sheet name="Misc exp" sheetId="16" r:id="rId13"/>
    <sheet name="Sundry exp" sheetId="17" r:id="rId14"/>
    <sheet name="Misc exp (2)" sheetId="18" r:id="rId15"/>
    <sheet name="Other non-bank exp" sheetId="20" r:id="rId16"/>
    <sheet name="Other exp" sheetId="19" r:id="rId17"/>
    <sheet name="Donations" sheetId="22" r:id="rId18"/>
    <sheet name="Client period" sheetId="21" r:id="rId19"/>
  </sheets>
  <definedNames>
    <definedName name="_xlnm._FilterDatabase" localSheetId="8" hidden="1">'Business Dev'!$A$7:$AF$1111</definedName>
    <definedName name="_xlnm._FilterDatabase" localSheetId="17" hidden="1">Donations!$A$7:$AG$76</definedName>
    <definedName name="_xlnm._FilterDatabase" localSheetId="1" hidden="1">'Ext Training'!$A$7:$AG$303</definedName>
    <definedName name="_xlnm._FilterDatabase" localSheetId="7" hidden="1">'Marketing exp'!$A$7:$AG$190</definedName>
    <definedName name="_xlnm._FilterDatabase" localSheetId="11" hidden="1">'Meeting costs'!$A$10:$AF$164</definedName>
    <definedName name="_xlnm._FilterDatabase" localSheetId="10" hidden="1">Membership!$A$7:$AF$91</definedName>
    <definedName name="_xlnm._FilterDatabase" localSheetId="12" hidden="1">'Misc exp'!$A$7:$AE$7</definedName>
    <definedName name="_xlnm._FilterDatabase" localSheetId="14" hidden="1">'Misc exp (2)'!$A$9:$AF$1238</definedName>
    <definedName name="_xlnm._FilterDatabase" localSheetId="16" hidden="1">'Other exp'!$A$7:$AE$1824</definedName>
    <definedName name="_xlnm._FilterDatabase" localSheetId="15" hidden="1">'Other non-bank exp'!$A$7:$AE$7</definedName>
    <definedName name="_xlnm._FilterDatabase" localSheetId="6" hidden="1">'Promotional gifts'!$A$7:$AE$7</definedName>
    <definedName name="_xlnm._FilterDatabase" localSheetId="9" hidden="1">'Public relations'!$A$7:$AF$44</definedName>
    <definedName name="_xlnm._FilterDatabase" localSheetId="3" hidden="1">'Publicity&amp;Advertising'!$A$7:$AE$408</definedName>
    <definedName name="_xlnm._FilterDatabase" localSheetId="5" hidden="1">Sponsoring!$A$7:$AE$7</definedName>
    <definedName name="_xlnm._FilterDatabase" localSheetId="13" hidden="1">'Sundry exp'!$A$7:$AF$35</definedName>
    <definedName name="_xlnm._FilterDatabase" localSheetId="2" hidden="1">'Training Travel&amp;lodging'!$A$7:$AF$108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6" l="1"/>
  <c r="C4" i="4"/>
  <c r="C4" i="5"/>
  <c r="AD9" i="19"/>
  <c r="Q31" i="2" l="1"/>
  <c r="V127" i="15" l="1"/>
  <c r="V115" i="15"/>
  <c r="V98" i="15"/>
  <c r="V75" i="15"/>
  <c r="V71" i="15"/>
  <c r="V67" i="15"/>
  <c r="U127" i="15"/>
  <c r="U115" i="15"/>
  <c r="U98" i="15"/>
  <c r="U75" i="15"/>
  <c r="U71" i="15"/>
  <c r="U67" i="15"/>
  <c r="U1347" i="19" l="1"/>
  <c r="U836" i="19"/>
  <c r="U751" i="19"/>
  <c r="U327" i="19"/>
  <c r="U312" i="19"/>
  <c r="U267" i="19"/>
  <c r="U192" i="19"/>
  <c r="U127" i="19"/>
  <c r="AD15" i="18"/>
  <c r="V1048" i="11"/>
  <c r="U1048" i="11"/>
  <c r="V893" i="11"/>
  <c r="U893" i="11"/>
  <c r="U854" i="11"/>
  <c r="V854" i="11"/>
  <c r="U855" i="11"/>
  <c r="V855" i="11"/>
  <c r="U856" i="11"/>
  <c r="V856" i="11"/>
  <c r="V853" i="11"/>
  <c r="U853" i="11"/>
  <c r="V628" i="11"/>
  <c r="U628" i="11"/>
  <c r="V581" i="11"/>
  <c r="U581" i="11"/>
  <c r="V466" i="11"/>
  <c r="U466" i="11"/>
  <c r="V426" i="11"/>
  <c r="U426" i="11"/>
  <c r="V395" i="11"/>
  <c r="U395" i="11"/>
  <c r="V182" i="11"/>
  <c r="U182" i="11"/>
  <c r="U152" i="11"/>
  <c r="V152" i="11"/>
  <c r="U153" i="11"/>
  <c r="V153" i="11"/>
  <c r="U154" i="11"/>
  <c r="V154" i="11"/>
  <c r="U140" i="11"/>
  <c r="V140" i="11"/>
  <c r="U135" i="11"/>
  <c r="V135" i="11"/>
  <c r="V119" i="11"/>
  <c r="U119" i="11"/>
  <c r="AD10" i="11"/>
  <c r="AD11" i="11"/>
  <c r="U107" i="10"/>
  <c r="V107" i="10"/>
  <c r="U93" i="10"/>
  <c r="V93" i="10"/>
  <c r="V74" i="10"/>
  <c r="U74" i="10"/>
  <c r="V75" i="10"/>
  <c r="U75" i="10"/>
  <c r="V44" i="10"/>
  <c r="U44" i="10"/>
  <c r="U212" i="6"/>
  <c r="T212" i="6"/>
  <c r="U201" i="6"/>
  <c r="T201" i="6"/>
  <c r="V30" i="22" l="1"/>
  <c r="U30" i="22"/>
  <c r="Q34" i="22"/>
  <c r="Q48" i="22"/>
  <c r="Q73" i="22"/>
  <c r="Q59" i="22"/>
  <c r="Q77" i="22"/>
  <c r="Q20" i="22"/>
  <c r="Q12" i="22"/>
  <c r="Q24" i="22"/>
  <c r="Q25" i="22"/>
  <c r="Q9" i="22"/>
  <c r="Q56" i="22"/>
  <c r="Q15" i="22"/>
  <c r="Q11" i="22"/>
  <c r="Q14" i="22"/>
  <c r="Q16" i="22"/>
  <c r="Q19" i="22"/>
  <c r="Q8" i="22"/>
  <c r="Q10" i="22"/>
  <c r="Q21" i="22"/>
  <c r="Q18" i="22"/>
  <c r="Q43" i="22"/>
  <c r="Q35" i="22"/>
  <c r="Q53" i="22"/>
  <c r="Q60" i="22"/>
  <c r="Q52" i="22"/>
  <c r="Q51" i="22"/>
  <c r="Q44" i="22"/>
  <c r="Q36" i="22"/>
  <c r="Q54" i="22"/>
  <c r="Q61" i="22"/>
  <c r="Q45" i="22"/>
  <c r="Q37" i="22"/>
  <c r="Q55" i="22"/>
  <c r="Q62" i="22"/>
  <c r="Q17" i="22"/>
  <c r="Q22" i="22"/>
  <c r="Q23" i="22"/>
  <c r="Q31" i="22"/>
  <c r="Q46" i="22"/>
  <c r="Q38" i="22"/>
  <c r="Q67" i="22"/>
  <c r="Q63" i="22"/>
  <c r="Q76" i="22"/>
  <c r="Q74" i="22"/>
  <c r="Q72" i="22"/>
  <c r="Q57" i="22"/>
  <c r="Q29" i="22"/>
  <c r="AE29" i="22" s="1"/>
  <c r="AE4" i="22" s="1"/>
  <c r="Q26" i="22"/>
  <c r="Q49" i="22"/>
  <c r="Q39" i="22"/>
  <c r="Q68" i="22"/>
  <c r="Q64" i="22"/>
  <c r="Q75" i="22"/>
  <c r="Q50" i="22"/>
  <c r="Q40" i="22"/>
  <c r="Q69" i="22"/>
  <c r="Q65" i="22"/>
  <c r="Q47" i="22"/>
  <c r="Q41" i="22"/>
  <c r="Q70" i="22"/>
  <c r="Q66" i="22"/>
  <c r="Q32" i="22"/>
  <c r="Q33" i="22"/>
  <c r="Q42" i="22"/>
  <c r="Q71" i="22"/>
  <c r="Q58" i="22"/>
  <c r="Q28" i="22"/>
  <c r="Q27" i="22"/>
  <c r="Q30" i="22"/>
  <c r="V51" i="22"/>
  <c r="V52" i="22"/>
  <c r="V4" i="22" s="1"/>
  <c r="H26" i="2" s="1"/>
  <c r="V60" i="22"/>
  <c r="V53" i="22"/>
  <c r="V35" i="22"/>
  <c r="V43" i="22"/>
  <c r="V18" i="22"/>
  <c r="V21" i="22"/>
  <c r="V10" i="22"/>
  <c r="V8" i="22"/>
  <c r="V19" i="22"/>
  <c r="V16" i="22"/>
  <c r="V14" i="22"/>
  <c r="V11" i="22"/>
  <c r="V15" i="22"/>
  <c r="V56" i="22"/>
  <c r="V9" i="22"/>
  <c r="V25" i="22"/>
  <c r="V24" i="22"/>
  <c r="V12" i="22"/>
  <c r="V20" i="22"/>
  <c r="V13" i="22"/>
  <c r="Q13" i="22"/>
  <c r="AD4" i="22"/>
  <c r="P26" i="2" s="1"/>
  <c r="C4" i="22"/>
  <c r="AE3" i="22"/>
  <c r="AD3" i="22"/>
  <c r="AD4" i="21"/>
  <c r="U29" i="21"/>
  <c r="Q29" i="21"/>
  <c r="U28" i="21"/>
  <c r="Q28" i="21"/>
  <c r="U27" i="21"/>
  <c r="Q27" i="21"/>
  <c r="U26" i="21"/>
  <c r="Q26" i="21"/>
  <c r="U25" i="21"/>
  <c r="Q25" i="21"/>
  <c r="U24" i="21"/>
  <c r="Q24" i="21"/>
  <c r="U23" i="21"/>
  <c r="Q23" i="21"/>
  <c r="U22" i="21"/>
  <c r="Q22" i="21"/>
  <c r="U21" i="21"/>
  <c r="Q21" i="21"/>
  <c r="U20" i="21"/>
  <c r="Q20" i="21"/>
  <c r="U19" i="21"/>
  <c r="Q19" i="21"/>
  <c r="U18" i="21"/>
  <c r="Q18" i="21"/>
  <c r="U17" i="21"/>
  <c r="Q17" i="21"/>
  <c r="U16" i="21"/>
  <c r="Q16" i="21"/>
  <c r="U15" i="21"/>
  <c r="Q15" i="21"/>
  <c r="U14" i="21"/>
  <c r="Q14" i="21"/>
  <c r="U13" i="21"/>
  <c r="Q13" i="21"/>
  <c r="U12" i="21"/>
  <c r="Q12" i="21"/>
  <c r="U11" i="21"/>
  <c r="Q11" i="21"/>
  <c r="U10" i="21"/>
  <c r="Q10" i="21"/>
  <c r="U9" i="21"/>
  <c r="Q9" i="21"/>
  <c r="U8" i="21"/>
  <c r="U3" i="21" s="1"/>
  <c r="Q8" i="21"/>
  <c r="AC4" i="21"/>
  <c r="C4" i="21"/>
  <c r="AD3" i="21"/>
  <c r="AC3" i="21"/>
  <c r="AD3" i="19"/>
  <c r="AC3" i="19"/>
  <c r="C4" i="20"/>
  <c r="F24" i="2"/>
  <c r="V7" i="18"/>
  <c r="V6" i="18"/>
  <c r="AE4" i="18"/>
  <c r="AD4" i="18"/>
  <c r="AD4" i="17"/>
  <c r="AD3" i="17"/>
  <c r="AE4" i="17"/>
  <c r="AE3" i="17"/>
  <c r="AD4" i="16"/>
  <c r="AD3" i="16"/>
  <c r="AC4" i="16"/>
  <c r="AC3" i="16"/>
  <c r="AE6" i="15"/>
  <c r="AD7" i="15"/>
  <c r="AD6" i="15"/>
  <c r="Q19" i="2"/>
  <c r="P19" i="2"/>
  <c r="AE4" i="14"/>
  <c r="AE3" i="14"/>
  <c r="AD4" i="14"/>
  <c r="AD3" i="14"/>
  <c r="AD4" i="12"/>
  <c r="AD3" i="12"/>
  <c r="P17" i="2" s="1"/>
  <c r="AE4" i="12"/>
  <c r="AE3" i="12"/>
  <c r="Q17" i="2" s="1"/>
  <c r="F12" i="2"/>
  <c r="F13" i="2"/>
  <c r="AC3" i="6"/>
  <c r="AE3" i="11"/>
  <c r="AC2" i="8"/>
  <c r="P13" i="2" s="1"/>
  <c r="AC3" i="8"/>
  <c r="AD2" i="8"/>
  <c r="AD3" i="8"/>
  <c r="AE3" i="10"/>
  <c r="AE2" i="10"/>
  <c r="AD3" i="10"/>
  <c r="AD2" i="10"/>
  <c r="AD3" i="6"/>
  <c r="Q11" i="2" s="1"/>
  <c r="AD4" i="6"/>
  <c r="AE3" i="5"/>
  <c r="AD3" i="5"/>
  <c r="Q26" i="2" l="1"/>
  <c r="C5" i="22"/>
  <c r="V3" i="22"/>
  <c r="G26" i="2" s="1"/>
  <c r="P20" i="2"/>
  <c r="U4" i="21"/>
  <c r="C5" i="21"/>
  <c r="Q13" i="2"/>
  <c r="F14" i="2"/>
  <c r="F26" i="2" l="1"/>
  <c r="U529" i="19"/>
  <c r="U474" i="19"/>
  <c r="AA259" i="19"/>
  <c r="AC11" i="19"/>
  <c r="AD142" i="19"/>
  <c r="AD130" i="19"/>
  <c r="AC10" i="19"/>
  <c r="U1824" i="19"/>
  <c r="U1823" i="19"/>
  <c r="U1822" i="19"/>
  <c r="U1821" i="19"/>
  <c r="U1820" i="19"/>
  <c r="U1819" i="19"/>
  <c r="U1818" i="19"/>
  <c r="U1817" i="19"/>
  <c r="U1816" i="19"/>
  <c r="U1815" i="19"/>
  <c r="U1814" i="19"/>
  <c r="U1813" i="19"/>
  <c r="U1812" i="19"/>
  <c r="U1811" i="19"/>
  <c r="U1810" i="19"/>
  <c r="U1809" i="19"/>
  <c r="U1808" i="19"/>
  <c r="U1807" i="19"/>
  <c r="U1806" i="19"/>
  <c r="U1805" i="19"/>
  <c r="U1804" i="19"/>
  <c r="U1803" i="19"/>
  <c r="U1802" i="19"/>
  <c r="U1801" i="19"/>
  <c r="U1800" i="19"/>
  <c r="U1799" i="19"/>
  <c r="U1798" i="19"/>
  <c r="U1797" i="19"/>
  <c r="U1796" i="19"/>
  <c r="U1795" i="19"/>
  <c r="U1794" i="19"/>
  <c r="U1793" i="19"/>
  <c r="U1792" i="19"/>
  <c r="U1791" i="19"/>
  <c r="U1790" i="19"/>
  <c r="U1789" i="19"/>
  <c r="U1788" i="19"/>
  <c r="U1787" i="19"/>
  <c r="U1786" i="19"/>
  <c r="U1785" i="19"/>
  <c r="U1784" i="19"/>
  <c r="U1783" i="19"/>
  <c r="U1782" i="19"/>
  <c r="U1781" i="19"/>
  <c r="U1780" i="19"/>
  <c r="U1779" i="19"/>
  <c r="U1778" i="19"/>
  <c r="U1777" i="19"/>
  <c r="U1776" i="19"/>
  <c r="U1775" i="19"/>
  <c r="U1774" i="19"/>
  <c r="U1773" i="19"/>
  <c r="U1772" i="19"/>
  <c r="U1771" i="19"/>
  <c r="U1770" i="19"/>
  <c r="U1769" i="19"/>
  <c r="U1768" i="19"/>
  <c r="U1767" i="19"/>
  <c r="U1766" i="19"/>
  <c r="U1765" i="19"/>
  <c r="U1764" i="19"/>
  <c r="U1763" i="19"/>
  <c r="U1762" i="19"/>
  <c r="U1761" i="19"/>
  <c r="U1760" i="19"/>
  <c r="U1759" i="19"/>
  <c r="U1758" i="19"/>
  <c r="U1757" i="19"/>
  <c r="U1756" i="19"/>
  <c r="U1755" i="19"/>
  <c r="U1754" i="19"/>
  <c r="U1753" i="19"/>
  <c r="U1752" i="19"/>
  <c r="U1751" i="19"/>
  <c r="U1750" i="19"/>
  <c r="U1749" i="19"/>
  <c r="U1748" i="19"/>
  <c r="U1747" i="19"/>
  <c r="U1746" i="19"/>
  <c r="U1745" i="19"/>
  <c r="U1744" i="19"/>
  <c r="U1743" i="19"/>
  <c r="U1742" i="19"/>
  <c r="U1741" i="19"/>
  <c r="U1740" i="19"/>
  <c r="U1739" i="19"/>
  <c r="U1738" i="19"/>
  <c r="U1737" i="19"/>
  <c r="U1736" i="19"/>
  <c r="U1735" i="19"/>
  <c r="U1734" i="19"/>
  <c r="U1733" i="19"/>
  <c r="U1732" i="19"/>
  <c r="U1731" i="19"/>
  <c r="U1730" i="19"/>
  <c r="U1729" i="19"/>
  <c r="U1728" i="19"/>
  <c r="U1727" i="19"/>
  <c r="U1726" i="19"/>
  <c r="U1725" i="19"/>
  <c r="U1724" i="19"/>
  <c r="U1723" i="19"/>
  <c r="U1722" i="19"/>
  <c r="U1721" i="19"/>
  <c r="U1720" i="19"/>
  <c r="U1719" i="19"/>
  <c r="U1718" i="19"/>
  <c r="U1717" i="19"/>
  <c r="U1716" i="19"/>
  <c r="U1715" i="19"/>
  <c r="U1714" i="19"/>
  <c r="U1713" i="19"/>
  <c r="U1712" i="19"/>
  <c r="U1711" i="19"/>
  <c r="U1710" i="19"/>
  <c r="U1709" i="19"/>
  <c r="U1708" i="19"/>
  <c r="U1707" i="19"/>
  <c r="U1706" i="19"/>
  <c r="U1705" i="19"/>
  <c r="U1704" i="19"/>
  <c r="U1703" i="19"/>
  <c r="U1702" i="19"/>
  <c r="U1701" i="19"/>
  <c r="U1700" i="19"/>
  <c r="U1699" i="19"/>
  <c r="U1698" i="19"/>
  <c r="U1697" i="19"/>
  <c r="U1696" i="19"/>
  <c r="U1695" i="19"/>
  <c r="U1694" i="19"/>
  <c r="U1693" i="19"/>
  <c r="U1692" i="19"/>
  <c r="U1691" i="19"/>
  <c r="U1690" i="19"/>
  <c r="U1689" i="19"/>
  <c r="U1688" i="19"/>
  <c r="U1687" i="19"/>
  <c r="U1686" i="19"/>
  <c r="U1685" i="19"/>
  <c r="U1684" i="19"/>
  <c r="U1683" i="19"/>
  <c r="U1682" i="19"/>
  <c r="U1681" i="19"/>
  <c r="U1680" i="19"/>
  <c r="U1679" i="19"/>
  <c r="U1678" i="19"/>
  <c r="U1677" i="19"/>
  <c r="U1676" i="19"/>
  <c r="U1675" i="19"/>
  <c r="U1674" i="19"/>
  <c r="U1673" i="19"/>
  <c r="U1672" i="19"/>
  <c r="U1671" i="19"/>
  <c r="U1670" i="19"/>
  <c r="U1669" i="19"/>
  <c r="U1668" i="19"/>
  <c r="U1667" i="19"/>
  <c r="U1666" i="19"/>
  <c r="U1665" i="19"/>
  <c r="U1664" i="19"/>
  <c r="U1663" i="19"/>
  <c r="U1662" i="19"/>
  <c r="U1661" i="19"/>
  <c r="U1660" i="19"/>
  <c r="U1659" i="19"/>
  <c r="U1658" i="19"/>
  <c r="U1657" i="19"/>
  <c r="U1656" i="19"/>
  <c r="U1655" i="19"/>
  <c r="U1654" i="19"/>
  <c r="U1653" i="19"/>
  <c r="U1652" i="19"/>
  <c r="U1651" i="19"/>
  <c r="U1650" i="19"/>
  <c r="U1649" i="19"/>
  <c r="U1648" i="19"/>
  <c r="U1647" i="19"/>
  <c r="U1646" i="19"/>
  <c r="U1645" i="19"/>
  <c r="U1644" i="19"/>
  <c r="U1643" i="19"/>
  <c r="U1642" i="19"/>
  <c r="U1641" i="19"/>
  <c r="U1640" i="19"/>
  <c r="U1639" i="19"/>
  <c r="U1638" i="19"/>
  <c r="U1637" i="19"/>
  <c r="U1636" i="19"/>
  <c r="U1635" i="19"/>
  <c r="U1634" i="19"/>
  <c r="U1633" i="19"/>
  <c r="U1632" i="19"/>
  <c r="U1631" i="19"/>
  <c r="U1630" i="19"/>
  <c r="U1629" i="19"/>
  <c r="U1628" i="19"/>
  <c r="U1627" i="19"/>
  <c r="U1626" i="19"/>
  <c r="U1625" i="19"/>
  <c r="U1624" i="19"/>
  <c r="U1623" i="19"/>
  <c r="U1622" i="19"/>
  <c r="U1621" i="19"/>
  <c r="U1620" i="19"/>
  <c r="U1619" i="19"/>
  <c r="U1618" i="19"/>
  <c r="U1617" i="19"/>
  <c r="U1616" i="19"/>
  <c r="U1615" i="19"/>
  <c r="U1614" i="19"/>
  <c r="U1613" i="19"/>
  <c r="U1612" i="19"/>
  <c r="U1611" i="19"/>
  <c r="U1610" i="19"/>
  <c r="U1609" i="19"/>
  <c r="U1608" i="19"/>
  <c r="U1607" i="19"/>
  <c r="U1606" i="19"/>
  <c r="U1605" i="19"/>
  <c r="U1604" i="19"/>
  <c r="U1603" i="19"/>
  <c r="U1602" i="19"/>
  <c r="U1601" i="19"/>
  <c r="U1600" i="19"/>
  <c r="U1599" i="19"/>
  <c r="U1598" i="19"/>
  <c r="U1597" i="19"/>
  <c r="U1596" i="19"/>
  <c r="U1595" i="19"/>
  <c r="U1594" i="19"/>
  <c r="U1593" i="19"/>
  <c r="U1592" i="19"/>
  <c r="U1591" i="19"/>
  <c r="U1590" i="19"/>
  <c r="U1589" i="19"/>
  <c r="U1588" i="19"/>
  <c r="U1587" i="19"/>
  <c r="U1586" i="19"/>
  <c r="U1585" i="19"/>
  <c r="U1584" i="19"/>
  <c r="U1583" i="19"/>
  <c r="U1582" i="19"/>
  <c r="U1581" i="19"/>
  <c r="U1580" i="19"/>
  <c r="U1579" i="19"/>
  <c r="U1578" i="19"/>
  <c r="U1577" i="19"/>
  <c r="U1576" i="19"/>
  <c r="U1575" i="19"/>
  <c r="U1574" i="19"/>
  <c r="U1573" i="19"/>
  <c r="U1572" i="19"/>
  <c r="U1571" i="19"/>
  <c r="U1570" i="19"/>
  <c r="U1569" i="19"/>
  <c r="U1568" i="19"/>
  <c r="U1567" i="19"/>
  <c r="U1566" i="19"/>
  <c r="U1565" i="19"/>
  <c r="U1564" i="19"/>
  <c r="U1563" i="19"/>
  <c r="U1562" i="19"/>
  <c r="U1561" i="19"/>
  <c r="U1560" i="19"/>
  <c r="U1559" i="19"/>
  <c r="U1558" i="19"/>
  <c r="U1557" i="19"/>
  <c r="U1556" i="19"/>
  <c r="U1555" i="19"/>
  <c r="U1554" i="19"/>
  <c r="U1553" i="19"/>
  <c r="U1552" i="19"/>
  <c r="U1551" i="19"/>
  <c r="U1550" i="19"/>
  <c r="U1549" i="19"/>
  <c r="U1548" i="19"/>
  <c r="U1547" i="19"/>
  <c r="U1546" i="19"/>
  <c r="U1545" i="19"/>
  <c r="U1544" i="19"/>
  <c r="U1543" i="19"/>
  <c r="U1542" i="19"/>
  <c r="U1541" i="19"/>
  <c r="U1540" i="19"/>
  <c r="U1539" i="19"/>
  <c r="U1538" i="19"/>
  <c r="U1537" i="19"/>
  <c r="U1536" i="19"/>
  <c r="U1535" i="19"/>
  <c r="U1534" i="19"/>
  <c r="U1533" i="19"/>
  <c r="U1532" i="19"/>
  <c r="U1531" i="19"/>
  <c r="U1530" i="19"/>
  <c r="U1529" i="19"/>
  <c r="U1528" i="19"/>
  <c r="U1527" i="19"/>
  <c r="U1526" i="19"/>
  <c r="U1525" i="19"/>
  <c r="U1524" i="19"/>
  <c r="U1523" i="19"/>
  <c r="U1522" i="19"/>
  <c r="U1521" i="19"/>
  <c r="U1520" i="19"/>
  <c r="U1519" i="19"/>
  <c r="U1518" i="19"/>
  <c r="U1517" i="19"/>
  <c r="U1516" i="19"/>
  <c r="U1515" i="19"/>
  <c r="U1514" i="19"/>
  <c r="U1513" i="19"/>
  <c r="U1512" i="19"/>
  <c r="U1511" i="19"/>
  <c r="U1510" i="19"/>
  <c r="U1509" i="19"/>
  <c r="U1508" i="19"/>
  <c r="U1507" i="19"/>
  <c r="U1506" i="19"/>
  <c r="U1505" i="19"/>
  <c r="U1504" i="19"/>
  <c r="U1503" i="19"/>
  <c r="U1502" i="19"/>
  <c r="U1501" i="19"/>
  <c r="U1500" i="19"/>
  <c r="U1499" i="19"/>
  <c r="U1498" i="19"/>
  <c r="U1497" i="19"/>
  <c r="U1496" i="19"/>
  <c r="U1495" i="19"/>
  <c r="U1494" i="19"/>
  <c r="U1493" i="19"/>
  <c r="U1492" i="19"/>
  <c r="U1491" i="19"/>
  <c r="U1490" i="19"/>
  <c r="U1489" i="19"/>
  <c r="U1488" i="19"/>
  <c r="U1487" i="19"/>
  <c r="U1486" i="19"/>
  <c r="U1485" i="19"/>
  <c r="U1484" i="19"/>
  <c r="U1483" i="19"/>
  <c r="U1482" i="19"/>
  <c r="U1481" i="19"/>
  <c r="U1480" i="19"/>
  <c r="U1479" i="19"/>
  <c r="U1478" i="19"/>
  <c r="U1477" i="19"/>
  <c r="U1476" i="19"/>
  <c r="U1475" i="19"/>
  <c r="U1474" i="19"/>
  <c r="U1473" i="19"/>
  <c r="U1472" i="19"/>
  <c r="U1471" i="19"/>
  <c r="U1470" i="19"/>
  <c r="U1469" i="19"/>
  <c r="U1468" i="19"/>
  <c r="U1467" i="19"/>
  <c r="U1466" i="19"/>
  <c r="U1465" i="19"/>
  <c r="U1464" i="19"/>
  <c r="U1463" i="19"/>
  <c r="U1462" i="19"/>
  <c r="U1461" i="19"/>
  <c r="U1460" i="19"/>
  <c r="U1459" i="19"/>
  <c r="U1458" i="19"/>
  <c r="U1457" i="19"/>
  <c r="U1456" i="19"/>
  <c r="U1455" i="19"/>
  <c r="U1454" i="19"/>
  <c r="U1453" i="19"/>
  <c r="U1452" i="19"/>
  <c r="U1451" i="19"/>
  <c r="U1450" i="19"/>
  <c r="U1449" i="19"/>
  <c r="U1448" i="19"/>
  <c r="U1447" i="19"/>
  <c r="U1446" i="19"/>
  <c r="U1445" i="19"/>
  <c r="U1444" i="19"/>
  <c r="U1443" i="19"/>
  <c r="U1442" i="19"/>
  <c r="U1441" i="19"/>
  <c r="U1440" i="19"/>
  <c r="U1439" i="19"/>
  <c r="U1438" i="19"/>
  <c r="U1437" i="19"/>
  <c r="U1436" i="19"/>
  <c r="U1435" i="19"/>
  <c r="U1434" i="19"/>
  <c r="U1433" i="19"/>
  <c r="U1432" i="19"/>
  <c r="U1431" i="19"/>
  <c r="U1430" i="19"/>
  <c r="U1429" i="19"/>
  <c r="U1428" i="19"/>
  <c r="U1427" i="19"/>
  <c r="U1426" i="19"/>
  <c r="U1425" i="19"/>
  <c r="U1424" i="19"/>
  <c r="U1423" i="19"/>
  <c r="U1422" i="19"/>
  <c r="U1421" i="19"/>
  <c r="U1420" i="19"/>
  <c r="U1419" i="19"/>
  <c r="U1418" i="19"/>
  <c r="U1417" i="19"/>
  <c r="U1416" i="19"/>
  <c r="U1415" i="19"/>
  <c r="U1414" i="19"/>
  <c r="U1413" i="19"/>
  <c r="U1412" i="19"/>
  <c r="U1411" i="19"/>
  <c r="U1410" i="19"/>
  <c r="U1409" i="19"/>
  <c r="U1408" i="19"/>
  <c r="U1407" i="19"/>
  <c r="U1406" i="19"/>
  <c r="U1405" i="19"/>
  <c r="U1404" i="19"/>
  <c r="U1403" i="19"/>
  <c r="U1402" i="19"/>
  <c r="U1401" i="19"/>
  <c r="U1400" i="19"/>
  <c r="U1399" i="19"/>
  <c r="U1398" i="19"/>
  <c r="U1397" i="19"/>
  <c r="U1396" i="19"/>
  <c r="U1395" i="19"/>
  <c r="U1394" i="19"/>
  <c r="U1393" i="19"/>
  <c r="U1392" i="19"/>
  <c r="U1391" i="19"/>
  <c r="U1390" i="19"/>
  <c r="U1389" i="19"/>
  <c r="U1388" i="19"/>
  <c r="U1387" i="19"/>
  <c r="U1386" i="19"/>
  <c r="U1385" i="19"/>
  <c r="U1384" i="19"/>
  <c r="U1383" i="19"/>
  <c r="U1382" i="19"/>
  <c r="U1381" i="19"/>
  <c r="U1380" i="19"/>
  <c r="U1379" i="19"/>
  <c r="U1378" i="19"/>
  <c r="U1377" i="19"/>
  <c r="U1376" i="19"/>
  <c r="U1375" i="19"/>
  <c r="U1374" i="19"/>
  <c r="U1373" i="19"/>
  <c r="U1372" i="19"/>
  <c r="U1371" i="19"/>
  <c r="U1370" i="19"/>
  <c r="U1369" i="19"/>
  <c r="U1368" i="19"/>
  <c r="U1367" i="19"/>
  <c r="U1366" i="19"/>
  <c r="U1365" i="19"/>
  <c r="U1364" i="19"/>
  <c r="U1363" i="19"/>
  <c r="U1362" i="19"/>
  <c r="U1361" i="19"/>
  <c r="U1360" i="19"/>
  <c r="U1359" i="19"/>
  <c r="U1358" i="19"/>
  <c r="U1357" i="19"/>
  <c r="U1356" i="19"/>
  <c r="U1355" i="19"/>
  <c r="U1354" i="19"/>
  <c r="U1353" i="19"/>
  <c r="U1352" i="19"/>
  <c r="U1351" i="19"/>
  <c r="U1350" i="19"/>
  <c r="U1349" i="19"/>
  <c r="U1348" i="19"/>
  <c r="U1346" i="19"/>
  <c r="U1345" i="19"/>
  <c r="U1344" i="19"/>
  <c r="U1343" i="19"/>
  <c r="U1342" i="19"/>
  <c r="U1341" i="19"/>
  <c r="U1340" i="19"/>
  <c r="U1339" i="19"/>
  <c r="U1338" i="19"/>
  <c r="U1337" i="19"/>
  <c r="U1336" i="19"/>
  <c r="U1335" i="19"/>
  <c r="U1334" i="19"/>
  <c r="U1333" i="19"/>
  <c r="U1332" i="19"/>
  <c r="U1331" i="19"/>
  <c r="U1330" i="19"/>
  <c r="U1329" i="19"/>
  <c r="U1328" i="19"/>
  <c r="U1327" i="19"/>
  <c r="U1326" i="19"/>
  <c r="U1325" i="19"/>
  <c r="U1324" i="19"/>
  <c r="U1323" i="19"/>
  <c r="U1322" i="19"/>
  <c r="U1321" i="19"/>
  <c r="U1320" i="19"/>
  <c r="U1319" i="19"/>
  <c r="U1318" i="19"/>
  <c r="U1317" i="19"/>
  <c r="U1316" i="19"/>
  <c r="U1315" i="19"/>
  <c r="U1314" i="19"/>
  <c r="U1313" i="19"/>
  <c r="U1312" i="19"/>
  <c r="U1311" i="19"/>
  <c r="U1310" i="19"/>
  <c r="U1309" i="19"/>
  <c r="U1308" i="19"/>
  <c r="U1307" i="19"/>
  <c r="U1306" i="19"/>
  <c r="U1305" i="19"/>
  <c r="U1304" i="19"/>
  <c r="U1303" i="19"/>
  <c r="U1302" i="19"/>
  <c r="U1301" i="19"/>
  <c r="U1300" i="19"/>
  <c r="U1299" i="19"/>
  <c r="U1298" i="19"/>
  <c r="U1297" i="19"/>
  <c r="U1296" i="19"/>
  <c r="U1295" i="19"/>
  <c r="U1294" i="19"/>
  <c r="U1293" i="19"/>
  <c r="U1292" i="19"/>
  <c r="U1291" i="19"/>
  <c r="U1290" i="19"/>
  <c r="U1289" i="19"/>
  <c r="U1288" i="19"/>
  <c r="U1287" i="19"/>
  <c r="U1286" i="19"/>
  <c r="U1285" i="19"/>
  <c r="U1284" i="19"/>
  <c r="U1283" i="19"/>
  <c r="U1282" i="19"/>
  <c r="U1281" i="19"/>
  <c r="U1280" i="19"/>
  <c r="U1279" i="19"/>
  <c r="U1278" i="19"/>
  <c r="U1277" i="19"/>
  <c r="U1276" i="19"/>
  <c r="U1275" i="19"/>
  <c r="U1274" i="19"/>
  <c r="U1273" i="19"/>
  <c r="U1272" i="19"/>
  <c r="U1271" i="19"/>
  <c r="U1270" i="19"/>
  <c r="U1269" i="19"/>
  <c r="U1268" i="19"/>
  <c r="U1267" i="19"/>
  <c r="U1266" i="19"/>
  <c r="U1265" i="19"/>
  <c r="U1264" i="19"/>
  <c r="U1263" i="19"/>
  <c r="U1262" i="19"/>
  <c r="U1261" i="19"/>
  <c r="U1260" i="19"/>
  <c r="U1259" i="19"/>
  <c r="U1258" i="19"/>
  <c r="U1257" i="19"/>
  <c r="U1256" i="19"/>
  <c r="U1255" i="19"/>
  <c r="U1254" i="19"/>
  <c r="U1253" i="19"/>
  <c r="U1252" i="19"/>
  <c r="U1251" i="19"/>
  <c r="U1250" i="19"/>
  <c r="U1249" i="19"/>
  <c r="U1248" i="19"/>
  <c r="U1247" i="19"/>
  <c r="U1246" i="19"/>
  <c r="U1245" i="19"/>
  <c r="U1244" i="19"/>
  <c r="U1243" i="19"/>
  <c r="U1242" i="19"/>
  <c r="U1241" i="19"/>
  <c r="U1240" i="19"/>
  <c r="U1239" i="19"/>
  <c r="U1238" i="19"/>
  <c r="U1237" i="19"/>
  <c r="U1236" i="19"/>
  <c r="U1235" i="19"/>
  <c r="U1234" i="19"/>
  <c r="U1233" i="19"/>
  <c r="U1232" i="19"/>
  <c r="U1231" i="19"/>
  <c r="U1230" i="19"/>
  <c r="U1229" i="19"/>
  <c r="U1228" i="19"/>
  <c r="U1227" i="19"/>
  <c r="U1226" i="19"/>
  <c r="U1225" i="19"/>
  <c r="U1224" i="19"/>
  <c r="U1223" i="19"/>
  <c r="U1222" i="19"/>
  <c r="U1221" i="19"/>
  <c r="U1220" i="19"/>
  <c r="U1219" i="19"/>
  <c r="U1218" i="19"/>
  <c r="U1217" i="19"/>
  <c r="U1216" i="19"/>
  <c r="U1215" i="19"/>
  <c r="U1214" i="19"/>
  <c r="U1213" i="19"/>
  <c r="U1212" i="19"/>
  <c r="U1211" i="19"/>
  <c r="U1210" i="19"/>
  <c r="U1209" i="19"/>
  <c r="U1208" i="19"/>
  <c r="U1207" i="19"/>
  <c r="U1206" i="19"/>
  <c r="U1205" i="19"/>
  <c r="U1204" i="19"/>
  <c r="U1203" i="19"/>
  <c r="U1202" i="19"/>
  <c r="U1201" i="19"/>
  <c r="U1200" i="19"/>
  <c r="U1199" i="19"/>
  <c r="U1198" i="19"/>
  <c r="U1197" i="19"/>
  <c r="U1196" i="19"/>
  <c r="U1195" i="19"/>
  <c r="U1194" i="19"/>
  <c r="U1193" i="19"/>
  <c r="U1192" i="19"/>
  <c r="U1191" i="19"/>
  <c r="U1190" i="19"/>
  <c r="U1189" i="19"/>
  <c r="U1188" i="19"/>
  <c r="U1187" i="19"/>
  <c r="U1186" i="19"/>
  <c r="U1185" i="19"/>
  <c r="U1184" i="19"/>
  <c r="U1183" i="19"/>
  <c r="U1182" i="19"/>
  <c r="U1181" i="19"/>
  <c r="U1180" i="19"/>
  <c r="U1179" i="19"/>
  <c r="U1178" i="19"/>
  <c r="U1177" i="19"/>
  <c r="U1176" i="19"/>
  <c r="U1175" i="19"/>
  <c r="U1174" i="19"/>
  <c r="U1173" i="19"/>
  <c r="U1172" i="19"/>
  <c r="U1171" i="19"/>
  <c r="U1170" i="19"/>
  <c r="U1169" i="19"/>
  <c r="U1168" i="19"/>
  <c r="U1167" i="19"/>
  <c r="U1166" i="19"/>
  <c r="U1165" i="19"/>
  <c r="U1164" i="19"/>
  <c r="U1163" i="19"/>
  <c r="U1162" i="19"/>
  <c r="U1161" i="19"/>
  <c r="U1160" i="19"/>
  <c r="U1159" i="19"/>
  <c r="U1158" i="19"/>
  <c r="U1157" i="19"/>
  <c r="U1156" i="19"/>
  <c r="U1155" i="19"/>
  <c r="U1154" i="19"/>
  <c r="U1153" i="19"/>
  <c r="U1152" i="19"/>
  <c r="U1151" i="19"/>
  <c r="U1150" i="19"/>
  <c r="U1149" i="19"/>
  <c r="U1148" i="19"/>
  <c r="U1147" i="19"/>
  <c r="U1146" i="19"/>
  <c r="U1145" i="19"/>
  <c r="U1144" i="19"/>
  <c r="U1143" i="19"/>
  <c r="U1142" i="19"/>
  <c r="U1141" i="19"/>
  <c r="U1140" i="19"/>
  <c r="U1139" i="19"/>
  <c r="U1138" i="19"/>
  <c r="U1137" i="19"/>
  <c r="U1136" i="19"/>
  <c r="U1135" i="19"/>
  <c r="U1134" i="19"/>
  <c r="U1133" i="19"/>
  <c r="U1132" i="19"/>
  <c r="U1131" i="19"/>
  <c r="U1130" i="19"/>
  <c r="U1129" i="19"/>
  <c r="U1128" i="19"/>
  <c r="U1127" i="19"/>
  <c r="U1126" i="19"/>
  <c r="U1125" i="19"/>
  <c r="U1124" i="19"/>
  <c r="U1123" i="19"/>
  <c r="U1122" i="19"/>
  <c r="U1121" i="19"/>
  <c r="U1120" i="19"/>
  <c r="U1119" i="19"/>
  <c r="U1118" i="19"/>
  <c r="U1117" i="19"/>
  <c r="U1116" i="19"/>
  <c r="U1115" i="19"/>
  <c r="U1114" i="19"/>
  <c r="U1113" i="19"/>
  <c r="U1112" i="19"/>
  <c r="U1111" i="19"/>
  <c r="U1110" i="19"/>
  <c r="U1109" i="19"/>
  <c r="U1108" i="19"/>
  <c r="U1107" i="19"/>
  <c r="U1106" i="19"/>
  <c r="U1105" i="19"/>
  <c r="U1104" i="19"/>
  <c r="U1103" i="19"/>
  <c r="U1102" i="19"/>
  <c r="U1101" i="19"/>
  <c r="U1100" i="19"/>
  <c r="U1099" i="19"/>
  <c r="U1098" i="19"/>
  <c r="U1097" i="19"/>
  <c r="U1096" i="19"/>
  <c r="U1095" i="19"/>
  <c r="U1094" i="19"/>
  <c r="U1093" i="19"/>
  <c r="U1092" i="19"/>
  <c r="U1091" i="19"/>
  <c r="U1090" i="19"/>
  <c r="U1089" i="19"/>
  <c r="U1088" i="19"/>
  <c r="U1087" i="19"/>
  <c r="U1086" i="19"/>
  <c r="U1085" i="19"/>
  <c r="U1084" i="19"/>
  <c r="U1083" i="19"/>
  <c r="U1082" i="19"/>
  <c r="U1081" i="19"/>
  <c r="U1080" i="19"/>
  <c r="U1079" i="19"/>
  <c r="U1078" i="19"/>
  <c r="U1077" i="19"/>
  <c r="U1076" i="19"/>
  <c r="U1075" i="19"/>
  <c r="U1074" i="19"/>
  <c r="U1073" i="19"/>
  <c r="U1072" i="19"/>
  <c r="U1071" i="19"/>
  <c r="U1070" i="19"/>
  <c r="U1069" i="19"/>
  <c r="U1068" i="19"/>
  <c r="U1067" i="19"/>
  <c r="U1066" i="19"/>
  <c r="U1065" i="19"/>
  <c r="U1064" i="19"/>
  <c r="U1063" i="19"/>
  <c r="U1062" i="19"/>
  <c r="U1061" i="19"/>
  <c r="U1060" i="19"/>
  <c r="U1059" i="19"/>
  <c r="U1058" i="19"/>
  <c r="U1057" i="19"/>
  <c r="U1056" i="19"/>
  <c r="U1055" i="19"/>
  <c r="U1054" i="19"/>
  <c r="U1053" i="19"/>
  <c r="U1052" i="19"/>
  <c r="U1051" i="19"/>
  <c r="U1050" i="19"/>
  <c r="U1049" i="19"/>
  <c r="U1048" i="19"/>
  <c r="U1047" i="19"/>
  <c r="U1046" i="19"/>
  <c r="U1045" i="19"/>
  <c r="U1044" i="19"/>
  <c r="U1043" i="19"/>
  <c r="U1042" i="19"/>
  <c r="U1041" i="19"/>
  <c r="U1040" i="19"/>
  <c r="U1039" i="19"/>
  <c r="U1038" i="19"/>
  <c r="U1037" i="19"/>
  <c r="U1036" i="19"/>
  <c r="U1035" i="19"/>
  <c r="U1034" i="19"/>
  <c r="U1033" i="19"/>
  <c r="U1032" i="19"/>
  <c r="U1031" i="19"/>
  <c r="U1030" i="19"/>
  <c r="U1029" i="19"/>
  <c r="U1028" i="19"/>
  <c r="U1027" i="19"/>
  <c r="U1026" i="19"/>
  <c r="U1025" i="19"/>
  <c r="U1024" i="19"/>
  <c r="U1023" i="19"/>
  <c r="U1022" i="19"/>
  <c r="U1021" i="19"/>
  <c r="U1020" i="19"/>
  <c r="U1019" i="19"/>
  <c r="U1018" i="19"/>
  <c r="U1017" i="19"/>
  <c r="U1016" i="19"/>
  <c r="U1015" i="19"/>
  <c r="U1014" i="19"/>
  <c r="U1013" i="19"/>
  <c r="U1012" i="19"/>
  <c r="U1011" i="19"/>
  <c r="U1010" i="19"/>
  <c r="U1009" i="19"/>
  <c r="U1008" i="19"/>
  <c r="U1007" i="19"/>
  <c r="U1006" i="19"/>
  <c r="U1005" i="19"/>
  <c r="U1004" i="19"/>
  <c r="U1003" i="19"/>
  <c r="U1002" i="19"/>
  <c r="U1001" i="19"/>
  <c r="U1000" i="19"/>
  <c r="U999" i="19"/>
  <c r="U998" i="19"/>
  <c r="U997" i="19"/>
  <c r="U996" i="19"/>
  <c r="U995" i="19"/>
  <c r="U994" i="19"/>
  <c r="U993" i="19"/>
  <c r="U992" i="19"/>
  <c r="U991" i="19"/>
  <c r="U990" i="19"/>
  <c r="U989" i="19"/>
  <c r="U988" i="19"/>
  <c r="U987" i="19"/>
  <c r="U986" i="19"/>
  <c r="U985" i="19"/>
  <c r="U984" i="19"/>
  <c r="U983" i="19"/>
  <c r="U982" i="19"/>
  <c r="U981" i="19"/>
  <c r="U980" i="19"/>
  <c r="U979" i="19"/>
  <c r="U978" i="19"/>
  <c r="U977" i="19"/>
  <c r="U976" i="19"/>
  <c r="U975" i="19"/>
  <c r="U974" i="19"/>
  <c r="U973" i="19"/>
  <c r="U972" i="19"/>
  <c r="U971" i="19"/>
  <c r="U970" i="19"/>
  <c r="U969" i="19"/>
  <c r="U968" i="19"/>
  <c r="U967" i="19"/>
  <c r="U966" i="19"/>
  <c r="U965" i="19"/>
  <c r="U964" i="19"/>
  <c r="U963" i="19"/>
  <c r="U962" i="19"/>
  <c r="U961" i="19"/>
  <c r="U960" i="19"/>
  <c r="U959" i="19"/>
  <c r="U958" i="19"/>
  <c r="U957" i="19"/>
  <c r="U956" i="19"/>
  <c r="U955" i="19"/>
  <c r="U954" i="19"/>
  <c r="U953" i="19"/>
  <c r="U952" i="19"/>
  <c r="U951" i="19"/>
  <c r="U950" i="19"/>
  <c r="U949" i="19"/>
  <c r="U948" i="19"/>
  <c r="U947" i="19"/>
  <c r="U946" i="19"/>
  <c r="U945" i="19"/>
  <c r="U944" i="19"/>
  <c r="U943" i="19"/>
  <c r="U942" i="19"/>
  <c r="U941" i="19"/>
  <c r="U940" i="19"/>
  <c r="U939" i="19"/>
  <c r="U938" i="19"/>
  <c r="U937" i="19"/>
  <c r="U936" i="19"/>
  <c r="U935" i="19"/>
  <c r="U934" i="19"/>
  <c r="U933" i="19"/>
  <c r="U932" i="19"/>
  <c r="U931" i="19"/>
  <c r="U930" i="19"/>
  <c r="U929" i="19"/>
  <c r="U928" i="19"/>
  <c r="U927" i="19"/>
  <c r="U926" i="19"/>
  <c r="U925" i="19"/>
  <c r="U924" i="19"/>
  <c r="U923" i="19"/>
  <c r="U922" i="19"/>
  <c r="U921" i="19"/>
  <c r="U920" i="19"/>
  <c r="U919" i="19"/>
  <c r="U918" i="19"/>
  <c r="U917" i="19"/>
  <c r="U916" i="19"/>
  <c r="U915" i="19"/>
  <c r="U914" i="19"/>
  <c r="U913" i="19"/>
  <c r="U912" i="19"/>
  <c r="U911" i="19"/>
  <c r="U910" i="19"/>
  <c r="U909" i="19"/>
  <c r="U908" i="19"/>
  <c r="U907" i="19"/>
  <c r="U906" i="19"/>
  <c r="U905" i="19"/>
  <c r="U904" i="19"/>
  <c r="U903" i="19"/>
  <c r="U902" i="19"/>
  <c r="U901" i="19"/>
  <c r="U900" i="19"/>
  <c r="U899" i="19"/>
  <c r="U898" i="19"/>
  <c r="U897" i="19"/>
  <c r="U896" i="19"/>
  <c r="U895" i="19"/>
  <c r="U894" i="19"/>
  <c r="U893" i="19"/>
  <c r="U892" i="19"/>
  <c r="U891" i="19"/>
  <c r="U890" i="19"/>
  <c r="U889" i="19"/>
  <c r="U888" i="19"/>
  <c r="U887" i="19"/>
  <c r="U886" i="19"/>
  <c r="U885" i="19"/>
  <c r="U884" i="19"/>
  <c r="U883" i="19"/>
  <c r="U882" i="19"/>
  <c r="U881" i="19"/>
  <c r="U880" i="19"/>
  <c r="U879" i="19"/>
  <c r="U878" i="19"/>
  <c r="U877" i="19"/>
  <c r="U876" i="19"/>
  <c r="U875" i="19"/>
  <c r="U874" i="19"/>
  <c r="U873" i="19"/>
  <c r="U872" i="19"/>
  <c r="U871" i="19"/>
  <c r="U870" i="19"/>
  <c r="U869" i="19"/>
  <c r="U868" i="19"/>
  <c r="U867" i="19"/>
  <c r="U866" i="19"/>
  <c r="U865" i="19"/>
  <c r="U864" i="19"/>
  <c r="U863" i="19"/>
  <c r="U862" i="19"/>
  <c r="U861" i="19"/>
  <c r="U860" i="19"/>
  <c r="U859" i="19"/>
  <c r="U858" i="19"/>
  <c r="U857" i="19"/>
  <c r="U856" i="19"/>
  <c r="U855" i="19"/>
  <c r="U854" i="19"/>
  <c r="U853" i="19"/>
  <c r="U852" i="19"/>
  <c r="U851" i="19"/>
  <c r="U850" i="19"/>
  <c r="U849" i="19"/>
  <c r="U848" i="19"/>
  <c r="U847" i="19"/>
  <c r="U846" i="19"/>
  <c r="U845" i="19"/>
  <c r="U844" i="19"/>
  <c r="U843" i="19"/>
  <c r="U842" i="19"/>
  <c r="U841" i="19"/>
  <c r="U840" i="19"/>
  <c r="U839" i="19"/>
  <c r="U838" i="19"/>
  <c r="U837" i="19"/>
  <c r="U835" i="19"/>
  <c r="U834" i="19"/>
  <c r="U833" i="19"/>
  <c r="U832" i="19"/>
  <c r="U831" i="19"/>
  <c r="U830" i="19"/>
  <c r="U829" i="19"/>
  <c r="U828" i="19"/>
  <c r="U827" i="19"/>
  <c r="U826" i="19"/>
  <c r="U825" i="19"/>
  <c r="U824" i="19"/>
  <c r="U823" i="19"/>
  <c r="U822" i="19"/>
  <c r="U821" i="19"/>
  <c r="U820" i="19"/>
  <c r="U819" i="19"/>
  <c r="U818" i="19"/>
  <c r="U817" i="19"/>
  <c r="U816" i="19"/>
  <c r="U815" i="19"/>
  <c r="U814" i="19"/>
  <c r="U813" i="19"/>
  <c r="U812" i="19"/>
  <c r="U811" i="19"/>
  <c r="U810" i="19"/>
  <c r="U809" i="19"/>
  <c r="U808" i="19"/>
  <c r="U807" i="19"/>
  <c r="U806" i="19"/>
  <c r="U805" i="19"/>
  <c r="U804" i="19"/>
  <c r="U803" i="19"/>
  <c r="U802" i="19"/>
  <c r="U801" i="19"/>
  <c r="U800" i="19"/>
  <c r="U799" i="19"/>
  <c r="U798" i="19"/>
  <c r="U797" i="19"/>
  <c r="U796" i="19"/>
  <c r="U795" i="19"/>
  <c r="U794" i="19"/>
  <c r="U793" i="19"/>
  <c r="U792" i="19"/>
  <c r="U791" i="19"/>
  <c r="U790" i="19"/>
  <c r="U789" i="19"/>
  <c r="U788" i="19"/>
  <c r="U787" i="19"/>
  <c r="U786" i="19"/>
  <c r="U785" i="19"/>
  <c r="U784" i="19"/>
  <c r="U783" i="19"/>
  <c r="U782" i="19"/>
  <c r="U781" i="19"/>
  <c r="U780" i="19"/>
  <c r="U779" i="19"/>
  <c r="U778" i="19"/>
  <c r="U777" i="19"/>
  <c r="U776" i="19"/>
  <c r="U775" i="19"/>
  <c r="U774" i="19"/>
  <c r="U773" i="19"/>
  <c r="U772" i="19"/>
  <c r="U771" i="19"/>
  <c r="U770" i="19"/>
  <c r="U769" i="19"/>
  <c r="U768" i="19"/>
  <c r="U767" i="19"/>
  <c r="U766" i="19"/>
  <c r="U765" i="19"/>
  <c r="U764" i="19"/>
  <c r="U763" i="19"/>
  <c r="U762" i="19"/>
  <c r="U761" i="19"/>
  <c r="U760" i="19"/>
  <c r="U759" i="19"/>
  <c r="U758" i="19"/>
  <c r="U757" i="19"/>
  <c r="U756" i="19"/>
  <c r="U755" i="19"/>
  <c r="U754" i="19"/>
  <c r="U753" i="19"/>
  <c r="U752" i="19"/>
  <c r="U750" i="19"/>
  <c r="U749" i="19"/>
  <c r="U748" i="19"/>
  <c r="U747" i="19"/>
  <c r="U746" i="19"/>
  <c r="U745" i="19"/>
  <c r="U744" i="19"/>
  <c r="U743" i="19"/>
  <c r="U742" i="19"/>
  <c r="U741" i="19"/>
  <c r="U740" i="19"/>
  <c r="U739" i="19"/>
  <c r="U738" i="19"/>
  <c r="U737" i="19"/>
  <c r="U736" i="19"/>
  <c r="U735" i="19"/>
  <c r="U734" i="19"/>
  <c r="U733" i="19"/>
  <c r="U732" i="19"/>
  <c r="U731" i="19"/>
  <c r="U730" i="19"/>
  <c r="U729" i="19"/>
  <c r="U728" i="19"/>
  <c r="U727" i="19"/>
  <c r="U726" i="19"/>
  <c r="U725" i="19"/>
  <c r="U724" i="19"/>
  <c r="U723" i="19"/>
  <c r="U722" i="19"/>
  <c r="U721" i="19"/>
  <c r="U720" i="19"/>
  <c r="U719" i="19"/>
  <c r="U718" i="19"/>
  <c r="U717" i="19"/>
  <c r="U716" i="19"/>
  <c r="U715" i="19"/>
  <c r="U714" i="19"/>
  <c r="U713" i="19"/>
  <c r="U712" i="19"/>
  <c r="U711" i="19"/>
  <c r="U710" i="19"/>
  <c r="U709" i="19"/>
  <c r="U708" i="19"/>
  <c r="U707" i="19"/>
  <c r="U706" i="19"/>
  <c r="U705" i="19"/>
  <c r="U704" i="19"/>
  <c r="U703" i="19"/>
  <c r="U702" i="19"/>
  <c r="U701" i="19"/>
  <c r="U700" i="19"/>
  <c r="U699" i="19"/>
  <c r="U698" i="19"/>
  <c r="U697" i="19"/>
  <c r="U696" i="19"/>
  <c r="U695" i="19"/>
  <c r="U694" i="19"/>
  <c r="U693" i="19"/>
  <c r="U692" i="19"/>
  <c r="U691" i="19"/>
  <c r="U690" i="19"/>
  <c r="U689" i="19"/>
  <c r="U688" i="19"/>
  <c r="U687" i="19"/>
  <c r="U686" i="19"/>
  <c r="U685" i="19"/>
  <c r="U684" i="19"/>
  <c r="U683" i="19"/>
  <c r="U682" i="19"/>
  <c r="U681" i="19"/>
  <c r="U680" i="19"/>
  <c r="U679" i="19"/>
  <c r="U678" i="19"/>
  <c r="U677" i="19"/>
  <c r="U676" i="19"/>
  <c r="U675" i="19"/>
  <c r="U674" i="19"/>
  <c r="U673" i="19"/>
  <c r="U672" i="19"/>
  <c r="U671" i="19"/>
  <c r="U670" i="19"/>
  <c r="U669" i="19"/>
  <c r="U668" i="19"/>
  <c r="U667" i="19"/>
  <c r="U666" i="19"/>
  <c r="U665" i="19"/>
  <c r="U664" i="19"/>
  <c r="U663" i="19"/>
  <c r="U662" i="19"/>
  <c r="U661" i="19"/>
  <c r="U660" i="19"/>
  <c r="U659" i="19"/>
  <c r="U658" i="19"/>
  <c r="U657" i="19"/>
  <c r="U656" i="19"/>
  <c r="U655" i="19"/>
  <c r="U654" i="19"/>
  <c r="U653" i="19"/>
  <c r="U652" i="19"/>
  <c r="U651" i="19"/>
  <c r="U650" i="19"/>
  <c r="U649" i="19"/>
  <c r="U648" i="19"/>
  <c r="U647" i="19"/>
  <c r="U646" i="19"/>
  <c r="U645" i="19"/>
  <c r="U644" i="19"/>
  <c r="U643" i="19"/>
  <c r="U642" i="19"/>
  <c r="U641" i="19"/>
  <c r="U640" i="19"/>
  <c r="U639" i="19"/>
  <c r="U638" i="19"/>
  <c r="U637" i="19"/>
  <c r="U636" i="19"/>
  <c r="U635" i="19"/>
  <c r="U634" i="19"/>
  <c r="U633" i="19"/>
  <c r="U632" i="19"/>
  <c r="U631" i="19"/>
  <c r="U630" i="19"/>
  <c r="U629" i="19"/>
  <c r="U628" i="19"/>
  <c r="U627" i="19"/>
  <c r="U626" i="19"/>
  <c r="U625" i="19"/>
  <c r="U624" i="19"/>
  <c r="U623" i="19"/>
  <c r="U622" i="19"/>
  <c r="U621" i="19"/>
  <c r="U620" i="19"/>
  <c r="U619" i="19"/>
  <c r="U618" i="19"/>
  <c r="U617" i="19"/>
  <c r="U616" i="19"/>
  <c r="U615" i="19"/>
  <c r="U614" i="19"/>
  <c r="U613" i="19"/>
  <c r="U612" i="19"/>
  <c r="U611" i="19"/>
  <c r="U610" i="19"/>
  <c r="U609" i="19"/>
  <c r="U608" i="19"/>
  <c r="U607" i="19"/>
  <c r="U606" i="19"/>
  <c r="U605" i="19"/>
  <c r="U604" i="19"/>
  <c r="U603" i="19"/>
  <c r="U602" i="19"/>
  <c r="U601" i="19"/>
  <c r="U600" i="19"/>
  <c r="U599" i="19"/>
  <c r="U598" i="19"/>
  <c r="U597" i="19"/>
  <c r="U596" i="19"/>
  <c r="U595" i="19"/>
  <c r="U594" i="19"/>
  <c r="U593" i="19"/>
  <c r="U592" i="19"/>
  <c r="U591" i="19"/>
  <c r="U590" i="19"/>
  <c r="U589" i="19"/>
  <c r="U588" i="19"/>
  <c r="U587" i="19"/>
  <c r="U586" i="19"/>
  <c r="U585" i="19"/>
  <c r="U584" i="19"/>
  <c r="U583" i="19"/>
  <c r="U582" i="19"/>
  <c r="U581" i="19"/>
  <c r="U580" i="19"/>
  <c r="U579" i="19"/>
  <c r="U578" i="19"/>
  <c r="U577" i="19"/>
  <c r="U576" i="19"/>
  <c r="U575" i="19"/>
  <c r="U574" i="19"/>
  <c r="U573" i="19"/>
  <c r="U572" i="19"/>
  <c r="U571" i="19"/>
  <c r="U570" i="19"/>
  <c r="U569" i="19"/>
  <c r="U568" i="19"/>
  <c r="U567" i="19"/>
  <c r="U566" i="19"/>
  <c r="U565" i="19"/>
  <c r="U564" i="19"/>
  <c r="U563" i="19"/>
  <c r="U562" i="19"/>
  <c r="U561" i="19"/>
  <c r="U560" i="19"/>
  <c r="U559" i="19"/>
  <c r="U558" i="19"/>
  <c r="U557" i="19"/>
  <c r="U556" i="19"/>
  <c r="U555" i="19"/>
  <c r="U554" i="19"/>
  <c r="U553" i="19"/>
  <c r="U552" i="19"/>
  <c r="U551" i="19"/>
  <c r="U550" i="19"/>
  <c r="U549" i="19"/>
  <c r="U548" i="19"/>
  <c r="U547" i="19"/>
  <c r="U546" i="19"/>
  <c r="U545" i="19"/>
  <c r="U544" i="19"/>
  <c r="U543" i="19"/>
  <c r="U542" i="19"/>
  <c r="U541" i="19"/>
  <c r="U540" i="19"/>
  <c r="U539" i="19"/>
  <c r="U538" i="19"/>
  <c r="U537" i="19"/>
  <c r="U536" i="19"/>
  <c r="U535" i="19"/>
  <c r="U534" i="19"/>
  <c r="U533" i="19"/>
  <c r="U532" i="19"/>
  <c r="U531" i="19"/>
  <c r="U530" i="19"/>
  <c r="U528" i="19"/>
  <c r="U527" i="19"/>
  <c r="U526" i="19"/>
  <c r="U525" i="19"/>
  <c r="U524" i="19"/>
  <c r="U523" i="19"/>
  <c r="U522" i="19"/>
  <c r="U521" i="19"/>
  <c r="U520" i="19"/>
  <c r="U519" i="19"/>
  <c r="U518" i="19"/>
  <c r="U517" i="19"/>
  <c r="U516" i="19"/>
  <c r="U515" i="19"/>
  <c r="U514" i="19"/>
  <c r="U513" i="19"/>
  <c r="U512" i="19"/>
  <c r="U511" i="19"/>
  <c r="U510" i="19"/>
  <c r="U509" i="19"/>
  <c r="U508" i="19"/>
  <c r="U507" i="19"/>
  <c r="U506" i="19"/>
  <c r="U505" i="19"/>
  <c r="U504" i="19"/>
  <c r="U503" i="19"/>
  <c r="U502" i="19"/>
  <c r="U501" i="19"/>
  <c r="U500" i="19"/>
  <c r="U499" i="19"/>
  <c r="U498" i="19"/>
  <c r="U497" i="19"/>
  <c r="U496" i="19"/>
  <c r="U495" i="19"/>
  <c r="U494" i="19"/>
  <c r="U493" i="19"/>
  <c r="U492" i="19"/>
  <c r="U491" i="19"/>
  <c r="U490" i="19"/>
  <c r="U489" i="19"/>
  <c r="U488" i="19"/>
  <c r="U487" i="19"/>
  <c r="U486" i="19"/>
  <c r="U485" i="19"/>
  <c r="U484" i="19"/>
  <c r="U483" i="19"/>
  <c r="U482" i="19"/>
  <c r="U481" i="19"/>
  <c r="U480" i="19"/>
  <c r="U479" i="19"/>
  <c r="U478" i="19"/>
  <c r="U477" i="19"/>
  <c r="U476" i="19"/>
  <c r="U475" i="19"/>
  <c r="U473" i="19"/>
  <c r="U472" i="19"/>
  <c r="U471" i="19"/>
  <c r="U470" i="19"/>
  <c r="U469" i="19"/>
  <c r="U468" i="19"/>
  <c r="U467" i="19"/>
  <c r="U466" i="19"/>
  <c r="U465" i="19"/>
  <c r="U464" i="19"/>
  <c r="U463" i="19"/>
  <c r="U462" i="19"/>
  <c r="U461" i="19"/>
  <c r="U460" i="19"/>
  <c r="U459" i="19"/>
  <c r="U458" i="19"/>
  <c r="U457" i="19"/>
  <c r="U456" i="19"/>
  <c r="U455" i="19"/>
  <c r="U454" i="19"/>
  <c r="U453" i="19"/>
  <c r="U452" i="19"/>
  <c r="U451" i="19"/>
  <c r="U450" i="19"/>
  <c r="U449" i="19"/>
  <c r="U448" i="19"/>
  <c r="U447" i="19"/>
  <c r="U446" i="19"/>
  <c r="U445" i="19"/>
  <c r="U444" i="19"/>
  <c r="U443" i="19"/>
  <c r="U442" i="19"/>
  <c r="U441" i="19"/>
  <c r="U440" i="19"/>
  <c r="U439" i="19"/>
  <c r="U438" i="19"/>
  <c r="U437" i="19"/>
  <c r="U436" i="19"/>
  <c r="U435" i="19"/>
  <c r="U434" i="19"/>
  <c r="U433" i="19"/>
  <c r="U432" i="19"/>
  <c r="U431" i="19"/>
  <c r="U430" i="19"/>
  <c r="U429" i="19"/>
  <c r="U428" i="19"/>
  <c r="U427" i="19"/>
  <c r="U426" i="19"/>
  <c r="U425" i="19"/>
  <c r="U424" i="19"/>
  <c r="U423" i="19"/>
  <c r="U422" i="19"/>
  <c r="U421" i="19"/>
  <c r="U420" i="19"/>
  <c r="U419" i="19"/>
  <c r="U418" i="19"/>
  <c r="U417" i="19"/>
  <c r="U416" i="19"/>
  <c r="U415" i="19"/>
  <c r="U414" i="19"/>
  <c r="U413" i="19"/>
  <c r="U412" i="19"/>
  <c r="U411" i="19"/>
  <c r="U410" i="19"/>
  <c r="U409" i="19"/>
  <c r="U408" i="19"/>
  <c r="U407" i="19"/>
  <c r="U406" i="19"/>
  <c r="U405" i="19"/>
  <c r="U404" i="19"/>
  <c r="U403" i="19"/>
  <c r="U402" i="19"/>
  <c r="U401" i="19"/>
  <c r="U400" i="19"/>
  <c r="U399" i="19"/>
  <c r="U398" i="19"/>
  <c r="U397" i="19"/>
  <c r="U396" i="19"/>
  <c r="U395" i="19"/>
  <c r="U394" i="19"/>
  <c r="U393" i="19"/>
  <c r="U392" i="19"/>
  <c r="U391" i="19"/>
  <c r="U390" i="19"/>
  <c r="U389" i="19"/>
  <c r="U388" i="19"/>
  <c r="U387" i="19"/>
  <c r="U386" i="19"/>
  <c r="U385" i="19"/>
  <c r="U384" i="19"/>
  <c r="U383" i="19"/>
  <c r="U382" i="19"/>
  <c r="U381" i="19"/>
  <c r="U380" i="19"/>
  <c r="U379" i="19"/>
  <c r="U378" i="19"/>
  <c r="U377" i="19"/>
  <c r="U376" i="19"/>
  <c r="U375" i="19"/>
  <c r="U374" i="19"/>
  <c r="U373" i="19"/>
  <c r="U372" i="19"/>
  <c r="U371" i="19"/>
  <c r="U370" i="19"/>
  <c r="U369" i="19"/>
  <c r="U368" i="19"/>
  <c r="U367" i="19"/>
  <c r="U366" i="19"/>
  <c r="U365" i="19"/>
  <c r="U364" i="19"/>
  <c r="U363" i="19"/>
  <c r="U362" i="19"/>
  <c r="U361" i="19"/>
  <c r="U360" i="19"/>
  <c r="U359" i="19"/>
  <c r="U358" i="19"/>
  <c r="U357" i="19"/>
  <c r="U356" i="19"/>
  <c r="U355" i="19"/>
  <c r="U354" i="19"/>
  <c r="U353" i="19"/>
  <c r="U352" i="19"/>
  <c r="U351" i="19"/>
  <c r="U350" i="19"/>
  <c r="U349" i="19"/>
  <c r="U348" i="19"/>
  <c r="U347" i="19"/>
  <c r="U346" i="19"/>
  <c r="U345" i="19"/>
  <c r="U344" i="19"/>
  <c r="U343" i="19"/>
  <c r="U342" i="19"/>
  <c r="U341" i="19"/>
  <c r="U340" i="19"/>
  <c r="U339" i="19"/>
  <c r="U338" i="19"/>
  <c r="U337" i="19"/>
  <c r="U336" i="19"/>
  <c r="U335" i="19"/>
  <c r="U334" i="19"/>
  <c r="U333" i="19"/>
  <c r="U332" i="19"/>
  <c r="U331" i="19"/>
  <c r="U330" i="19"/>
  <c r="U329" i="19"/>
  <c r="U328" i="19"/>
  <c r="U326" i="19"/>
  <c r="U325" i="19"/>
  <c r="U324" i="19"/>
  <c r="U323" i="19"/>
  <c r="U322" i="19"/>
  <c r="U321" i="19"/>
  <c r="U320" i="19"/>
  <c r="U319" i="19"/>
  <c r="U318" i="19"/>
  <c r="U317" i="19"/>
  <c r="U316" i="19"/>
  <c r="U315" i="19"/>
  <c r="U314" i="19"/>
  <c r="U313" i="19"/>
  <c r="U311" i="19"/>
  <c r="U310" i="19"/>
  <c r="U309" i="19"/>
  <c r="U308" i="19"/>
  <c r="U307" i="19"/>
  <c r="U306" i="19"/>
  <c r="U305" i="19"/>
  <c r="U304" i="19"/>
  <c r="U303" i="19"/>
  <c r="U302" i="19"/>
  <c r="U301" i="19"/>
  <c r="U300" i="19"/>
  <c r="U299" i="19"/>
  <c r="U298" i="19"/>
  <c r="U297" i="19"/>
  <c r="U296" i="19"/>
  <c r="U295" i="19"/>
  <c r="U294" i="19"/>
  <c r="U293" i="19"/>
  <c r="U292" i="19"/>
  <c r="U291" i="19"/>
  <c r="U290" i="19"/>
  <c r="U289" i="19"/>
  <c r="U288" i="19"/>
  <c r="U287" i="19"/>
  <c r="U286" i="19"/>
  <c r="U285" i="19"/>
  <c r="U284" i="19"/>
  <c r="U283" i="19"/>
  <c r="U282" i="19"/>
  <c r="U281" i="19"/>
  <c r="U280" i="19"/>
  <c r="U279" i="19"/>
  <c r="U278" i="19"/>
  <c r="U277" i="19"/>
  <c r="U276" i="19"/>
  <c r="U275" i="19"/>
  <c r="U274" i="19"/>
  <c r="U273" i="19"/>
  <c r="U272" i="19"/>
  <c r="U271" i="19"/>
  <c r="U270" i="19"/>
  <c r="U269" i="19"/>
  <c r="U268" i="19"/>
  <c r="U266" i="19"/>
  <c r="U265" i="19"/>
  <c r="U264" i="19"/>
  <c r="U263" i="19"/>
  <c r="U262" i="19"/>
  <c r="U261" i="19"/>
  <c r="U260" i="19"/>
  <c r="U259" i="19"/>
  <c r="U258" i="19"/>
  <c r="U257" i="19"/>
  <c r="U256" i="19"/>
  <c r="U255" i="19"/>
  <c r="U254" i="19"/>
  <c r="U253" i="19"/>
  <c r="U252" i="19"/>
  <c r="U251" i="19"/>
  <c r="U250" i="19"/>
  <c r="U249" i="19"/>
  <c r="U248" i="19"/>
  <c r="U247" i="19"/>
  <c r="U246" i="19"/>
  <c r="U245" i="19"/>
  <c r="U244" i="19"/>
  <c r="U243" i="19"/>
  <c r="U242" i="19"/>
  <c r="U241" i="19"/>
  <c r="U240" i="19"/>
  <c r="U239" i="19"/>
  <c r="U238" i="19"/>
  <c r="U237" i="19"/>
  <c r="U236" i="19"/>
  <c r="U235" i="19"/>
  <c r="U234" i="19"/>
  <c r="U233" i="19"/>
  <c r="U232" i="19"/>
  <c r="U231" i="19"/>
  <c r="U230" i="19"/>
  <c r="U229" i="19"/>
  <c r="U228" i="19"/>
  <c r="U227" i="19"/>
  <c r="U226" i="19"/>
  <c r="U225" i="19"/>
  <c r="U224" i="19"/>
  <c r="U223" i="19"/>
  <c r="U222" i="19"/>
  <c r="U221" i="19"/>
  <c r="U220" i="19"/>
  <c r="U219" i="19"/>
  <c r="U218" i="19"/>
  <c r="U217" i="19"/>
  <c r="U216" i="19"/>
  <c r="U215" i="19"/>
  <c r="U214" i="19"/>
  <c r="U213" i="19"/>
  <c r="U212" i="19"/>
  <c r="U211" i="19"/>
  <c r="U210" i="19"/>
  <c r="U209" i="19"/>
  <c r="U208" i="19"/>
  <c r="U207" i="19"/>
  <c r="U206" i="19"/>
  <c r="U205" i="19"/>
  <c r="U204" i="19"/>
  <c r="U203" i="19"/>
  <c r="U202" i="19"/>
  <c r="U201" i="19"/>
  <c r="U200" i="19"/>
  <c r="U199" i="19"/>
  <c r="U198" i="19"/>
  <c r="U197" i="19"/>
  <c r="U196" i="19"/>
  <c r="U195" i="19"/>
  <c r="U194" i="19"/>
  <c r="U193" i="19"/>
  <c r="U191" i="19"/>
  <c r="U190" i="19"/>
  <c r="U189" i="19"/>
  <c r="U188" i="19"/>
  <c r="U11" i="19"/>
  <c r="U187" i="19"/>
  <c r="U186" i="19"/>
  <c r="U185" i="19"/>
  <c r="U184" i="19"/>
  <c r="U183" i="19"/>
  <c r="U182" i="19"/>
  <c r="U181" i="19"/>
  <c r="U180" i="19"/>
  <c r="U179" i="19"/>
  <c r="U178" i="19"/>
  <c r="U177" i="19"/>
  <c r="U176" i="19"/>
  <c r="U175" i="19"/>
  <c r="U174" i="19"/>
  <c r="U173" i="19"/>
  <c r="U172" i="19"/>
  <c r="U171" i="19"/>
  <c r="U170" i="19"/>
  <c r="U169" i="19"/>
  <c r="U168" i="19"/>
  <c r="U167" i="19"/>
  <c r="U166" i="19"/>
  <c r="U165" i="19"/>
  <c r="U164" i="19"/>
  <c r="U163" i="19"/>
  <c r="U162" i="19"/>
  <c r="U161" i="19"/>
  <c r="U160" i="19"/>
  <c r="U159" i="19"/>
  <c r="U158" i="19"/>
  <c r="U157" i="19"/>
  <c r="U156" i="19"/>
  <c r="U155" i="19"/>
  <c r="U154" i="19"/>
  <c r="U153" i="19"/>
  <c r="U152" i="19"/>
  <c r="U151" i="19"/>
  <c r="U150" i="19"/>
  <c r="U149" i="19"/>
  <c r="U148" i="19"/>
  <c r="U147" i="19"/>
  <c r="U146" i="19"/>
  <c r="U145" i="19"/>
  <c r="U144" i="19"/>
  <c r="U143" i="19"/>
  <c r="U142" i="19"/>
  <c r="U141" i="19"/>
  <c r="U140" i="19"/>
  <c r="U139" i="19"/>
  <c r="U138" i="19"/>
  <c r="U137" i="19"/>
  <c r="U136" i="19"/>
  <c r="U135" i="19"/>
  <c r="U134" i="19"/>
  <c r="U133" i="19"/>
  <c r="U132" i="19"/>
  <c r="U131" i="19"/>
  <c r="U130" i="19"/>
  <c r="U129" i="19"/>
  <c r="U128" i="19"/>
  <c r="U126" i="19"/>
  <c r="U125" i="19"/>
  <c r="U124" i="19"/>
  <c r="U123" i="19"/>
  <c r="U122" i="19"/>
  <c r="U121" i="19"/>
  <c r="U120" i="19"/>
  <c r="U119" i="19"/>
  <c r="U118" i="19"/>
  <c r="U117" i="19"/>
  <c r="U116" i="19"/>
  <c r="U115" i="19"/>
  <c r="U114" i="19"/>
  <c r="U113" i="19"/>
  <c r="U112" i="19"/>
  <c r="U111" i="19"/>
  <c r="U110" i="19"/>
  <c r="U109" i="19"/>
  <c r="U108" i="19"/>
  <c r="U107" i="19"/>
  <c r="U106" i="19"/>
  <c r="U105" i="19"/>
  <c r="U104" i="19"/>
  <c r="U103" i="19"/>
  <c r="U102" i="19"/>
  <c r="U101" i="19"/>
  <c r="U100" i="19"/>
  <c r="U99" i="19"/>
  <c r="U98" i="19"/>
  <c r="U97" i="19"/>
  <c r="U96" i="19"/>
  <c r="U95" i="19"/>
  <c r="U94" i="19"/>
  <c r="U93" i="19"/>
  <c r="U92" i="19"/>
  <c r="U10" i="19"/>
  <c r="U91" i="19"/>
  <c r="U90" i="19"/>
  <c r="U89" i="19"/>
  <c r="U88" i="19"/>
  <c r="U87" i="19"/>
  <c r="U86" i="19"/>
  <c r="U85" i="19"/>
  <c r="U84" i="19"/>
  <c r="U83" i="19"/>
  <c r="U82" i="19"/>
  <c r="U81" i="19"/>
  <c r="U80" i="19"/>
  <c r="U79" i="19"/>
  <c r="U78" i="19"/>
  <c r="U77" i="19"/>
  <c r="U76" i="19"/>
  <c r="U75" i="19"/>
  <c r="U74" i="19"/>
  <c r="U73" i="19"/>
  <c r="U72" i="19"/>
  <c r="U71" i="19"/>
  <c r="U70" i="19"/>
  <c r="U69" i="19"/>
  <c r="U68" i="19"/>
  <c r="U67" i="19"/>
  <c r="U66" i="19"/>
  <c r="U65" i="19"/>
  <c r="U64" i="19"/>
  <c r="U63" i="19"/>
  <c r="U62" i="19"/>
  <c r="U61" i="19"/>
  <c r="U60" i="19"/>
  <c r="U59" i="19"/>
  <c r="U58" i="19"/>
  <c r="U57" i="19"/>
  <c r="U56" i="19"/>
  <c r="U55" i="19"/>
  <c r="U54" i="19"/>
  <c r="U53" i="19"/>
  <c r="U52" i="19"/>
  <c r="U51" i="19"/>
  <c r="U50" i="19"/>
  <c r="U49" i="19"/>
  <c r="U48" i="19"/>
  <c r="U47" i="19"/>
  <c r="U46" i="19"/>
  <c r="U45" i="19"/>
  <c r="U44" i="19"/>
  <c r="U43" i="19"/>
  <c r="U42" i="19"/>
  <c r="U41" i="19"/>
  <c r="U40" i="19"/>
  <c r="U39" i="19"/>
  <c r="U38" i="19"/>
  <c r="U37" i="19"/>
  <c r="U36" i="19"/>
  <c r="U9" i="19"/>
  <c r="U35" i="19"/>
  <c r="U34" i="19"/>
  <c r="U33" i="19"/>
  <c r="U32" i="19"/>
  <c r="U31" i="19"/>
  <c r="U30" i="19"/>
  <c r="U29" i="19"/>
  <c r="U28" i="19"/>
  <c r="U27" i="19"/>
  <c r="U26" i="19"/>
  <c r="U25" i="19"/>
  <c r="U24" i="19"/>
  <c r="U23" i="19"/>
  <c r="U22" i="19"/>
  <c r="U8" i="19"/>
  <c r="U21" i="19"/>
  <c r="U20" i="19"/>
  <c r="U19" i="19"/>
  <c r="U18" i="19"/>
  <c r="U17" i="19"/>
  <c r="U16" i="19"/>
  <c r="U15" i="19"/>
  <c r="U14" i="19"/>
  <c r="U13" i="19"/>
  <c r="U12" i="19"/>
  <c r="AD65" i="19"/>
  <c r="AD60" i="19"/>
  <c r="AD4" i="19" l="1"/>
  <c r="Q25" i="2" s="1"/>
  <c r="U3" i="19"/>
  <c r="U4" i="19"/>
  <c r="AC8" i="19"/>
  <c r="AC4" i="19" s="1"/>
  <c r="P25" i="2" s="1"/>
  <c r="Q452" i="19"/>
  <c r="Q1113" i="19"/>
  <c r="Q213" i="19"/>
  <c r="Q1501" i="19"/>
  <c r="Q1098" i="19"/>
  <c r="Q1413" i="19"/>
  <c r="Q455" i="19"/>
  <c r="Q350" i="19"/>
  <c r="Q1784" i="19"/>
  <c r="Q1666" i="19"/>
  <c r="Q1254" i="19"/>
  <c r="Q1110" i="19"/>
  <c r="Q1436" i="19"/>
  <c r="Q992" i="19"/>
  <c r="Q329" i="19"/>
  <c r="Q929" i="19"/>
  <c r="Q1119" i="19"/>
  <c r="Q453" i="19"/>
  <c r="Q414" i="19"/>
  <c r="Q1535" i="19"/>
  <c r="Q1802" i="19"/>
  <c r="Q1057" i="19"/>
  <c r="Q564" i="19"/>
  <c r="Q661" i="19"/>
  <c r="Q1601" i="19"/>
  <c r="Q1704" i="19"/>
  <c r="Q491" i="19"/>
  <c r="Q1347" i="19"/>
  <c r="Q1437" i="19"/>
  <c r="Q1339" i="19"/>
  <c r="Q1004" i="19"/>
  <c r="Q1538" i="19"/>
  <c r="Q1046" i="19"/>
  <c r="Q570" i="19"/>
  <c r="Q785" i="19"/>
  <c r="Q450" i="19"/>
  <c r="Q1700" i="19"/>
  <c r="Q1534" i="19"/>
  <c r="Q1402" i="19"/>
  <c r="Q1446" i="19"/>
  <c r="Q326" i="19"/>
  <c r="Q933" i="19"/>
  <c r="Q1505" i="19"/>
  <c r="Q578" i="19"/>
  <c r="Q348" i="19"/>
  <c r="Q554" i="19"/>
  <c r="Q912" i="19"/>
  <c r="Q784" i="19"/>
  <c r="Q498" i="19"/>
  <c r="Q1356" i="19"/>
  <c r="Q402" i="19"/>
  <c r="Q376" i="19"/>
  <c r="Q528" i="19"/>
  <c r="Q567" i="19"/>
  <c r="Q932" i="19"/>
  <c r="Q108" i="19"/>
  <c r="Q1343" i="19"/>
  <c r="Q474" i="19"/>
  <c r="Q1588" i="19"/>
  <c r="Q1510" i="19"/>
  <c r="Q957" i="19"/>
  <c r="Q397" i="19"/>
  <c r="Q113" i="19"/>
  <c r="Q221" i="19"/>
  <c r="Q199" i="19"/>
  <c r="Q248" i="19"/>
  <c r="Q770" i="19"/>
  <c r="Q155" i="19"/>
  <c r="Q1235" i="19"/>
  <c r="Q78" i="19"/>
  <c r="Q149" i="19"/>
  <c r="Q52" i="19"/>
  <c r="Q592" i="19"/>
  <c r="Q301" i="19"/>
  <c r="Q99" i="19"/>
  <c r="Q260" i="19"/>
  <c r="Q1389" i="19"/>
  <c r="Q1533" i="19"/>
  <c r="Q1532" i="19"/>
  <c r="Q1455" i="19"/>
  <c r="Q900" i="19"/>
  <c r="Q812" i="19"/>
  <c r="Q1137" i="19"/>
  <c r="Q548" i="19"/>
  <c r="Q1034" i="19"/>
  <c r="Q267" i="19"/>
  <c r="Q200" i="19"/>
  <c r="Q143" i="19"/>
  <c r="Q167" i="19"/>
  <c r="Q182" i="19"/>
  <c r="Q286" i="19"/>
  <c r="Q906" i="19"/>
  <c r="Q1769" i="19"/>
  <c r="Q984" i="19"/>
  <c r="Q1636" i="19"/>
  <c r="Q1482" i="19"/>
  <c r="Q1668" i="19"/>
  <c r="Q1352" i="19"/>
  <c r="Q1349" i="19"/>
  <c r="Q1606" i="19"/>
  <c r="Q261" i="19"/>
  <c r="Q1627" i="19"/>
  <c r="Q1255" i="19"/>
  <c r="Q1407" i="19"/>
  <c r="Q106" i="19"/>
  <c r="Q1179" i="19"/>
  <c r="Q563" i="19"/>
  <c r="Q1196" i="19"/>
  <c r="Q623" i="19"/>
  <c r="Q1215" i="19"/>
  <c r="Q556" i="19"/>
  <c r="Q110" i="19"/>
  <c r="Q717" i="19"/>
  <c r="Q1219" i="19"/>
  <c r="Q297" i="19"/>
  <c r="Q300" i="19"/>
  <c r="Q1182" i="19"/>
  <c r="Q493" i="19"/>
  <c r="Q637" i="19"/>
  <c r="Q517" i="19"/>
  <c r="Q858" i="19"/>
  <c r="Q860" i="19"/>
  <c r="Q337" i="19"/>
  <c r="Q630" i="19"/>
  <c r="Q233" i="19"/>
  <c r="Q483" i="19"/>
  <c r="Q116" i="19"/>
  <c r="Q866" i="19"/>
  <c r="Q1203" i="19"/>
  <c r="Q1214" i="19"/>
  <c r="Q405" i="19"/>
  <c r="Q1202" i="19"/>
  <c r="Q632" i="19"/>
  <c r="Q645" i="19"/>
  <c r="Q1096" i="19"/>
  <c r="Q639" i="19"/>
  <c r="Q131" i="19"/>
  <c r="Q647" i="19"/>
  <c r="Q379" i="19"/>
  <c r="Q864" i="19"/>
  <c r="Q308" i="19"/>
  <c r="Q410" i="19"/>
  <c r="Q435" i="19"/>
  <c r="Q598" i="19"/>
  <c r="Q457" i="19"/>
  <c r="Q815" i="19"/>
  <c r="Q712" i="19"/>
  <c r="Q1495" i="19"/>
  <c r="Q1814" i="19"/>
  <c r="Q1264" i="19"/>
  <c r="Q1582" i="19"/>
  <c r="Q139" i="19"/>
  <c r="Q41" i="19"/>
  <c r="Q115" i="19"/>
  <c r="Q606" i="19"/>
  <c r="Q1405" i="19"/>
  <c r="Q1244" i="19"/>
  <c r="Q1717" i="19"/>
  <c r="Q1043" i="19"/>
  <c r="Q659" i="19"/>
  <c r="Q1109" i="19"/>
  <c r="Q980" i="19"/>
  <c r="Q849" i="19"/>
  <c r="Q834" i="19"/>
  <c r="Q897" i="19"/>
  <c r="Q538" i="19"/>
  <c r="Q334" i="19"/>
  <c r="Q316" i="19"/>
  <c r="Q1421" i="19"/>
  <c r="Q792" i="19"/>
  <c r="Q738" i="19"/>
  <c r="Q767" i="19"/>
  <c r="Q945" i="19"/>
  <c r="Q168" i="19"/>
  <c r="Q1013" i="19"/>
  <c r="Q1765" i="19"/>
  <c r="Q1798" i="19"/>
  <c r="Q1117" i="19"/>
  <c r="Q1786" i="19"/>
  <c r="Q1614" i="19"/>
  <c r="Q1680" i="19"/>
  <c r="Q1594" i="19"/>
  <c r="Q209" i="19"/>
  <c r="Q1363" i="19"/>
  <c r="Q1371" i="19"/>
  <c r="Q607" i="19"/>
  <c r="Q551" i="19"/>
  <c r="Q1053" i="19"/>
  <c r="Q154" i="19"/>
  <c r="Q470" i="19"/>
  <c r="Q1721" i="19"/>
  <c r="Q1139" i="19"/>
  <c r="Q1030" i="19"/>
  <c r="Q1084" i="19"/>
  <c r="Q934" i="19"/>
  <c r="Q902" i="19"/>
  <c r="Q923" i="19"/>
  <c r="Q1376" i="19"/>
  <c r="Q1790" i="19"/>
  <c r="Q1474" i="19"/>
  <c r="Q924" i="19"/>
  <c r="Q464" i="19"/>
  <c r="Q930" i="19"/>
  <c r="Q133" i="19"/>
  <c r="Q394" i="19"/>
  <c r="Q73" i="19"/>
  <c r="Q774" i="19"/>
  <c r="Q1065" i="19"/>
  <c r="Q1448" i="19"/>
  <c r="Q1253" i="19"/>
  <c r="Q375" i="19"/>
  <c r="Q988" i="19"/>
  <c r="Q354" i="19"/>
  <c r="Q1703" i="19"/>
  <c r="Q1089" i="19"/>
  <c r="Q806" i="19"/>
  <c r="Q547" i="19"/>
  <c r="Q384" i="19"/>
  <c r="Q1693" i="19"/>
  <c r="Q1662" i="19"/>
  <c r="Q1707" i="19"/>
  <c r="Q1426" i="19"/>
  <c r="Q1473" i="19"/>
  <c r="Q1478" i="19"/>
  <c r="Q1554" i="19"/>
  <c r="Q24" i="19"/>
  <c r="Q23" i="19"/>
  <c r="Q1178" i="19"/>
  <c r="Q970" i="19"/>
  <c r="Q439" i="19"/>
  <c r="Q853" i="19"/>
  <c r="Q963" i="19"/>
  <c r="Q916" i="19"/>
  <c r="Q1683" i="19"/>
  <c r="Q124" i="19"/>
  <c r="Q1679" i="19"/>
  <c r="Q346" i="19"/>
  <c r="Q194" i="19"/>
  <c r="Q1195" i="19"/>
  <c r="Q345" i="19"/>
  <c r="Q1572" i="19"/>
  <c r="Q340" i="19"/>
  <c r="Q239" i="19"/>
  <c r="Q1425" i="19"/>
  <c r="Q1472" i="19"/>
  <c r="Q1477" i="19"/>
  <c r="Q1553" i="19"/>
  <c r="Q1453" i="19"/>
  <c r="Q1682" i="19"/>
  <c r="Q611" i="19"/>
  <c r="Q1001" i="19"/>
  <c r="Q537" i="19"/>
  <c r="Q481" i="19"/>
  <c r="Q1783" i="19"/>
  <c r="Q983" i="19"/>
  <c r="Q690" i="19"/>
  <c r="Q1702" i="19"/>
  <c r="Q188" i="19"/>
  <c r="Q79" i="19"/>
  <c r="Q1177" i="19"/>
  <c r="Q479" i="19"/>
  <c r="Q799" i="19"/>
  <c r="Q314" i="19"/>
  <c r="Q1140" i="19"/>
  <c r="Q1355" i="19"/>
  <c r="Q1064" i="19"/>
  <c r="Q279" i="19"/>
  <c r="Q911" i="19"/>
  <c r="Q1123" i="19"/>
  <c r="Q1027" i="19"/>
  <c r="Q1823" i="19"/>
  <c r="Q1822" i="19"/>
  <c r="Q1511" i="19"/>
  <c r="Q1531" i="19"/>
  <c r="Q1623" i="19"/>
  <c r="Q1348" i="19"/>
  <c r="Q431" i="19"/>
  <c r="Q1424" i="19"/>
  <c r="Q1471" i="19"/>
  <c r="Q1020" i="19"/>
  <c r="Q18" i="19"/>
  <c r="Q880" i="19"/>
  <c r="Q259" i="19"/>
  <c r="Q1775" i="19"/>
  <c r="Q1045" i="19"/>
  <c r="Q620" i="19"/>
  <c r="Q220" i="19"/>
  <c r="Q1767" i="19"/>
  <c r="Q771" i="19"/>
  <c r="Q1423" i="19"/>
  <c r="Q362" i="19"/>
  <c r="Q1318" i="19"/>
  <c r="Q344" i="19"/>
  <c r="Q1176" i="19"/>
  <c r="Q580" i="19"/>
  <c r="Q1286" i="19"/>
  <c r="Q593" i="19"/>
  <c r="Q1308" i="19"/>
  <c r="Q229" i="19"/>
  <c r="Q573" i="19"/>
  <c r="Q747" i="19"/>
  <c r="Q1294" i="19"/>
  <c r="Q758" i="19"/>
  <c r="Q61" i="19"/>
  <c r="Q322" i="19"/>
  <c r="Q1272" i="19"/>
  <c r="Q927" i="19"/>
  <c r="Q695" i="19"/>
  <c r="Q516" i="19"/>
  <c r="Q121" i="19"/>
  <c r="Q948" i="19"/>
  <c r="Q527" i="19"/>
  <c r="Q424" i="19"/>
  <c r="Q165" i="19"/>
  <c r="Q232" i="19"/>
  <c r="Q674" i="19"/>
  <c r="Q955" i="19"/>
  <c r="Q1293" i="19"/>
  <c r="Q699" i="19"/>
  <c r="Q677" i="19"/>
  <c r="Q1285" i="19"/>
  <c r="Q688" i="19"/>
  <c r="Q1307" i="19"/>
  <c r="Q1132" i="19"/>
  <c r="Q752" i="19"/>
  <c r="Q137" i="19"/>
  <c r="Q509" i="19"/>
  <c r="Q1067" i="19"/>
  <c r="Q953" i="19"/>
  <c r="Q140" i="19"/>
  <c r="Q1313" i="19"/>
  <c r="Q478" i="19"/>
  <c r="Q246" i="19"/>
  <c r="Q791" i="19"/>
  <c r="Q737" i="19"/>
  <c r="Q766" i="19"/>
  <c r="Q944" i="19"/>
  <c r="Q207" i="19"/>
  <c r="Q1012" i="19"/>
  <c r="Q1764" i="19"/>
  <c r="Q1797" i="19"/>
  <c r="Q87" i="19"/>
  <c r="Q1785" i="19"/>
  <c r="Q1613" i="19"/>
  <c r="Q1678" i="19"/>
  <c r="Q1593" i="19"/>
  <c r="Q201" i="19"/>
  <c r="Q779" i="19"/>
  <c r="Q1370" i="19"/>
  <c r="Q380" i="19"/>
  <c r="Q823" i="19"/>
  <c r="Q711" i="19"/>
  <c r="Q1494" i="19"/>
  <c r="Q1813" i="19"/>
  <c r="Q1263" i="19"/>
  <c r="Q1581" i="19"/>
  <c r="Q138" i="19"/>
  <c r="Q47" i="19"/>
  <c r="Q109" i="19"/>
  <c r="Q605" i="19"/>
  <c r="Q1404" i="19"/>
  <c r="Q1243" i="19"/>
  <c r="Q1716" i="19"/>
  <c r="Q1042" i="19"/>
  <c r="Q658" i="19"/>
  <c r="Q1108" i="19"/>
  <c r="Q979" i="19"/>
  <c r="Q848" i="19"/>
  <c r="Q833" i="19"/>
  <c r="Q896" i="19"/>
  <c r="Q536" i="19"/>
  <c r="Q333" i="19"/>
  <c r="Q371" i="19"/>
  <c r="Q1420" i="19"/>
  <c r="Q1031" i="19"/>
  <c r="Q1587" i="19"/>
  <c r="Q1742" i="19"/>
  <c r="Q141" i="19"/>
  <c r="Q502" i="19"/>
  <c r="Q1175" i="19"/>
  <c r="Q1400" i="19"/>
  <c r="Q1563" i="19"/>
  <c r="Q1661" i="19"/>
  <c r="Q1051" i="19"/>
  <c r="Q1730" i="19"/>
  <c r="Q1530" i="19"/>
  <c r="Q1500" i="19"/>
  <c r="Q1412" i="19"/>
  <c r="Q287" i="19"/>
  <c r="Q899" i="19"/>
  <c r="Q1338" i="19"/>
  <c r="Q1362" i="19"/>
  <c r="Q569" i="19"/>
  <c r="Q1479" i="19"/>
  <c r="Q1738" i="19"/>
  <c r="Q1539" i="19"/>
  <c r="Q1622" i="19"/>
  <c r="Q585" i="19"/>
  <c r="Q1753" i="19"/>
  <c r="Q1397" i="19"/>
  <c r="Q254" i="19"/>
  <c r="Q311" i="19"/>
  <c r="Q264" i="19"/>
  <c r="Q306" i="19"/>
  <c r="Q312" i="19"/>
  <c r="Q1269" i="19"/>
  <c r="Q591" i="19"/>
  <c r="Q1485" i="19"/>
  <c r="Q990" i="19"/>
  <c r="Q1133" i="19"/>
  <c r="Q542" i="19"/>
  <c r="Q715" i="19"/>
  <c r="Q1529" i="19"/>
  <c r="Q1598" i="19"/>
  <c r="Q888" i="19"/>
  <c r="Q158" i="19"/>
  <c r="Q65" i="19"/>
  <c r="Q339" i="19"/>
  <c r="Q125" i="19"/>
  <c r="Q811" i="19"/>
  <c r="Q234" i="19"/>
  <c r="Q581" i="19"/>
  <c r="Q193" i="19"/>
  <c r="Q70" i="19"/>
  <c r="Q153" i="19"/>
  <c r="Q160" i="19"/>
  <c r="Q198" i="19"/>
  <c r="Q419" i="19"/>
  <c r="Q1022" i="19"/>
  <c r="Q1323" i="19"/>
  <c r="Q1664" i="19"/>
  <c r="Q451" i="19"/>
  <c r="Q1088" i="19"/>
  <c r="Q1124" i="19"/>
  <c r="Q777" i="19"/>
  <c r="Q839" i="19"/>
  <c r="Q669" i="19"/>
  <c r="Q1354" i="19"/>
  <c r="Q1234" i="19"/>
  <c r="Q1336" i="19"/>
  <c r="Q1720" i="19"/>
  <c r="Q775" i="19"/>
  <c r="Q621" i="19"/>
  <c r="Q1476" i="19"/>
  <c r="Q1552" i="19"/>
  <c r="Q1174" i="19"/>
  <c r="Q838" i="19"/>
  <c r="Q441" i="19"/>
  <c r="Q1735" i="19"/>
  <c r="Q475" i="19"/>
  <c r="Q1756" i="19"/>
  <c r="Q1082" i="19"/>
  <c r="Q1173" i="19"/>
  <c r="Q1461" i="19"/>
  <c r="Q226" i="19"/>
  <c r="Q562" i="19"/>
  <c r="Q361" i="19"/>
  <c r="Q1317" i="19"/>
  <c r="Q105" i="19"/>
  <c r="Q1597" i="19"/>
  <c r="Q33" i="19"/>
  <c r="Q1019" i="19"/>
  <c r="Q14" i="19"/>
  <c r="Q285" i="19"/>
  <c r="Q1018" i="19"/>
  <c r="Q913" i="19"/>
  <c r="Q1543" i="19"/>
  <c r="Q147" i="19"/>
  <c r="Q594" i="19"/>
  <c r="Q1692" i="19"/>
  <c r="Q1332" i="19"/>
  <c r="Q1401" i="19"/>
  <c r="Q1537" i="19"/>
  <c r="Q1729" i="19"/>
  <c r="Q1571" i="19"/>
  <c r="Q506" i="19"/>
  <c r="Q432" i="19"/>
  <c r="Q1774" i="19"/>
  <c r="Q1499" i="19"/>
  <c r="Q1449" i="19"/>
  <c r="Q1451" i="19"/>
  <c r="Q1322" i="19"/>
  <c r="Q1755" i="19"/>
  <c r="Q1468" i="19"/>
  <c r="Q915" i="19"/>
  <c r="Q257" i="19"/>
  <c r="Q875" i="19"/>
  <c r="Q614" i="19"/>
  <c r="Q1821" i="19"/>
  <c r="Q985" i="19"/>
  <c r="Q713" i="19"/>
  <c r="Q546" i="19"/>
  <c r="Q1172" i="19"/>
  <c r="Q1460" i="19"/>
  <c r="Q1003" i="19"/>
  <c r="Q1643" i="19"/>
  <c r="Q872" i="19"/>
  <c r="Q1429" i="19"/>
  <c r="Q159" i="19"/>
  <c r="Q1445" i="19"/>
  <c r="Q1752" i="19"/>
  <c r="Q851" i="19"/>
  <c r="Q187" i="19"/>
  <c r="Q837" i="19"/>
  <c r="Q236" i="19"/>
  <c r="Q161" i="19"/>
  <c r="Q967" i="19"/>
  <c r="Q265" i="19"/>
  <c r="Q11" i="19"/>
  <c r="Q204" i="19"/>
  <c r="Q472" i="19"/>
  <c r="Q1481" i="19"/>
  <c r="Q1058" i="19"/>
  <c r="Q1086" i="19"/>
  <c r="Q1452" i="19"/>
  <c r="Q1171" i="19"/>
  <c r="Q1017" i="19"/>
  <c r="Q1751" i="19"/>
  <c r="Q1344" i="19"/>
  <c r="Q1329" i="19"/>
  <c r="Q1428" i="19"/>
  <c r="Q1706" i="19"/>
  <c r="Q936" i="19"/>
  <c r="Q666" i="19"/>
  <c r="Q1728" i="19"/>
  <c r="Q247" i="19"/>
  <c r="Q144" i="19"/>
  <c r="Q1321" i="19"/>
  <c r="Q561" i="19"/>
  <c r="Q1085" i="19"/>
  <c r="Q1357" i="19"/>
  <c r="Q935" i="19"/>
  <c r="Q1247" i="19"/>
  <c r="Q1170" i="19"/>
  <c r="Q15" i="19"/>
  <c r="Q1127" i="19"/>
  <c r="Q1447" i="19"/>
  <c r="Q1078" i="19"/>
  <c r="Q1351" i="19"/>
  <c r="Q962" i="19"/>
  <c r="Q288" i="19"/>
  <c r="Q104" i="19"/>
  <c r="Q203" i="19"/>
  <c r="Q1284" i="19"/>
  <c r="Q729" i="19"/>
  <c r="Q885" i="19"/>
  <c r="Q230" i="19"/>
  <c r="Q572" i="19"/>
  <c r="Q746" i="19"/>
  <c r="Q1292" i="19"/>
  <c r="Q1312" i="19"/>
  <c r="Q798" i="19"/>
  <c r="Q321" i="19"/>
  <c r="Q422" i="19"/>
  <c r="Q512" i="19"/>
  <c r="Q694" i="19"/>
  <c r="Q353" i="19"/>
  <c r="Q1283" i="19"/>
  <c r="Q118" i="19"/>
  <c r="Q526" i="19"/>
  <c r="Q683" i="19"/>
  <c r="Q698" i="19"/>
  <c r="Q90" i="19"/>
  <c r="Q673" i="19"/>
  <c r="Q1291" i="19"/>
  <c r="Q62" i="19"/>
  <c r="Q676" i="19"/>
  <c r="Q1282" i="19"/>
  <c r="Q687" i="19"/>
  <c r="Q1306" i="19"/>
  <c r="Q1131" i="19"/>
  <c r="Q352" i="19"/>
  <c r="Q136" i="19"/>
  <c r="Q745" i="19"/>
  <c r="Q560" i="19"/>
  <c r="Q952" i="19"/>
  <c r="Q98" i="19"/>
  <c r="Q427" i="19"/>
  <c r="Q477" i="19"/>
  <c r="Q374" i="19"/>
  <c r="Q386" i="19"/>
  <c r="Q822" i="19"/>
  <c r="Q710" i="19"/>
  <c r="Q1493" i="19"/>
  <c r="Q1812" i="19"/>
  <c r="Q1262" i="19"/>
  <c r="Q1580" i="19"/>
  <c r="Q128" i="19"/>
  <c r="Q45" i="19"/>
  <c r="Q114" i="19"/>
  <c r="Q604" i="19"/>
  <c r="Q1432" i="19"/>
  <c r="Q1242" i="19"/>
  <c r="Q1715" i="19"/>
  <c r="Q1041" i="19"/>
  <c r="Q657" i="19"/>
  <c r="Q1107" i="19"/>
  <c r="Q978" i="19"/>
  <c r="Q847" i="19"/>
  <c r="Q832" i="19"/>
  <c r="Q895" i="19"/>
  <c r="Q535" i="19"/>
  <c r="Q59" i="19"/>
  <c r="Q370" i="19"/>
  <c r="Q1419" i="19"/>
  <c r="Q790" i="19"/>
  <c r="Q736" i="19"/>
  <c r="Q765" i="19"/>
  <c r="Q943" i="19"/>
  <c r="Q71" i="19"/>
  <c r="Q1011" i="19"/>
  <c r="Q1763" i="19"/>
  <c r="Q1796" i="19"/>
  <c r="Q309" i="19"/>
  <c r="Q1806" i="19"/>
  <c r="Q1612" i="19"/>
  <c r="Q1677" i="19"/>
  <c r="Q1620" i="19"/>
  <c r="Q208" i="19"/>
  <c r="Q496" i="19"/>
  <c r="Q1369" i="19"/>
  <c r="Q949" i="19"/>
  <c r="Q440" i="19"/>
  <c r="Q1626" i="19"/>
  <c r="Q413" i="19"/>
  <c r="Q910" i="19"/>
  <c r="Q501" i="19"/>
  <c r="Q1225" i="19"/>
  <c r="Q225" i="19"/>
  <c r="Q726" i="19"/>
  <c r="Q1169" i="19"/>
  <c r="Q28" i="19"/>
  <c r="Q1341" i="19"/>
  <c r="Q1459" i="19"/>
  <c r="Q1118" i="19"/>
  <c r="Q1567" i="19"/>
  <c r="Q918" i="19"/>
  <c r="Q868" i="19"/>
  <c r="Q1087" i="19"/>
  <c r="Q1439" i="19"/>
  <c r="Q1734" i="19"/>
  <c r="Q1586" i="19"/>
  <c r="Q1653" i="19"/>
  <c r="Q1380" i="19"/>
  <c r="Q423" i="19"/>
  <c r="Q471" i="19"/>
  <c r="Q1639" i="19"/>
  <c r="Q224" i="19"/>
  <c r="Q1386" i="19"/>
  <c r="Q922" i="19"/>
  <c r="Q781" i="19"/>
  <c r="Q1454" i="19"/>
  <c r="Q407" i="19"/>
  <c r="Q552" i="19"/>
  <c r="Q1466" i="19"/>
  <c r="Q1433" i="19"/>
  <c r="Q1750" i="19"/>
  <c r="Q1062" i="19"/>
  <c r="Q931" i="19"/>
  <c r="Q26" i="19"/>
  <c r="Q1168" i="19"/>
  <c r="Q1048" i="19"/>
  <c r="Q1659" i="19"/>
  <c r="Q1016" i="19"/>
  <c r="Q1691" i="19"/>
  <c r="Q360" i="19"/>
  <c r="Q1316" i="19"/>
  <c r="Q877" i="19"/>
  <c r="Q176" i="19"/>
  <c r="Q1658" i="19"/>
  <c r="Q1377" i="19"/>
  <c r="Q1528" i="19"/>
  <c r="Q1585" i="19"/>
  <c r="Q206" i="19"/>
  <c r="Q469" i="19"/>
  <c r="Q146" i="19"/>
  <c r="Q994" i="19"/>
  <c r="Q1069" i="19"/>
  <c r="Q1025" i="19"/>
  <c r="Q1050" i="19"/>
  <c r="Q1782" i="19"/>
  <c r="Q947" i="19"/>
  <c r="Q959" i="19"/>
  <c r="Q103" i="19"/>
  <c r="Q22" i="19"/>
  <c r="Q1167" i="19"/>
  <c r="Q462" i="19"/>
  <c r="Q821" i="19"/>
  <c r="Q709" i="19"/>
  <c r="Q1492" i="19"/>
  <c r="Q1811" i="19"/>
  <c r="Q1261" i="19"/>
  <c r="Q1579" i="19"/>
  <c r="Q31" i="19"/>
  <c r="Q40" i="19"/>
  <c r="Q49" i="19"/>
  <c r="Q603" i="19"/>
  <c r="Q1241" i="19"/>
  <c r="Q1714" i="19"/>
  <c r="Q1040" i="19"/>
  <c r="Q656" i="19"/>
  <c r="Q1106" i="19"/>
  <c r="Q977" i="19"/>
  <c r="Q846" i="19"/>
  <c r="Q831" i="19"/>
  <c r="Q894" i="19"/>
  <c r="Q534" i="19"/>
  <c r="Q323" i="19"/>
  <c r="Q132" i="19"/>
  <c r="Q1418" i="19"/>
  <c r="Q789" i="19"/>
  <c r="Q735" i="19"/>
  <c r="Q764" i="19"/>
  <c r="Q942" i="19"/>
  <c r="Q218" i="19"/>
  <c r="Q1010" i="19"/>
  <c r="Q1762" i="19"/>
  <c r="Q1621" i="19"/>
  <c r="Q1795" i="19"/>
  <c r="Q449" i="19"/>
  <c r="Q1820" i="19"/>
  <c r="Q1611" i="19"/>
  <c r="Q1676" i="19"/>
  <c r="Q1635" i="19"/>
  <c r="Q38" i="19"/>
  <c r="Q351" i="19"/>
  <c r="Q1368" i="19"/>
  <c r="Q310" i="19"/>
  <c r="Q1112" i="19"/>
  <c r="Q235" i="19"/>
  <c r="Q1503" i="19"/>
  <c r="Q928" i="19"/>
  <c r="Q1115" i="19"/>
  <c r="Q454" i="19"/>
  <c r="Q1527" i="19"/>
  <c r="Q202" i="19"/>
  <c r="Q1605" i="19"/>
  <c r="Q290" i="19"/>
  <c r="Q1035" i="19"/>
  <c r="Q982" i="19"/>
  <c r="Q1121" i="19"/>
  <c r="Q1551" i="19"/>
  <c r="Q1475" i="19"/>
  <c r="Q72" i="19"/>
  <c r="Q152" i="19"/>
  <c r="Q102" i="19"/>
  <c r="Q1166" i="19"/>
  <c r="Q388" i="19"/>
  <c r="Q1194" i="19"/>
  <c r="Q622" i="19"/>
  <c r="Q1213" i="19"/>
  <c r="Q411" i="19"/>
  <c r="Q744" i="19"/>
  <c r="Q1207" i="19"/>
  <c r="Q1218" i="19"/>
  <c r="Q347" i="19"/>
  <c r="Q299" i="19"/>
  <c r="Q1185" i="19"/>
  <c r="Q492" i="19"/>
  <c r="Q636" i="19"/>
  <c r="Q503" i="19"/>
  <c r="Q1193" i="19"/>
  <c r="Q1209" i="19"/>
  <c r="Q487" i="19"/>
  <c r="Q629" i="19"/>
  <c r="Q641" i="19"/>
  <c r="Q857" i="19"/>
  <c r="Q624" i="19"/>
  <c r="Q1201" i="19"/>
  <c r="Q145" i="19"/>
  <c r="Q625" i="19"/>
  <c r="Q1200" i="19"/>
  <c r="Q631" i="19"/>
  <c r="Q644" i="19"/>
  <c r="Q1095" i="19"/>
  <c r="Q1015" i="19"/>
  <c r="Q92" i="19"/>
  <c r="Q488" i="19"/>
  <c r="Q263" i="19"/>
  <c r="Q863" i="19"/>
  <c r="Q428" i="19"/>
  <c r="Q651" i="19"/>
  <c r="Q434" i="19"/>
  <c r="Q356" i="19"/>
  <c r="Q1009" i="19"/>
  <c r="Q1642" i="19"/>
  <c r="Q1562" i="19"/>
  <c r="Q1165" i="19"/>
  <c r="Q582" i="19"/>
  <c r="Q1406" i="19"/>
  <c r="Q1230" i="19"/>
  <c r="Q954" i="19"/>
  <c r="Q1754" i="19"/>
  <c r="Q401" i="19"/>
  <c r="Q349" i="19"/>
  <c r="Q1090" i="19"/>
  <c r="Q1411" i="19"/>
  <c r="Q1385" i="19"/>
  <c r="Q1333" i="19"/>
  <c r="Q1375" i="19"/>
  <c r="Q1320" i="19"/>
  <c r="Q1736" i="19"/>
  <c r="Q597" i="19"/>
  <c r="Q1392" i="19"/>
  <c r="Q444" i="19"/>
  <c r="Q497" i="19"/>
  <c r="Q960" i="19"/>
  <c r="Q240" i="19"/>
  <c r="Q1781" i="19"/>
  <c r="Q1625" i="19"/>
  <c r="Q972" i="19"/>
  <c r="Q174" i="19"/>
  <c r="Q1164" i="19"/>
  <c r="Q36" i="19"/>
  <c r="Q810" i="19"/>
  <c r="Q1708" i="19"/>
  <c r="Q557" i="19"/>
  <c r="Q359" i="19"/>
  <c r="Q1315" i="19"/>
  <c r="Q1427" i="19"/>
  <c r="Q1252" i="19"/>
  <c r="Q1256" i="19"/>
  <c r="Q1727" i="19"/>
  <c r="Q1526" i="19"/>
  <c r="Q1525" i="19"/>
  <c r="Q1374" i="19"/>
  <c r="Q1619" i="19"/>
  <c r="Q231" i="19"/>
  <c r="Q553" i="19"/>
  <c r="Q1395" i="19"/>
  <c r="Q1719" i="19"/>
  <c r="Q1091" i="19"/>
  <c r="Q276" i="19"/>
  <c r="Q1657" i="19"/>
  <c r="Q385" i="19"/>
  <c r="Q615" i="19"/>
  <c r="Q1789" i="19"/>
  <c r="Q1435" i="19"/>
  <c r="Q769" i="19"/>
  <c r="Q338" i="19"/>
  <c r="Q1163" i="19"/>
  <c r="Q468" i="19"/>
  <c r="Q665" i="19"/>
  <c r="Q1431" i="19"/>
  <c r="Q670" i="19"/>
  <c r="Q1641" i="19"/>
  <c r="Q1524" i="19"/>
  <c r="Q393" i="19"/>
  <c r="Q650" i="19"/>
  <c r="Q1652" i="19"/>
  <c r="Q507" i="19"/>
  <c r="Q919" i="19"/>
  <c r="Q504" i="19"/>
  <c r="Q1083" i="19"/>
  <c r="Q1573" i="19"/>
  <c r="Q1705" i="19"/>
  <c r="Q1655" i="19"/>
  <c r="Q313" i="19"/>
  <c r="Q1536" i="19"/>
  <c r="Q175" i="19"/>
  <c r="Q1162" i="19"/>
  <c r="Q443" i="19"/>
  <c r="Q1281" i="19"/>
  <c r="Q728" i="19"/>
  <c r="Q1305" i="19"/>
  <c r="Q510" i="19"/>
  <c r="Q396" i="19"/>
  <c r="Q755" i="19"/>
  <c r="Q1311" i="19"/>
  <c r="Q365" i="19"/>
  <c r="Q320" i="19"/>
  <c r="Q1271" i="19"/>
  <c r="Q926" i="19"/>
  <c r="Q693" i="19"/>
  <c r="Q515" i="19"/>
  <c r="Q1280" i="19"/>
  <c r="Q1297" i="19"/>
  <c r="Q525" i="19"/>
  <c r="Q682" i="19"/>
  <c r="Q426" i="19"/>
  <c r="Q884" i="19"/>
  <c r="Q672" i="19"/>
  <c r="Q1290" i="19"/>
  <c r="Q1304" i="19"/>
  <c r="Q750" i="19"/>
  <c r="Q1279" i="19"/>
  <c r="Q686" i="19"/>
  <c r="Q1303" i="19"/>
  <c r="Q1130" i="19"/>
  <c r="Q1066" i="19"/>
  <c r="Q184" i="19"/>
  <c r="Q743" i="19"/>
  <c r="Q559" i="19"/>
  <c r="Q951" i="19"/>
  <c r="Q317" i="19"/>
  <c r="Q1310" i="19"/>
  <c r="Q544" i="19"/>
  <c r="Q227" i="19"/>
  <c r="Q461" i="19"/>
  <c r="Q820" i="19"/>
  <c r="Q708" i="19"/>
  <c r="Q1491" i="19"/>
  <c r="Q1810" i="19"/>
  <c r="Q1260" i="19"/>
  <c r="Q1578" i="19"/>
  <c r="Q76" i="19"/>
  <c r="Q42" i="19"/>
  <c r="Q53" i="19"/>
  <c r="Q602" i="19"/>
  <c r="Q1240" i="19"/>
  <c r="Q1713" i="19"/>
  <c r="Q1039" i="19"/>
  <c r="Q655" i="19"/>
  <c r="Q1105" i="19"/>
  <c r="Q976" i="19"/>
  <c r="Q845" i="19"/>
  <c r="Q830" i="19"/>
  <c r="Q893" i="19"/>
  <c r="Q533" i="19"/>
  <c r="Q296" i="19"/>
  <c r="Q328" i="19"/>
  <c r="Q1417" i="19"/>
  <c r="Q788" i="19"/>
  <c r="Q734" i="19"/>
  <c r="Q763" i="19"/>
  <c r="Q941" i="19"/>
  <c r="Q217" i="19"/>
  <c r="Q1008" i="19"/>
  <c r="Q1761" i="19"/>
  <c r="Q841" i="19"/>
  <c r="Q1794" i="19"/>
  <c r="Q448" i="19"/>
  <c r="Q1049" i="19"/>
  <c r="Q1610" i="19"/>
  <c r="Q1675" i="19"/>
  <c r="Q1634" i="19"/>
  <c r="Q112" i="19"/>
  <c r="Q1327" i="19"/>
  <c r="Q1367" i="19"/>
  <c r="Q521" i="19"/>
  <c r="Q584" i="19"/>
  <c r="Q473" i="19"/>
  <c r="Q1222" i="19"/>
  <c r="Q1136" i="19"/>
  <c r="Q1026" i="19"/>
  <c r="Q1100" i="19"/>
  <c r="Q1618" i="19"/>
  <c r="Q1824" i="19"/>
  <c r="Q1390" i="19"/>
  <c r="Q1512" i="19"/>
  <c r="Q1161" i="19"/>
  <c r="Q420" i="19"/>
  <c r="Q238" i="19"/>
  <c r="Q876" i="19"/>
  <c r="Q123" i="19"/>
  <c r="Q595" i="19"/>
  <c r="Q587" i="19"/>
  <c r="Q867" i="19"/>
  <c r="Q1033" i="19"/>
  <c r="Q610" i="19"/>
  <c r="Q966" i="19"/>
  <c r="Q1250" i="19"/>
  <c r="Q545" i="19"/>
  <c r="Q1378" i="19"/>
  <c r="Q1566" i="19"/>
  <c r="Q1749" i="19"/>
  <c r="Q1052" i="19"/>
  <c r="Q499" i="19"/>
  <c r="Q1160" i="19"/>
  <c r="Q1565" i="19"/>
  <c r="Q1564" i="19"/>
  <c r="Q465" i="19"/>
  <c r="Q968" i="19"/>
  <c r="Q1359" i="19"/>
  <c r="Q1542" i="19"/>
  <c r="Q1674" i="19"/>
  <c r="Q1788" i="19"/>
  <c r="Q1061" i="19"/>
  <c r="Q1134" i="19"/>
  <c r="Q1353" i="19"/>
  <c r="Q391" i="19"/>
  <c r="Q1346" i="19"/>
  <c r="Q253" i="19"/>
  <c r="Q51" i="19"/>
  <c r="Q1561" i="19"/>
  <c r="Q1523" i="19"/>
  <c r="Q358" i="19"/>
  <c r="Q1314" i="19"/>
  <c r="Q101" i="19"/>
  <c r="Q1337" i="19"/>
  <c r="Q357" i="19"/>
  <c r="Q12" i="19"/>
  <c r="Q20" i="19"/>
  <c r="Q999" i="19"/>
  <c r="Q94" i="19"/>
  <c r="Q1278" i="19"/>
  <c r="Q727" i="19"/>
  <c r="Q1302" i="19"/>
  <c r="Q571" i="19"/>
  <c r="Q742" i="19"/>
  <c r="Q754" i="19"/>
  <c r="Q757" i="19"/>
  <c r="Q797" i="19"/>
  <c r="Q319" i="19"/>
  <c r="Q679" i="19"/>
  <c r="Q511" i="19"/>
  <c r="Q692" i="19"/>
  <c r="Q514" i="19"/>
  <c r="Q1277" i="19"/>
  <c r="Q1296" i="19"/>
  <c r="Q524" i="19"/>
  <c r="Q681" i="19"/>
  <c r="Q697" i="19"/>
  <c r="Q883" i="19"/>
  <c r="Q671" i="19"/>
  <c r="Q1289" i="19"/>
  <c r="Q1301" i="19"/>
  <c r="Q675" i="19"/>
  <c r="Q1276" i="19"/>
  <c r="Q685" i="19"/>
  <c r="Q1300" i="19"/>
  <c r="Q1129" i="19"/>
  <c r="Q383" i="19"/>
  <c r="Q135" i="19"/>
  <c r="Q741" i="19"/>
  <c r="Q275" i="19"/>
  <c r="Q950" i="19"/>
  <c r="Q463" i="19"/>
  <c r="Q701" i="19"/>
  <c r="Q543" i="19"/>
  <c r="Q373" i="19"/>
  <c r="Q689" i="19"/>
  <c r="Q805" i="19"/>
  <c r="Q724" i="19"/>
  <c r="Q505" i="19"/>
  <c r="Q520" i="19"/>
  <c r="Q1070" i="19"/>
  <c r="Q1656" i="19"/>
  <c r="Q1056" i="19"/>
  <c r="Q590" i="19"/>
  <c r="Q1522" i="19"/>
  <c r="Q586" i="19"/>
  <c r="Q1335" i="19"/>
  <c r="Q467" i="19"/>
  <c r="Q303" i="19"/>
  <c r="Q305" i="19"/>
  <c r="Q909" i="19"/>
  <c r="Q1251" i="19"/>
  <c r="Q1592" i="19"/>
  <c r="Q1373" i="19"/>
  <c r="Q722" i="19"/>
  <c r="Q998" i="19"/>
  <c r="Q1450" i="19"/>
  <c r="Q1773" i="19"/>
  <c r="Q1360" i="19"/>
  <c r="Q178" i="19"/>
  <c r="Q282" i="19"/>
  <c r="Q1521" i="19"/>
  <c r="Q905" i="19"/>
  <c r="Q549" i="19"/>
  <c r="Q1228" i="19"/>
  <c r="Q1396" i="19"/>
  <c r="Q1628" i="19"/>
  <c r="Q245" i="19"/>
  <c r="Q1097" i="19"/>
  <c r="Q1645" i="19"/>
  <c r="Q1379" i="19"/>
  <c r="Q1076" i="19"/>
  <c r="Q119" i="19"/>
  <c r="Q1570" i="19"/>
  <c r="Q442" i="19"/>
  <c r="Q1135" i="19"/>
  <c r="Q859" i="19"/>
  <c r="Q183" i="19"/>
  <c r="Q800" i="19"/>
  <c r="Q1159" i="19"/>
  <c r="Q1340" i="19"/>
  <c r="Q997" i="19"/>
  <c r="Q1502" i="19"/>
  <c r="Q1345" i="19"/>
  <c r="Q169" i="19"/>
  <c r="Q1181" i="19"/>
  <c r="Q964" i="19"/>
  <c r="Q608" i="19"/>
  <c r="Q130" i="19"/>
  <c r="Q192" i="19"/>
  <c r="Q490" i="19"/>
  <c r="Q725" i="19"/>
  <c r="Q156" i="19"/>
  <c r="Q1462" i="19"/>
  <c r="Q252" i="19"/>
  <c r="Q1550" i="19"/>
  <c r="Q1699" i="19"/>
  <c r="Q1560" i="19"/>
  <c r="Q1358" i="19"/>
  <c r="Q946" i="19"/>
  <c r="Q1388" i="19"/>
  <c r="Q69" i="19"/>
  <c r="Q1556" i="19"/>
  <c r="Q1603" i="19"/>
  <c r="Q237" i="19"/>
  <c r="Q180" i="19"/>
  <c r="Q1158" i="19"/>
  <c r="Q1726" i="19"/>
  <c r="Q1520" i="19"/>
  <c r="Q223" i="19"/>
  <c r="Q186" i="19"/>
  <c r="Q416" i="19"/>
  <c r="Q1770" i="19"/>
  <c r="Q111" i="19"/>
  <c r="Q80" i="19"/>
  <c r="Q251" i="19"/>
  <c r="Q35" i="19"/>
  <c r="Q63" i="19"/>
  <c r="Q1231" i="19"/>
  <c r="Q74" i="19"/>
  <c r="Q460" i="19"/>
  <c r="Q819" i="19"/>
  <c r="Q707" i="19"/>
  <c r="Q1490" i="19"/>
  <c r="Q1809" i="19"/>
  <c r="Q1259" i="19"/>
  <c r="Q1577" i="19"/>
  <c r="Q93" i="19"/>
  <c r="Q43" i="19"/>
  <c r="Q57" i="19"/>
  <c r="Q601" i="19"/>
  <c r="Q1239" i="19"/>
  <c r="Q1712" i="19"/>
  <c r="Q1038" i="19"/>
  <c r="Q654" i="19"/>
  <c r="Q1104" i="19"/>
  <c r="Q975" i="19"/>
  <c r="Q844" i="19"/>
  <c r="Q829" i="19"/>
  <c r="Q892" i="19"/>
  <c r="Q532" i="19"/>
  <c r="Q332" i="19"/>
  <c r="Q315" i="19"/>
  <c r="Q1416" i="19"/>
  <c r="Q577" i="19"/>
  <c r="Q733" i="19"/>
  <c r="Q762" i="19"/>
  <c r="Q940" i="19"/>
  <c r="Q216" i="19"/>
  <c r="Q1007" i="19"/>
  <c r="Q1760" i="19"/>
  <c r="Q1819" i="19"/>
  <c r="Q1793" i="19"/>
  <c r="Q447" i="19"/>
  <c r="Q1686" i="19"/>
  <c r="Q1609" i="19"/>
  <c r="Q1673" i="19"/>
  <c r="Q1633" i="19"/>
  <c r="Q164" i="19"/>
  <c r="Q1326" i="19"/>
  <c r="Q1366" i="19"/>
  <c r="Q1698" i="19"/>
  <c r="Q1361" i="19"/>
  <c r="Q1465" i="19"/>
  <c r="Q1694" i="19"/>
  <c r="Q211" i="19"/>
  <c r="Q1000" i="19"/>
  <c r="Q1559" i="19"/>
  <c r="Q1519" i="19"/>
  <c r="Q1157" i="19"/>
  <c r="Q917" i="19"/>
  <c r="Q1748" i="19"/>
  <c r="Q117" i="19"/>
  <c r="Q1660" i="19"/>
  <c r="Q366" i="19"/>
  <c r="Q86" i="19"/>
  <c r="Q210" i="19"/>
  <c r="Q120" i="19"/>
  <c r="Q616" i="19"/>
  <c r="Q390" i="19"/>
  <c r="Q1544" i="19"/>
  <c r="Q1569" i="19"/>
  <c r="Q996" i="19"/>
  <c r="Q1672" i="19"/>
  <c r="Q482" i="19"/>
  <c r="Q1141" i="19"/>
  <c r="Q1331" i="19"/>
  <c r="Q1054" i="19"/>
  <c r="Q284" i="19"/>
  <c r="Q283" i="19"/>
  <c r="Q780" i="19"/>
  <c r="Q1399" i="19"/>
  <c r="Q294" i="19"/>
  <c r="Q173" i="19"/>
  <c r="Q172" i="19"/>
  <c r="Q171" i="19"/>
  <c r="Q170" i="19"/>
  <c r="Q387" i="19"/>
  <c r="Q1156" i="19"/>
  <c r="Q55" i="19"/>
  <c r="Q1801" i="19"/>
  <c r="Q1023" i="19"/>
  <c r="Q60" i="19"/>
  <c r="Q142" i="19"/>
  <c r="Q776" i="19"/>
  <c r="Q433" i="19"/>
  <c r="Q417" i="19"/>
  <c r="Q1646" i="19"/>
  <c r="Q1434" i="19"/>
  <c r="Q1733" i="19"/>
  <c r="Q1504" i="19"/>
  <c r="Q177" i="19"/>
  <c r="Q1740" i="19"/>
  <c r="Q987" i="19"/>
  <c r="Q403" i="19"/>
  <c r="Q1732" i="19"/>
  <c r="Q1116" i="19"/>
  <c r="Q759" i="19"/>
  <c r="Q84" i="19"/>
  <c r="Q1690" i="19"/>
  <c r="Q1747" i="19"/>
  <c r="Q1558" i="19"/>
  <c r="Q519" i="19"/>
  <c r="Q228" i="19"/>
  <c r="Q25" i="19"/>
  <c r="Q1155" i="19"/>
  <c r="Q1409" i="19"/>
  <c r="Q986" i="19"/>
  <c r="Q961" i="19"/>
  <c r="Q1469" i="19"/>
  <c r="Q870" i="19"/>
  <c r="Q1725" i="19"/>
  <c r="Q1063" i="19"/>
  <c r="Q1342" i="19"/>
  <c r="Q1555" i="19"/>
  <c r="Q794" i="19"/>
  <c r="Q195" i="19"/>
  <c r="Q1518" i="19"/>
  <c r="Q1517" i="19"/>
  <c r="Q1221" i="19"/>
  <c r="Q13" i="19"/>
  <c r="Q437" i="19"/>
  <c r="Q327" i="19"/>
  <c r="Q392" i="19"/>
  <c r="Q1651" i="19"/>
  <c r="Q258" i="19"/>
  <c r="Q304" i="19"/>
  <c r="Q904" i="19"/>
  <c r="Q588" i="19"/>
  <c r="Q466" i="19"/>
  <c r="Q1138" i="19"/>
  <c r="Q1122" i="19"/>
  <c r="Q1637" i="19"/>
  <c r="Q814" i="19"/>
  <c r="Q1002" i="19"/>
  <c r="Q1154" i="19"/>
  <c r="Q825" i="19"/>
  <c r="Q1442" i="19"/>
  <c r="Q1697" i="19"/>
  <c r="Q1800" i="19"/>
  <c r="Q1516" i="19"/>
  <c r="Q1248" i="19"/>
  <c r="Q1268" i="19"/>
  <c r="Q1047" i="19"/>
  <c r="Q88" i="19"/>
  <c r="Q619" i="19"/>
  <c r="Q993" i="19"/>
  <c r="Q241" i="19"/>
  <c r="Q1077" i="19"/>
  <c r="Q618" i="19"/>
  <c r="Q596" i="19"/>
  <c r="Q409" i="19"/>
  <c r="Q991" i="19"/>
  <c r="Q871" i="19"/>
  <c r="Q1075" i="19"/>
  <c r="Q1382" i="19"/>
  <c r="Q1381" i="19"/>
  <c r="Q1072" i="19"/>
  <c r="Q1071" i="19"/>
  <c r="Q1074" i="19"/>
  <c r="Q773" i="19"/>
  <c r="Q1073" i="19"/>
  <c r="Q723" i="19"/>
  <c r="Q716" i="19"/>
  <c r="Q807" i="19"/>
  <c r="Q1383" i="19"/>
  <c r="Q1032" i="19"/>
  <c r="Q808" i="19"/>
  <c r="Q1394" i="19"/>
  <c r="Q489" i="19"/>
  <c r="Q1393" i="19"/>
  <c r="Q1387" i="19"/>
  <c r="Q1224" i="19"/>
  <c r="Q1741" i="19"/>
  <c r="Q887" i="19"/>
  <c r="Q1724" i="19"/>
  <c r="Q908" i="19"/>
  <c r="Q1120" i="19"/>
  <c r="Q1111" i="19"/>
  <c r="Q272" i="19"/>
  <c r="Q8" i="19"/>
  <c r="Q898" i="19"/>
  <c r="Q1779" i="19"/>
  <c r="Q1153" i="19"/>
  <c r="Q400" i="19"/>
  <c r="Q271" i="19"/>
  <c r="Q191" i="19"/>
  <c r="Q324" i="19"/>
  <c r="Q389" i="19"/>
  <c r="Q1772" i="19"/>
  <c r="Q1689" i="19"/>
  <c r="Q1746" i="19"/>
  <c r="Q1180" i="19"/>
  <c r="Q969" i="19"/>
  <c r="Q66" i="19"/>
  <c r="Q250" i="19"/>
  <c r="Q107" i="19"/>
  <c r="Q56" i="19"/>
  <c r="Q1028" i="19"/>
  <c r="Q363" i="19"/>
  <c r="Q1192" i="19"/>
  <c r="Q34" i="19"/>
  <c r="Q75" i="19"/>
  <c r="Q1212" i="19"/>
  <c r="Q555" i="19"/>
  <c r="Q395" i="19"/>
  <c r="Q1206" i="19"/>
  <c r="Q1217" i="19"/>
  <c r="Q663" i="19"/>
  <c r="Q255" i="19"/>
  <c r="Q1184" i="19"/>
  <c r="Q874" i="19"/>
  <c r="Q408" i="19"/>
  <c r="Q495" i="19"/>
  <c r="Q1191" i="19"/>
  <c r="Q1208" i="19"/>
  <c r="Q486" i="19"/>
  <c r="Q628" i="19"/>
  <c r="Q640" i="19"/>
  <c r="Q856" i="19"/>
  <c r="Q425" i="19"/>
  <c r="Q1199" i="19"/>
  <c r="Q714" i="19"/>
  <c r="Q404" i="19"/>
  <c r="Q1198" i="19"/>
  <c r="Q406" i="19"/>
  <c r="Q643" i="19"/>
  <c r="Q1094" i="19"/>
  <c r="Q85" i="19"/>
  <c r="Q179" i="19"/>
  <c r="Q646" i="19"/>
  <c r="Q262" i="19"/>
  <c r="Q862" i="19"/>
  <c r="Q307" i="19"/>
  <c r="Q649" i="19"/>
  <c r="Q500" i="19"/>
  <c r="Q355" i="19"/>
  <c r="Q459" i="19"/>
  <c r="Q818" i="19"/>
  <c r="Q706" i="19"/>
  <c r="Q1489" i="19"/>
  <c r="Q1808" i="19"/>
  <c r="Q1258" i="19"/>
  <c r="Q1576" i="19"/>
  <c r="Q97" i="19"/>
  <c r="Q48" i="19"/>
  <c r="Q50" i="19"/>
  <c r="Q600" i="19"/>
  <c r="Q1238" i="19"/>
  <c r="Q1711" i="19"/>
  <c r="Q1037" i="19"/>
  <c r="Q653" i="19"/>
  <c r="Q1103" i="19"/>
  <c r="Q974" i="19"/>
  <c r="Q843" i="19"/>
  <c r="Q828" i="19"/>
  <c r="Q891" i="19"/>
  <c r="Q531" i="19"/>
  <c r="Q331" i="19"/>
  <c r="Q369" i="19"/>
  <c r="Q1415" i="19"/>
  <c r="Q787" i="19"/>
  <c r="Q732" i="19"/>
  <c r="Q761" i="19"/>
  <c r="Q939" i="19"/>
  <c r="Q215" i="19"/>
  <c r="Q1006" i="19"/>
  <c r="Q1759" i="19"/>
  <c r="Q1818" i="19"/>
  <c r="Q1792" i="19"/>
  <c r="Q446" i="19"/>
  <c r="Q1685" i="19"/>
  <c r="Q1608" i="19"/>
  <c r="Q1671" i="19"/>
  <c r="Q1632" i="19"/>
  <c r="Q163" i="19"/>
  <c r="Q1325" i="19"/>
  <c r="Q1365" i="19"/>
  <c r="Q1068" i="19"/>
  <c r="Q166" i="19"/>
  <c r="Q480" i="19"/>
  <c r="Q1099" i="19"/>
  <c r="Q418" i="19"/>
  <c r="Q1739" i="19"/>
  <c r="Q1080" i="19"/>
  <c r="Q1696" i="19"/>
  <c r="Q1778" i="19"/>
  <c r="Q399" i="19"/>
  <c r="Q270" i="19"/>
  <c r="Q190" i="19"/>
  <c r="Q1777" i="19"/>
  <c r="Q398" i="19"/>
  <c r="Q269" i="19"/>
  <c r="Q189" i="19"/>
  <c r="Q1515" i="19"/>
  <c r="Q1483" i="19"/>
  <c r="Q1152" i="19"/>
  <c r="Q1458" i="19"/>
  <c r="Q956" i="19"/>
  <c r="Q1059" i="19"/>
  <c r="Q1624" i="19"/>
  <c r="Q1467" i="19"/>
  <c r="Q1514" i="19"/>
  <c r="Q1125" i="19"/>
  <c r="Q772" i="19"/>
  <c r="Q574" i="19"/>
  <c r="Q266" i="19"/>
  <c r="Q873" i="19"/>
  <c r="Q995" i="19"/>
  <c r="Q921" i="19"/>
  <c r="Q1334" i="19"/>
  <c r="Q293" i="19"/>
  <c r="Q157" i="19"/>
  <c r="Q77" i="19"/>
  <c r="Q1644" i="19"/>
  <c r="Q1695" i="19"/>
  <c r="Q1245" i="19"/>
  <c r="Q1233" i="19"/>
  <c r="Q1126" i="19"/>
  <c r="Q850" i="19"/>
  <c r="Q1599" i="19"/>
  <c r="Q1513" i="19"/>
  <c r="Q278" i="19"/>
  <c r="Q813" i="19"/>
  <c r="Q1093" i="19"/>
  <c r="Q1557" i="19"/>
  <c r="Q612" i="19"/>
  <c r="Q1805" i="19"/>
  <c r="Q277" i="19"/>
  <c r="Q27" i="19"/>
  <c r="Q1151" i="19"/>
  <c r="Q753" i="19"/>
  <c r="Q667" i="19"/>
  <c r="Q1650" i="19"/>
  <c r="Q1055" i="19"/>
  <c r="Q1484" i="19"/>
  <c r="Q795" i="19"/>
  <c r="Q914" i="19"/>
  <c r="Q613" i="19"/>
  <c r="Q430" i="19"/>
  <c r="Q836" i="19"/>
  <c r="Q783" i="19"/>
  <c r="Q1787" i="19"/>
  <c r="Q438" i="19"/>
  <c r="Q64" i="19"/>
  <c r="Q1487" i="19"/>
  <c r="Q1232" i="19"/>
  <c r="Q289" i="19"/>
  <c r="Q205" i="19"/>
  <c r="Q1150" i="19"/>
  <c r="Q1408" i="19"/>
  <c r="Q1507" i="19"/>
  <c r="Q268" i="19"/>
  <c r="Q30" i="19"/>
  <c r="Q9" i="19"/>
  <c r="Q148" i="19"/>
  <c r="Q1771" i="19"/>
  <c r="Q1596" i="19"/>
  <c r="Q1029" i="19"/>
  <c r="Q529" i="19"/>
  <c r="Q212" i="19"/>
  <c r="Q295" i="19"/>
  <c r="Q1649" i="19"/>
  <c r="Q16" i="19"/>
  <c r="Q46" i="19"/>
  <c r="Q19" i="19"/>
  <c r="Q579" i="19"/>
  <c r="Q1275" i="19"/>
  <c r="Q421" i="19"/>
  <c r="Q881" i="19"/>
  <c r="Q809" i="19"/>
  <c r="Q67" i="19"/>
  <c r="Q429" i="19"/>
  <c r="Q740" i="19"/>
  <c r="Q1288" i="19"/>
  <c r="Q1309" i="19"/>
  <c r="Q796" i="19"/>
  <c r="Q318" i="19"/>
  <c r="Q678" i="19"/>
  <c r="Q925" i="19"/>
  <c r="Q691" i="19"/>
  <c r="Q513" i="19"/>
  <c r="Q1274" i="19"/>
  <c r="Q1295" i="19"/>
  <c r="Q523" i="19"/>
  <c r="Q680" i="19"/>
  <c r="Q696" i="19"/>
  <c r="Q882" i="19"/>
  <c r="Q749" i="19"/>
  <c r="Q1287" i="19"/>
  <c r="Q1299" i="19"/>
  <c r="Q1270" i="19"/>
  <c r="Q1273" i="19"/>
  <c r="Q684" i="19"/>
  <c r="Q1298" i="19"/>
  <c r="Q1128" i="19"/>
  <c r="Q122" i="19"/>
  <c r="Q134" i="19"/>
  <c r="Q739" i="19"/>
  <c r="Q274" i="19"/>
  <c r="Q364" i="19"/>
  <c r="Q302" i="19"/>
  <c r="Q700" i="19"/>
  <c r="Q476" i="19"/>
  <c r="Q372" i="19"/>
  <c r="Q458" i="19"/>
  <c r="Q817" i="19"/>
  <c r="Q705" i="19"/>
  <c r="Q1488" i="19"/>
  <c r="Q1807" i="19"/>
  <c r="Q1257" i="19"/>
  <c r="Q1575" i="19"/>
  <c r="Q96" i="19"/>
  <c r="Q44" i="19"/>
  <c r="Q29" i="19"/>
  <c r="Q599" i="19"/>
  <c r="Q1237" i="19"/>
  <c r="Q1710" i="19"/>
  <c r="Q1036" i="19"/>
  <c r="Q652" i="19"/>
  <c r="Q1102" i="19"/>
  <c r="Q973" i="19"/>
  <c r="Q842" i="19"/>
  <c r="Q827" i="19"/>
  <c r="Q890" i="19"/>
  <c r="Q530" i="19"/>
  <c r="Q330" i="19"/>
  <c r="Q368" i="19"/>
  <c r="Q1414" i="19"/>
  <c r="Q786" i="19"/>
  <c r="Q731" i="19"/>
  <c r="Q760" i="19"/>
  <c r="Q938" i="19"/>
  <c r="Q214" i="19"/>
  <c r="Q1005" i="19"/>
  <c r="Q1758" i="19"/>
  <c r="Q1817" i="19"/>
  <c r="Q1791" i="19"/>
  <c r="Q445" i="19"/>
  <c r="Q1684" i="19"/>
  <c r="Q1607" i="19"/>
  <c r="Q1670" i="19"/>
  <c r="Q1631" i="19"/>
  <c r="Q162" i="19"/>
  <c r="Q1324" i="19"/>
  <c r="Q1364" i="19"/>
  <c r="Q803" i="19"/>
  <c r="Q721" i="19"/>
  <c r="Q920" i="19"/>
  <c r="Q1142" i="19"/>
  <c r="Q1021" i="19"/>
  <c r="Q1092" i="19"/>
  <c r="Q1616" i="19"/>
  <c r="Q1227" i="19"/>
  <c r="Q292" i="19"/>
  <c r="Q1438" i="19"/>
  <c r="Q1648" i="19"/>
  <c r="Q1470" i="19"/>
  <c r="Q751" i="19"/>
  <c r="Q1509" i="19"/>
  <c r="Q1591" i="19"/>
  <c r="Q1403" i="19"/>
  <c r="Q1766" i="19"/>
  <c r="Q756" i="19"/>
  <c r="Q1267" i="19"/>
  <c r="Q1638" i="19"/>
  <c r="Q1780" i="19"/>
  <c r="Q1486" i="19"/>
  <c r="Q1688" i="19"/>
  <c r="Q1737" i="19"/>
  <c r="Q244" i="19"/>
  <c r="Q1508" i="19"/>
  <c r="Q1430" i="19"/>
  <c r="Q1149" i="19"/>
  <c r="Q381" i="19"/>
  <c r="Q1024" i="19"/>
  <c r="Q1600" i="19"/>
  <c r="Q1148" i="19"/>
  <c r="Q1549" i="19"/>
  <c r="Q1548" i="19"/>
  <c r="Q249" i="19"/>
  <c r="Q100" i="19"/>
  <c r="Q1147" i="19"/>
  <c r="Q181" i="19"/>
  <c r="Q1384" i="19"/>
  <c r="Q377" i="19"/>
  <c r="Q903" i="19"/>
  <c r="Q550" i="19"/>
  <c r="Q1541" i="19"/>
  <c r="Q1568" i="19"/>
  <c r="Q1701" i="19"/>
  <c r="Q869" i="19"/>
  <c r="Q1602" i="19"/>
  <c r="Q1540" i="19"/>
  <c r="Q793" i="19"/>
  <c r="Q989" i="19"/>
  <c r="Q703" i="19"/>
  <c r="Q835" i="19"/>
  <c r="Q1444" i="19"/>
  <c r="Q1229" i="19"/>
  <c r="Q412" i="19"/>
  <c r="Q1146" i="19"/>
  <c r="Q1457" i="19"/>
  <c r="Q1604" i="19"/>
  <c r="Q575" i="19"/>
  <c r="Q150" i="19"/>
  <c r="Q280" i="19"/>
  <c r="Q1640" i="19"/>
  <c r="Q720" i="19"/>
  <c r="Q1663" i="19"/>
  <c r="Q1687" i="19"/>
  <c r="Q879" i="19"/>
  <c r="Q378" i="19"/>
  <c r="Q1584" i="19"/>
  <c r="Q778" i="19"/>
  <c r="Q852" i="19"/>
  <c r="Q1723" i="19"/>
  <c r="Q540" i="19"/>
  <c r="Q886" i="19"/>
  <c r="Q243" i="19"/>
  <c r="Q541" i="19"/>
  <c r="Q907" i="19"/>
  <c r="Q1654" i="19"/>
  <c r="Q568" i="19"/>
  <c r="Q558" i="19"/>
  <c r="Q1463" i="19"/>
  <c r="Q1319" i="19"/>
  <c r="Q1441" i="19"/>
  <c r="Q1440" i="19"/>
  <c r="Q804" i="19"/>
  <c r="Q1647" i="19"/>
  <c r="Q1589" i="19"/>
  <c r="Q718" i="19"/>
  <c r="Q1190" i="19"/>
  <c r="Q1330" i="19"/>
  <c r="Q1456" i="19"/>
  <c r="Q83" i="19"/>
  <c r="Q32" i="19"/>
  <c r="Q127" i="19"/>
  <c r="Q1745" i="19"/>
  <c r="Q1464" i="19"/>
  <c r="Q1744" i="19"/>
  <c r="Q1804" i="19"/>
  <c r="Q1595" i="19"/>
  <c r="Q589" i="19"/>
  <c r="Q281" i="19"/>
  <c r="Q824" i="19"/>
  <c r="Q1145" i="19"/>
  <c r="Q566" i="19"/>
  <c r="Q1350" i="19"/>
  <c r="Q617" i="19"/>
  <c r="Q1506" i="19"/>
  <c r="Q37" i="19"/>
  <c r="Q1266" i="19"/>
  <c r="Q291" i="19"/>
  <c r="Q82" i="19"/>
  <c r="Q1410" i="19"/>
  <c r="Q17" i="19"/>
  <c r="Q54" i="19"/>
  <c r="Q1629" i="19"/>
  <c r="Q1803" i="19"/>
  <c r="Q325" i="19"/>
  <c r="Q415" i="19"/>
  <c r="Q958" i="19"/>
  <c r="Q1480" i="19"/>
  <c r="Q971" i="19"/>
  <c r="Q1398" i="19"/>
  <c r="Q336" i="19"/>
  <c r="Q242" i="19"/>
  <c r="Q1776" i="19"/>
  <c r="Q1583" i="19"/>
  <c r="Q1081" i="19"/>
  <c r="Q719" i="19"/>
  <c r="Q456" i="19"/>
  <c r="Q816" i="19"/>
  <c r="Q704" i="19"/>
  <c r="Q1496" i="19"/>
  <c r="Q1815" i="19"/>
  <c r="Q1265" i="19"/>
  <c r="Q1574" i="19"/>
  <c r="Q95" i="19"/>
  <c r="Q39" i="19"/>
  <c r="Q58" i="19"/>
  <c r="Q609" i="19"/>
  <c r="Q1236" i="19"/>
  <c r="Q1709" i="19"/>
  <c r="Q1044" i="19"/>
  <c r="Q660" i="19"/>
  <c r="Q1101" i="19"/>
  <c r="Q981" i="19"/>
  <c r="Q840" i="19"/>
  <c r="Q826" i="19"/>
  <c r="Q889" i="19"/>
  <c r="Q539" i="19"/>
  <c r="Q335" i="19"/>
  <c r="Q367" i="19"/>
  <c r="Q1422" i="19"/>
  <c r="Q782" i="19"/>
  <c r="Q730" i="19"/>
  <c r="Q768" i="19"/>
  <c r="Q937" i="19"/>
  <c r="Q219" i="19"/>
  <c r="Q1014" i="19"/>
  <c r="Q1757" i="19"/>
  <c r="Q1816" i="19"/>
  <c r="Q1799" i="19"/>
  <c r="Q91" i="19"/>
  <c r="Q126" i="19"/>
  <c r="Q1667" i="19"/>
  <c r="Q1615" i="19"/>
  <c r="Q1669" i="19"/>
  <c r="Q1630" i="19"/>
  <c r="Q21" i="19"/>
  <c r="Q1328" i="19"/>
  <c r="Q1372" i="19"/>
  <c r="Q1547" i="19"/>
  <c r="Q1665" i="19"/>
  <c r="Q801" i="19"/>
  <c r="Q1681" i="19"/>
  <c r="Q1497" i="19"/>
  <c r="Q518" i="19"/>
  <c r="Q89" i="19"/>
  <c r="Q256" i="19"/>
  <c r="Q1144" i="19"/>
  <c r="Q638" i="19"/>
  <c r="Q1189" i="19"/>
  <c r="Q1183" i="19"/>
  <c r="Q854" i="19"/>
  <c r="Q185" i="19"/>
  <c r="Q196" i="19"/>
  <c r="Q861" i="19"/>
  <c r="Q748" i="19"/>
  <c r="Q1211" i="19"/>
  <c r="Q1220" i="19"/>
  <c r="Q664" i="19"/>
  <c r="Q298" i="19"/>
  <c r="Q1188" i="19"/>
  <c r="Q494" i="19"/>
  <c r="Q635" i="19"/>
  <c r="Q341" i="19"/>
  <c r="Q1187" i="19"/>
  <c r="Q1210" i="19"/>
  <c r="Q485" i="19"/>
  <c r="Q627" i="19"/>
  <c r="Q642" i="19"/>
  <c r="Q855" i="19"/>
  <c r="Q702" i="19"/>
  <c r="Q1205" i="19"/>
  <c r="Q1204" i="19"/>
  <c r="Q626" i="19"/>
  <c r="Q1197" i="19"/>
  <c r="Q633" i="19"/>
  <c r="Q1216" i="19"/>
  <c r="Q1223" i="19"/>
  <c r="Q634" i="19"/>
  <c r="Q129" i="19"/>
  <c r="Q484" i="19"/>
  <c r="Q342" i="19"/>
  <c r="Q865" i="19"/>
  <c r="Q343" i="19"/>
  <c r="Q648" i="19"/>
  <c r="Q436" i="19"/>
  <c r="Q222" i="19"/>
  <c r="Q68" i="19"/>
  <c r="Q1249" i="19"/>
  <c r="Q1498" i="19"/>
  <c r="Q1546" i="19"/>
  <c r="Q197" i="19"/>
  <c r="Q1391" i="19"/>
  <c r="Q1186" i="19"/>
  <c r="Q1590" i="19"/>
  <c r="Q878" i="19"/>
  <c r="Q576" i="19"/>
  <c r="Q802" i="19"/>
  <c r="Q1768" i="19"/>
  <c r="Q1226" i="19"/>
  <c r="Q1617" i="19"/>
  <c r="Q1443" i="19"/>
  <c r="Q668" i="19"/>
  <c r="Q382" i="19"/>
  <c r="Q508" i="19"/>
  <c r="Q1143" i="19"/>
  <c r="Q151" i="19"/>
  <c r="Q1545" i="19"/>
  <c r="Q1722" i="19"/>
  <c r="Q1718" i="19"/>
  <c r="Q1060" i="19"/>
  <c r="Q1079" i="19"/>
  <c r="Q273" i="19"/>
  <c r="Q901" i="19"/>
  <c r="Q1114" i="19"/>
  <c r="Q965" i="19"/>
  <c r="Q522" i="19"/>
  <c r="Q583" i="19"/>
  <c r="Q662" i="19"/>
  <c r="Q1731" i="19"/>
  <c r="Q1743" i="19"/>
  <c r="Q1246" i="19"/>
  <c r="Q565" i="19"/>
  <c r="Q81" i="19"/>
  <c r="Q10" i="19"/>
  <c r="C4" i="19"/>
  <c r="Q231" i="20"/>
  <c r="Q230" i="20"/>
  <c r="Q229" i="20"/>
  <c r="Q228" i="20"/>
  <c r="Q227" i="20"/>
  <c r="Q226" i="20"/>
  <c r="Q225" i="20"/>
  <c r="Q224" i="20"/>
  <c r="Q223" i="20"/>
  <c r="Q222" i="20"/>
  <c r="Q221" i="20"/>
  <c r="Q220" i="20"/>
  <c r="Q219" i="20"/>
  <c r="Q218" i="20"/>
  <c r="Q217" i="20"/>
  <c r="Q216" i="20"/>
  <c r="Q215" i="20"/>
  <c r="Q214" i="20"/>
  <c r="Q213" i="20"/>
  <c r="Q212" i="20"/>
  <c r="Q211" i="20"/>
  <c r="Q210" i="20"/>
  <c r="Q209" i="20"/>
  <c r="Q208" i="20"/>
  <c r="Q207" i="20"/>
  <c r="Q206" i="20"/>
  <c r="Q205" i="20"/>
  <c r="Q204" i="20"/>
  <c r="Q203" i="20"/>
  <c r="Q202" i="20"/>
  <c r="Q201" i="20"/>
  <c r="Q200" i="20"/>
  <c r="Q199" i="20"/>
  <c r="Q198" i="20"/>
  <c r="Q197" i="20"/>
  <c r="Q196" i="20"/>
  <c r="Q195" i="20"/>
  <c r="Q194" i="20"/>
  <c r="Q193" i="20"/>
  <c r="Q192" i="20"/>
  <c r="Q191" i="20"/>
  <c r="Q190" i="20"/>
  <c r="Q189" i="20"/>
  <c r="Q188" i="20"/>
  <c r="Q187" i="20"/>
  <c r="Q186" i="20"/>
  <c r="Q185" i="20"/>
  <c r="Q184" i="20"/>
  <c r="Q183" i="20"/>
  <c r="Q182" i="20"/>
  <c r="Q181" i="20"/>
  <c r="Q180" i="20"/>
  <c r="Q179" i="20"/>
  <c r="Q178" i="20"/>
  <c r="Q177" i="20"/>
  <c r="Q176" i="20"/>
  <c r="Q175" i="20"/>
  <c r="Q174" i="20"/>
  <c r="Q173" i="20"/>
  <c r="Q172" i="20"/>
  <c r="Q171" i="20"/>
  <c r="Q170" i="20"/>
  <c r="Q169" i="20"/>
  <c r="Q168" i="20"/>
  <c r="Q167" i="20"/>
  <c r="Q166" i="20"/>
  <c r="Q165" i="20"/>
  <c r="Q164" i="20"/>
  <c r="Q163" i="20"/>
  <c r="Q162" i="20"/>
  <c r="Q161" i="20"/>
  <c r="Q160" i="20"/>
  <c r="Q159" i="20"/>
  <c r="Q158" i="20"/>
  <c r="Q157" i="20"/>
  <c r="Q156" i="20"/>
  <c r="Q155" i="20"/>
  <c r="Q154" i="20"/>
  <c r="Q153" i="20"/>
  <c r="Q152" i="20"/>
  <c r="Q151" i="20"/>
  <c r="Q150" i="20"/>
  <c r="Q149" i="20"/>
  <c r="Q148" i="20"/>
  <c r="Q147" i="20"/>
  <c r="Q146" i="20"/>
  <c r="Q145" i="20"/>
  <c r="Q144" i="20"/>
  <c r="Q143" i="20"/>
  <c r="Q142" i="20"/>
  <c r="Q141" i="20"/>
  <c r="Q140" i="20"/>
  <c r="Q139" i="20"/>
  <c r="Q138" i="20"/>
  <c r="Q137" i="20"/>
  <c r="Q136" i="20"/>
  <c r="Q135" i="20"/>
  <c r="Q134" i="20"/>
  <c r="Q133" i="20"/>
  <c r="Q132" i="20"/>
  <c r="Q131" i="20"/>
  <c r="Q130" i="20"/>
  <c r="Q129" i="20"/>
  <c r="Q128" i="20"/>
  <c r="Q127" i="20"/>
  <c r="Q126" i="20"/>
  <c r="Q125" i="20"/>
  <c r="Q124" i="20"/>
  <c r="Q123" i="20"/>
  <c r="Q122" i="20"/>
  <c r="Q121" i="20"/>
  <c r="Q120" i="20"/>
  <c r="Q119" i="20"/>
  <c r="Q118" i="20"/>
  <c r="Q117" i="20"/>
  <c r="Q116" i="20"/>
  <c r="Q115" i="20"/>
  <c r="Q114" i="20"/>
  <c r="Q113" i="20"/>
  <c r="Q112" i="20"/>
  <c r="Q111" i="20"/>
  <c r="Q110" i="20"/>
  <c r="Q109" i="20"/>
  <c r="Q108" i="20"/>
  <c r="Q107" i="20"/>
  <c r="Q106" i="20"/>
  <c r="Q105" i="20"/>
  <c r="Q104" i="20"/>
  <c r="Q103" i="20"/>
  <c r="Q102" i="20"/>
  <c r="Q101" i="20"/>
  <c r="Q100" i="20"/>
  <c r="Q99" i="20"/>
  <c r="Q98" i="20"/>
  <c r="Q97" i="20"/>
  <c r="Q96" i="20"/>
  <c r="Q95" i="20"/>
  <c r="Q94" i="20"/>
  <c r="Q93" i="20"/>
  <c r="Q92" i="20"/>
  <c r="Q91" i="20"/>
  <c r="Q90" i="20"/>
  <c r="Q89" i="20"/>
  <c r="Q88" i="20"/>
  <c r="Q87" i="20"/>
  <c r="Q86" i="20"/>
  <c r="Q85" i="20"/>
  <c r="Q84" i="20"/>
  <c r="Q83" i="20"/>
  <c r="Q82" i="20"/>
  <c r="Q81" i="20"/>
  <c r="Q80" i="20"/>
  <c r="Q79" i="20"/>
  <c r="Q78" i="20"/>
  <c r="Q77" i="20"/>
  <c r="Q76" i="20"/>
  <c r="Q75" i="20"/>
  <c r="Q74" i="20"/>
  <c r="Q73" i="20"/>
  <c r="Q72" i="20"/>
  <c r="Q71" i="20"/>
  <c r="Q70" i="20"/>
  <c r="Q69" i="20"/>
  <c r="Q68" i="20"/>
  <c r="Q67" i="20"/>
  <c r="Q66" i="20"/>
  <c r="Q65" i="20"/>
  <c r="Q64" i="20"/>
  <c r="Q63" i="20"/>
  <c r="Q62" i="20"/>
  <c r="Q61" i="20"/>
  <c r="Q60" i="20"/>
  <c r="Q59" i="20"/>
  <c r="Q58" i="20"/>
  <c r="Q57" i="20"/>
  <c r="Q56" i="20"/>
  <c r="Q55" i="20"/>
  <c r="Q54" i="20"/>
  <c r="Q53" i="20"/>
  <c r="Q52" i="20"/>
  <c r="Q51" i="20"/>
  <c r="Q50" i="20"/>
  <c r="Q49" i="20"/>
  <c r="Q48" i="20"/>
  <c r="Q47" i="20"/>
  <c r="Q46" i="20"/>
  <c r="Q45" i="20"/>
  <c r="Q44" i="20"/>
  <c r="Q43" i="20"/>
  <c r="Q42" i="20"/>
  <c r="Q41" i="20"/>
  <c r="Q40" i="20"/>
  <c r="Q39" i="20"/>
  <c r="Q38" i="20"/>
  <c r="Q37" i="20"/>
  <c r="Q36" i="20"/>
  <c r="Q35" i="20"/>
  <c r="Q34" i="20"/>
  <c r="Q33" i="20"/>
  <c r="Q32" i="20"/>
  <c r="Q31" i="20"/>
  <c r="Q30" i="20"/>
  <c r="Q29" i="20"/>
  <c r="Q28" i="20"/>
  <c r="Q27" i="20"/>
  <c r="Q26" i="20"/>
  <c r="Q25" i="20"/>
  <c r="Q24" i="20"/>
  <c r="Q23" i="20"/>
  <c r="Q22" i="20"/>
  <c r="Q21" i="20"/>
  <c r="Q20" i="20"/>
  <c r="Q19" i="20"/>
  <c r="Q18" i="20"/>
  <c r="Q17" i="20"/>
  <c r="Q16" i="20"/>
  <c r="Q15" i="20"/>
  <c r="Q14" i="20"/>
  <c r="Q13" i="20"/>
  <c r="Q12" i="20"/>
  <c r="Q11" i="20"/>
  <c r="Q10" i="20"/>
  <c r="Q9" i="20"/>
  <c r="Q8" i="20"/>
  <c r="AD14" i="18"/>
  <c r="AE449" i="18"/>
  <c r="U449" i="18"/>
  <c r="U397" i="18"/>
  <c r="AE397" i="18"/>
  <c r="AD13" i="18"/>
  <c r="AD12" i="18"/>
  <c r="AD11" i="18"/>
  <c r="AD10" i="18"/>
  <c r="Q22" i="18"/>
  <c r="Q582" i="18"/>
  <c r="Q354" i="18"/>
  <c r="Q453" i="18"/>
  <c r="Q421" i="18"/>
  <c r="Q335" i="18"/>
  <c r="Q10" i="18"/>
  <c r="Q838" i="18"/>
  <c r="Q659" i="18"/>
  <c r="Q665" i="18"/>
  <c r="Q543" i="18"/>
  <c r="Q633" i="18"/>
  <c r="Q634" i="18"/>
  <c r="Q631" i="18"/>
  <c r="Q563" i="18"/>
  <c r="Q682" i="18"/>
  <c r="Q44" i="18"/>
  <c r="Q371" i="18"/>
  <c r="Q235" i="18"/>
  <c r="Q585" i="18"/>
  <c r="Q584" i="18"/>
  <c r="Q192" i="18"/>
  <c r="Q225" i="18"/>
  <c r="Q470" i="18"/>
  <c r="Q377" i="18"/>
  <c r="Q457" i="18"/>
  <c r="Q626" i="18"/>
  <c r="Q670" i="18"/>
  <c r="Q615" i="18"/>
  <c r="Q242" i="18"/>
  <c r="Q182" i="18"/>
  <c r="Q656" i="18"/>
  <c r="Q239" i="18"/>
  <c r="Q270" i="18"/>
  <c r="Q445" i="18"/>
  <c r="Q35" i="18"/>
  <c r="Q359" i="18"/>
  <c r="Q244" i="18"/>
  <c r="Q525" i="18"/>
  <c r="Q480" i="18"/>
  <c r="Q38" i="18"/>
  <c r="Q275" i="18"/>
  <c r="Q441" i="18"/>
  <c r="Q474" i="18"/>
  <c r="Q62" i="18"/>
  <c r="Q415" i="18"/>
  <c r="Q439" i="18"/>
  <c r="Q420" i="18"/>
  <c r="Q745" i="18"/>
  <c r="Q507" i="18"/>
  <c r="Q66" i="18"/>
  <c r="Q236" i="18"/>
  <c r="Q286" i="18"/>
  <c r="Q230" i="18"/>
  <c r="Q446" i="18"/>
  <c r="Q51" i="18"/>
  <c r="Q268" i="18"/>
  <c r="Q65" i="18"/>
  <c r="Q243" i="18"/>
  <c r="Q505" i="18"/>
  <c r="Q43" i="18"/>
  <c r="Q451" i="18"/>
  <c r="Q271" i="18"/>
  <c r="Q306" i="18"/>
  <c r="Q46" i="18"/>
  <c r="Q485" i="18"/>
  <c r="Q355" i="18"/>
  <c r="Q636" i="18"/>
  <c r="Q42" i="18"/>
  <c r="Q416" i="18"/>
  <c r="Q493" i="18"/>
  <c r="Q278" i="18"/>
  <c r="Q41" i="18"/>
  <c r="Q495" i="18"/>
  <c r="Q744" i="18"/>
  <c r="Q743" i="18"/>
  <c r="Q742" i="18"/>
  <c r="Q741" i="18"/>
  <c r="Q40" i="18"/>
  <c r="Q510" i="18"/>
  <c r="Q224" i="18"/>
  <c r="Q240" i="18"/>
  <c r="Q45" i="18"/>
  <c r="Q456" i="18"/>
  <c r="Q264" i="18"/>
  <c r="Q314" i="18"/>
  <c r="Q465" i="18"/>
  <c r="Q464" i="18"/>
  <c r="Q627" i="18"/>
  <c r="Q612" i="18"/>
  <c r="Q77" i="18"/>
  <c r="Q76" i="18"/>
  <c r="Q78" i="18"/>
  <c r="Q106" i="18"/>
  <c r="Q548" i="18"/>
  <c r="Q553" i="18"/>
  <c r="Q637" i="18"/>
  <c r="Q689" i="18"/>
  <c r="Q574" i="18"/>
  <c r="Q280" i="18"/>
  <c r="Q229" i="18"/>
  <c r="Q379" i="18"/>
  <c r="Q321" i="18"/>
  <c r="Q597" i="18"/>
  <c r="Q577" i="18"/>
  <c r="Q598" i="18"/>
  <c r="Q747" i="18"/>
  <c r="Q723" i="18"/>
  <c r="Q539" i="18"/>
  <c r="Q740" i="18"/>
  <c r="Q586" i="18"/>
  <c r="Q712" i="18"/>
  <c r="Q664" i="18"/>
  <c r="Q479" i="18"/>
  <c r="Q478" i="18"/>
  <c r="Q477" i="18"/>
  <c r="Q562" i="18"/>
  <c r="Q733" i="18"/>
  <c r="Q614" i="18"/>
  <c r="Q623" i="18"/>
  <c r="Q578" i="18"/>
  <c r="Q508" i="18"/>
  <c r="Q373" i="18"/>
  <c r="Q549" i="18"/>
  <c r="Q688" i="18"/>
  <c r="Q506" i="18"/>
  <c r="Q557" i="18"/>
  <c r="Q347" i="18"/>
  <c r="Q722" i="18"/>
  <c r="Q641" i="18"/>
  <c r="Q781" i="18"/>
  <c r="Q223" i="18"/>
  <c r="Q316" i="18"/>
  <c r="Q647" i="18"/>
  <c r="Q384" i="18"/>
  <c r="Q402" i="18"/>
  <c r="Q346" i="18"/>
  <c r="Q702" i="18"/>
  <c r="Q556" i="18"/>
  <c r="Q541" i="18"/>
  <c r="Q573" i="18"/>
  <c r="Q326" i="18"/>
  <c r="Q677" i="18"/>
  <c r="Q36" i="18"/>
  <c r="Q622" i="18"/>
  <c r="Q309" i="18"/>
  <c r="Q376" i="18"/>
  <c r="Q591" i="18"/>
  <c r="Q79" i="18"/>
  <c r="Q297" i="18"/>
  <c r="Q447" i="18"/>
  <c r="Q709" i="18"/>
  <c r="Q463" i="18"/>
  <c r="Q705" i="18"/>
  <c r="Q449" i="18"/>
  <c r="Q397" i="18"/>
  <c r="Q589" i="18"/>
  <c r="Q717" i="18"/>
  <c r="Q716" i="18"/>
  <c r="Q378" i="18"/>
  <c r="Q289" i="18"/>
  <c r="Q599" i="18"/>
  <c r="Q734" i="18"/>
  <c r="Q676" i="18"/>
  <c r="Q588" i="18"/>
  <c r="Q694" i="18"/>
  <c r="Q370" i="18"/>
  <c r="Q375" i="18"/>
  <c r="Q374" i="18"/>
  <c r="Q452" i="18"/>
  <c r="Q721" i="18"/>
  <c r="Q720" i="18"/>
  <c r="Q462" i="18"/>
  <c r="Q646" i="18"/>
  <c r="Q613" i="18"/>
  <c r="Q624" i="18"/>
  <c r="Q707" i="18"/>
  <c r="Q171" i="18"/>
  <c r="Q727" i="18"/>
  <c r="Q608" i="18"/>
  <c r="Q466" i="18"/>
  <c r="Q666" i="18"/>
  <c r="Q542" i="18"/>
  <c r="Q349" i="18"/>
  <c r="Q561" i="18"/>
  <c r="Q448" i="18"/>
  <c r="Q425" i="18"/>
  <c r="Q392" i="18"/>
  <c r="Q261" i="18"/>
  <c r="Q357" i="18"/>
  <c r="Q575" i="18"/>
  <c r="Q609" i="18"/>
  <c r="Q678" i="18"/>
  <c r="Q527" i="18"/>
  <c r="Q442" i="18"/>
  <c r="Q564" i="18"/>
  <c r="Q544" i="18"/>
  <c r="Q333" i="18"/>
  <c r="Q497" i="18"/>
  <c r="Q386" i="18"/>
  <c r="Q468" i="18"/>
  <c r="Q528" i="18"/>
  <c r="Q673" i="18"/>
  <c r="Q681" i="18"/>
  <c r="Q419" i="18"/>
  <c r="Q714" i="18"/>
  <c r="Q628" i="18"/>
  <c r="Q494" i="18"/>
  <c r="Q501" i="18"/>
  <c r="Q352" i="18"/>
  <c r="Q393" i="18"/>
  <c r="Q27" i="18"/>
  <c r="Q307" i="18"/>
  <c r="Q209" i="18"/>
  <c r="Q667" i="18"/>
  <c r="Q141" i="18"/>
  <c r="Q311" i="18"/>
  <c r="Q190" i="18"/>
  <c r="Q604" i="18"/>
  <c r="Q181" i="18"/>
  <c r="Q718" i="18"/>
  <c r="Q108" i="18"/>
  <c r="Q395" i="18"/>
  <c r="Q492" i="18"/>
  <c r="Q697" i="18"/>
  <c r="Q437" i="18"/>
  <c r="Q173" i="18"/>
  <c r="Q198" i="18"/>
  <c r="Q222" i="18"/>
  <c r="Q212" i="18"/>
  <c r="Q233" i="18"/>
  <c r="Q258" i="18"/>
  <c r="Q23" i="18"/>
  <c r="Q499" i="18"/>
  <c r="Q214" i="18"/>
  <c r="Q73" i="18"/>
  <c r="Q213" i="18"/>
  <c r="Q294" i="18"/>
  <c r="Q207" i="18"/>
  <c r="Q39" i="18"/>
  <c r="Q340" i="18"/>
  <c r="Q365" i="18"/>
  <c r="Q288" i="18"/>
  <c r="Q116" i="18"/>
  <c r="Q274" i="18"/>
  <c r="Q37" i="18"/>
  <c r="Q29" i="18"/>
  <c r="Q521" i="18"/>
  <c r="Q629" i="18"/>
  <c r="Q571" i="18"/>
  <c r="Q524" i="18"/>
  <c r="Q262" i="18"/>
  <c r="Q560" i="18"/>
  <c r="Q317" i="18"/>
  <c r="Q594" i="18"/>
  <c r="Q648" i="18"/>
  <c r="Q105" i="18"/>
  <c r="Q104" i="18"/>
  <c r="Q103" i="18"/>
  <c r="Q102" i="18"/>
  <c r="Q1156" i="18"/>
  <c r="Q954" i="18"/>
  <c r="Q823" i="18"/>
  <c r="Q822" i="18"/>
  <c r="Q871" i="18"/>
  <c r="Q1084" i="18"/>
  <c r="Q775" i="18"/>
  <c r="Q952" i="18"/>
  <c r="Q821" i="18"/>
  <c r="Q790" i="18"/>
  <c r="Q820" i="18"/>
  <c r="Q951" i="18"/>
  <c r="Q774" i="18"/>
  <c r="Q1155" i="18"/>
  <c r="Q807" i="18"/>
  <c r="Q754" i="18"/>
  <c r="Q1024" i="18"/>
  <c r="Q867" i="18"/>
  <c r="Q753" i="18"/>
  <c r="Q864" i="18"/>
  <c r="Q1023" i="18"/>
  <c r="Q900" i="18"/>
  <c r="Q863" i="18"/>
  <c r="Q801" i="18"/>
  <c r="Q866" i="18"/>
  <c r="Q1238" i="18"/>
  <c r="Q757" i="18"/>
  <c r="Q758" i="18"/>
  <c r="Q1159" i="18"/>
  <c r="Q1089" i="18"/>
  <c r="Q819" i="18"/>
  <c r="Q950" i="18"/>
  <c r="Q780" i="18"/>
  <c r="Q1022" i="18"/>
  <c r="Q837" i="18"/>
  <c r="Q803" i="18"/>
  <c r="Q865" i="18"/>
  <c r="Q1083" i="18"/>
  <c r="Q1088" i="18"/>
  <c r="Q1158" i="18"/>
  <c r="Q770" i="18"/>
  <c r="Q783" i="18"/>
  <c r="Q949" i="18"/>
  <c r="Q862" i="18"/>
  <c r="Q1082" i="18"/>
  <c r="Q1026" i="18"/>
  <c r="Q773" i="18"/>
  <c r="Q1237" i="18"/>
  <c r="Q861" i="18"/>
  <c r="Q782" i="18"/>
  <c r="Q767" i="18"/>
  <c r="Q948" i="18"/>
  <c r="Q1029" i="18"/>
  <c r="Q1021" i="18"/>
  <c r="Q1081" i="18"/>
  <c r="Q947" i="18"/>
  <c r="Q946" i="18"/>
  <c r="Q789" i="18"/>
  <c r="Q1236" i="18"/>
  <c r="Q860" i="18"/>
  <c r="Q1028" i="18"/>
  <c r="Q806" i="18"/>
  <c r="Q1162" i="18"/>
  <c r="Q859" i="18"/>
  <c r="Q1154" i="18"/>
  <c r="Q899" i="18"/>
  <c r="Q1235" i="18"/>
  <c r="Q766" i="18"/>
  <c r="Q1153" i="18"/>
  <c r="Q1233" i="18"/>
  <c r="Q761" i="18"/>
  <c r="Q818" i="18"/>
  <c r="Q858" i="18"/>
  <c r="Q800" i="18"/>
  <c r="Q857" i="18"/>
  <c r="Q799" i="18"/>
  <c r="Q1152" i="18"/>
  <c r="Q779" i="18"/>
  <c r="Q836" i="18"/>
  <c r="Q1080" i="18"/>
  <c r="Q1025" i="18"/>
  <c r="Q870" i="18"/>
  <c r="Q953" i="18"/>
  <c r="Q1234" i="18"/>
  <c r="Q1232" i="18"/>
  <c r="Q1160" i="18"/>
  <c r="Q1027" i="18"/>
  <c r="Q776" i="18"/>
  <c r="Q1020" i="18"/>
  <c r="Q1161" i="18"/>
  <c r="Q788" i="18"/>
  <c r="Q752" i="18"/>
  <c r="Q856" i="18"/>
  <c r="Q1231" i="18"/>
  <c r="Q764" i="18"/>
  <c r="Q1087" i="18"/>
  <c r="Q855" i="18"/>
  <c r="Q765" i="18"/>
  <c r="Q763" i="18"/>
  <c r="Q760" i="18"/>
  <c r="Q778" i="18"/>
  <c r="Q798" i="18"/>
  <c r="Q958" i="18"/>
  <c r="Q802" i="18"/>
  <c r="Q735" i="18"/>
  <c r="Q854" i="18"/>
  <c r="Q1151" i="18"/>
  <c r="Q772" i="18"/>
  <c r="Q835" i="18"/>
  <c r="Q771" i="18"/>
  <c r="Q1079" i="18"/>
  <c r="Q945" i="18"/>
  <c r="Q944" i="18"/>
  <c r="Q1019" i="18"/>
  <c r="Q1078" i="18"/>
  <c r="Q869" i="18"/>
  <c r="Q957" i="18"/>
  <c r="Q1077" i="18"/>
  <c r="Q1086" i="18"/>
  <c r="Q797" i="18"/>
  <c r="Q787" i="18"/>
  <c r="Q786" i="18"/>
  <c r="Q839" i="18"/>
  <c r="Q769" i="18"/>
  <c r="Q834" i="18"/>
  <c r="Q785" i="18"/>
  <c r="Q1157" i="18"/>
  <c r="Q868" i="18"/>
  <c r="Q1150" i="18"/>
  <c r="Q853" i="18"/>
  <c r="Q805" i="18"/>
  <c r="Q943" i="18"/>
  <c r="Q756" i="18"/>
  <c r="Q852" i="18"/>
  <c r="Q692" i="18"/>
  <c r="Q732" i="18"/>
  <c r="Q569" i="18"/>
  <c r="Q607" i="18"/>
  <c r="Q1076" i="18"/>
  <c r="Q1018" i="18"/>
  <c r="Q1017" i="18"/>
  <c r="Q1016" i="18"/>
  <c r="Q1075" i="18"/>
  <c r="Q1230" i="18"/>
  <c r="Q898" i="18"/>
  <c r="Q897" i="18"/>
  <c r="Q1149" i="18"/>
  <c r="Q1229" i="18"/>
  <c r="Q851" i="18"/>
  <c r="Q850" i="18"/>
  <c r="Q849" i="18"/>
  <c r="Q896" i="18"/>
  <c r="Q1015" i="18"/>
  <c r="Q1014" i="18"/>
  <c r="Q1228" i="18"/>
  <c r="Q1013" i="18"/>
  <c r="Q1074" i="18"/>
  <c r="Q1012" i="18"/>
  <c r="Q1227" i="18"/>
  <c r="Q1148" i="18"/>
  <c r="Q1073" i="18"/>
  <c r="Q796" i="18"/>
  <c r="Q1011" i="18"/>
  <c r="Q1147" i="18"/>
  <c r="Q895" i="18"/>
  <c r="Q1226" i="18"/>
  <c r="Q942" i="18"/>
  <c r="Q1225" i="18"/>
  <c r="Q1224" i="18"/>
  <c r="Q1010" i="18"/>
  <c r="Q1009" i="18"/>
  <c r="Q1072" i="18"/>
  <c r="Q1223" i="18"/>
  <c r="Q1008" i="18"/>
  <c r="Q1007" i="18"/>
  <c r="Q894" i="18"/>
  <c r="Q1006" i="18"/>
  <c r="Q893" i="18"/>
  <c r="Q1005" i="18"/>
  <c r="Q941" i="18"/>
  <c r="Q1004" i="18"/>
  <c r="Q1146" i="18"/>
  <c r="Q1222" i="18"/>
  <c r="Q1145" i="18"/>
  <c r="Q1144" i="18"/>
  <c r="Q940" i="18"/>
  <c r="Q1221" i="18"/>
  <c r="Q1003" i="18"/>
  <c r="Q1143" i="18"/>
  <c r="Q1002" i="18"/>
  <c r="Q1071" i="18"/>
  <c r="Q1001" i="18"/>
  <c r="Q1000" i="18"/>
  <c r="Q1220" i="18"/>
  <c r="Q1142" i="18"/>
  <c r="Q999" i="18"/>
  <c r="Q1219" i="18"/>
  <c r="Q1141" i="18"/>
  <c r="Q939" i="18"/>
  <c r="Q1218" i="18"/>
  <c r="Q938" i="18"/>
  <c r="Q998" i="18"/>
  <c r="Q1140" i="18"/>
  <c r="Q1217" i="18"/>
  <c r="Q997" i="18"/>
  <c r="Q1139" i="18"/>
  <c r="Q937" i="18"/>
  <c r="Q996" i="18"/>
  <c r="Q1138" i="18"/>
  <c r="Q1137" i="18"/>
  <c r="Q892" i="18"/>
  <c r="Q1136" i="18"/>
  <c r="Q833" i="18"/>
  <c r="Q848" i="18"/>
  <c r="Q936" i="18"/>
  <c r="Q1216" i="18"/>
  <c r="Q832" i="18"/>
  <c r="Q935" i="18"/>
  <c r="Q995" i="18"/>
  <c r="Q891" i="18"/>
  <c r="Q956" i="18"/>
  <c r="Q831" i="18"/>
  <c r="Q1135" i="18"/>
  <c r="Q934" i="18"/>
  <c r="Q955" i="18"/>
  <c r="Q847" i="18"/>
  <c r="Q1070" i="18"/>
  <c r="Q830" i="18"/>
  <c r="Q1215" i="18"/>
  <c r="Q1134" i="18"/>
  <c r="Q994" i="18"/>
  <c r="Q993" i="18"/>
  <c r="Q1069" i="18"/>
  <c r="Q784" i="18"/>
  <c r="Q933" i="18"/>
  <c r="Q992" i="18"/>
  <c r="Q890" i="18"/>
  <c r="Q991" i="18"/>
  <c r="Q889" i="18"/>
  <c r="Q888" i="18"/>
  <c r="Q829" i="18"/>
  <c r="Q932" i="18"/>
  <c r="Q1214" i="18"/>
  <c r="Q1133" i="18"/>
  <c r="Q1213" i="18"/>
  <c r="Q817" i="18"/>
  <c r="Q795" i="18"/>
  <c r="Q816" i="18"/>
  <c r="Q1212" i="18"/>
  <c r="Q931" i="18"/>
  <c r="Q1211" i="18"/>
  <c r="Q1132" i="18"/>
  <c r="Q990" i="18"/>
  <c r="Q1068" i="18"/>
  <c r="Q1210" i="18"/>
  <c r="Q989" i="18"/>
  <c r="Q846" i="18"/>
  <c r="Q804" i="18"/>
  <c r="Q794" i="18"/>
  <c r="Q988" i="18"/>
  <c r="Q1131" i="18"/>
  <c r="Q845" i="18"/>
  <c r="Q930" i="18"/>
  <c r="Q1067" i="18"/>
  <c r="Q1209" i="18"/>
  <c r="Q791" i="18"/>
  <c r="Q1066" i="18"/>
  <c r="Q1085" i="18"/>
  <c r="Q815" i="18"/>
  <c r="Q643" i="18"/>
  <c r="Q698" i="18"/>
  <c r="Q635" i="18"/>
  <c r="Q695" i="18"/>
  <c r="Q276" i="18"/>
  <c r="Q337" i="18"/>
  <c r="Q396" i="18"/>
  <c r="Q406" i="18"/>
  <c r="Q559" i="18"/>
  <c r="Q519" i="18"/>
  <c r="Q191" i="18"/>
  <c r="Q691" i="18"/>
  <c r="Q226" i="18"/>
  <c r="Q500" i="18"/>
  <c r="Q431" i="18"/>
  <c r="Q719" i="18"/>
  <c r="Q211" i="18"/>
  <c r="Q323" i="18"/>
  <c r="Q304" i="18"/>
  <c r="Q523" i="18"/>
  <c r="Q476" i="18"/>
  <c r="Q600" i="18"/>
  <c r="Q409" i="18"/>
  <c r="Q651" i="18"/>
  <c r="Q701" i="18"/>
  <c r="Q189" i="18"/>
  <c r="Q610" i="18"/>
  <c r="Q672" i="18"/>
  <c r="Q293" i="18"/>
  <c r="Q292" i="18"/>
  <c r="Q341" i="18"/>
  <c r="Q414" i="18"/>
  <c r="Q408" i="18"/>
  <c r="Q291" i="18"/>
  <c r="Q290" i="18"/>
  <c r="Q595" i="18"/>
  <c r="Q650" i="18"/>
  <c r="Q583" i="18"/>
  <c r="Q554" i="18"/>
  <c r="Q520" i="18"/>
  <c r="Q669" i="18"/>
  <c r="Q731" i="18"/>
  <c r="Q172" i="18"/>
  <c r="Q246" i="18"/>
  <c r="Q331" i="18"/>
  <c r="Q424" i="18"/>
  <c r="Q552" i="18"/>
  <c r="Q205" i="18"/>
  <c r="Q581" i="18"/>
  <c r="Q350" i="18"/>
  <c r="Q403" i="18"/>
  <c r="Q298" i="18"/>
  <c r="Q632" i="18"/>
  <c r="Q443" i="18"/>
  <c r="Q606" i="18"/>
  <c r="Q514" i="18"/>
  <c r="Q362" i="18"/>
  <c r="Q12" i="18"/>
  <c r="Q516" i="18"/>
  <c r="Q515" i="18"/>
  <c r="Q435" i="18"/>
  <c r="Q529" i="18"/>
  <c r="Q195" i="18"/>
  <c r="Q215" i="18"/>
  <c r="Q690" i="18"/>
  <c r="Q467" i="18"/>
  <c r="Q538" i="18"/>
  <c r="Q567" i="18"/>
  <c r="Q587" i="18"/>
  <c r="Q285" i="18"/>
  <c r="Q472" i="18"/>
  <c r="Q537" i="18"/>
  <c r="Q410" i="18"/>
  <c r="Q726" i="18"/>
  <c r="Q730" i="18"/>
  <c r="Q174" i="18"/>
  <c r="Q179" i="18"/>
  <c r="Q206" i="18"/>
  <c r="Q696" i="18"/>
  <c r="Q708" i="18"/>
  <c r="Q749" i="18"/>
  <c r="Q750" i="18"/>
  <c r="Q490" i="18"/>
  <c r="Q535" i="18"/>
  <c r="Q625" i="18"/>
  <c r="Q381" i="18"/>
  <c r="Q658" i="18"/>
  <c r="Q679" i="18"/>
  <c r="Q178" i="18"/>
  <c r="Q175" i="18"/>
  <c r="Q26" i="18"/>
  <c r="Q342" i="18"/>
  <c r="Q725" i="18"/>
  <c r="Q729" i="18"/>
  <c r="Q188" i="18"/>
  <c r="Q630" i="18"/>
  <c r="Q668" i="18"/>
  <c r="Q327" i="18"/>
  <c r="Q593" i="18"/>
  <c r="Q429" i="18"/>
  <c r="Q580" i="18"/>
  <c r="Q319" i="18"/>
  <c r="Q404" i="18"/>
  <c r="Q265" i="18"/>
  <c r="Q348" i="18"/>
  <c r="Q616" i="18"/>
  <c r="Q621" i="18"/>
  <c r="Q652" i="18"/>
  <c r="Q385" i="18"/>
  <c r="Q530" i="18"/>
  <c r="Q570" i="18"/>
  <c r="Q259" i="18"/>
  <c r="Q237" i="18"/>
  <c r="Q25" i="18"/>
  <c r="Q487" i="18"/>
  <c r="Q532" i="18"/>
  <c r="Q221" i="18"/>
  <c r="Q63" i="18"/>
  <c r="Q267" i="18"/>
  <c r="Q312" i="18"/>
  <c r="Q488" i="18"/>
  <c r="Q475" i="18"/>
  <c r="Q344" i="18"/>
  <c r="Q366" i="18"/>
  <c r="Q343" i="18"/>
  <c r="Q238" i="18"/>
  <c r="Q183" i="18"/>
  <c r="Q279" i="18"/>
  <c r="Q269" i="18"/>
  <c r="Q517" i="18"/>
  <c r="Q555" i="18"/>
  <c r="Q684" i="18"/>
  <c r="Q703" i="18"/>
  <c r="Q469" i="18"/>
  <c r="Q432" i="18"/>
  <c r="Q310" i="18"/>
  <c r="Q277" i="18"/>
  <c r="Q72" i="18"/>
  <c r="Q305" i="18"/>
  <c r="Q142" i="18"/>
  <c r="Q284" i="18"/>
  <c r="Q227" i="18"/>
  <c r="Q596" i="18"/>
  <c r="Q484" i="18"/>
  <c r="Q336" i="18"/>
  <c r="Q503" i="18"/>
  <c r="Q551" i="18"/>
  <c r="Q372" i="18"/>
  <c r="Q210" i="18"/>
  <c r="Q438" i="18"/>
  <c r="Q661" i="18"/>
  <c r="Q686" i="18"/>
  <c r="Q231" i="18"/>
  <c r="Q579" i="18"/>
  <c r="Q592" i="18"/>
  <c r="Q434" i="18"/>
  <c r="Q444" i="18"/>
  <c r="Q644" i="18"/>
  <c r="Q663" i="18"/>
  <c r="Q400" i="18"/>
  <c r="Q481" i="18"/>
  <c r="Q572" i="18"/>
  <c r="Q645" i="18"/>
  <c r="Q322" i="18"/>
  <c r="Q184" i="18"/>
  <c r="Q368" i="18"/>
  <c r="Q509" i="18"/>
  <c r="Q713" i="18"/>
  <c r="Q746" i="18"/>
  <c r="Q180" i="18"/>
  <c r="Q511" i="18"/>
  <c r="Q96" i="18"/>
  <c r="Q602" i="18"/>
  <c r="Q430" i="18"/>
  <c r="Q200" i="18"/>
  <c r="Q313" i="18"/>
  <c r="Q302" i="18"/>
  <c r="Q618" i="18"/>
  <c r="Q95" i="18"/>
  <c r="Q247" i="18"/>
  <c r="Q228" i="18"/>
  <c r="Q241" i="18"/>
  <c r="Q202" i="18"/>
  <c r="Q169" i="18"/>
  <c r="Q518" i="18"/>
  <c r="Q513" i="18"/>
  <c r="Q315" i="18"/>
  <c r="Q706" i="18"/>
  <c r="Q496" i="18"/>
  <c r="Q232" i="18"/>
  <c r="Q170" i="18"/>
  <c r="Q220" i="18"/>
  <c r="Q711" i="18"/>
  <c r="Q603" i="18"/>
  <c r="Q724" i="18"/>
  <c r="Q728" i="18"/>
  <c r="Q208" i="18"/>
  <c r="Q459" i="18"/>
  <c r="Q390" i="18"/>
  <c r="Q201" i="18"/>
  <c r="Q281" i="18"/>
  <c r="Q338" i="18"/>
  <c r="Q273" i="18"/>
  <c r="Q657" i="18"/>
  <c r="Q739" i="18"/>
  <c r="Q491" i="18"/>
  <c r="Q611" i="18"/>
  <c r="Q101" i="18"/>
  <c r="Q245" i="18"/>
  <c r="Q34" i="18"/>
  <c r="Q639" i="18"/>
  <c r="Q320" i="18"/>
  <c r="Q303" i="18"/>
  <c r="Q70" i="18"/>
  <c r="Q203" i="18"/>
  <c r="Q217" i="18"/>
  <c r="Q260" i="18"/>
  <c r="Q68" i="18"/>
  <c r="Q52" i="18"/>
  <c r="Q683" i="18"/>
  <c r="Q660" i="18"/>
  <c r="Q486" i="18"/>
  <c r="Q356" i="18"/>
  <c r="Q11" i="18"/>
  <c r="Q69" i="18"/>
  <c r="Q693" i="18"/>
  <c r="Q755" i="18"/>
  <c r="Q100" i="18"/>
  <c r="Q367" i="18"/>
  <c r="Q601" i="18"/>
  <c r="Q512" i="18"/>
  <c r="Q398" i="18"/>
  <c r="Q282" i="18"/>
  <c r="Q186" i="18"/>
  <c r="Q531" i="18"/>
  <c r="Q193" i="18"/>
  <c r="Q565" i="18"/>
  <c r="Q436" i="18"/>
  <c r="Q738" i="18"/>
  <c r="Q737" i="18"/>
  <c r="Q736" i="18"/>
  <c r="Q325" i="18"/>
  <c r="Q185" i="18"/>
  <c r="Q662" i="18"/>
  <c r="Q590" i="18"/>
  <c r="Q526" i="18"/>
  <c r="Q680" i="18"/>
  <c r="Q358" i="18"/>
  <c r="Q388" i="18"/>
  <c r="Q324" i="18"/>
  <c r="Q249" i="18"/>
  <c r="Q248" i="18"/>
  <c r="Q360" i="18"/>
  <c r="Q345" i="18"/>
  <c r="Q620" i="18"/>
  <c r="Q299" i="18"/>
  <c r="Q28" i="18"/>
  <c r="Q50" i="18"/>
  <c r="Q283" i="18"/>
  <c r="Q566" i="18"/>
  <c r="Q187" i="18"/>
  <c r="Q619" i="18"/>
  <c r="Q655" i="18"/>
  <c r="Q413" i="18"/>
  <c r="Q361" i="18"/>
  <c r="Q675" i="18"/>
  <c r="Q369" i="18"/>
  <c r="Q168" i="18"/>
  <c r="Q167" i="18"/>
  <c r="Q533" i="18"/>
  <c r="Q219" i="18"/>
  <c r="Q605" i="18"/>
  <c r="Q391" i="18"/>
  <c r="Q411" i="18"/>
  <c r="Q700" i="18"/>
  <c r="Q407" i="18"/>
  <c r="Q15" i="18"/>
  <c r="Q576" i="18"/>
  <c r="Q422" i="18"/>
  <c r="Q423" i="18"/>
  <c r="Q418" i="18"/>
  <c r="Q428" i="18"/>
  <c r="Q427" i="18"/>
  <c r="Q296" i="18"/>
  <c r="Q295" i="18"/>
  <c r="Q640" i="18"/>
  <c r="Q450" i="18"/>
  <c r="Q534" i="18"/>
  <c r="Q166" i="18"/>
  <c r="Q196" i="18"/>
  <c r="Q197" i="18"/>
  <c r="Q329" i="18"/>
  <c r="Q287" i="18"/>
  <c r="Q30" i="18"/>
  <c r="Q699" i="18"/>
  <c r="Q330" i="18"/>
  <c r="Q363" i="18"/>
  <c r="Q272" i="18"/>
  <c r="Q257" i="18"/>
  <c r="Q99" i="18"/>
  <c r="Q49" i="18"/>
  <c r="Q471" i="18"/>
  <c r="Q522" i="18"/>
  <c r="Q547" i="18"/>
  <c r="Q546" i="18"/>
  <c r="Q536" i="18"/>
  <c r="Q455" i="18"/>
  <c r="Q545" i="18"/>
  <c r="Q383" i="18"/>
  <c r="Q94" i="18"/>
  <c r="Q60" i="18"/>
  <c r="Q140" i="18"/>
  <c r="Q93" i="18"/>
  <c r="Q82" i="18"/>
  <c r="Q92" i="18"/>
  <c r="Q64" i="18"/>
  <c r="Q139" i="18"/>
  <c r="Q638" i="18"/>
  <c r="Q715" i="18"/>
  <c r="Q74" i="18"/>
  <c r="Q558" i="18"/>
  <c r="Q1208" i="18"/>
  <c r="Q91" i="18"/>
  <c r="Q81" i="18"/>
  <c r="Q138" i="18"/>
  <c r="Q540" i="18"/>
  <c r="Q177" i="18"/>
  <c r="Q24" i="18"/>
  <c r="Q256" i="18"/>
  <c r="Q137" i="18"/>
  <c r="Q136" i="18"/>
  <c r="Q59" i="18"/>
  <c r="Q58" i="18"/>
  <c r="Q389" i="18"/>
  <c r="Q454" i="18"/>
  <c r="Q461" i="18"/>
  <c r="Q440" i="18"/>
  <c r="Q460" i="18"/>
  <c r="Q114" i="18"/>
  <c r="Q135" i="18"/>
  <c r="Q75" i="18"/>
  <c r="Q48" i="18"/>
  <c r="Q134" i="18"/>
  <c r="Q255" i="18"/>
  <c r="Q67" i="18"/>
  <c r="Q339" i="18"/>
  <c r="Q332" i="18"/>
  <c r="Q31" i="18"/>
  <c r="Q90" i="18"/>
  <c r="Q176" i="18"/>
  <c r="Q57" i="18"/>
  <c r="Q113" i="18"/>
  <c r="Q433" i="18"/>
  <c r="Q133" i="18"/>
  <c r="Q165" i="18"/>
  <c r="Q132" i="18"/>
  <c r="Q131" i="18"/>
  <c r="Q112" i="18"/>
  <c r="Q130" i="18"/>
  <c r="Q129" i="18"/>
  <c r="Q218" i="18"/>
  <c r="Q353" i="18"/>
  <c r="Q617" i="18"/>
  <c r="Q128" i="18"/>
  <c r="Q127" i="18"/>
  <c r="Q98" i="18"/>
  <c r="Q254" i="18"/>
  <c r="Q401" i="18"/>
  <c r="Q126" i="18"/>
  <c r="Q47" i="18"/>
  <c r="Q125" i="18"/>
  <c r="Q266" i="18"/>
  <c r="Q124" i="18"/>
  <c r="Q123" i="18"/>
  <c r="Q111" i="18"/>
  <c r="Q122" i="18"/>
  <c r="Q89" i="18"/>
  <c r="Q97" i="18"/>
  <c r="Q164" i="18"/>
  <c r="Q163" i="18"/>
  <c r="Q20" i="18"/>
  <c r="Q929" i="18"/>
  <c r="Q928" i="18"/>
  <c r="Q642" i="18"/>
  <c r="Q19" i="18"/>
  <c r="Q18" i="18"/>
  <c r="Q17" i="18"/>
  <c r="Q110" i="18"/>
  <c r="Q121" i="18"/>
  <c r="Q120" i="18"/>
  <c r="Q115" i="18"/>
  <c r="Q119" i="18"/>
  <c r="Q253" i="18"/>
  <c r="Q80" i="18"/>
  <c r="Q252" i="18"/>
  <c r="Q13" i="18"/>
  <c r="Q88" i="18"/>
  <c r="Q251" i="18"/>
  <c r="Q61" i="18"/>
  <c r="Q86" i="18"/>
  <c r="Q671" i="18"/>
  <c r="Q654" i="18"/>
  <c r="Q653" i="18"/>
  <c r="Q351" i="18"/>
  <c r="Q704" i="18"/>
  <c r="Q399" i="18"/>
  <c r="Q118" i="18"/>
  <c r="Q162" i="18"/>
  <c r="Q161" i="18"/>
  <c r="Q85" i="18"/>
  <c r="Q160" i="18"/>
  <c r="Q216" i="18"/>
  <c r="Q1130" i="18"/>
  <c r="Q1207" i="18"/>
  <c r="Q1206" i="18"/>
  <c r="Q927" i="18"/>
  <c r="Q1065" i="18"/>
  <c r="Q1205" i="18"/>
  <c r="Q1129" i="18"/>
  <c r="Q1204" i="18"/>
  <c r="Q1128" i="18"/>
  <c r="Q1203" i="18"/>
  <c r="Q887" i="18"/>
  <c r="Q926" i="18"/>
  <c r="Q1202" i="18"/>
  <c r="Q1127" i="18"/>
  <c r="Q987" i="18"/>
  <c r="Q1126" i="18"/>
  <c r="Q1064" i="18"/>
  <c r="Q986" i="18"/>
  <c r="Q1063" i="18"/>
  <c r="Q925" i="18"/>
  <c r="Q985" i="18"/>
  <c r="Q1201" i="18"/>
  <c r="Q886" i="18"/>
  <c r="Q1062" i="18"/>
  <c r="Q1061" i="18"/>
  <c r="Q984" i="18"/>
  <c r="Q1200" i="18"/>
  <c r="Q983" i="18"/>
  <c r="Q1125" i="18"/>
  <c r="Q982" i="18"/>
  <c r="Q924" i="18"/>
  <c r="Q1199" i="18"/>
  <c r="Q981" i="18"/>
  <c r="Q1060" i="18"/>
  <c r="Q1059" i="18"/>
  <c r="Q923" i="18"/>
  <c r="Q1058" i="18"/>
  <c r="Q1057" i="18"/>
  <c r="Q1056" i="18"/>
  <c r="Q1198" i="18"/>
  <c r="Q922" i="18"/>
  <c r="Q1055" i="18"/>
  <c r="Q1124" i="18"/>
  <c r="Q1123" i="18"/>
  <c r="Q980" i="18"/>
  <c r="Q1054" i="18"/>
  <c r="Q1197" i="18"/>
  <c r="Q979" i="18"/>
  <c r="Q921" i="18"/>
  <c r="Q885" i="18"/>
  <c r="Q920" i="18"/>
  <c r="Q919" i="18"/>
  <c r="Q918" i="18"/>
  <c r="Q884" i="18"/>
  <c r="Q1122" i="18"/>
  <c r="Q1196" i="18"/>
  <c r="Q1053" i="18"/>
  <c r="Q1052" i="18"/>
  <c r="Q1051" i="18"/>
  <c r="Q1121" i="18"/>
  <c r="Q1120" i="18"/>
  <c r="Q978" i="18"/>
  <c r="Q977" i="18"/>
  <c r="Q1119" i="18"/>
  <c r="Q917" i="18"/>
  <c r="Q1118" i="18"/>
  <c r="Q916" i="18"/>
  <c r="Q915" i="18"/>
  <c r="Q1195" i="18"/>
  <c r="Q1194" i="18"/>
  <c r="Q1117" i="18"/>
  <c r="Q1116" i="18"/>
  <c r="Q976" i="18"/>
  <c r="Q1115" i="18"/>
  <c r="Q1114" i="18"/>
  <c r="Q1193" i="18"/>
  <c r="Q1192" i="18"/>
  <c r="Q1191" i="18"/>
  <c r="Q1190" i="18"/>
  <c r="Q1113" i="18"/>
  <c r="Q975" i="18"/>
  <c r="Q1112" i="18"/>
  <c r="Q1189" i="18"/>
  <c r="Q1111" i="18"/>
  <c r="Q974" i="18"/>
  <c r="Q914" i="18"/>
  <c r="Q1188" i="18"/>
  <c r="Q1050" i="18"/>
  <c r="Q883" i="18"/>
  <c r="Q1049" i="18"/>
  <c r="Q1187" i="18"/>
  <c r="Q759" i="18"/>
  <c r="Q844" i="18"/>
  <c r="Q1186" i="18"/>
  <c r="Q1185" i="18"/>
  <c r="Q1110" i="18"/>
  <c r="Q1184" i="18"/>
  <c r="Q1048" i="18"/>
  <c r="Q913" i="18"/>
  <c r="Q1109" i="18"/>
  <c r="Q1047" i="18"/>
  <c r="Q973" i="18"/>
  <c r="Q1108" i="18"/>
  <c r="Q972" i="18"/>
  <c r="Q751" i="18"/>
  <c r="Q828" i="18"/>
  <c r="Q748" i="18"/>
  <c r="Q1107" i="18"/>
  <c r="Q912" i="18"/>
  <c r="Q1106" i="18"/>
  <c r="Q911" i="18"/>
  <c r="Q1105" i="18"/>
  <c r="Q1104" i="18"/>
  <c r="Q910" i="18"/>
  <c r="Q882" i="18"/>
  <c r="Q1103" i="18"/>
  <c r="Q881" i="18"/>
  <c r="Q909" i="18"/>
  <c r="Q1046" i="18"/>
  <c r="Q908" i="18"/>
  <c r="Q971" i="18"/>
  <c r="Q1183" i="18"/>
  <c r="Q970" i="18"/>
  <c r="Q1182" i="18"/>
  <c r="Q1181" i="18"/>
  <c r="Q1102" i="18"/>
  <c r="Q907" i="18"/>
  <c r="Q1180" i="18"/>
  <c r="Q880" i="18"/>
  <c r="Q1179" i="18"/>
  <c r="Q906" i="18"/>
  <c r="Q905" i="18"/>
  <c r="Q969" i="18"/>
  <c r="Q879" i="18"/>
  <c r="Q904" i="18"/>
  <c r="Q1045" i="18"/>
  <c r="Q903" i="18"/>
  <c r="Q1101" i="18"/>
  <c r="Q1100" i="18"/>
  <c r="Q1099" i="18"/>
  <c r="Q1044" i="18"/>
  <c r="Q878" i="18"/>
  <c r="Q814" i="18"/>
  <c r="Q1043" i="18"/>
  <c r="Q768" i="18"/>
  <c r="Q843" i="18"/>
  <c r="Q968" i="18"/>
  <c r="Q1178" i="18"/>
  <c r="Q1042" i="18"/>
  <c r="Q1177" i="18"/>
  <c r="Q967" i="18"/>
  <c r="Q1041" i="18"/>
  <c r="Q1098" i="18"/>
  <c r="Q813" i="18"/>
  <c r="Q966" i="18"/>
  <c r="Q827" i="18"/>
  <c r="Q1040" i="18"/>
  <c r="Q902" i="18"/>
  <c r="Q1176" i="18"/>
  <c r="Q965" i="18"/>
  <c r="Q812" i="18"/>
  <c r="Q1175" i="18"/>
  <c r="Q1039" i="18"/>
  <c r="Q964" i="18"/>
  <c r="Q811" i="18"/>
  <c r="Q1174" i="18"/>
  <c r="Q1097" i="18"/>
  <c r="Q826" i="18"/>
  <c r="Q877" i="18"/>
  <c r="Q810" i="18"/>
  <c r="Q1096" i="18"/>
  <c r="Q1095" i="18"/>
  <c r="Q1094" i="18"/>
  <c r="Q1173" i="18"/>
  <c r="Q825" i="18"/>
  <c r="Q1038" i="18"/>
  <c r="Q1037" i="18"/>
  <c r="Q1093" i="18"/>
  <c r="Q876" i="18"/>
  <c r="Q842" i="18"/>
  <c r="Q1172" i="18"/>
  <c r="Q1036" i="18"/>
  <c r="Q963" i="18"/>
  <c r="Q824" i="18"/>
  <c r="Q841" i="18"/>
  <c r="Q1171" i="18"/>
  <c r="Q809" i="18"/>
  <c r="Q793" i="18"/>
  <c r="Q1035" i="18"/>
  <c r="Q1170" i="18"/>
  <c r="Q1169" i="18"/>
  <c r="Q1168" i="18"/>
  <c r="Q1167" i="18"/>
  <c r="Q875" i="18"/>
  <c r="Q962" i="18"/>
  <c r="Q1034" i="18"/>
  <c r="Q1092" i="18"/>
  <c r="Q840" i="18"/>
  <c r="Q901" i="18"/>
  <c r="Q792" i="18"/>
  <c r="Q1166" i="18"/>
  <c r="Q1091" i="18"/>
  <c r="Q961" i="18"/>
  <c r="Q1165" i="18"/>
  <c r="Q874" i="18"/>
  <c r="Q873" i="18"/>
  <c r="Q960" i="18"/>
  <c r="Q872" i="18"/>
  <c r="Q1164" i="18"/>
  <c r="Q1033" i="18"/>
  <c r="Q777" i="18"/>
  <c r="Q1032" i="18"/>
  <c r="Q808" i="18"/>
  <c r="Q762" i="18"/>
  <c r="Q1031" i="18"/>
  <c r="Q959" i="18"/>
  <c r="Q1090" i="18"/>
  <c r="Q1163" i="18"/>
  <c r="Q1030" i="18"/>
  <c r="Q33" i="18"/>
  <c r="Q71" i="18"/>
  <c r="Q204" i="18"/>
  <c r="Q194" i="18"/>
  <c r="Q473" i="18"/>
  <c r="Q109" i="18"/>
  <c r="Q159" i="18"/>
  <c r="Q158" i="18"/>
  <c r="Q21" i="18"/>
  <c r="Q16" i="18"/>
  <c r="Q234" i="18"/>
  <c r="Q56" i="18"/>
  <c r="Q157" i="18"/>
  <c r="Q156" i="18"/>
  <c r="Q155" i="18"/>
  <c r="Q154" i="18"/>
  <c r="Q55" i="18"/>
  <c r="Q153" i="18"/>
  <c r="Q318" i="18"/>
  <c r="Q32" i="18"/>
  <c r="Q674" i="18"/>
  <c r="Q380" i="18"/>
  <c r="Q301" i="18"/>
  <c r="Q498" i="18"/>
  <c r="Q143" i="18"/>
  <c r="Q387" i="18"/>
  <c r="Q364" i="18"/>
  <c r="Q300" i="18"/>
  <c r="Q382" i="18"/>
  <c r="Q550" i="18"/>
  <c r="Q649" i="18"/>
  <c r="Q504" i="18"/>
  <c r="Q687" i="18"/>
  <c r="Q502" i="18"/>
  <c r="Q685" i="18"/>
  <c r="Q412" i="18"/>
  <c r="Q334" i="18"/>
  <c r="Q458" i="18"/>
  <c r="Q417" i="18"/>
  <c r="Q483" i="18"/>
  <c r="Q308" i="18"/>
  <c r="Q107" i="18"/>
  <c r="Q87" i="18"/>
  <c r="Q53" i="18"/>
  <c r="Q152" i="18"/>
  <c r="Q151" i="18"/>
  <c r="Q150" i="18"/>
  <c r="Q710" i="18"/>
  <c r="Q149" i="18"/>
  <c r="Q148" i="18"/>
  <c r="Q147" i="18"/>
  <c r="Q146" i="18"/>
  <c r="Q84" i="18"/>
  <c r="Q54" i="18"/>
  <c r="Q405" i="18"/>
  <c r="Q568" i="18"/>
  <c r="Q145" i="18"/>
  <c r="Q144" i="18"/>
  <c r="Q117" i="18"/>
  <c r="Q250" i="18"/>
  <c r="Q426" i="18"/>
  <c r="Q199" i="18"/>
  <c r="Q263" i="18"/>
  <c r="Q14" i="18"/>
  <c r="Q482" i="18"/>
  <c r="Q394" i="18"/>
  <c r="Q328" i="18"/>
  <c r="Q489" i="18"/>
  <c r="Q83" i="18"/>
  <c r="C4" i="18"/>
  <c r="V13" i="17"/>
  <c r="V34" i="17"/>
  <c r="U34" i="17"/>
  <c r="U13" i="17"/>
  <c r="C4" i="17"/>
  <c r="Q28" i="17"/>
  <c r="Q14" i="17"/>
  <c r="Q27" i="17"/>
  <c r="Q21" i="17"/>
  <c r="Q31" i="17"/>
  <c r="Q11" i="17"/>
  <c r="Q23" i="17"/>
  <c r="Q33" i="17"/>
  <c r="Q29" i="17"/>
  <c r="Q32" i="17"/>
  <c r="Q35" i="17"/>
  <c r="Q8" i="17"/>
  <c r="Q12" i="17"/>
  <c r="Q18" i="17"/>
  <c r="Q13" i="17"/>
  <c r="Q9" i="17"/>
  <c r="Q22" i="17"/>
  <c r="Q20" i="17"/>
  <c r="Q15" i="17"/>
  <c r="Q30" i="17"/>
  <c r="Q10" i="17"/>
  <c r="Q16" i="17"/>
  <c r="Q17" i="17"/>
  <c r="Q24" i="17"/>
  <c r="Q34" i="17"/>
  <c r="Q25" i="17"/>
  <c r="Q26" i="17"/>
  <c r="Q19" i="17"/>
  <c r="Q323" i="16"/>
  <c r="Q302" i="16"/>
  <c r="Q94" i="16"/>
  <c r="Q93" i="16"/>
  <c r="Q16" i="16"/>
  <c r="Q56" i="16"/>
  <c r="Q55" i="16"/>
  <c r="Q314" i="16"/>
  <c r="Q66" i="16"/>
  <c r="Q384" i="16"/>
  <c r="Q320" i="16"/>
  <c r="Q240" i="16"/>
  <c r="Q349" i="16"/>
  <c r="Q286" i="16"/>
  <c r="Q311" i="16"/>
  <c r="Q366" i="16"/>
  <c r="Q383" i="16"/>
  <c r="Q232" i="16"/>
  <c r="Q119" i="16"/>
  <c r="Q291" i="16"/>
  <c r="Q89" i="16"/>
  <c r="Q65" i="16"/>
  <c r="Q79" i="16"/>
  <c r="Q29" i="16"/>
  <c r="Q239" i="16"/>
  <c r="Q11" i="16"/>
  <c r="Q28" i="16"/>
  <c r="Q44" i="16"/>
  <c r="Q37" i="16"/>
  <c r="Q72" i="16"/>
  <c r="Q148" i="16"/>
  <c r="Q26" i="16"/>
  <c r="Q157" i="16"/>
  <c r="Q132" i="16"/>
  <c r="Q154" i="16"/>
  <c r="Q135" i="16"/>
  <c r="Q22" i="16"/>
  <c r="Q98" i="16"/>
  <c r="Q30" i="16"/>
  <c r="Q231" i="16"/>
  <c r="Q335" i="16"/>
  <c r="Q156" i="16"/>
  <c r="Q155" i="16"/>
  <c r="Q208" i="16"/>
  <c r="Q332" i="16"/>
  <c r="Q348" i="16"/>
  <c r="Q347" i="16"/>
  <c r="Q230" i="16"/>
  <c r="Q207" i="16"/>
  <c r="Q64" i="16"/>
  <c r="Q78" i="16"/>
  <c r="Q49" i="16"/>
  <c r="Q234" i="16"/>
  <c r="Q39" i="16"/>
  <c r="Q116" i="16"/>
  <c r="Q91" i="16"/>
  <c r="Q365" i="16"/>
  <c r="Q325" i="16"/>
  <c r="Q261" i="16"/>
  <c r="Q382" i="16"/>
  <c r="Q25" i="16"/>
  <c r="Q126" i="16"/>
  <c r="Q153" i="16"/>
  <c r="Q115" i="16"/>
  <c r="Q340" i="16"/>
  <c r="Q162" i="16"/>
  <c r="Q161" i="16"/>
  <c r="Q364" i="16"/>
  <c r="Q295" i="16"/>
  <c r="Q363" i="16"/>
  <c r="Q294" i="16"/>
  <c r="Q362" i="16"/>
  <c r="Q215" i="16"/>
  <c r="Q361" i="16"/>
  <c r="Q61" i="16"/>
  <c r="Q12" i="16"/>
  <c r="Q128" i="16"/>
  <c r="Q127" i="16"/>
  <c r="Q214" i="16"/>
  <c r="Q213" i="16"/>
  <c r="Q237" i="16"/>
  <c r="Q236" i="16"/>
  <c r="Q269" i="16"/>
  <c r="Q272" i="16"/>
  <c r="Q212" i="16"/>
  <c r="Q211" i="16"/>
  <c r="Q252" i="16"/>
  <c r="Q251" i="16"/>
  <c r="Q185" i="16"/>
  <c r="Q184" i="16"/>
  <c r="Q170" i="16"/>
  <c r="Q169" i="16"/>
  <c r="Q174" i="16"/>
  <c r="Q206" i="16"/>
  <c r="Q144" i="16"/>
  <c r="Q141" i="16"/>
  <c r="Q233" i="16"/>
  <c r="Q149" i="16"/>
  <c r="Q137" i="16"/>
  <c r="Q273" i="16"/>
  <c r="Q85" i="16"/>
  <c r="Q59" i="16"/>
  <c r="Q77" i="16"/>
  <c r="Q217" i="16"/>
  <c r="Q32" i="16"/>
  <c r="Q45" i="16"/>
  <c r="Q35" i="16"/>
  <c r="Q229" i="16"/>
  <c r="Q360" i="16"/>
  <c r="Q80" i="16"/>
  <c r="Q172" i="16"/>
  <c r="Q147" i="16"/>
  <c r="Q138" i="16"/>
  <c r="Q228" i="16"/>
  <c r="Q205" i="16"/>
  <c r="Q97" i="16"/>
  <c r="Q216" i="16"/>
  <c r="Q54" i="16"/>
  <c r="Q283" i="16"/>
  <c r="Q308" i="16"/>
  <c r="Q309" i="16"/>
  <c r="Q300" i="16"/>
  <c r="Q267" i="16"/>
  <c r="Q359" i="16"/>
  <c r="Q358" i="16"/>
  <c r="Q140" i="16"/>
  <c r="Q139" i="16"/>
  <c r="Q168" i="16"/>
  <c r="Q167" i="16"/>
  <c r="Q275" i="16"/>
  <c r="Q334" i="16"/>
  <c r="Q245" i="16"/>
  <c r="Q346" i="16"/>
  <c r="Q268" i="16"/>
  <c r="Q290" i="16"/>
  <c r="Q339" i="16"/>
  <c r="Q381" i="16"/>
  <c r="Q284" i="16"/>
  <c r="Q285" i="16"/>
  <c r="Q338" i="16"/>
  <c r="Q345" i="16"/>
  <c r="Q298" i="16"/>
  <c r="Q27" i="16"/>
  <c r="Q38" i="16"/>
  <c r="Q63" i="16"/>
  <c r="Q76" i="16"/>
  <c r="Q53" i="16"/>
  <c r="Q41" i="16"/>
  <c r="Q96" i="16"/>
  <c r="Q380" i="16"/>
  <c r="Q204" i="16"/>
  <c r="Q241" i="16"/>
  <c r="Q203" i="16"/>
  <c r="Q379" i="16"/>
  <c r="Q202" i="16"/>
  <c r="Q299" i="16"/>
  <c r="Q227" i="16"/>
  <c r="Q257" i="16"/>
  <c r="Q357" i="16"/>
  <c r="Q226" i="16"/>
  <c r="Q159" i="16"/>
  <c r="Q158" i="16"/>
  <c r="Q344" i="16"/>
  <c r="Q175" i="16"/>
  <c r="Q201" i="16"/>
  <c r="Q62" i="16"/>
  <c r="Q75" i="16"/>
  <c r="Q13" i="16"/>
  <c r="Q50" i="16"/>
  <c r="Q18" i="16"/>
  <c r="Q21" i="16"/>
  <c r="Q244" i="16"/>
  <c r="Q142" i="16"/>
  <c r="Q327" i="16"/>
  <c r="Q238" i="16"/>
  <c r="Q378" i="16"/>
  <c r="Q200" i="16"/>
  <c r="Q265" i="16"/>
  <c r="Q333" i="16"/>
  <c r="Q20" i="16"/>
  <c r="Q90" i="16"/>
  <c r="Q19" i="16"/>
  <c r="Q377" i="16"/>
  <c r="Q143" i="16"/>
  <c r="Q199" i="16"/>
  <c r="Q100" i="16"/>
  <c r="Q225" i="16"/>
  <c r="Q74" i="16"/>
  <c r="Q73" i="16"/>
  <c r="Q262" i="16"/>
  <c r="Q178" i="16"/>
  <c r="Q296" i="16"/>
  <c r="Q179" i="16"/>
  <c r="Q312" i="16"/>
  <c r="Q256" i="16"/>
  <c r="Q255" i="16"/>
  <c r="Q271" i="16"/>
  <c r="Q270" i="16"/>
  <c r="Q250" i="16"/>
  <c r="Q249" i="16"/>
  <c r="Q287" i="16"/>
  <c r="Q356" i="16"/>
  <c r="Q146" i="16"/>
  <c r="Q259" i="16"/>
  <c r="Q318" i="16"/>
  <c r="Q145" i="16"/>
  <c r="Q278" i="16"/>
  <c r="Q277" i="16"/>
  <c r="Q67" i="16"/>
  <c r="Q84" i="16"/>
  <c r="Q266" i="16"/>
  <c r="Q108" i="16"/>
  <c r="Q52" i="16"/>
  <c r="Q310" i="16"/>
  <c r="Q92" i="16"/>
  <c r="Q376" i="16"/>
  <c r="Q263" i="16"/>
  <c r="Q46" i="16"/>
  <c r="Q307" i="16"/>
  <c r="Q71" i="16"/>
  <c r="Q303" i="16"/>
  <c r="Q264" i="16"/>
  <c r="Q198" i="16"/>
  <c r="Q355" i="16"/>
  <c r="Q306" i="16"/>
  <c r="Q197" i="16"/>
  <c r="Q354" i="16"/>
  <c r="Q23" i="16"/>
  <c r="Q118" i="16"/>
  <c r="Q173" i="16"/>
  <c r="Q111" i="16"/>
  <c r="Q171" i="16"/>
  <c r="Q322" i="16"/>
  <c r="Q301" i="16"/>
  <c r="Q305" i="16"/>
  <c r="Q113" i="16"/>
  <c r="Q112" i="16"/>
  <c r="Q282" i="16"/>
  <c r="Q253" i="16"/>
  <c r="Q375" i="16"/>
  <c r="Q374" i="16"/>
  <c r="Q373" i="16"/>
  <c r="Q372" i="16"/>
  <c r="Q343" i="16"/>
  <c r="Q313" i="16"/>
  <c r="Q224" i="16"/>
  <c r="Q121" i="16"/>
  <c r="Q196" i="16"/>
  <c r="Q293" i="16"/>
  <c r="Q243" i="16"/>
  <c r="Q242" i="16"/>
  <c r="Q210" i="16"/>
  <c r="Q209" i="16"/>
  <c r="Q183" i="16"/>
  <c r="Q182" i="16"/>
  <c r="Q195" i="16"/>
  <c r="Q223" i="16"/>
  <c r="Q321" i="16"/>
  <c r="Q17" i="16"/>
  <c r="Q107" i="16"/>
  <c r="Q47" i="16"/>
  <c r="Q83" i="16"/>
  <c r="Q51" i="16"/>
  <c r="Q235" i="16"/>
  <c r="Q109" i="16"/>
  <c r="Q103" i="16"/>
  <c r="Q152" i="16"/>
  <c r="Q114" i="16"/>
  <c r="Q102" i="16"/>
  <c r="Q246" i="16"/>
  <c r="Q31" i="16"/>
  <c r="Q131" i="16"/>
  <c r="Q42" i="16"/>
  <c r="Q194" i="16"/>
  <c r="Q258" i="16"/>
  <c r="Q87" i="16"/>
  <c r="Q177" i="16"/>
  <c r="Q117" i="16"/>
  <c r="Q274" i="16"/>
  <c r="Q99" i="16"/>
  <c r="Q15" i="16"/>
  <c r="Q120" i="16"/>
  <c r="Q105" i="16"/>
  <c r="Q288" i="16"/>
  <c r="Q247" i="16"/>
  <c r="Q151" i="16"/>
  <c r="Q150" i="16"/>
  <c r="Q337" i="16"/>
  <c r="Q106" i="16"/>
  <c r="Q254" i="16"/>
  <c r="Q160" i="16"/>
  <c r="Q248" i="16"/>
  <c r="Q122" i="16"/>
  <c r="Q124" i="16"/>
  <c r="Q222" i="16"/>
  <c r="Q110" i="16"/>
  <c r="Q69" i="16"/>
  <c r="Q81" i="16"/>
  <c r="Q86" i="16"/>
  <c r="Q57" i="16"/>
  <c r="Q34" i="16"/>
  <c r="Q279" i="16"/>
  <c r="Q95" i="16"/>
  <c r="Q292" i="16"/>
  <c r="Q221" i="16"/>
  <c r="Q70" i="16"/>
  <c r="Q220" i="16"/>
  <c r="Q133" i="16"/>
  <c r="Q193" i="16"/>
  <c r="Q123" i="16"/>
  <c r="Q342" i="16"/>
  <c r="Q166" i="16"/>
  <c r="Q130" i="16"/>
  <c r="Q316" i="16"/>
  <c r="Q371" i="16"/>
  <c r="Q181" i="16"/>
  <c r="Q180" i="16"/>
  <c r="Q276" i="16"/>
  <c r="Q10" i="16"/>
  <c r="Q219" i="16"/>
  <c r="Q136" i="16"/>
  <c r="Q60" i="16"/>
  <c r="Q319" i="16"/>
  <c r="Q260" i="16"/>
  <c r="Q304" i="16"/>
  <c r="Q281" i="16"/>
  <c r="Q297" i="16"/>
  <c r="Q280" i="16"/>
  <c r="Q370" i="16"/>
  <c r="Q369" i="16"/>
  <c r="Q9" i="16"/>
  <c r="Q341" i="16"/>
  <c r="Q326" i="16"/>
  <c r="Q331" i="16"/>
  <c r="Q289" i="16"/>
  <c r="Q353" i="16"/>
  <c r="Q352" i="16"/>
  <c r="Q330" i="16"/>
  <c r="Q315" i="16"/>
  <c r="Q324" i="16"/>
  <c r="Q329" i="16"/>
  <c r="Q351" i="16"/>
  <c r="Q336" i="16"/>
  <c r="Q328" i="16"/>
  <c r="Q125" i="16"/>
  <c r="Q192" i="16"/>
  <c r="Q218" i="16"/>
  <c r="Q191" i="16"/>
  <c r="Q165" i="16"/>
  <c r="Q101" i="16"/>
  <c r="Q317" i="16"/>
  <c r="Q368" i="16"/>
  <c r="Q164" i="16"/>
  <c r="Q163" i="16"/>
  <c r="Q68" i="16"/>
  <c r="Q82" i="16"/>
  <c r="Q190" i="16"/>
  <c r="Q24" i="16"/>
  <c r="Q48" i="16"/>
  <c r="Q40" i="16"/>
  <c r="Q36" i="16"/>
  <c r="Q104" i="16"/>
  <c r="Q58" i="16"/>
  <c r="Q33" i="16"/>
  <c r="Q176" i="16"/>
  <c r="Q14" i="16"/>
  <c r="Q134" i="16"/>
  <c r="Q43" i="16"/>
  <c r="Q88" i="16"/>
  <c r="Q189" i="16"/>
  <c r="Q188" i="16"/>
  <c r="Q350" i="16"/>
  <c r="Q8" i="16"/>
  <c r="Q129" i="16"/>
  <c r="Q187" i="16"/>
  <c r="Q186" i="16"/>
  <c r="Q367" i="16"/>
  <c r="C4" i="16"/>
  <c r="V145" i="15"/>
  <c r="U145" i="15"/>
  <c r="V74" i="15"/>
  <c r="U74" i="15"/>
  <c r="V69" i="15"/>
  <c r="U69" i="15"/>
  <c r="V66" i="15"/>
  <c r="U66" i="15"/>
  <c r="V65" i="15"/>
  <c r="U65" i="15"/>
  <c r="V55" i="15"/>
  <c r="U55" i="15"/>
  <c r="AE49" i="15"/>
  <c r="AE7" i="15" s="1"/>
  <c r="V50" i="15"/>
  <c r="U50" i="15"/>
  <c r="V51" i="15"/>
  <c r="U51" i="15"/>
  <c r="V46" i="15"/>
  <c r="U46" i="15"/>
  <c r="V44" i="15"/>
  <c r="U44" i="15"/>
  <c r="V30" i="15"/>
  <c r="U30" i="15"/>
  <c r="Q36" i="15"/>
  <c r="Q65" i="15"/>
  <c r="Q50" i="15"/>
  <c r="Q55" i="15"/>
  <c r="Q116" i="15"/>
  <c r="Q118" i="15"/>
  <c r="Q21" i="15"/>
  <c r="Q37" i="15"/>
  <c r="Q14" i="15"/>
  <c r="Q64" i="15"/>
  <c r="Q63" i="15"/>
  <c r="Q127" i="15"/>
  <c r="Q75" i="15"/>
  <c r="Q71" i="15"/>
  <c r="Q58" i="15"/>
  <c r="Q98" i="15"/>
  <c r="Q67" i="15"/>
  <c r="Q115" i="15"/>
  <c r="Q16" i="15"/>
  <c r="Q76" i="15"/>
  <c r="Q69" i="15"/>
  <c r="Q122" i="15"/>
  <c r="Q145" i="15"/>
  <c r="Q136" i="15"/>
  <c r="Q153" i="15"/>
  <c r="Q48" i="15"/>
  <c r="Q132" i="15"/>
  <c r="Q131" i="15"/>
  <c r="Q130" i="15"/>
  <c r="Q129" i="15"/>
  <c r="Q41" i="15"/>
  <c r="Q33" i="15"/>
  <c r="Q120" i="15"/>
  <c r="Q125" i="15"/>
  <c r="Q47" i="15"/>
  <c r="Q128" i="15"/>
  <c r="Q62" i="15"/>
  <c r="Q94" i="15"/>
  <c r="Q107" i="15"/>
  <c r="Q121" i="15"/>
  <c r="Q101" i="15"/>
  <c r="Q83" i="15"/>
  <c r="Q80" i="15"/>
  <c r="Q77" i="15"/>
  <c r="Q68" i="15"/>
  <c r="Q29" i="15"/>
  <c r="Q17" i="15"/>
  <c r="Q40" i="15"/>
  <c r="Q28" i="15"/>
  <c r="Q27" i="15"/>
  <c r="Q60" i="15"/>
  <c r="Q93" i="15"/>
  <c r="Q156" i="15"/>
  <c r="Q59" i="15"/>
  <c r="Q99" i="15"/>
  <c r="Q85" i="15"/>
  <c r="Q15" i="15"/>
  <c r="Q22" i="15"/>
  <c r="Q23" i="15"/>
  <c r="Q73" i="15"/>
  <c r="Q30" i="15"/>
  <c r="Q46" i="15"/>
  <c r="Q90" i="15"/>
  <c r="Q44" i="15"/>
  <c r="Q56" i="15"/>
  <c r="Q134" i="15"/>
  <c r="Q74" i="15"/>
  <c r="Q117" i="15"/>
  <c r="Q81" i="15"/>
  <c r="Q138" i="15"/>
  <c r="Q72" i="15"/>
  <c r="Q45" i="15"/>
  <c r="Q100" i="15"/>
  <c r="Q26" i="15"/>
  <c r="Q35" i="15"/>
  <c r="Q89" i="15"/>
  <c r="Q150" i="15"/>
  <c r="Q49" i="15"/>
  <c r="Q142" i="15"/>
  <c r="Q111" i="15"/>
  <c r="Q61" i="15"/>
  <c r="Q97" i="15"/>
  <c r="Q79" i="15"/>
  <c r="Q126" i="15"/>
  <c r="Q88" i="15"/>
  <c r="Q112" i="15"/>
  <c r="Q95" i="15"/>
  <c r="Q154" i="15"/>
  <c r="Q43" i="15"/>
  <c r="Q42" i="15"/>
  <c r="Q140" i="15"/>
  <c r="Q84" i="15"/>
  <c r="Q70" i="15"/>
  <c r="Q54" i="15"/>
  <c r="Q106" i="15"/>
  <c r="Q78" i="15"/>
  <c r="Q123" i="15"/>
  <c r="Q34" i="15"/>
  <c r="Q87" i="15"/>
  <c r="Q147" i="15"/>
  <c r="Q110" i="15"/>
  <c r="Q108" i="15"/>
  <c r="Q109" i="15"/>
  <c r="Q113" i="15"/>
  <c r="Q91" i="15"/>
  <c r="Q143" i="15"/>
  <c r="Q102" i="15"/>
  <c r="Q149" i="15"/>
  <c r="Q25" i="15"/>
  <c r="Q146" i="15"/>
  <c r="Q53" i="15"/>
  <c r="Q164" i="15"/>
  <c r="Q151" i="15"/>
  <c r="Q124" i="15"/>
  <c r="Q155" i="15"/>
  <c r="Q119" i="15"/>
  <c r="Q38" i="15"/>
  <c r="Q133" i="15"/>
  <c r="Q157" i="15"/>
  <c r="Q137" i="15"/>
  <c r="Q32" i="15"/>
  <c r="Q51" i="15"/>
  <c r="Q86" i="15"/>
  <c r="Q66" i="15"/>
  <c r="Q104" i="15"/>
  <c r="Q105" i="15"/>
  <c r="Q160" i="15"/>
  <c r="Q158" i="15"/>
  <c r="Q92" i="15"/>
  <c r="Q159" i="15"/>
  <c r="Q163" i="15"/>
  <c r="Q135" i="15"/>
  <c r="Q139" i="15"/>
  <c r="Q82" i="15"/>
  <c r="Q114" i="15"/>
  <c r="Q103" i="15"/>
  <c r="Q141" i="15"/>
  <c r="Q148" i="15"/>
  <c r="Q161" i="15"/>
  <c r="Q152" i="15"/>
  <c r="Q18" i="15"/>
  <c r="Q13" i="15"/>
  <c r="Q162" i="15"/>
  <c r="Q31" i="15"/>
  <c r="Q96" i="15"/>
  <c r="Q144" i="15"/>
  <c r="Q39" i="15"/>
  <c r="Q24" i="15"/>
  <c r="Q12" i="15"/>
  <c r="Q11" i="15"/>
  <c r="Q19" i="15"/>
  <c r="Q52" i="15"/>
  <c r="Q57" i="15"/>
  <c r="Q20" i="15"/>
  <c r="C4" i="15"/>
  <c r="AE5" i="18" l="1"/>
  <c r="Q23" i="2" s="1"/>
  <c r="F25" i="2"/>
  <c r="AD5" i="18"/>
  <c r="P23" i="2" s="1"/>
  <c r="AE8" i="15"/>
  <c r="Q20" i="2"/>
  <c r="V6" i="15"/>
  <c r="V8" i="15"/>
  <c r="F20" i="2" s="1"/>
  <c r="V7" i="15"/>
  <c r="AE131" i="14"/>
  <c r="AE132" i="14"/>
  <c r="AE130" i="14"/>
  <c r="Q174" i="14"/>
  <c r="Q103" i="14"/>
  <c r="Q218" i="14"/>
  <c r="Q195" i="14"/>
  <c r="Q20" i="14"/>
  <c r="Q12" i="14"/>
  <c r="Q59" i="14"/>
  <c r="Q120" i="14"/>
  <c r="Q27" i="14"/>
  <c r="Q145" i="14"/>
  <c r="Q84" i="14"/>
  <c r="Q92" i="14"/>
  <c r="Q126" i="14"/>
  <c r="Q91" i="14"/>
  <c r="Q148" i="14"/>
  <c r="Q127" i="14"/>
  <c r="Q194" i="14"/>
  <c r="Q139" i="14"/>
  <c r="Q13" i="14"/>
  <c r="Q9" i="14"/>
  <c r="Q119" i="14"/>
  <c r="Q125" i="14"/>
  <c r="Q61" i="14"/>
  <c r="Q217" i="14"/>
  <c r="Q26" i="14"/>
  <c r="Q108" i="14"/>
  <c r="Q23" i="14"/>
  <c r="Q18" i="14"/>
  <c r="Q98" i="14"/>
  <c r="Q48" i="14"/>
  <c r="Q216" i="14"/>
  <c r="Q11" i="14"/>
  <c r="Q165" i="14"/>
  <c r="Q25" i="14"/>
  <c r="Q45" i="14"/>
  <c r="Q193" i="14"/>
  <c r="Q149" i="14"/>
  <c r="Q52" i="14"/>
  <c r="Q175" i="14"/>
  <c r="Q96" i="14"/>
  <c r="Q51" i="14"/>
  <c r="Q53" i="14"/>
  <c r="Q112" i="14"/>
  <c r="Q55" i="14"/>
  <c r="Q111" i="14"/>
  <c r="Q110" i="14"/>
  <c r="Q50" i="14"/>
  <c r="Q115" i="14"/>
  <c r="Q114" i="14"/>
  <c r="Q22" i="14"/>
  <c r="Q33" i="14"/>
  <c r="Q46" i="14"/>
  <c r="Q132" i="14"/>
  <c r="Q131" i="14"/>
  <c r="Q130" i="14"/>
  <c r="Q215" i="14"/>
  <c r="Q192" i="14"/>
  <c r="Q191" i="14"/>
  <c r="Q190" i="14"/>
  <c r="Q189" i="14"/>
  <c r="Q24" i="14"/>
  <c r="Q44" i="14"/>
  <c r="Q99" i="14"/>
  <c r="Q116" i="14"/>
  <c r="Q227" i="14"/>
  <c r="Q168" i="14"/>
  <c r="Q14" i="14"/>
  <c r="Q80" i="14"/>
  <c r="Q170" i="14"/>
  <c r="Q214" i="14"/>
  <c r="Q202" i="14"/>
  <c r="Q220" i="14"/>
  <c r="Q228" i="14"/>
  <c r="Q230" i="14"/>
  <c r="Q225" i="14"/>
  <c r="Q106" i="14"/>
  <c r="Q19" i="14"/>
  <c r="Q43" i="14"/>
  <c r="Q150" i="14"/>
  <c r="Q136" i="14"/>
  <c r="Q188" i="14"/>
  <c r="Q187" i="14"/>
  <c r="Q58" i="14"/>
  <c r="Q178" i="14"/>
  <c r="Q224" i="14"/>
  <c r="Q124" i="14"/>
  <c r="Q57" i="14"/>
  <c r="Q144" i="14"/>
  <c r="Q213" i="14"/>
  <c r="Q113" i="14"/>
  <c r="Q54" i="14"/>
  <c r="Q105" i="14"/>
  <c r="Q32" i="14"/>
  <c r="Q83" i="14"/>
  <c r="Q229" i="14"/>
  <c r="Q100" i="14"/>
  <c r="Q177" i="14"/>
  <c r="Q56" i="14"/>
  <c r="Q135" i="14"/>
  <c r="Q31" i="14"/>
  <c r="Q42" i="14"/>
  <c r="Q38" i="14"/>
  <c r="Q82" i="14"/>
  <c r="Q90" i="14"/>
  <c r="Q89" i="14"/>
  <c r="Q88" i="14"/>
  <c r="Q196" i="14"/>
  <c r="Q200" i="14"/>
  <c r="Q167" i="14"/>
  <c r="Q129" i="14"/>
  <c r="Q128" i="14"/>
  <c r="Q147" i="14"/>
  <c r="Q97" i="14"/>
  <c r="Q87" i="14"/>
  <c r="Q86" i="14"/>
  <c r="Q60" i="14"/>
  <c r="Q186" i="14"/>
  <c r="Q47" i="14"/>
  <c r="Q162" i="14"/>
  <c r="Q102" i="14"/>
  <c r="Q107" i="14"/>
  <c r="Q219" i="14"/>
  <c r="Q141" i="14"/>
  <c r="Q157" i="14"/>
  <c r="Q212" i="14"/>
  <c r="Q101" i="14"/>
  <c r="Q222" i="14"/>
  <c r="Q185" i="14"/>
  <c r="Q85" i="14"/>
  <c r="Q173" i="14"/>
  <c r="Q172" i="14"/>
  <c r="Q30" i="14"/>
  <c r="Q41" i="14"/>
  <c r="Q140" i="14"/>
  <c r="Q155" i="14"/>
  <c r="Q201" i="14"/>
  <c r="Q36" i="14"/>
  <c r="Q142" i="14"/>
  <c r="Q184" i="14"/>
  <c r="Q199" i="14"/>
  <c r="Q198" i="14"/>
  <c r="Q16" i="14"/>
  <c r="Q169" i="14"/>
  <c r="Q81" i="14"/>
  <c r="Q183" i="14"/>
  <c r="Q37" i="14"/>
  <c r="Q95" i="14"/>
  <c r="Q15" i="14"/>
  <c r="Q134" i="14"/>
  <c r="Q122" i="14"/>
  <c r="Q151" i="14"/>
  <c r="Q182" i="14"/>
  <c r="Q154" i="14"/>
  <c r="Q29" i="14"/>
  <c r="Q40" i="14"/>
  <c r="Q78" i="14"/>
  <c r="Q181" i="14"/>
  <c r="Q146" i="14"/>
  <c r="Q77" i="14"/>
  <c r="Q76" i="14"/>
  <c r="Q156" i="14"/>
  <c r="Q211" i="14"/>
  <c r="Q226" i="14"/>
  <c r="Q152" i="14"/>
  <c r="Q93" i="14"/>
  <c r="Q79" i="14"/>
  <c r="Q104" i="14"/>
  <c r="Q35" i="14"/>
  <c r="Q180" i="14"/>
  <c r="Q118" i="14"/>
  <c r="Q75" i="14"/>
  <c r="Q166" i="14"/>
  <c r="Q197" i="14"/>
  <c r="Q74" i="14"/>
  <c r="Q21" i="14"/>
  <c r="Q207" i="14"/>
  <c r="Q223" i="14"/>
  <c r="Q163" i="14"/>
  <c r="Q73" i="14"/>
  <c r="Q72" i="14"/>
  <c r="Q205" i="14"/>
  <c r="Q206" i="14"/>
  <c r="Q17" i="14"/>
  <c r="Q138" i="14"/>
  <c r="Q179" i="14"/>
  <c r="Q133" i="14"/>
  <c r="Q71" i="14"/>
  <c r="Q210" i="14"/>
  <c r="Q70" i="14"/>
  <c r="Q69" i="14"/>
  <c r="Q68" i="14"/>
  <c r="Q67" i="14"/>
  <c r="Q28" i="14"/>
  <c r="Q39" i="14"/>
  <c r="Q66" i="14"/>
  <c r="Q65" i="14"/>
  <c r="Q64" i="14"/>
  <c r="Q63" i="14"/>
  <c r="Q160" i="14"/>
  <c r="Q153" i="14"/>
  <c r="Q159" i="14"/>
  <c r="Q158" i="14"/>
  <c r="Q221" i="14"/>
  <c r="Q10" i="14"/>
  <c r="Q231" i="14"/>
  <c r="Q8" i="14"/>
  <c r="Q94" i="14"/>
  <c r="Q117" i="14"/>
  <c r="Q204" i="14"/>
  <c r="Q203" i="14"/>
  <c r="Q62" i="14"/>
  <c r="Q176" i="14"/>
  <c r="Q161" i="14"/>
  <c r="Q121" i="14"/>
  <c r="Q164" i="14"/>
  <c r="Q171" i="14"/>
  <c r="Q49" i="14"/>
  <c r="Q143" i="14"/>
  <c r="Q34" i="14"/>
  <c r="Q209" i="14"/>
  <c r="Q109" i="14"/>
  <c r="Q208" i="14"/>
  <c r="Q137" i="14"/>
  <c r="Q123" i="14"/>
  <c r="C4" i="14"/>
  <c r="V38" i="12"/>
  <c r="U38" i="12"/>
  <c r="U9" i="12"/>
  <c r="V9" i="12"/>
  <c r="C4" i="12"/>
  <c r="Q9" i="12"/>
  <c r="Q10" i="12"/>
  <c r="Q11" i="12"/>
  <c r="Q12" i="12"/>
  <c r="Q13" i="12"/>
  <c r="Q14" i="12"/>
  <c r="Q15" i="12"/>
  <c r="Q16" i="12"/>
  <c r="Q17" i="12"/>
  <c r="Q18" i="12"/>
  <c r="Q19" i="12"/>
  <c r="Q20" i="12"/>
  <c r="Q21" i="12"/>
  <c r="Q22" i="12"/>
  <c r="Q23" i="12"/>
  <c r="Q24" i="12"/>
  <c r="Q25" i="12"/>
  <c r="Q26" i="12"/>
  <c r="Q27" i="12"/>
  <c r="Q28" i="12"/>
  <c r="Q29" i="12"/>
  <c r="Q30" i="12"/>
  <c r="Q31" i="12"/>
  <c r="Q32" i="12"/>
  <c r="Q33" i="12"/>
  <c r="Q34" i="12"/>
  <c r="Q35" i="12"/>
  <c r="Q36" i="12"/>
  <c r="Q37" i="12"/>
  <c r="Q38" i="12"/>
  <c r="Q39" i="12"/>
  <c r="Q40" i="12"/>
  <c r="Q41" i="12"/>
  <c r="Q42" i="12"/>
  <c r="Q43" i="12"/>
  <c r="Q44" i="12"/>
  <c r="Q8" i="12"/>
  <c r="V895" i="11"/>
  <c r="U895" i="11"/>
  <c r="V1085" i="11"/>
  <c r="U1085" i="11"/>
  <c r="V1051" i="11"/>
  <c r="U1051" i="11"/>
  <c r="V1045" i="11"/>
  <c r="U1045" i="11"/>
  <c r="V1024" i="11"/>
  <c r="U1024" i="11"/>
  <c r="V1015" i="11"/>
  <c r="U1015" i="11"/>
  <c r="V915" i="11"/>
  <c r="U915" i="11"/>
  <c r="V835" i="11"/>
  <c r="U835" i="11"/>
  <c r="V645" i="11"/>
  <c r="U645" i="11"/>
  <c r="V583" i="11"/>
  <c r="U583" i="11"/>
  <c r="V734" i="11"/>
  <c r="U734" i="11"/>
  <c r="V249" i="11"/>
  <c r="U249" i="11"/>
  <c r="V1111" i="11"/>
  <c r="V1110" i="11"/>
  <c r="V1109" i="11"/>
  <c r="V1108" i="11"/>
  <c r="V1107" i="11"/>
  <c r="V1106" i="11"/>
  <c r="V1105" i="11"/>
  <c r="V1104" i="11"/>
  <c r="V1103" i="11"/>
  <c r="V1102" i="11"/>
  <c r="V1101" i="11"/>
  <c r="V1100" i="11"/>
  <c r="V1099" i="11"/>
  <c r="V1098" i="11"/>
  <c r="V1097" i="11"/>
  <c r="V1096" i="11"/>
  <c r="V1095" i="11"/>
  <c r="V1094" i="11"/>
  <c r="V1093" i="11"/>
  <c r="V1092" i="11"/>
  <c r="V1091" i="11"/>
  <c r="V1090" i="11"/>
  <c r="V1089" i="11"/>
  <c r="V1088" i="11"/>
  <c r="V1087" i="11"/>
  <c r="V1086" i="11"/>
  <c r="V1084" i="11"/>
  <c r="V1083" i="11"/>
  <c r="V1082" i="11"/>
  <c r="V1081" i="11"/>
  <c r="V1080" i="11"/>
  <c r="V1079" i="11"/>
  <c r="V1078" i="11"/>
  <c r="V1077" i="11"/>
  <c r="V1076" i="11"/>
  <c r="V1075" i="11"/>
  <c r="V1074" i="11"/>
  <c r="V1073" i="11"/>
  <c r="V1072" i="11"/>
  <c r="V1071" i="11"/>
  <c r="V1070" i="11"/>
  <c r="V1069" i="11"/>
  <c r="V1068" i="11"/>
  <c r="V1067" i="11"/>
  <c r="V1066" i="11"/>
  <c r="V1065" i="11"/>
  <c r="V1064" i="11"/>
  <c r="V1063" i="11"/>
  <c r="V1062" i="11"/>
  <c r="V1061" i="11"/>
  <c r="V1060" i="11"/>
  <c r="V1059" i="11"/>
  <c r="V1058" i="11"/>
  <c r="V1057" i="11"/>
  <c r="V1056" i="11"/>
  <c r="V1055" i="11"/>
  <c r="V1054" i="11"/>
  <c r="V1053" i="11"/>
  <c r="V1052" i="11"/>
  <c r="V1050" i="11"/>
  <c r="V1049" i="11"/>
  <c r="V1047" i="11"/>
  <c r="V1046" i="11"/>
  <c r="V1044" i="11"/>
  <c r="V1043" i="11"/>
  <c r="V1042" i="11"/>
  <c r="V1041" i="11"/>
  <c r="V1040" i="11"/>
  <c r="V1039" i="11"/>
  <c r="V1038" i="11"/>
  <c r="V1037" i="11"/>
  <c r="V1036" i="11"/>
  <c r="V1035" i="11"/>
  <c r="V1034" i="11"/>
  <c r="V1033" i="11"/>
  <c r="V1032" i="11"/>
  <c r="V1031" i="11"/>
  <c r="V1030" i="11"/>
  <c r="V1029" i="11"/>
  <c r="V1028" i="11"/>
  <c r="V1027" i="11"/>
  <c r="V1026" i="11"/>
  <c r="V1025" i="11"/>
  <c r="V1023" i="11"/>
  <c r="V1022" i="11"/>
  <c r="V1021" i="11"/>
  <c r="V1020" i="11"/>
  <c r="V1019" i="11"/>
  <c r="V1018" i="11"/>
  <c r="V1017" i="11"/>
  <c r="V1016" i="11"/>
  <c r="V1014" i="11"/>
  <c r="V1013" i="11"/>
  <c r="V1012" i="11"/>
  <c r="V1011" i="11"/>
  <c r="V1010" i="11"/>
  <c r="V1009" i="11"/>
  <c r="V1008" i="11"/>
  <c r="V1007" i="11"/>
  <c r="V1006" i="11"/>
  <c r="V1005" i="11"/>
  <c r="V1004" i="11"/>
  <c r="V1003" i="11"/>
  <c r="V1002" i="11"/>
  <c r="V1001" i="11"/>
  <c r="V1000" i="11"/>
  <c r="V999" i="11"/>
  <c r="V998" i="11"/>
  <c r="V997" i="11"/>
  <c r="V996" i="11"/>
  <c r="V995" i="11"/>
  <c r="V994" i="11"/>
  <c r="V993" i="11"/>
  <c r="V992" i="11"/>
  <c r="V991" i="11"/>
  <c r="V990" i="11"/>
  <c r="V989" i="11"/>
  <c r="V988" i="11"/>
  <c r="V987" i="11"/>
  <c r="V986" i="11"/>
  <c r="V985" i="11"/>
  <c r="V984" i="11"/>
  <c r="V983" i="11"/>
  <c r="V982" i="11"/>
  <c r="V981" i="11"/>
  <c r="V980" i="11"/>
  <c r="V979" i="11"/>
  <c r="V978" i="11"/>
  <c r="V977" i="11"/>
  <c r="V976" i="11"/>
  <c r="V975" i="11"/>
  <c r="V974" i="11"/>
  <c r="V973" i="11"/>
  <c r="V972" i="11"/>
  <c r="V971" i="11"/>
  <c r="V970" i="11"/>
  <c r="V969" i="11"/>
  <c r="V968" i="11"/>
  <c r="V967" i="11"/>
  <c r="V966" i="11"/>
  <c r="V965" i="11"/>
  <c r="V964" i="11"/>
  <c r="V963" i="11"/>
  <c r="V962" i="11"/>
  <c r="V961" i="11"/>
  <c r="V960" i="11"/>
  <c r="V959" i="11"/>
  <c r="V958" i="11"/>
  <c r="V957" i="11"/>
  <c r="V956" i="11"/>
  <c r="V955" i="11"/>
  <c r="V954" i="11"/>
  <c r="V953" i="11"/>
  <c r="V952" i="11"/>
  <c r="V951" i="11"/>
  <c r="V950" i="11"/>
  <c r="V949" i="11"/>
  <c r="V948" i="11"/>
  <c r="V947" i="11"/>
  <c r="V946" i="11"/>
  <c r="V945" i="11"/>
  <c r="V944" i="11"/>
  <c r="V943" i="11"/>
  <c r="V942" i="11"/>
  <c r="V941" i="11"/>
  <c r="V940" i="11"/>
  <c r="V939" i="11"/>
  <c r="V938" i="11"/>
  <c r="V937" i="11"/>
  <c r="V936" i="11"/>
  <c r="V935" i="11"/>
  <c r="V934" i="11"/>
  <c r="V933" i="11"/>
  <c r="V932" i="11"/>
  <c r="V931" i="11"/>
  <c r="V930" i="11"/>
  <c r="V929" i="11"/>
  <c r="V928" i="11"/>
  <c r="V927" i="11"/>
  <c r="V926" i="11"/>
  <c r="V925" i="11"/>
  <c r="V924" i="11"/>
  <c r="V923" i="11"/>
  <c r="V922" i="11"/>
  <c r="V921" i="11"/>
  <c r="V920" i="11"/>
  <c r="V919" i="11"/>
  <c r="V918" i="11"/>
  <c r="V917" i="11"/>
  <c r="V916" i="11"/>
  <c r="V914" i="11"/>
  <c r="V913" i="11"/>
  <c r="V912" i="11"/>
  <c r="V911" i="11"/>
  <c r="V910" i="11"/>
  <c r="V909" i="11"/>
  <c r="V908" i="11"/>
  <c r="V907" i="11"/>
  <c r="V906" i="11"/>
  <c r="V905" i="11"/>
  <c r="V904" i="11"/>
  <c r="V903" i="11"/>
  <c r="V902" i="11"/>
  <c r="V901" i="11"/>
  <c r="V900" i="11"/>
  <c r="V899" i="11"/>
  <c r="V898" i="11"/>
  <c r="V897" i="11"/>
  <c r="V896" i="11"/>
  <c r="V894" i="11"/>
  <c r="V892" i="11"/>
  <c r="V891" i="11"/>
  <c r="V890" i="11"/>
  <c r="V889" i="11"/>
  <c r="V888" i="11"/>
  <c r="V887" i="11"/>
  <c r="V886" i="11"/>
  <c r="V885" i="11"/>
  <c r="V884" i="11"/>
  <c r="V883" i="11"/>
  <c r="V882" i="11"/>
  <c r="V881" i="11"/>
  <c r="V880" i="11"/>
  <c r="V879" i="11"/>
  <c r="V878" i="11"/>
  <c r="V877" i="11"/>
  <c r="V876" i="11"/>
  <c r="V875" i="11"/>
  <c r="V874" i="11"/>
  <c r="V873" i="11"/>
  <c r="V872" i="11"/>
  <c r="V871" i="11"/>
  <c r="V870" i="11"/>
  <c r="V869" i="11"/>
  <c r="V868" i="11"/>
  <c r="V867" i="11"/>
  <c r="V866" i="11"/>
  <c r="V865" i="11"/>
  <c r="V864" i="11"/>
  <c r="V863" i="11"/>
  <c r="V862" i="11"/>
  <c r="V861" i="11"/>
  <c r="V860" i="11"/>
  <c r="V859" i="11"/>
  <c r="V858" i="11"/>
  <c r="V857" i="11"/>
  <c r="V852" i="11"/>
  <c r="V851" i="11"/>
  <c r="V850" i="11"/>
  <c r="V849" i="11"/>
  <c r="V848" i="11"/>
  <c r="V847" i="11"/>
  <c r="V846" i="11"/>
  <c r="V845" i="11"/>
  <c r="V844" i="11"/>
  <c r="V843" i="11"/>
  <c r="V842" i="11"/>
  <c r="V841" i="11"/>
  <c r="V840" i="11"/>
  <c r="V839" i="11"/>
  <c r="V838" i="11"/>
  <c r="V837" i="11"/>
  <c r="V836" i="11"/>
  <c r="V834" i="11"/>
  <c r="V833" i="11"/>
  <c r="V832" i="11"/>
  <c r="V831" i="11"/>
  <c r="V830" i="11"/>
  <c r="V829" i="11"/>
  <c r="V828" i="11"/>
  <c r="V827" i="11"/>
  <c r="V826" i="11"/>
  <c r="V825" i="11"/>
  <c r="V824" i="11"/>
  <c r="V823" i="11"/>
  <c r="V822" i="11"/>
  <c r="V821" i="11"/>
  <c r="V820" i="11"/>
  <c r="V819" i="11"/>
  <c r="V818" i="11"/>
  <c r="V817" i="11"/>
  <c r="V816" i="11"/>
  <c r="V815" i="11"/>
  <c r="V814" i="11"/>
  <c r="V813" i="11"/>
  <c r="V812" i="11"/>
  <c r="V811" i="11"/>
  <c r="V810" i="11"/>
  <c r="V809" i="11"/>
  <c r="V808" i="11"/>
  <c r="V807" i="11"/>
  <c r="V806" i="11"/>
  <c r="V805" i="11"/>
  <c r="V804" i="11"/>
  <c r="V803" i="11"/>
  <c r="V802" i="11"/>
  <c r="V801" i="11"/>
  <c r="V800" i="11"/>
  <c r="V799" i="11"/>
  <c r="V798" i="11"/>
  <c r="V797" i="11"/>
  <c r="V796" i="11"/>
  <c r="V795" i="11"/>
  <c r="V794" i="11"/>
  <c r="V793" i="11"/>
  <c r="V792" i="11"/>
  <c r="V791" i="11"/>
  <c r="V790" i="11"/>
  <c r="V789" i="11"/>
  <c r="V788" i="11"/>
  <c r="V787" i="11"/>
  <c r="V786" i="11"/>
  <c r="V785" i="11"/>
  <c r="V784" i="11"/>
  <c r="V783" i="11"/>
  <c r="V782" i="11"/>
  <c r="V781" i="11"/>
  <c r="V780" i="11"/>
  <c r="V779" i="11"/>
  <c r="V778" i="11"/>
  <c r="V777" i="11"/>
  <c r="V776" i="11"/>
  <c r="V775" i="11"/>
  <c r="V774" i="11"/>
  <c r="V773" i="11"/>
  <c r="V772" i="11"/>
  <c r="V771" i="11"/>
  <c r="V770" i="11"/>
  <c r="V769" i="11"/>
  <c r="V768" i="11"/>
  <c r="V767" i="11"/>
  <c r="V766" i="11"/>
  <c r="V765" i="11"/>
  <c r="V764" i="11"/>
  <c r="V763" i="11"/>
  <c r="V762" i="11"/>
  <c r="V761" i="11"/>
  <c r="V760" i="11"/>
  <c r="V759" i="11"/>
  <c r="V758" i="11"/>
  <c r="V757" i="11"/>
  <c r="V756" i="11"/>
  <c r="V755" i="11"/>
  <c r="V754" i="11"/>
  <c r="V753" i="11"/>
  <c r="V752" i="11"/>
  <c r="V751" i="11"/>
  <c r="V750" i="11"/>
  <c r="V749" i="11"/>
  <c r="V748" i="11"/>
  <c r="V747" i="11"/>
  <c r="V746" i="11"/>
  <c r="V745" i="11"/>
  <c r="V744" i="11"/>
  <c r="V743" i="11"/>
  <c r="V742" i="11"/>
  <c r="V741" i="11"/>
  <c r="V740" i="11"/>
  <c r="V739" i="11"/>
  <c r="V738" i="11"/>
  <c r="V737" i="11"/>
  <c r="V736" i="11"/>
  <c r="V735" i="11"/>
  <c r="V733" i="11"/>
  <c r="V732" i="11"/>
  <c r="V731" i="11"/>
  <c r="V730" i="11"/>
  <c r="V729" i="11"/>
  <c r="V728" i="11"/>
  <c r="V727" i="11"/>
  <c r="V726" i="11"/>
  <c r="V725" i="11"/>
  <c r="V724" i="11"/>
  <c r="V723" i="11"/>
  <c r="V722" i="11"/>
  <c r="V721" i="11"/>
  <c r="V720" i="11"/>
  <c r="V719" i="11"/>
  <c r="V718" i="11"/>
  <c r="V717" i="11"/>
  <c r="V716" i="11"/>
  <c r="V715" i="11"/>
  <c r="V714" i="11"/>
  <c r="V713" i="11"/>
  <c r="V712" i="11"/>
  <c r="V711" i="11"/>
  <c r="V710" i="11"/>
  <c r="V709" i="11"/>
  <c r="V708" i="11"/>
  <c r="V707" i="11"/>
  <c r="V706" i="11"/>
  <c r="V705" i="11"/>
  <c r="V704" i="11"/>
  <c r="V703" i="11"/>
  <c r="V702" i="11"/>
  <c r="V701" i="11"/>
  <c r="V700" i="11"/>
  <c r="V699" i="11"/>
  <c r="V698" i="11"/>
  <c r="V697" i="11"/>
  <c r="V696" i="11"/>
  <c r="V695" i="11"/>
  <c r="V694" i="11"/>
  <c r="V693" i="11"/>
  <c r="V692" i="11"/>
  <c r="V691" i="11"/>
  <c r="V690" i="11"/>
  <c r="V689" i="11"/>
  <c r="V688" i="11"/>
  <c r="V687" i="11"/>
  <c r="V686" i="11"/>
  <c r="V685" i="11"/>
  <c r="V684" i="11"/>
  <c r="V683" i="11"/>
  <c r="V682" i="11"/>
  <c r="V681" i="11"/>
  <c r="V680" i="11"/>
  <c r="V679" i="11"/>
  <c r="V678" i="11"/>
  <c r="V677" i="11"/>
  <c r="V676" i="11"/>
  <c r="V675" i="11"/>
  <c r="V674" i="11"/>
  <c r="V673" i="11"/>
  <c r="V672" i="11"/>
  <c r="V671" i="11"/>
  <c r="V670" i="11"/>
  <c r="V669" i="11"/>
  <c r="V668" i="11"/>
  <c r="V667" i="11"/>
  <c r="V666" i="11"/>
  <c r="V665" i="11"/>
  <c r="V664" i="11"/>
  <c r="V663" i="11"/>
  <c r="V662" i="11"/>
  <c r="V661" i="11"/>
  <c r="V660" i="11"/>
  <c r="V659" i="11"/>
  <c r="V658" i="11"/>
  <c r="V657" i="11"/>
  <c r="V656" i="11"/>
  <c r="V655" i="11"/>
  <c r="V654" i="11"/>
  <c r="V653" i="11"/>
  <c r="V652" i="11"/>
  <c r="V651" i="11"/>
  <c r="V650" i="11"/>
  <c r="V649" i="11"/>
  <c r="V648" i="11"/>
  <c r="V647" i="11"/>
  <c r="V646" i="11"/>
  <c r="V644" i="11"/>
  <c r="V643" i="11"/>
  <c r="V642" i="11"/>
  <c r="V641" i="11"/>
  <c r="V640" i="11"/>
  <c r="V639" i="11"/>
  <c r="V638" i="11"/>
  <c r="V637" i="11"/>
  <c r="V636" i="11"/>
  <c r="V635" i="11"/>
  <c r="V634" i="11"/>
  <c r="V633" i="11"/>
  <c r="V632" i="11"/>
  <c r="V631" i="11"/>
  <c r="V630" i="11"/>
  <c r="V629" i="11"/>
  <c r="V627" i="11"/>
  <c r="V626" i="11"/>
  <c r="V625" i="11"/>
  <c r="V624" i="11"/>
  <c r="V623" i="11"/>
  <c r="V622" i="11"/>
  <c r="V621" i="11"/>
  <c r="V620" i="11"/>
  <c r="V619" i="11"/>
  <c r="V618" i="11"/>
  <c r="V617" i="11"/>
  <c r="V616" i="11"/>
  <c r="V615" i="11"/>
  <c r="V614" i="11"/>
  <c r="V613" i="11"/>
  <c r="V612" i="11"/>
  <c r="V611" i="11"/>
  <c r="V610" i="11"/>
  <c r="V609" i="11"/>
  <c r="V608" i="11"/>
  <c r="V607" i="11"/>
  <c r="V606" i="11"/>
  <c r="V605" i="11"/>
  <c r="V604" i="11"/>
  <c r="V603" i="11"/>
  <c r="V602" i="11"/>
  <c r="V601" i="11"/>
  <c r="V600" i="11"/>
  <c r="V599" i="11"/>
  <c r="V598" i="11"/>
  <c r="V597" i="11"/>
  <c r="V596" i="11"/>
  <c r="V595" i="11"/>
  <c r="V594" i="11"/>
  <c r="V593" i="11"/>
  <c r="V592" i="11"/>
  <c r="V591" i="11"/>
  <c r="V590" i="11"/>
  <c r="V589" i="11"/>
  <c r="V588" i="11"/>
  <c r="V587" i="11"/>
  <c r="V586" i="11"/>
  <c r="V585" i="11"/>
  <c r="V584" i="11"/>
  <c r="V582" i="11"/>
  <c r="V580" i="11"/>
  <c r="V579" i="11"/>
  <c r="V578" i="11"/>
  <c r="V577" i="11"/>
  <c r="V576" i="11"/>
  <c r="V575" i="11"/>
  <c r="V574" i="11"/>
  <c r="V573" i="11"/>
  <c r="V572" i="11"/>
  <c r="V571" i="11"/>
  <c r="V570" i="11"/>
  <c r="V569" i="11"/>
  <c r="V568" i="11"/>
  <c r="V567" i="11"/>
  <c r="V566" i="11"/>
  <c r="V565" i="11"/>
  <c r="V564" i="11"/>
  <c r="V563" i="11"/>
  <c r="V562" i="11"/>
  <c r="V561" i="11"/>
  <c r="V560" i="11"/>
  <c r="V559" i="11"/>
  <c r="V558" i="11"/>
  <c r="V557" i="11"/>
  <c r="V556" i="11"/>
  <c r="V555" i="11"/>
  <c r="V554" i="11"/>
  <c r="V553" i="11"/>
  <c r="V552" i="11"/>
  <c r="V551" i="11"/>
  <c r="V550" i="11"/>
  <c r="V549" i="11"/>
  <c r="V548" i="11"/>
  <c r="V547" i="11"/>
  <c r="V546" i="11"/>
  <c r="V545" i="11"/>
  <c r="V544" i="11"/>
  <c r="V543" i="11"/>
  <c r="V542" i="11"/>
  <c r="V541" i="11"/>
  <c r="V540" i="11"/>
  <c r="V539" i="11"/>
  <c r="V538" i="11"/>
  <c r="V537" i="11"/>
  <c r="V536" i="11"/>
  <c r="V535" i="11"/>
  <c r="V534" i="11"/>
  <c r="V533" i="11"/>
  <c r="V532" i="11"/>
  <c r="V531" i="11"/>
  <c r="V530" i="11"/>
  <c r="V529" i="11"/>
  <c r="V528" i="11"/>
  <c r="V527" i="11"/>
  <c r="V526" i="11"/>
  <c r="V525" i="11"/>
  <c r="V524" i="11"/>
  <c r="V523" i="11"/>
  <c r="V522" i="11"/>
  <c r="V521" i="11"/>
  <c r="V520" i="11"/>
  <c r="V519" i="11"/>
  <c r="V518" i="11"/>
  <c r="V517" i="11"/>
  <c r="V516" i="11"/>
  <c r="V515" i="11"/>
  <c r="V514" i="11"/>
  <c r="V513" i="11"/>
  <c r="V512" i="11"/>
  <c r="V511" i="11"/>
  <c r="V510" i="11"/>
  <c r="V509" i="11"/>
  <c r="V508" i="11"/>
  <c r="V507" i="11"/>
  <c r="V506" i="11"/>
  <c r="V505" i="11"/>
  <c r="V504" i="11"/>
  <c r="V503" i="11"/>
  <c r="V502" i="11"/>
  <c r="V501" i="11"/>
  <c r="V500" i="11"/>
  <c r="V499" i="11"/>
  <c r="V498" i="11"/>
  <c r="V497" i="11"/>
  <c r="V496" i="11"/>
  <c r="V495" i="11"/>
  <c r="V494" i="11"/>
  <c r="V493" i="11"/>
  <c r="V492" i="11"/>
  <c r="V491" i="11"/>
  <c r="V490" i="11"/>
  <c r="V489" i="11"/>
  <c r="V488" i="11"/>
  <c r="V487" i="11"/>
  <c r="V486" i="11"/>
  <c r="V485" i="11"/>
  <c r="V484" i="11"/>
  <c r="V483" i="11"/>
  <c r="V482" i="11"/>
  <c r="V481" i="11"/>
  <c r="V480" i="11"/>
  <c r="V479" i="11"/>
  <c r="V478" i="11"/>
  <c r="V477" i="11"/>
  <c r="V476" i="11"/>
  <c r="V475" i="11"/>
  <c r="V474" i="11"/>
  <c r="V473" i="11"/>
  <c r="V472" i="11"/>
  <c r="V471" i="11"/>
  <c r="V470" i="11"/>
  <c r="V469" i="11"/>
  <c r="V468" i="11"/>
  <c r="V467" i="11"/>
  <c r="V465" i="11"/>
  <c r="V464" i="11"/>
  <c r="V463" i="11"/>
  <c r="V462" i="11"/>
  <c r="V461" i="11"/>
  <c r="V460" i="11"/>
  <c r="V459" i="11"/>
  <c r="V458" i="11"/>
  <c r="V457" i="11"/>
  <c r="V456" i="11"/>
  <c r="V455" i="11"/>
  <c r="V454" i="11"/>
  <c r="V453" i="11"/>
  <c r="V452" i="11"/>
  <c r="V451" i="11"/>
  <c r="V450" i="11"/>
  <c r="V449" i="11"/>
  <c r="V448" i="11"/>
  <c r="V447" i="11"/>
  <c r="V446" i="11"/>
  <c r="V445" i="11"/>
  <c r="V444" i="11"/>
  <c r="V443" i="11"/>
  <c r="V442" i="11"/>
  <c r="V441" i="11"/>
  <c r="V440" i="11"/>
  <c r="V439" i="11"/>
  <c r="V438" i="11"/>
  <c r="V437" i="11"/>
  <c r="V436" i="11"/>
  <c r="V435" i="11"/>
  <c r="V434" i="11"/>
  <c r="V433" i="11"/>
  <c r="V432" i="11"/>
  <c r="V431" i="11"/>
  <c r="V430" i="11"/>
  <c r="V429" i="11"/>
  <c r="V428" i="11"/>
  <c r="V427" i="11"/>
  <c r="V425" i="11"/>
  <c r="V424" i="11"/>
  <c r="V423" i="11"/>
  <c r="V422" i="11"/>
  <c r="V421" i="11"/>
  <c r="V420" i="11"/>
  <c r="V419" i="11"/>
  <c r="V418" i="11"/>
  <c r="V417" i="11"/>
  <c r="V416" i="11"/>
  <c r="V415" i="11"/>
  <c r="V414" i="11"/>
  <c r="V413" i="11"/>
  <c r="V412" i="11"/>
  <c r="V411" i="11"/>
  <c r="V410" i="11"/>
  <c r="V409" i="11"/>
  <c r="V408" i="11"/>
  <c r="V407" i="11"/>
  <c r="V406" i="11"/>
  <c r="V405" i="11"/>
  <c r="V404" i="11"/>
  <c r="V403" i="11"/>
  <c r="V402" i="11"/>
  <c r="V401" i="11"/>
  <c r="V400" i="11"/>
  <c r="V399" i="11"/>
  <c r="V398" i="11"/>
  <c r="V397" i="11"/>
  <c r="V396" i="11"/>
  <c r="V394" i="11"/>
  <c r="V393" i="11"/>
  <c r="V392" i="11"/>
  <c r="V391" i="11"/>
  <c r="V390" i="11"/>
  <c r="V389" i="11"/>
  <c r="V388" i="11"/>
  <c r="V387" i="11"/>
  <c r="V386" i="11"/>
  <c r="V385" i="11"/>
  <c r="V384" i="11"/>
  <c r="V383" i="11"/>
  <c r="V382" i="11"/>
  <c r="V381" i="11"/>
  <c r="V380" i="11"/>
  <c r="V379" i="11"/>
  <c r="V378" i="11"/>
  <c r="V377" i="11"/>
  <c r="V376" i="11"/>
  <c r="V375" i="11"/>
  <c r="V374" i="11"/>
  <c r="V373" i="11"/>
  <c r="V372" i="11"/>
  <c r="V371" i="11"/>
  <c r="V370" i="11"/>
  <c r="V369" i="11"/>
  <c r="V368" i="11"/>
  <c r="V367" i="11"/>
  <c r="V366" i="11"/>
  <c r="V365" i="11"/>
  <c r="V364" i="11"/>
  <c r="V363" i="11"/>
  <c r="V362" i="11"/>
  <c r="V361" i="11"/>
  <c r="V360" i="11"/>
  <c r="V359" i="11"/>
  <c r="V358" i="11"/>
  <c r="V357" i="11"/>
  <c r="V356" i="11"/>
  <c r="V355" i="11"/>
  <c r="V354" i="11"/>
  <c r="V353" i="11"/>
  <c r="V352" i="11"/>
  <c r="V351" i="11"/>
  <c r="V350" i="11"/>
  <c r="V349" i="11"/>
  <c r="V348" i="11"/>
  <c r="V347" i="11"/>
  <c r="V346" i="11"/>
  <c r="V345" i="11"/>
  <c r="V344" i="11"/>
  <c r="V343" i="11"/>
  <c r="V341" i="11"/>
  <c r="V340" i="11"/>
  <c r="V339" i="11"/>
  <c r="V338" i="11"/>
  <c r="V337" i="11"/>
  <c r="V336" i="11"/>
  <c r="V335" i="11"/>
  <c r="V334" i="11"/>
  <c r="V333" i="11"/>
  <c r="V332" i="11"/>
  <c r="V331" i="11"/>
  <c r="V330" i="11"/>
  <c r="V329" i="11"/>
  <c r="V328" i="11"/>
  <c r="V327" i="11"/>
  <c r="V326" i="11"/>
  <c r="V325" i="11"/>
  <c r="V324" i="11"/>
  <c r="V323" i="11"/>
  <c r="V322" i="11"/>
  <c r="V321" i="11"/>
  <c r="V320" i="11"/>
  <c r="V319" i="11"/>
  <c r="V318" i="11"/>
  <c r="V317" i="11"/>
  <c r="V316" i="11"/>
  <c r="V315" i="11"/>
  <c r="V314" i="11"/>
  <c r="V313" i="11"/>
  <c r="V312" i="11"/>
  <c r="V311" i="11"/>
  <c r="V310" i="11"/>
  <c r="V309" i="11"/>
  <c r="V308" i="11"/>
  <c r="V307" i="11"/>
  <c r="V306" i="11"/>
  <c r="V305" i="11"/>
  <c r="V304" i="11"/>
  <c r="V303" i="11"/>
  <c r="V302" i="11"/>
  <c r="V301" i="11"/>
  <c r="V300" i="11"/>
  <c r="V299" i="11"/>
  <c r="V298" i="11"/>
  <c r="V297" i="11"/>
  <c r="V296" i="11"/>
  <c r="V295" i="11"/>
  <c r="V294" i="11"/>
  <c r="V293" i="11"/>
  <c r="V292" i="11"/>
  <c r="V291" i="11"/>
  <c r="V290" i="11"/>
  <c r="V289" i="11"/>
  <c r="V288" i="11"/>
  <c r="V287" i="11"/>
  <c r="V286" i="11"/>
  <c r="V285" i="11"/>
  <c r="V284" i="11"/>
  <c r="V283" i="11"/>
  <c r="V282" i="11"/>
  <c r="V281" i="11"/>
  <c r="V280" i="11"/>
  <c r="V279" i="11"/>
  <c r="V278" i="11"/>
  <c r="V277" i="11"/>
  <c r="V276" i="11"/>
  <c r="V275" i="11"/>
  <c r="V274" i="11"/>
  <c r="V273" i="11"/>
  <c r="V272" i="11"/>
  <c r="V271" i="11"/>
  <c r="V270" i="11"/>
  <c r="V269" i="11"/>
  <c r="V268" i="11"/>
  <c r="V267" i="11"/>
  <c r="V266" i="11"/>
  <c r="V265" i="11"/>
  <c r="V264" i="11"/>
  <c r="V263" i="11"/>
  <c r="V262" i="11"/>
  <c r="V261" i="11"/>
  <c r="V260" i="11"/>
  <c r="V259" i="11"/>
  <c r="V258" i="11"/>
  <c r="V257" i="11"/>
  <c r="V256" i="11"/>
  <c r="V255" i="11"/>
  <c r="V254" i="11"/>
  <c r="V253" i="11"/>
  <c r="V252" i="11"/>
  <c r="V251" i="11"/>
  <c r="V250" i="11"/>
  <c r="V248" i="11"/>
  <c r="V247" i="11"/>
  <c r="V246" i="11"/>
  <c r="V245" i="11"/>
  <c r="V244" i="11"/>
  <c r="V243" i="11"/>
  <c r="V242" i="11"/>
  <c r="V241" i="11"/>
  <c r="V240" i="11"/>
  <c r="V239" i="11"/>
  <c r="V238" i="11"/>
  <c r="V237" i="11"/>
  <c r="V236" i="11"/>
  <c r="V235" i="11"/>
  <c r="V234" i="11"/>
  <c r="V233" i="11"/>
  <c r="V232" i="11"/>
  <c r="V231" i="11"/>
  <c r="V230" i="11"/>
  <c r="V229" i="11"/>
  <c r="V228" i="11"/>
  <c r="V227" i="11"/>
  <c r="V226" i="11"/>
  <c r="V225" i="11"/>
  <c r="V224" i="11"/>
  <c r="V223" i="11"/>
  <c r="V222" i="11"/>
  <c r="V221" i="11"/>
  <c r="V220" i="11"/>
  <c r="V219" i="11"/>
  <c r="V218" i="11"/>
  <c r="V217" i="11"/>
  <c r="V216" i="11"/>
  <c r="V215" i="11"/>
  <c r="V214" i="11"/>
  <c r="V213" i="11"/>
  <c r="V212" i="11"/>
  <c r="V211" i="11"/>
  <c r="V210" i="11"/>
  <c r="V209" i="11"/>
  <c r="V208" i="11"/>
  <c r="V207" i="11"/>
  <c r="V206" i="11"/>
  <c r="V205" i="11"/>
  <c r="V204" i="11"/>
  <c r="V203" i="11"/>
  <c r="V202" i="11"/>
  <c r="V201" i="11"/>
  <c r="V200" i="11"/>
  <c r="V199" i="11"/>
  <c r="V198" i="11"/>
  <c r="V197" i="11"/>
  <c r="V196" i="11"/>
  <c r="V195" i="11"/>
  <c r="V194" i="11"/>
  <c r="V193" i="11"/>
  <c r="V192" i="11"/>
  <c r="V191" i="11"/>
  <c r="V190" i="11"/>
  <c r="V189" i="11"/>
  <c r="V188" i="11"/>
  <c r="V187" i="11"/>
  <c r="V186" i="11"/>
  <c r="V185" i="11"/>
  <c r="V184" i="11"/>
  <c r="V183" i="11"/>
  <c r="V181" i="11"/>
  <c r="V180" i="11"/>
  <c r="V179" i="11"/>
  <c r="V178" i="11"/>
  <c r="V177" i="11"/>
  <c r="V176" i="11"/>
  <c r="V175" i="11"/>
  <c r="V174" i="11"/>
  <c r="V173" i="11"/>
  <c r="V172" i="11"/>
  <c r="V171" i="11"/>
  <c r="V170" i="11"/>
  <c r="V169" i="11"/>
  <c r="V168" i="11"/>
  <c r="V167" i="11"/>
  <c r="V166" i="11"/>
  <c r="V165" i="11"/>
  <c r="V164" i="11"/>
  <c r="V163" i="11"/>
  <c r="V162" i="11"/>
  <c r="V161" i="11"/>
  <c r="V160" i="11"/>
  <c r="V159" i="11"/>
  <c r="V158" i="11"/>
  <c r="V157" i="11"/>
  <c r="V156" i="11"/>
  <c r="V155" i="11"/>
  <c r="V151" i="11"/>
  <c r="V150" i="11"/>
  <c r="V149" i="11"/>
  <c r="V148" i="11"/>
  <c r="V147" i="11"/>
  <c r="V146" i="11"/>
  <c r="V145" i="11"/>
  <c r="V144" i="11"/>
  <c r="V143" i="11"/>
  <c r="V142" i="11"/>
  <c r="V141" i="11"/>
  <c r="V139" i="11"/>
  <c r="V138" i="11"/>
  <c r="V137" i="11"/>
  <c r="V136" i="11"/>
  <c r="V134" i="11"/>
  <c r="V133" i="11"/>
  <c r="V132" i="11"/>
  <c r="V131" i="11"/>
  <c r="V130" i="11"/>
  <c r="V129" i="11"/>
  <c r="V128" i="11"/>
  <c r="V127" i="11"/>
  <c r="V126" i="11"/>
  <c r="V125" i="11"/>
  <c r="V124" i="11"/>
  <c r="V123" i="11"/>
  <c r="V122" i="11"/>
  <c r="V121" i="11"/>
  <c r="V120" i="11"/>
  <c r="V118" i="11"/>
  <c r="V117" i="11"/>
  <c r="V116" i="11"/>
  <c r="V115" i="11"/>
  <c r="V114" i="11"/>
  <c r="V113" i="11"/>
  <c r="V112" i="11"/>
  <c r="V111" i="11"/>
  <c r="V110" i="11"/>
  <c r="V109" i="11"/>
  <c r="V108" i="11"/>
  <c r="V107" i="11"/>
  <c r="V106" i="11"/>
  <c r="V105" i="11"/>
  <c r="V104" i="11"/>
  <c r="V103" i="11"/>
  <c r="V102" i="11"/>
  <c r="V101" i="11"/>
  <c r="V100" i="11"/>
  <c r="V99" i="11"/>
  <c r="V98" i="11"/>
  <c r="V97" i="11"/>
  <c r="V96" i="11"/>
  <c r="V95" i="11"/>
  <c r="V94" i="11"/>
  <c r="V93" i="11"/>
  <c r="V92" i="11"/>
  <c r="V91" i="11"/>
  <c r="V90" i="11"/>
  <c r="V89" i="11"/>
  <c r="V88" i="11"/>
  <c r="V87" i="11"/>
  <c r="V86" i="11"/>
  <c r="V85" i="11"/>
  <c r="V84" i="11"/>
  <c r="V83" i="11"/>
  <c r="V82" i="11"/>
  <c r="V81" i="11"/>
  <c r="V80" i="11"/>
  <c r="V79" i="11"/>
  <c r="V78" i="11"/>
  <c r="V77" i="11"/>
  <c r="V76" i="11"/>
  <c r="V75" i="11"/>
  <c r="V74" i="11"/>
  <c r="V73" i="11"/>
  <c r="V72" i="11"/>
  <c r="V71" i="11"/>
  <c r="V70" i="11"/>
  <c r="V69" i="11"/>
  <c r="V68" i="11"/>
  <c r="V67" i="11"/>
  <c r="V66" i="11"/>
  <c r="V65" i="11"/>
  <c r="V64" i="11"/>
  <c r="V63" i="11"/>
  <c r="V62" i="11"/>
  <c r="V61" i="11"/>
  <c r="V60" i="11"/>
  <c r="V59" i="11"/>
  <c r="V58" i="11"/>
  <c r="V57" i="11"/>
  <c r="V56" i="11"/>
  <c r="V55" i="11"/>
  <c r="V54" i="11"/>
  <c r="V53" i="11"/>
  <c r="V52" i="11"/>
  <c r="V51" i="11"/>
  <c r="V50" i="11"/>
  <c r="V49" i="11"/>
  <c r="V48" i="11"/>
  <c r="V47" i="11"/>
  <c r="V46" i="11"/>
  <c r="V45" i="11"/>
  <c r="V44" i="11"/>
  <c r="V43" i="11"/>
  <c r="V42" i="11"/>
  <c r="V41" i="11"/>
  <c r="V40" i="11"/>
  <c r="V39" i="11"/>
  <c r="V38" i="11"/>
  <c r="V37" i="11"/>
  <c r="V36" i="11"/>
  <c r="V35" i="11"/>
  <c r="V34" i="11"/>
  <c r="V33" i="11"/>
  <c r="V32" i="11"/>
  <c r="V31" i="11"/>
  <c r="V30" i="11"/>
  <c r="V29" i="11"/>
  <c r="V28" i="11"/>
  <c r="V27" i="11"/>
  <c r="V26" i="11"/>
  <c r="V25" i="11"/>
  <c r="V24" i="11"/>
  <c r="V23" i="11"/>
  <c r="V22" i="11"/>
  <c r="V21" i="11"/>
  <c r="V20" i="11"/>
  <c r="V19" i="11"/>
  <c r="V18" i="11"/>
  <c r="V17" i="11"/>
  <c r="V16" i="11"/>
  <c r="V15" i="11"/>
  <c r="V14" i="11"/>
  <c r="V13" i="11"/>
  <c r="V12" i="11"/>
  <c r="V11" i="11"/>
  <c r="V10" i="11"/>
  <c r="V9" i="11"/>
  <c r="V8" i="11"/>
  <c r="U951" i="11"/>
  <c r="U950" i="11"/>
  <c r="U949" i="11"/>
  <c r="U948" i="11"/>
  <c r="U947" i="11"/>
  <c r="U946" i="11"/>
  <c r="U945" i="11"/>
  <c r="U944" i="11"/>
  <c r="U943" i="11"/>
  <c r="U942" i="11"/>
  <c r="U941" i="11"/>
  <c r="U940" i="11"/>
  <c r="U939" i="11"/>
  <c r="U824" i="11"/>
  <c r="U807" i="11"/>
  <c r="U783" i="11"/>
  <c r="U782" i="11"/>
  <c r="U781" i="11"/>
  <c r="U754" i="11"/>
  <c r="U745" i="11"/>
  <c r="U742" i="11"/>
  <c r="U705" i="11"/>
  <c r="U696" i="11"/>
  <c r="U700" i="11"/>
  <c r="U689" i="11"/>
  <c r="U670" i="11"/>
  <c r="U657" i="11"/>
  <c r="U656" i="11"/>
  <c r="U655" i="11"/>
  <c r="U654" i="11"/>
  <c r="U653" i="11"/>
  <c r="U652" i="11"/>
  <c r="U651" i="11"/>
  <c r="U622" i="11"/>
  <c r="U613" i="11"/>
  <c r="U569" i="11"/>
  <c r="U537" i="11"/>
  <c r="U523" i="11"/>
  <c r="U512" i="11"/>
  <c r="U496" i="11"/>
  <c r="AE496" i="11"/>
  <c r="AE4" i="11" s="1"/>
  <c r="U495" i="11"/>
  <c r="U492" i="11"/>
  <c r="U481" i="11"/>
  <c r="U478" i="11"/>
  <c r="U470" i="11"/>
  <c r="U471" i="11"/>
  <c r="U429" i="11"/>
  <c r="U421" i="11"/>
  <c r="U402" i="11"/>
  <c r="AD373" i="11"/>
  <c r="AD4" i="11" s="1"/>
  <c r="U344" i="11"/>
  <c r="U332" i="11"/>
  <c r="U324" i="11"/>
  <c r="U323" i="11"/>
  <c r="U303" i="11"/>
  <c r="U277" i="11"/>
  <c r="U252" i="11"/>
  <c r="U248" i="11"/>
  <c r="U243" i="11"/>
  <c r="U232" i="11"/>
  <c r="U229" i="11"/>
  <c r="U219" i="11"/>
  <c r="U206" i="11"/>
  <c r="U184" i="11"/>
  <c r="U151" i="11"/>
  <c r="U142" i="11"/>
  <c r="U139" i="11"/>
  <c r="U137" i="11"/>
  <c r="U136" i="11"/>
  <c r="U134" i="11"/>
  <c r="U133" i="11"/>
  <c r="U107" i="11"/>
  <c r="U102" i="11"/>
  <c r="U98" i="11"/>
  <c r="U71" i="11"/>
  <c r="U68" i="11"/>
  <c r="U53" i="11"/>
  <c r="AD8" i="11"/>
  <c r="Q857" i="11"/>
  <c r="Q874" i="11"/>
  <c r="Q1089" i="11"/>
  <c r="Q923" i="11"/>
  <c r="Q1008" i="11"/>
  <c r="Q1004" i="11"/>
  <c r="Q1082" i="11"/>
  <c r="Q970" i="11"/>
  <c r="Q133" i="11"/>
  <c r="Q526" i="11"/>
  <c r="Q800" i="11"/>
  <c r="Q893" i="11"/>
  <c r="Q518" i="11"/>
  <c r="Q517" i="11"/>
  <c r="Q516" i="11"/>
  <c r="Q515" i="11"/>
  <c r="Q1036" i="11"/>
  <c r="Q1108" i="11"/>
  <c r="Q467" i="11"/>
  <c r="Q880" i="11"/>
  <c r="Q14" i="11"/>
  <c r="Q1106" i="11"/>
  <c r="Q667" i="11"/>
  <c r="Q666" i="11"/>
  <c r="Q304" i="11"/>
  <c r="Q481" i="11"/>
  <c r="Q670" i="11"/>
  <c r="Q188" i="11"/>
  <c r="Q340" i="11"/>
  <c r="Q107" i="11"/>
  <c r="Q673" i="11"/>
  <c r="Q469" i="11"/>
  <c r="Q807" i="11"/>
  <c r="Q184" i="11"/>
  <c r="Q848" i="11"/>
  <c r="Q778" i="11"/>
  <c r="Q402" i="11"/>
  <c r="Q499" i="11"/>
  <c r="Q130" i="11"/>
  <c r="Q199" i="11"/>
  <c r="Q471" i="11"/>
  <c r="Q164" i="11"/>
  <c r="Q187" i="11"/>
  <c r="Q77" i="11"/>
  <c r="Q338" i="11"/>
  <c r="Q102" i="11"/>
  <c r="Q487" i="11"/>
  <c r="Q42" i="11"/>
  <c r="Q287" i="11"/>
  <c r="Q428" i="11"/>
  <c r="Q802" i="11"/>
  <c r="Q219" i="11"/>
  <c r="Q1048" i="11"/>
  <c r="Q448" i="11"/>
  <c r="Q150" i="11"/>
  <c r="Q613" i="11"/>
  <c r="Q412" i="11"/>
  <c r="Q64" i="11"/>
  <c r="Q143" i="11"/>
  <c r="Q69" i="11"/>
  <c r="Q9" i="11"/>
  <c r="Q636" i="11"/>
  <c r="Q447" i="11"/>
  <c r="Q90" i="11"/>
  <c r="Q297" i="11"/>
  <c r="Q195" i="11"/>
  <c r="Q618" i="11"/>
  <c r="Q343" i="11"/>
  <c r="Q568" i="11"/>
  <c r="Q309" i="11"/>
  <c r="Q149" i="11"/>
  <c r="Q540" i="11"/>
  <c r="Q21" i="11"/>
  <c r="Q86" i="11"/>
  <c r="Q186" i="11"/>
  <c r="Q465" i="11"/>
  <c r="Q49" i="11"/>
  <c r="Q595" i="11"/>
  <c r="Q97" i="11"/>
  <c r="Q986" i="11"/>
  <c r="Q855" i="11"/>
  <c r="Q854" i="11"/>
  <c r="Q850" i="11"/>
  <c r="Q999" i="11"/>
  <c r="Q317" i="11"/>
  <c r="Q183" i="11"/>
  <c r="Q8" i="11"/>
  <c r="Q474" i="11"/>
  <c r="Q293" i="11"/>
  <c r="Q191" i="11"/>
  <c r="Q477" i="11"/>
  <c r="Q389" i="11"/>
  <c r="Q788" i="11"/>
  <c r="Q644" i="11"/>
  <c r="Q1000" i="11"/>
  <c r="Q668" i="11"/>
  <c r="Q868" i="11"/>
  <c r="Q691" i="11"/>
  <c r="Q749" i="11"/>
  <c r="Q972" i="11"/>
  <c r="Q858" i="11"/>
  <c r="Q1084" i="11"/>
  <c r="Q549" i="11"/>
  <c r="Q168" i="11"/>
  <c r="Q617" i="11"/>
  <c r="Q45" i="11"/>
  <c r="AD45" i="11" s="1"/>
  <c r="Q36" i="11"/>
  <c r="AD36" i="11" s="1"/>
  <c r="Q139" i="11"/>
  <c r="Q462" i="11"/>
  <c r="Q99" i="11"/>
  <c r="Q155" i="11"/>
  <c r="Q113" i="11"/>
  <c r="Q722" i="11"/>
  <c r="Q299" i="11"/>
  <c r="Q611" i="11"/>
  <c r="Q594" i="11"/>
  <c r="Q593" i="11"/>
  <c r="Q592" i="11"/>
  <c r="Q535" i="11"/>
  <c r="Q35" i="11"/>
  <c r="Q774" i="11"/>
  <c r="Q145" i="11"/>
  <c r="Q337" i="11"/>
  <c r="Q292" i="11"/>
  <c r="Q151" i="11"/>
  <c r="Q153" i="11"/>
  <c r="Q136" i="11"/>
  <c r="Q969" i="11"/>
  <c r="Q473" i="11"/>
  <c r="Q175" i="11"/>
  <c r="Q989" i="11"/>
  <c r="Q824" i="11"/>
  <c r="Q336" i="11"/>
  <c r="Q509" i="11"/>
  <c r="Q624" i="11"/>
  <c r="Q1035" i="11"/>
  <c r="Q57" i="11"/>
  <c r="Q56" i="11"/>
  <c r="Q962" i="11"/>
  <c r="Q68" i="11"/>
  <c r="Q849" i="11"/>
  <c r="Q976" i="11"/>
  <c r="Q953" i="11"/>
  <c r="Q1010" i="11"/>
  <c r="Q1052" i="11"/>
  <c r="Q918" i="11"/>
  <c r="Q1058" i="11"/>
  <c r="Q898" i="11"/>
  <c r="Q917" i="11"/>
  <c r="Q1080" i="11"/>
  <c r="Q866" i="11"/>
  <c r="Q828" i="11"/>
  <c r="Q1012" i="11"/>
  <c r="Q398" i="11"/>
  <c r="Q421" i="11"/>
  <c r="Q586" i="11"/>
  <c r="Q393" i="11"/>
  <c r="Q464" i="11"/>
  <c r="Q697" i="11"/>
  <c r="Q658" i="11"/>
  <c r="Q992" i="11"/>
  <c r="Q524" i="11"/>
  <c r="Q861" i="11"/>
  <c r="Q255" i="11"/>
  <c r="Q744" i="11"/>
  <c r="Q1042" i="11"/>
  <c r="Q251" i="11"/>
  <c r="Q1002" i="11"/>
  <c r="Q472" i="11"/>
  <c r="Q821" i="11"/>
  <c r="Q820" i="11"/>
  <c r="Q822" i="11"/>
  <c r="Q1037" i="11"/>
  <c r="Q832" i="11"/>
  <c r="Q799" i="11"/>
  <c r="Q773" i="11"/>
  <c r="Q521" i="11"/>
  <c r="Q1020" i="11"/>
  <c r="Q772" i="11"/>
  <c r="Q610" i="11"/>
  <c r="Q23" i="11"/>
  <c r="Q20" i="11"/>
  <c r="Q19" i="11"/>
  <c r="Q751" i="11"/>
  <c r="Q13" i="11"/>
  <c r="Q267" i="11"/>
  <c r="Q72" i="11"/>
  <c r="Q312" i="11"/>
  <c r="Q311" i="11"/>
  <c r="Q559" i="11"/>
  <c r="Q335" i="11"/>
  <c r="Q178" i="11"/>
  <c r="Q534" i="11"/>
  <c r="Q556" i="11"/>
  <c r="Q899" i="11"/>
  <c r="Q630" i="11"/>
  <c r="Q951" i="11"/>
  <c r="Q949" i="11"/>
  <c r="Q948" i="11"/>
  <c r="Q947" i="11"/>
  <c r="Q946" i="11"/>
  <c r="Q945" i="11"/>
  <c r="Q944" i="11"/>
  <c r="Q943" i="11"/>
  <c r="Q942" i="11"/>
  <c r="Q941" i="11"/>
  <c r="Q950" i="11"/>
  <c r="Q940" i="11"/>
  <c r="Q939" i="11"/>
  <c r="Q54" i="11"/>
  <c r="Q51" i="11"/>
  <c r="Q491" i="11"/>
  <c r="Q392" i="11"/>
  <c r="Q506" i="11"/>
  <c r="Q331" i="11"/>
  <c r="Q803" i="11"/>
  <c r="Q767" i="11"/>
  <c r="Q781" i="11"/>
  <c r="Q248" i="11"/>
  <c r="Q785" i="11"/>
  <c r="Q784" i="11"/>
  <c r="Q349" i="11"/>
  <c r="Q63" i="11"/>
  <c r="Q33" i="11"/>
  <c r="Q32" i="11"/>
  <c r="Q308" i="11"/>
  <c r="Q411" i="11"/>
  <c r="Q791" i="11"/>
  <c r="Q741" i="11"/>
  <c r="Q522" i="11"/>
  <c r="Q635" i="11"/>
  <c r="Q678" i="11"/>
  <c r="Q909" i="11"/>
  <c r="Q114" i="11"/>
  <c r="Q694" i="11"/>
  <c r="Q714" i="11"/>
  <c r="Q180" i="11"/>
  <c r="Q570" i="11"/>
  <c r="Q274" i="11"/>
  <c r="Q482" i="11"/>
  <c r="Q320" i="11"/>
  <c r="Q446" i="11"/>
  <c r="Q98" i="11"/>
  <c r="Q215" i="11"/>
  <c r="Q322" i="11"/>
  <c r="Q109" i="11"/>
  <c r="Q270" i="11"/>
  <c r="Q585" i="11"/>
  <c r="Q717" i="11"/>
  <c r="Q790" i="11"/>
  <c r="Q81" i="11"/>
  <c r="Q591" i="11"/>
  <c r="Q546" i="11"/>
  <c r="Q886" i="11"/>
  <c r="Q995" i="11"/>
  <c r="Q700" i="11"/>
  <c r="Q1019" i="11"/>
  <c r="Q648" i="11"/>
  <c r="Q478" i="11"/>
  <c r="Q1005" i="11"/>
  <c r="Q739" i="11"/>
  <c r="Q873" i="11"/>
  <c r="Q463" i="11"/>
  <c r="Q1018" i="11"/>
  <c r="Q911" i="11"/>
  <c r="Q903" i="11"/>
  <c r="Q1022" i="11"/>
  <c r="Q685" i="11"/>
  <c r="Q865" i="11"/>
  <c r="Q1071" i="11"/>
  <c r="Q737" i="11"/>
  <c r="Q1030" i="11"/>
  <c r="Q1027" i="11"/>
  <c r="Q965" i="11"/>
  <c r="Q508" i="11"/>
  <c r="Q847" i="11"/>
  <c r="Q597" i="11"/>
  <c r="Q878" i="11"/>
  <c r="Q1057" i="11"/>
  <c r="Q569" i="11"/>
  <c r="Q303" i="11"/>
  <c r="Q708" i="11"/>
  <c r="Q480" i="11"/>
  <c r="Q852" i="11"/>
  <c r="Q994" i="11"/>
  <c r="Q266" i="11"/>
  <c r="Q445" i="11"/>
  <c r="Q12" i="11"/>
  <c r="Q241" i="11"/>
  <c r="Q391" i="11"/>
  <c r="Q135" i="11"/>
  <c r="Q504" i="11"/>
  <c r="Q138" i="11"/>
  <c r="Q376" i="11"/>
  <c r="Q329" i="11"/>
  <c r="Q387" i="11"/>
  <c r="Q1003" i="11"/>
  <c r="Q541" i="11"/>
  <c r="Q792" i="11"/>
  <c r="Q444" i="11"/>
  <c r="Q29" i="11"/>
  <c r="Q203" i="11"/>
  <c r="Q216" i="11"/>
  <c r="Q468" i="11"/>
  <c r="Q812" i="11"/>
  <c r="Q811" i="11"/>
  <c r="Q929" i="11"/>
  <c r="Q928" i="11"/>
  <c r="Q388" i="11"/>
  <c r="Q757" i="11"/>
  <c r="Q609" i="11"/>
  <c r="Q979" i="11"/>
  <c r="Q750" i="11"/>
  <c r="Q512" i="11"/>
  <c r="Q1088" i="11"/>
  <c r="Q926" i="11"/>
  <c r="Q1079" i="11"/>
  <c r="Q1033" i="11"/>
  <c r="Q932" i="11"/>
  <c r="Q243" i="11"/>
  <c r="Q330" i="11"/>
  <c r="Q740" i="11"/>
  <c r="Q830" i="11"/>
  <c r="Q494" i="11"/>
  <c r="Q375" i="11"/>
  <c r="Q374" i="11"/>
  <c r="Q993" i="11"/>
  <c r="Q891" i="11"/>
  <c r="Q875" i="11"/>
  <c r="Q457" i="11"/>
  <c r="Q171" i="11"/>
  <c r="Q616" i="11"/>
  <c r="Q356" i="11"/>
  <c r="Q746" i="11"/>
  <c r="Q291" i="11"/>
  <c r="Q70" i="11"/>
  <c r="Q756" i="11"/>
  <c r="Q286" i="11"/>
  <c r="Q675" i="11"/>
  <c r="Q776" i="11"/>
  <c r="Q222" i="11"/>
  <c r="Q177" i="11"/>
  <c r="Q529" i="11"/>
  <c r="Q211" i="11"/>
  <c r="Q410" i="11"/>
  <c r="Q456" i="11"/>
  <c r="Q290" i="11"/>
  <c r="Q608" i="11"/>
  <c r="Q310" i="11"/>
  <c r="Q709" i="11"/>
  <c r="Q1059" i="11"/>
  <c r="Q443" i="11"/>
  <c r="Q935" i="11"/>
  <c r="Q1023" i="11"/>
  <c r="Q952" i="11"/>
  <c r="Q1062" i="11"/>
  <c r="Q1070" i="11"/>
  <c r="Q1013" i="11"/>
  <c r="Q561" i="11"/>
  <c r="Q1026" i="11"/>
  <c r="Q483" i="11"/>
  <c r="Q829" i="11"/>
  <c r="Q975" i="11"/>
  <c r="Q882" i="11"/>
  <c r="Q968" i="11"/>
  <c r="Q876" i="11"/>
  <c r="Q466" i="11"/>
  <c r="Q836" i="11"/>
  <c r="Q1032" i="11"/>
  <c r="Q1031" i="11"/>
  <c r="Q690" i="11"/>
  <c r="Q736" i="11"/>
  <c r="Q631" i="11"/>
  <c r="Q916" i="11"/>
  <c r="Q959" i="11"/>
  <c r="Q629" i="11"/>
  <c r="Q352" i="11"/>
  <c r="Q710" i="11"/>
  <c r="Q1029" i="11"/>
  <c r="Q766" i="11"/>
  <c r="Q771" i="11"/>
  <c r="Q425" i="11"/>
  <c r="Q879" i="11"/>
  <c r="Q674" i="11"/>
  <c r="Q641" i="11"/>
  <c r="Q496" i="11"/>
  <c r="Q780" i="11"/>
  <c r="Q922" i="11"/>
  <c r="Q507" i="11"/>
  <c r="Q316" i="11"/>
  <c r="Q245" i="11"/>
  <c r="Q528" i="11"/>
  <c r="Q328" i="11"/>
  <c r="Q581" i="11"/>
  <c r="Q542" i="11"/>
  <c r="Q795" i="11"/>
  <c r="Q900" i="11"/>
  <c r="Q815" i="11"/>
  <c r="Q1049" i="11"/>
  <c r="Q699" i="11"/>
  <c r="Q551" i="11"/>
  <c r="Q748" i="11"/>
  <c r="Q622" i="11"/>
  <c r="Q680" i="11"/>
  <c r="Q825" i="11"/>
  <c r="Q210" i="11"/>
  <c r="Q1006" i="11"/>
  <c r="Q590" i="11"/>
  <c r="Q209" i="11"/>
  <c r="Q719" i="11"/>
  <c r="Q1041" i="11"/>
  <c r="Q319" i="11"/>
  <c r="Q1069" i="11"/>
  <c r="Q980" i="11"/>
  <c r="Q907" i="11"/>
  <c r="Q486" i="11"/>
  <c r="Q350" i="11"/>
  <c r="Q533" i="11"/>
  <c r="Q833" i="11"/>
  <c r="Q600" i="11"/>
  <c r="Q887" i="11"/>
  <c r="Q371" i="11"/>
  <c r="Q729" i="11"/>
  <c r="Q863" i="11"/>
  <c r="Q384" i="11"/>
  <c r="Q707" i="11"/>
  <c r="Q577" i="11"/>
  <c r="Q576" i="11"/>
  <c r="Q108" i="11"/>
  <c r="Q924" i="11"/>
  <c r="Q458" i="11"/>
  <c r="Q25" i="11"/>
  <c r="Q26" i="11"/>
  <c r="Q574" i="11"/>
  <c r="Q733" i="11"/>
  <c r="Q513" i="11"/>
  <c r="Q40" i="11"/>
  <c r="Q958" i="11"/>
  <c r="Q1074" i="11"/>
  <c r="Q470" i="11"/>
  <c r="Q278" i="11"/>
  <c r="Q890" i="11"/>
  <c r="Q851" i="11"/>
  <c r="Q129" i="11"/>
  <c r="Q1096" i="11"/>
  <c r="Q1095" i="11"/>
  <c r="Q1104" i="11"/>
  <c r="Q1094" i="11"/>
  <c r="Q1103" i="11"/>
  <c r="Q1102" i="11"/>
  <c r="Q1093" i="11"/>
  <c r="Q1092" i="11"/>
  <c r="Q1101" i="11"/>
  <c r="Q1091" i="11"/>
  <c r="Q1100" i="11"/>
  <c r="Q1099" i="11"/>
  <c r="Q1098" i="11"/>
  <c r="Q1097" i="11"/>
  <c r="Q621" i="11"/>
  <c r="Q982" i="11"/>
  <c r="Q725" i="11"/>
  <c r="Q111" i="11"/>
  <c r="Q665" i="11"/>
  <c r="Q315" i="11"/>
  <c r="Q314" i="11"/>
  <c r="Q557" i="11"/>
  <c r="Q580" i="11"/>
  <c r="Q165" i="11"/>
  <c r="Q1063" i="11"/>
  <c r="Q167" i="11"/>
  <c r="Q713" i="11"/>
  <c r="Q419" i="11"/>
  <c r="Q715" i="11"/>
  <c r="Q1076" i="11"/>
  <c r="Q566" i="11"/>
  <c r="Q718" i="11"/>
  <c r="Q672" i="11"/>
  <c r="Q647" i="11"/>
  <c r="Q244" i="11"/>
  <c r="Q573" i="11"/>
  <c r="Q579" i="11"/>
  <c r="Q759" i="11"/>
  <c r="Q659" i="11"/>
  <c r="Q325" i="11"/>
  <c r="Q538" i="11"/>
  <c r="Q501" i="11"/>
  <c r="Q144" i="11"/>
  <c r="Q427" i="11"/>
  <c r="Q934" i="11"/>
  <c r="Q85" i="11"/>
  <c r="Q839" i="11"/>
  <c r="Q313" i="11"/>
  <c r="Q365" i="11"/>
  <c r="Q253" i="11"/>
  <c r="Q856" i="11"/>
  <c r="Q272" i="11"/>
  <c r="Q537" i="11"/>
  <c r="Q816" i="11"/>
  <c r="Q698" i="11"/>
  <c r="Q1011" i="11"/>
  <c r="Q399" i="11"/>
  <c r="Q974" i="11"/>
  <c r="Q295" i="11"/>
  <c r="Q955" i="11"/>
  <c r="Q643" i="11"/>
  <c r="Q657" i="11"/>
  <c r="Q572" i="11"/>
  <c r="Q571" i="11"/>
  <c r="Q562" i="11"/>
  <c r="Q864" i="11"/>
  <c r="Q628" i="11"/>
  <c r="Q390" i="11"/>
  <c r="Q285" i="11"/>
  <c r="Q208" i="11"/>
  <c r="Q589" i="11"/>
  <c r="Q34" i="11"/>
  <c r="Q615" i="11"/>
  <c r="Q163" i="11"/>
  <c r="Q638" i="11"/>
  <c r="Q115" i="11"/>
  <c r="Q30" i="11"/>
  <c r="Q734" i="11"/>
  <c r="Q701" i="11"/>
  <c r="Q489" i="11"/>
  <c r="Q213" i="11"/>
  <c r="Q1086" i="11"/>
  <c r="Q1087" i="11"/>
  <c r="Q1085" i="11"/>
  <c r="Q238" i="11"/>
  <c r="Q370" i="11"/>
  <c r="Q1077" i="11"/>
  <c r="Q396" i="11"/>
  <c r="Q755" i="11"/>
  <c r="Q194" i="11"/>
  <c r="Q237" i="11"/>
  <c r="Q519" i="11"/>
  <c r="Q510" i="11"/>
  <c r="Q623" i="11"/>
  <c r="Q173" i="11"/>
  <c r="Q378" i="11"/>
  <c r="Q895" i="11"/>
  <c r="Q582" i="11"/>
  <c r="Q606" i="11"/>
  <c r="Q170" i="11"/>
  <c r="Q80" i="11"/>
  <c r="Q75" i="11"/>
  <c r="Q76" i="11"/>
  <c r="Q532" i="11"/>
  <c r="Q214" i="11"/>
  <c r="Q724" i="11"/>
  <c r="Q869" i="11"/>
  <c r="Q787" i="11"/>
  <c r="Q775" i="11"/>
  <c r="Q860" i="11"/>
  <c r="Q235" i="11"/>
  <c r="Q24" i="11"/>
  <c r="Q684" i="11"/>
  <c r="Q889" i="11"/>
  <c r="Q835" i="11"/>
  <c r="Q397" i="11"/>
  <c r="Q745" i="11"/>
  <c r="Q877" i="11"/>
  <c r="Q884" i="11"/>
  <c r="Q936" i="11"/>
  <c r="Q555" i="11"/>
  <c r="Q602" i="11"/>
  <c r="Q831" i="11"/>
  <c r="Q885" i="11"/>
  <c r="Q385" i="11"/>
  <c r="Q998" i="11"/>
  <c r="Q997" i="11"/>
  <c r="Q777" i="11"/>
  <c r="Q254" i="11"/>
  <c r="Q252" i="11"/>
  <c r="Q599" i="11"/>
  <c r="Q386" i="11"/>
  <c r="Q545" i="11"/>
  <c r="Q16" i="11"/>
  <c r="Q640" i="11"/>
  <c r="Q846" i="11"/>
  <c r="Q233" i="11"/>
  <c r="Q921" i="11"/>
  <c r="Q275" i="11"/>
  <c r="Q354" i="11"/>
  <c r="Q826" i="11"/>
  <c r="Q633" i="11"/>
  <c r="Q1021" i="11"/>
  <c r="Q956" i="11"/>
  <c r="Q353" i="11"/>
  <c r="Q369" i="11"/>
  <c r="Q442" i="11"/>
  <c r="Q166" i="11"/>
  <c r="Q225" i="11"/>
  <c r="Q141" i="11"/>
  <c r="Q200" i="11"/>
  <c r="Q197" i="11"/>
  <c r="Q520" i="11"/>
  <c r="Q915" i="11"/>
  <c r="Q332" i="11"/>
  <c r="Q247" i="11"/>
  <c r="Q118" i="11"/>
  <c r="Q48" i="11"/>
  <c r="Q495" i="11"/>
  <c r="Q1047" i="11"/>
  <c r="Q905" i="11"/>
  <c r="Q1060" i="11"/>
  <c r="Q770" i="11"/>
  <c r="Q786" i="11"/>
  <c r="Q769" i="11"/>
  <c r="Q92" i="11"/>
  <c r="Q239" i="11"/>
  <c r="Q327" i="11"/>
  <c r="Q867" i="11"/>
  <c r="Q639" i="11"/>
  <c r="Q834" i="11"/>
  <c r="Q996" i="11"/>
  <c r="Q289" i="11"/>
  <c r="Q671" i="11"/>
  <c r="Q148" i="11"/>
  <c r="Q158" i="11"/>
  <c r="Q147" i="11"/>
  <c r="Q265" i="11"/>
  <c r="Q44" i="11"/>
  <c r="Q193" i="11"/>
  <c r="Q908" i="11"/>
  <c r="Q693" i="11"/>
  <c r="Q490" i="11"/>
  <c r="Q681" i="11"/>
  <c r="Q104" i="11"/>
  <c r="Q161" i="11"/>
  <c r="Q531" i="11"/>
  <c r="Q548" i="11"/>
  <c r="Q364" i="11"/>
  <c r="Q656" i="11"/>
  <c r="Q655" i="11"/>
  <c r="Q550" i="11"/>
  <c r="Q257" i="11"/>
  <c r="Q379" i="11"/>
  <c r="Q382" i="11"/>
  <c r="Q300" i="11"/>
  <c r="Q1064" i="11"/>
  <c r="Q845" i="11"/>
  <c r="Q753" i="11"/>
  <c r="Q752" i="11"/>
  <c r="Q689" i="11"/>
  <c r="Q583" i="11"/>
  <c r="Q688" i="11"/>
  <c r="Q342" i="11"/>
  <c r="Q125" i="11"/>
  <c r="Q654" i="11"/>
  <c r="Q363" i="11"/>
  <c r="Q493" i="11"/>
  <c r="Q110" i="11"/>
  <c r="Q716" i="11"/>
  <c r="Q212" i="11"/>
  <c r="Q632" i="11"/>
  <c r="Q348" i="11"/>
  <c r="Q298" i="11"/>
  <c r="Q246" i="11"/>
  <c r="Q221" i="11"/>
  <c r="Q564" i="11"/>
  <c r="Q230" i="11"/>
  <c r="Q123" i="11"/>
  <c r="Q326" i="11"/>
  <c r="Q201" i="11"/>
  <c r="Q888" i="11"/>
  <c r="Q938" i="11"/>
  <c r="Q441" i="11"/>
  <c r="Q362" i="11"/>
  <c r="Q578" i="11"/>
  <c r="Q355" i="11"/>
  <c r="Q1001" i="11"/>
  <c r="Q404" i="11"/>
  <c r="Q416" i="11"/>
  <c r="Q484" i="11"/>
  <c r="Q440" i="11"/>
  <c r="Q1017" i="11"/>
  <c r="Q827" i="11"/>
  <c r="Q843" i="11"/>
  <c r="Q588" i="11"/>
  <c r="Q587" i="11"/>
  <c r="Q560" i="11"/>
  <c r="Q264" i="11"/>
  <c r="Q1111" i="11"/>
  <c r="Q720" i="11"/>
  <c r="Q403" i="11"/>
  <c r="Q607" i="11"/>
  <c r="Q224" i="11"/>
  <c r="Q202" i="11"/>
  <c r="Q605" i="11"/>
  <c r="Q423" i="11"/>
  <c r="Q182" i="11"/>
  <c r="Q620" i="11"/>
  <c r="Q229" i="11"/>
  <c r="Q249" i="11"/>
  <c r="Q305" i="11"/>
  <c r="Q361" i="11"/>
  <c r="Q645" i="11"/>
  <c r="Q324" i="11"/>
  <c r="Q418" i="11"/>
  <c r="Q801" i="11"/>
  <c r="Q154" i="11"/>
  <c r="Q368" i="11"/>
  <c r="Q503" i="11"/>
  <c r="Q663" i="11"/>
  <c r="Q500" i="11"/>
  <c r="Q181" i="11"/>
  <c r="Q116" i="11"/>
  <c r="Q127" i="11"/>
  <c r="Q117" i="11"/>
  <c r="Q284" i="11"/>
  <c r="Q103" i="11"/>
  <c r="Q156" i="11"/>
  <c r="Q323" i="11"/>
  <c r="Q360" i="11"/>
  <c r="Q359" i="11"/>
  <c r="Q653" i="11"/>
  <c r="Q439" i="11"/>
  <c r="Q438" i="11"/>
  <c r="Q652" i="11"/>
  <c r="Q902" i="11"/>
  <c r="Q963" i="11"/>
  <c r="Q930" i="11"/>
  <c r="Q424" i="11"/>
  <c r="Q358" i="11"/>
  <c r="Q747" i="11"/>
  <c r="Q88" i="11"/>
  <c r="Q1065" i="11"/>
  <c r="Q276" i="11"/>
  <c r="Q695" i="11"/>
  <c r="Q711" i="11"/>
  <c r="Q991" i="11"/>
  <c r="Q344" i="11"/>
  <c r="Q1090" i="11"/>
  <c r="Q754" i="11"/>
  <c r="Q1055" i="11"/>
  <c r="Q706" i="11"/>
  <c r="Q954" i="11"/>
  <c r="Q798" i="11"/>
  <c r="Q461" i="11"/>
  <c r="Q984" i="11"/>
  <c r="Q101" i="11"/>
  <c r="Q914" i="11"/>
  <c r="Q190" i="11"/>
  <c r="Q455" i="11"/>
  <c r="Q651" i="11"/>
  <c r="Q223" i="11"/>
  <c r="Q192" i="11"/>
  <c r="Q961" i="11"/>
  <c r="Q263" i="11"/>
  <c r="Q262" i="11"/>
  <c r="Q646" i="11"/>
  <c r="Q15" i="11"/>
  <c r="Q283" i="11"/>
  <c r="Q544" i="11"/>
  <c r="Q454" i="11"/>
  <c r="Q256" i="11"/>
  <c r="Q543" i="11"/>
  <c r="Q779" i="11"/>
  <c r="Q204" i="11"/>
  <c r="Q189" i="11"/>
  <c r="Q307" i="11"/>
  <c r="Q1050" i="11"/>
  <c r="Q179" i="11"/>
  <c r="Q47" i="11"/>
  <c r="Q527" i="11"/>
  <c r="Q817" i="11"/>
  <c r="Q84" i="11"/>
  <c r="Q394" i="11"/>
  <c r="Q373" i="11"/>
  <c r="Q627" i="11"/>
  <c r="Q1034" i="11"/>
  <c r="Q604" i="11"/>
  <c r="Q841" i="11"/>
  <c r="Q957" i="11"/>
  <c r="Q498" i="11"/>
  <c r="Q687" i="11"/>
  <c r="Q794" i="11"/>
  <c r="Q927" i="11"/>
  <c r="Q793" i="11"/>
  <c r="Q844" i="11"/>
  <c r="Q971" i="11"/>
  <c r="Q967" i="11"/>
  <c r="Q1046" i="11"/>
  <c r="Q696" i="11"/>
  <c r="Q1109" i="11"/>
  <c r="Q152" i="11"/>
  <c r="Q232" i="11"/>
  <c r="Q525" i="11"/>
  <c r="Q797" i="11"/>
  <c r="Q346" i="11"/>
  <c r="Q723" i="11"/>
  <c r="Q339" i="11"/>
  <c r="Q1075" i="11"/>
  <c r="Q973" i="11"/>
  <c r="Q760" i="11"/>
  <c r="Q1107" i="11"/>
  <c r="Q1081" i="11"/>
  <c r="Q575" i="11"/>
  <c r="Q157" i="11"/>
  <c r="Q1028" i="11"/>
  <c r="Q453" i="11"/>
  <c r="Q897" i="11"/>
  <c r="Q1044" i="11"/>
  <c r="Q894" i="11"/>
  <c r="Q919" i="11"/>
  <c r="Q626" i="11"/>
  <c r="Q925" i="11"/>
  <c r="Q603" i="11"/>
  <c r="Q758" i="11"/>
  <c r="Q901" i="11"/>
  <c r="Q913" i="11"/>
  <c r="Q796" i="11"/>
  <c r="Q896" i="11"/>
  <c r="Q818" i="11"/>
  <c r="Q985" i="11"/>
  <c r="Q234" i="11"/>
  <c r="Q881" i="11"/>
  <c r="Q977" i="11"/>
  <c r="Q987" i="11"/>
  <c r="Q692" i="11"/>
  <c r="Q1061" i="11"/>
  <c r="Q782" i="11"/>
  <c r="Q302" i="11"/>
  <c r="Q1040" i="11"/>
  <c r="Q82" i="11"/>
  <c r="Q207" i="11"/>
  <c r="Q762" i="11"/>
  <c r="Q231" i="11"/>
  <c r="Q988" i="11"/>
  <c r="Q842" i="11"/>
  <c r="Q367" i="11"/>
  <c r="Q169" i="11"/>
  <c r="Q198" i="11"/>
  <c r="Q261" i="11"/>
  <c r="Q78" i="11"/>
  <c r="Q783" i="11"/>
  <c r="Q823" i="11"/>
  <c r="Q28" i="11"/>
  <c r="Q62" i="11"/>
  <c r="Q61" i="11"/>
  <c r="Q17" i="11"/>
  <c r="Q121" i="11"/>
  <c r="Q160" i="11"/>
  <c r="Q765" i="11"/>
  <c r="Q743" i="11"/>
  <c r="Q176" i="11"/>
  <c r="Q1016" i="11"/>
  <c r="Q960" i="11"/>
  <c r="Q683" i="11"/>
  <c r="Q409" i="11"/>
  <c r="Q408" i="11"/>
  <c r="Q53" i="11"/>
  <c r="Q260" i="11"/>
  <c r="Q872" i="11"/>
  <c r="Q479" i="11"/>
  <c r="Q563" i="11"/>
  <c r="Q871" i="11"/>
  <c r="Q333" i="11"/>
  <c r="Q704" i="11"/>
  <c r="Q318" i="11"/>
  <c r="Q345" i="11"/>
  <c r="Q381" i="11"/>
  <c r="Q485" i="11"/>
  <c r="Q452" i="11"/>
  <c r="Q761" i="11"/>
  <c r="Q451" i="11"/>
  <c r="Q981" i="11"/>
  <c r="Q983" i="11"/>
  <c r="Q282" i="11"/>
  <c r="Q601" i="11"/>
  <c r="Q321" i="11"/>
  <c r="Q937" i="11"/>
  <c r="Q196" i="11"/>
  <c r="Q764" i="11"/>
  <c r="Q763" i="11"/>
  <c r="Q819" i="11"/>
  <c r="Q853" i="11"/>
  <c r="Q642" i="11"/>
  <c r="Q910" i="11"/>
  <c r="Q906" i="11"/>
  <c r="Q728" i="11"/>
  <c r="Q727" i="11"/>
  <c r="Q598" i="11"/>
  <c r="Q112" i="11"/>
  <c r="Q242" i="11"/>
  <c r="Q105" i="11"/>
  <c r="Q39" i="11"/>
  <c r="Q11" i="11"/>
  <c r="Q810" i="11"/>
  <c r="Q662" i="11"/>
  <c r="Q732" i="11"/>
  <c r="Q536" i="11"/>
  <c r="Q539" i="11"/>
  <c r="Q259" i="11"/>
  <c r="Q460" i="11"/>
  <c r="Q162" i="11"/>
  <c r="Q38" i="11"/>
  <c r="Q41" i="11"/>
  <c r="Q437" i="11"/>
  <c r="Q258" i="11"/>
  <c r="Q870" i="11"/>
  <c r="Q554" i="11"/>
  <c r="Q91" i="11"/>
  <c r="Q122" i="11"/>
  <c r="Q205" i="11"/>
  <c r="Q226" i="11"/>
  <c r="Q420" i="11"/>
  <c r="Q634" i="11"/>
  <c r="Q619" i="11"/>
  <c r="Q502" i="11"/>
  <c r="Q436" i="11"/>
  <c r="Q475" i="11"/>
  <c r="Q296" i="11"/>
  <c r="Q682" i="11"/>
  <c r="Q31" i="11"/>
  <c r="Q60" i="11"/>
  <c r="Q59" i="11"/>
  <c r="Q58" i="11"/>
  <c r="Q22" i="11"/>
  <c r="Q334" i="11"/>
  <c r="Q809" i="11"/>
  <c r="Q808" i="11"/>
  <c r="Q661" i="11"/>
  <c r="Q731" i="11"/>
  <c r="Q660" i="11"/>
  <c r="Q730" i="11"/>
  <c r="Q128" i="11"/>
  <c r="Q383" i="11"/>
  <c r="Q65" i="11"/>
  <c r="Q407" i="11"/>
  <c r="Q738" i="11"/>
  <c r="Q306" i="11"/>
  <c r="Q435" i="11"/>
  <c r="Q596" i="11"/>
  <c r="Q67" i="11"/>
  <c r="Q10" i="11"/>
  <c r="Q814" i="11"/>
  <c r="Q964" i="11"/>
  <c r="Q892" i="11"/>
  <c r="Q488" i="11"/>
  <c r="Q804" i="11"/>
  <c r="Q124" i="11"/>
  <c r="Q126" i="11"/>
  <c r="Q686" i="11"/>
  <c r="Q357" i="11"/>
  <c r="Q89" i="11"/>
  <c r="Q401" i="11"/>
  <c r="Q514" i="11"/>
  <c r="Q505" i="11"/>
  <c r="Q132" i="11"/>
  <c r="Q434" i="11"/>
  <c r="Q137" i="11"/>
  <c r="Q406" i="11"/>
  <c r="Q676" i="11"/>
  <c r="Q372" i="11"/>
  <c r="Q37" i="11"/>
  <c r="Q1110" i="11"/>
  <c r="Q159" i="11"/>
  <c r="Q400" i="11"/>
  <c r="Q79" i="11"/>
  <c r="Q347" i="11"/>
  <c r="Q341" i="11"/>
  <c r="Q50" i="11"/>
  <c r="Q146" i="11"/>
  <c r="Q433" i="11"/>
  <c r="Q553" i="11"/>
  <c r="Q366" i="11"/>
  <c r="Q859" i="11"/>
  <c r="Q567" i="11"/>
  <c r="Q1105" i="11"/>
  <c r="Q883" i="11"/>
  <c r="Q417" i="11"/>
  <c r="Q547" i="11"/>
  <c r="Q250" i="11"/>
  <c r="Q301" i="11"/>
  <c r="Q450" i="11"/>
  <c r="Q131" i="11"/>
  <c r="Q228" i="11"/>
  <c r="Q351" i="11"/>
  <c r="Q217" i="11"/>
  <c r="Q429" i="11"/>
  <c r="Q277" i="11"/>
  <c r="Q1015" i="11"/>
  <c r="Q1045" i="11"/>
  <c r="Q1024" i="11"/>
  <c r="Q1051" i="11"/>
  <c r="Q558" i="11"/>
  <c r="Q271" i="11"/>
  <c r="Q206" i="11"/>
  <c r="Q1053" i="11"/>
  <c r="Q227" i="11"/>
  <c r="Q119" i="11"/>
  <c r="Q449" i="11"/>
  <c r="Q1066" i="11"/>
  <c r="Q95" i="11"/>
  <c r="Q52" i="11"/>
  <c r="Q94" i="11"/>
  <c r="Q93" i="11"/>
  <c r="Q18" i="11"/>
  <c r="Q240" i="11"/>
  <c r="Q702" i="11"/>
  <c r="Q288" i="11"/>
  <c r="Q459" i="11"/>
  <c r="Q405" i="11"/>
  <c r="Q269" i="11"/>
  <c r="Q294" i="11"/>
  <c r="Q220" i="11"/>
  <c r="Q236" i="11"/>
  <c r="Q1007" i="11"/>
  <c r="Q584" i="11"/>
  <c r="Q1072" i="11"/>
  <c r="Q1078" i="11"/>
  <c r="Q990" i="11"/>
  <c r="Q978" i="11"/>
  <c r="Q966" i="11"/>
  <c r="Q1083" i="11"/>
  <c r="Q1068" i="11"/>
  <c r="Q1073" i="11"/>
  <c r="Q1039" i="11"/>
  <c r="Q218" i="11"/>
  <c r="Q415" i="11"/>
  <c r="Q721" i="11"/>
  <c r="Q414" i="11"/>
  <c r="Q380" i="11"/>
  <c r="Q669" i="11"/>
  <c r="Q140" i="11"/>
  <c r="Q281" i="11"/>
  <c r="Q432" i="11"/>
  <c r="Q174" i="11"/>
  <c r="Q431" i="11"/>
  <c r="Q142" i="11"/>
  <c r="Q73" i="11"/>
  <c r="Q74" i="11"/>
  <c r="Q66" i="11"/>
  <c r="Q523" i="11"/>
  <c r="Q912" i="11"/>
  <c r="Q1009" i="11"/>
  <c r="Q497" i="11"/>
  <c r="Q862" i="11"/>
  <c r="Q637" i="11"/>
  <c r="Q920" i="11"/>
  <c r="Q1014" i="11"/>
  <c r="Q1067" i="11"/>
  <c r="Q840" i="11"/>
  <c r="Q789" i="11"/>
  <c r="Q395" i="11"/>
  <c r="Q703" i="11"/>
  <c r="Q1056" i="11"/>
  <c r="Q612" i="11"/>
  <c r="Q705" i="11"/>
  <c r="Q742" i="11"/>
  <c r="Q1043" i="11"/>
  <c r="Q1025" i="11"/>
  <c r="Q1054" i="11"/>
  <c r="Q813" i="11"/>
  <c r="Q46" i="11"/>
  <c r="Q426" i="11"/>
  <c r="Q650" i="11"/>
  <c r="Q71" i="11"/>
  <c r="Q100" i="11"/>
  <c r="Q273" i="11"/>
  <c r="Q735" i="11"/>
  <c r="Q430" i="11"/>
  <c r="Q55" i="11"/>
  <c r="Q552" i="11"/>
  <c r="Q677" i="11"/>
  <c r="Q492" i="11"/>
  <c r="Q931" i="11"/>
  <c r="Q1038" i="11"/>
  <c r="Q625" i="11"/>
  <c r="Q185" i="11"/>
  <c r="Q649" i="11"/>
  <c r="Q279" i="11"/>
  <c r="Q172" i="11"/>
  <c r="Q614" i="11"/>
  <c r="Q83" i="11"/>
  <c r="Q565" i="11"/>
  <c r="Q87" i="11"/>
  <c r="Q712" i="11"/>
  <c r="Q933" i="11"/>
  <c r="Q904" i="11"/>
  <c r="Q134" i="11"/>
  <c r="Q106" i="11"/>
  <c r="Q806" i="11"/>
  <c r="Q805" i="11"/>
  <c r="Q838" i="11"/>
  <c r="Q837" i="11"/>
  <c r="Q422" i="11"/>
  <c r="Q120" i="11"/>
  <c r="Q679" i="11"/>
  <c r="Q377" i="11"/>
  <c r="Q530" i="11"/>
  <c r="Q96" i="11"/>
  <c r="Q511" i="11"/>
  <c r="Q268" i="11"/>
  <c r="Q413" i="11"/>
  <c r="Q43" i="11"/>
  <c r="Q476" i="11"/>
  <c r="Q664" i="11"/>
  <c r="Q726" i="11"/>
  <c r="Q280" i="11"/>
  <c r="Q27" i="11"/>
  <c r="Q768" i="11"/>
  <c r="C4" i="11"/>
  <c r="V128" i="10"/>
  <c r="U128" i="10"/>
  <c r="V138" i="10"/>
  <c r="U138" i="10"/>
  <c r="V137" i="10"/>
  <c r="U137" i="10"/>
  <c r="V136" i="10"/>
  <c r="U136" i="10"/>
  <c r="U97" i="10"/>
  <c r="V97" i="10"/>
  <c r="V95" i="10"/>
  <c r="V96" i="10"/>
  <c r="V94" i="10"/>
  <c r="U95" i="10"/>
  <c r="U96" i="10"/>
  <c r="U94" i="10"/>
  <c r="V39" i="10"/>
  <c r="U39" i="10"/>
  <c r="V42" i="10"/>
  <c r="U42" i="10"/>
  <c r="Q99" i="10"/>
  <c r="Q100" i="10"/>
  <c r="Q101" i="10"/>
  <c r="Q102" i="10"/>
  <c r="Q103" i="10"/>
  <c r="Q104" i="10"/>
  <c r="Q105" i="10"/>
  <c r="Q93" i="10"/>
  <c r="Q42" i="10"/>
  <c r="Q157" i="10"/>
  <c r="Q113" i="10"/>
  <c r="Q88" i="10"/>
  <c r="Q130" i="10"/>
  <c r="Q153" i="10"/>
  <c r="Q150" i="10"/>
  <c r="Q155" i="10"/>
  <c r="Q47" i="10"/>
  <c r="Q34" i="10"/>
  <c r="Q66" i="10"/>
  <c r="Q107" i="10"/>
  <c r="Q179" i="10"/>
  <c r="Q19" i="10"/>
  <c r="Q189" i="10"/>
  <c r="Q94" i="10"/>
  <c r="Q136" i="10"/>
  <c r="Q137" i="10"/>
  <c r="Q138" i="10"/>
  <c r="Q182" i="10"/>
  <c r="Q124" i="10"/>
  <c r="Q187" i="10"/>
  <c r="Q181" i="10"/>
  <c r="Q176" i="10"/>
  <c r="Q186" i="10"/>
  <c r="Q177" i="10"/>
  <c r="Q95" i="10"/>
  <c r="Q125" i="10"/>
  <c r="Q185" i="10"/>
  <c r="Q190" i="10"/>
  <c r="Q15" i="10"/>
  <c r="Q16" i="10"/>
  <c r="Q58" i="10"/>
  <c r="Q163" i="10"/>
  <c r="Q145" i="10"/>
  <c r="Q96" i="10"/>
  <c r="Q126" i="10"/>
  <c r="Q53" i="10"/>
  <c r="Q135" i="10"/>
  <c r="Q129" i="10"/>
  <c r="Q149" i="10"/>
  <c r="Q111" i="10"/>
  <c r="Q48" i="10"/>
  <c r="Q33" i="10"/>
  <c r="Q170" i="10"/>
  <c r="Q172" i="10"/>
  <c r="Q167" i="10"/>
  <c r="Q166" i="10"/>
  <c r="Q174" i="10"/>
  <c r="Q173" i="10"/>
  <c r="Q164" i="10"/>
  <c r="Q180" i="10"/>
  <c r="Q188" i="10"/>
  <c r="Q115" i="10"/>
  <c r="Q178" i="10"/>
  <c r="Q171" i="10"/>
  <c r="Q184" i="10"/>
  <c r="Q165" i="10"/>
  <c r="Q183" i="10"/>
  <c r="Q35" i="10"/>
  <c r="Q55" i="10"/>
  <c r="Q117" i="10"/>
  <c r="Q162" i="10"/>
  <c r="Q49" i="10"/>
  <c r="Q14" i="10"/>
  <c r="Q17" i="10"/>
  <c r="Q26" i="10"/>
  <c r="Q13" i="10"/>
  <c r="Q67" i="10"/>
  <c r="Q116" i="10"/>
  <c r="Q57" i="10"/>
  <c r="Q25" i="10"/>
  <c r="Q59" i="10"/>
  <c r="Q161" i="10"/>
  <c r="Q46" i="10"/>
  <c r="Q156" i="10"/>
  <c r="Q27" i="10"/>
  <c r="Q44" i="10"/>
  <c r="Q87" i="10"/>
  <c r="Q85" i="10"/>
  <c r="Q40" i="10"/>
  <c r="Q97" i="10"/>
  <c r="Q175" i="10"/>
  <c r="Q160" i="10"/>
  <c r="Q108" i="10"/>
  <c r="Q68" i="10"/>
  <c r="Q36" i="10"/>
  <c r="Q139" i="10"/>
  <c r="Q69" i="10"/>
  <c r="Q80" i="10"/>
  <c r="Q18" i="10"/>
  <c r="Q118" i="10"/>
  <c r="Q92" i="10"/>
  <c r="Q12" i="10"/>
  <c r="Q70" i="10"/>
  <c r="Q131" i="10"/>
  <c r="Q71" i="10"/>
  <c r="Q72" i="10"/>
  <c r="Q140" i="10"/>
  <c r="Q112" i="10"/>
  <c r="Q84" i="10"/>
  <c r="Q30" i="10"/>
  <c r="Q20" i="10"/>
  <c r="Q90" i="10"/>
  <c r="Q154" i="10"/>
  <c r="Q64" i="10"/>
  <c r="Q151" i="10"/>
  <c r="Q127" i="10"/>
  <c r="Q159" i="10"/>
  <c r="Q106" i="10"/>
  <c r="Q29" i="10"/>
  <c r="Q51" i="10"/>
  <c r="Q133" i="10"/>
  <c r="Q63" i="10"/>
  <c r="Q141" i="10"/>
  <c r="Q81" i="10"/>
  <c r="Q74" i="10"/>
  <c r="Q21" i="10"/>
  <c r="Q128" i="10"/>
  <c r="Q110" i="10"/>
  <c r="Q152" i="10"/>
  <c r="Q28" i="10"/>
  <c r="Q77" i="10"/>
  <c r="Q134" i="10"/>
  <c r="Q76" i="10"/>
  <c r="Q169" i="10"/>
  <c r="Q122" i="10"/>
  <c r="Q168" i="10"/>
  <c r="Q144" i="10"/>
  <c r="Q121" i="10"/>
  <c r="Q123" i="10"/>
  <c r="Q91" i="10"/>
  <c r="Q78" i="10"/>
  <c r="Q142" i="10"/>
  <c r="Q65" i="10"/>
  <c r="Q147" i="10"/>
  <c r="Q143" i="10"/>
  <c r="Q120" i="10"/>
  <c r="Q37" i="10"/>
  <c r="Q54" i="10"/>
  <c r="Q8" i="10"/>
  <c r="Q83" i="10"/>
  <c r="Q43" i="10"/>
  <c r="Q39" i="10"/>
  <c r="Q75" i="10"/>
  <c r="Q60" i="10"/>
  <c r="Q32" i="10"/>
  <c r="Q62" i="10"/>
  <c r="Q31" i="10"/>
  <c r="Q22" i="10"/>
  <c r="Q23" i="10"/>
  <c r="Q73" i="10"/>
  <c r="Q24" i="10"/>
  <c r="Q82" i="10"/>
  <c r="Q9" i="10"/>
  <c r="Q11" i="10"/>
  <c r="Q61" i="10"/>
  <c r="Q89" i="10"/>
  <c r="Q52" i="10"/>
  <c r="Q86" i="10"/>
  <c r="Q41" i="10"/>
  <c r="Q56" i="10"/>
  <c r="Q98" i="10"/>
  <c r="Q45" i="10"/>
  <c r="Q10" i="10"/>
  <c r="Q79" i="10"/>
  <c r="Q109" i="10"/>
  <c r="Q114" i="10"/>
  <c r="Q146" i="10"/>
  <c r="Q158" i="10"/>
  <c r="Q148" i="10"/>
  <c r="Q119" i="10"/>
  <c r="Q132" i="10"/>
  <c r="Q38" i="10"/>
  <c r="Q50" i="10"/>
  <c r="AD3" i="11" l="1"/>
  <c r="AD5" i="11" s="1"/>
  <c r="AE5" i="11"/>
  <c r="Q16" i="2"/>
  <c r="Q32" i="2"/>
  <c r="Q33" i="2" s="1"/>
  <c r="C4" i="10"/>
  <c r="P16" i="2" l="1"/>
  <c r="C4" i="9"/>
  <c r="Q25" i="9"/>
  <c r="Q19" i="9"/>
  <c r="Q41" i="9"/>
  <c r="Q32" i="9"/>
  <c r="Q39" i="9"/>
  <c r="Q33" i="9"/>
  <c r="Q21" i="9"/>
  <c r="Q40" i="9"/>
  <c r="Q30" i="9"/>
  <c r="Q8" i="9"/>
  <c r="Q23" i="9"/>
  <c r="Q24" i="9"/>
  <c r="Q22" i="9"/>
  <c r="Q37" i="9"/>
  <c r="Q44" i="9"/>
  <c r="Q45" i="9"/>
  <c r="Q42" i="9"/>
  <c r="Q10" i="9"/>
  <c r="Q15" i="9"/>
  <c r="Q16" i="9"/>
  <c r="Q13" i="9"/>
  <c r="Q17" i="9"/>
  <c r="Q18" i="9"/>
  <c r="Q14" i="9"/>
  <c r="Q11" i="9"/>
  <c r="Q27" i="9"/>
  <c r="Q34" i="9"/>
  <c r="Q43" i="9"/>
  <c r="Q36" i="9"/>
  <c r="Q28" i="9"/>
  <c r="Q31" i="9"/>
  <c r="Q26" i="9"/>
  <c r="Q38" i="9"/>
  <c r="Q20" i="9"/>
  <c r="Q12" i="9"/>
  <c r="Q29" i="9"/>
  <c r="Q9" i="9"/>
  <c r="Q35" i="9"/>
  <c r="C4" i="8"/>
  <c r="AD41" i="8"/>
  <c r="AD42" i="8"/>
  <c r="AD10" i="8"/>
  <c r="Q9" i="8"/>
  <c r="Q10" i="8"/>
  <c r="Q11" i="8"/>
  <c r="Q12" i="8"/>
  <c r="Q13" i="8"/>
  <c r="Q14" i="8"/>
  <c r="Q15" i="8"/>
  <c r="Q16" i="8"/>
  <c r="Q17" i="8"/>
  <c r="Q18" i="8"/>
  <c r="Q19" i="8"/>
  <c r="Q20" i="8"/>
  <c r="Q21" i="8"/>
  <c r="Q22" i="8"/>
  <c r="Q23" i="8"/>
  <c r="Q24" i="8"/>
  <c r="Q25" i="8"/>
  <c r="Q26" i="8"/>
  <c r="Q27" i="8"/>
  <c r="Q28" i="8"/>
  <c r="Q29" i="8"/>
  <c r="Q30" i="8"/>
  <c r="Q31" i="8"/>
  <c r="Q32" i="8"/>
  <c r="Q33" i="8"/>
  <c r="Q34" i="8"/>
  <c r="Q35" i="8"/>
  <c r="Q36" i="8"/>
  <c r="Q37" i="8"/>
  <c r="Q38" i="8"/>
  <c r="Q39" i="8"/>
  <c r="Q40" i="8"/>
  <c r="Q41" i="8"/>
  <c r="Q42" i="8"/>
  <c r="Q43" i="8"/>
  <c r="Q44" i="8"/>
  <c r="Q45" i="8"/>
  <c r="Q46" i="8"/>
  <c r="Q47" i="8"/>
  <c r="Q48" i="8"/>
  <c r="Q49" i="8"/>
  <c r="Q50" i="8"/>
  <c r="Q51" i="8"/>
  <c r="Q52" i="8"/>
  <c r="Q53" i="8"/>
  <c r="Q54" i="8"/>
  <c r="Q55" i="8"/>
  <c r="Q56" i="8"/>
  <c r="Q57" i="8"/>
  <c r="Q58" i="8"/>
  <c r="Q59" i="8"/>
  <c r="Q60" i="8"/>
  <c r="Q61" i="8"/>
  <c r="Q62" i="8"/>
  <c r="Q63" i="8"/>
  <c r="Q64" i="8"/>
  <c r="Q65" i="8"/>
  <c r="Q66" i="8"/>
  <c r="Q67" i="8"/>
  <c r="Q68" i="8"/>
  <c r="Q69" i="8"/>
  <c r="Q70" i="8"/>
  <c r="Q71" i="8"/>
  <c r="Q72" i="8"/>
  <c r="Q73" i="8"/>
  <c r="Q74" i="8"/>
  <c r="Q75" i="8"/>
  <c r="Q76" i="8"/>
  <c r="Q77" i="8"/>
  <c r="Q8" i="8"/>
  <c r="C4" i="7"/>
  <c r="U3" i="6"/>
  <c r="Q27" i="6"/>
  <c r="Q67" i="6"/>
  <c r="Q66" i="6"/>
  <c r="Q85" i="6"/>
  <c r="Q113" i="6"/>
  <c r="Q112" i="6"/>
  <c r="Q111" i="6"/>
  <c r="Q110" i="6"/>
  <c r="Q163" i="6"/>
  <c r="Q243" i="6"/>
  <c r="Q311" i="6"/>
  <c r="Q312" i="6"/>
  <c r="Q313" i="6"/>
  <c r="Q315" i="6"/>
  <c r="Q318" i="6"/>
  <c r="Q319" i="6"/>
  <c r="Q320" i="6"/>
  <c r="Q323" i="6"/>
  <c r="Q327" i="6"/>
  <c r="Q328" i="6"/>
  <c r="Q331" i="6"/>
  <c r="Q332" i="6"/>
  <c r="Q334" i="6"/>
  <c r="Q336" i="6"/>
  <c r="Q337" i="6"/>
  <c r="Q338" i="6"/>
  <c r="Q344" i="6"/>
  <c r="Q345" i="6"/>
  <c r="Q346" i="6"/>
  <c r="Q349" i="6"/>
  <c r="Q350" i="6"/>
  <c r="Q352" i="6"/>
  <c r="Q355" i="6"/>
  <c r="Q360" i="6"/>
  <c r="Q361" i="6"/>
  <c r="Q362" i="6"/>
  <c r="Q363" i="6"/>
  <c r="Q365" i="6"/>
  <c r="Q364" i="6"/>
  <c r="Q368" i="6"/>
  <c r="Q369" i="6"/>
  <c r="Q370" i="6"/>
  <c r="Q372" i="6"/>
  <c r="Q373" i="6"/>
  <c r="Q376" i="6"/>
  <c r="Q379" i="6"/>
  <c r="Q378" i="6"/>
  <c r="Q380" i="6"/>
  <c r="Q384" i="6"/>
  <c r="Q383" i="6"/>
  <c r="Q386" i="6"/>
  <c r="Q389" i="6"/>
  <c r="Q388" i="6"/>
  <c r="Q400" i="6"/>
  <c r="Q402" i="6"/>
  <c r="Q403" i="6"/>
  <c r="Q405" i="6"/>
  <c r="Q406" i="6"/>
  <c r="Q407" i="6"/>
  <c r="Q408" i="6"/>
  <c r="Q404" i="6"/>
  <c r="Q401" i="6"/>
  <c r="Q399" i="6"/>
  <c r="Q398" i="6"/>
  <c r="Q397" i="6"/>
  <c r="Q396" i="6"/>
  <c r="Q395" i="6"/>
  <c r="Q394" i="6"/>
  <c r="Q393" i="6"/>
  <c r="Q392" i="6"/>
  <c r="Q391" i="6"/>
  <c r="Q390" i="6"/>
  <c r="Q387" i="6"/>
  <c r="Q385" i="6"/>
  <c r="Q382" i="6"/>
  <c r="Q381" i="6"/>
  <c r="Q377" i="6"/>
  <c r="Q375" i="6"/>
  <c r="Q374" i="6"/>
  <c r="Q371" i="6"/>
  <c r="Q367" i="6"/>
  <c r="Q366" i="6"/>
  <c r="Q359" i="6"/>
  <c r="Q358" i="6"/>
  <c r="Q357" i="6"/>
  <c r="Q356" i="6"/>
  <c r="Q354" i="6"/>
  <c r="Q353" i="6"/>
  <c r="Q351" i="6"/>
  <c r="Q348" i="6"/>
  <c r="Q347" i="6"/>
  <c r="Q343" i="6"/>
  <c r="Q342" i="6"/>
  <c r="Q341" i="6"/>
  <c r="Q340" i="6"/>
  <c r="Q339" i="6"/>
  <c r="Q335" i="6"/>
  <c r="Q333" i="6"/>
  <c r="Q330" i="6"/>
  <c r="Q329" i="6"/>
  <c r="Q326" i="6"/>
  <c r="Q325" i="6"/>
  <c r="Q324" i="6"/>
  <c r="Q322" i="6"/>
  <c r="Q321" i="6"/>
  <c r="Q317" i="6"/>
  <c r="Q316" i="6"/>
  <c r="Q314" i="6"/>
  <c r="Q310" i="6"/>
  <c r="Q309" i="6"/>
  <c r="Q308" i="6"/>
  <c r="Q307" i="6"/>
  <c r="Q306" i="6"/>
  <c r="Q305" i="6"/>
  <c r="Q304" i="6"/>
  <c r="Q303" i="6"/>
  <c r="Q302" i="6"/>
  <c r="Q301" i="6"/>
  <c r="Q300" i="6"/>
  <c r="Q299" i="6"/>
  <c r="Q298" i="6"/>
  <c r="Q297" i="6"/>
  <c r="Q296" i="6"/>
  <c r="Q295" i="6"/>
  <c r="Q294" i="6"/>
  <c r="Q293" i="6"/>
  <c r="Q292" i="6"/>
  <c r="Q291" i="6"/>
  <c r="Q290" i="6"/>
  <c r="Q289" i="6"/>
  <c r="Q288" i="6"/>
  <c r="Q287" i="6"/>
  <c r="Q286" i="6"/>
  <c r="Q285" i="6"/>
  <c r="Q284" i="6"/>
  <c r="Q283" i="6"/>
  <c r="Q282" i="6"/>
  <c r="Q281" i="6"/>
  <c r="Q280" i="6"/>
  <c r="Q279" i="6"/>
  <c r="Q278" i="6"/>
  <c r="Q277" i="6"/>
  <c r="Q276" i="6"/>
  <c r="Q275" i="6"/>
  <c r="Q274" i="6"/>
  <c r="Q273" i="6"/>
  <c r="Q272" i="6"/>
  <c r="Q271" i="6"/>
  <c r="Q270" i="6"/>
  <c r="Q269" i="6"/>
  <c r="Q268" i="6"/>
  <c r="Q267" i="6"/>
  <c r="Q266" i="6"/>
  <c r="Q265" i="6"/>
  <c r="Q264" i="6"/>
  <c r="Q263" i="6"/>
  <c r="Q262" i="6"/>
  <c r="Q261" i="6"/>
  <c r="Q260" i="6"/>
  <c r="Q259" i="6"/>
  <c r="Q258" i="6"/>
  <c r="Q257" i="6"/>
  <c r="Q256" i="6"/>
  <c r="Q255" i="6"/>
  <c r="Q254" i="6"/>
  <c r="Q253" i="6"/>
  <c r="Q252" i="6"/>
  <c r="Q251" i="6"/>
  <c r="Q250" i="6"/>
  <c r="Q249" i="6"/>
  <c r="Q248" i="6"/>
  <c r="Q247" i="6"/>
  <c r="Q246" i="6"/>
  <c r="Q245" i="6"/>
  <c r="Q244" i="6"/>
  <c r="Q242" i="6"/>
  <c r="Q241" i="6"/>
  <c r="Q240" i="6"/>
  <c r="Q239" i="6"/>
  <c r="Q238" i="6"/>
  <c r="Q237" i="6"/>
  <c r="Q236" i="6"/>
  <c r="Q235" i="6"/>
  <c r="Q234" i="6"/>
  <c r="Q233" i="6"/>
  <c r="Q232" i="6"/>
  <c r="Q231" i="6"/>
  <c r="Q230" i="6"/>
  <c r="Q229" i="6"/>
  <c r="Q228" i="6"/>
  <c r="Q227" i="6"/>
  <c r="AC227" i="6" s="1"/>
  <c r="AC4" i="6" s="1"/>
  <c r="P11" i="2" s="1"/>
  <c r="Q226" i="6"/>
  <c r="Q225" i="6"/>
  <c r="Q224" i="6"/>
  <c r="Q223" i="6"/>
  <c r="Q222" i="6"/>
  <c r="Q221" i="6"/>
  <c r="Q220" i="6"/>
  <c r="Q219" i="6"/>
  <c r="Q218" i="6"/>
  <c r="Q217" i="6"/>
  <c r="Q216" i="6"/>
  <c r="Q215" i="6"/>
  <c r="Q214" i="6"/>
  <c r="Q213" i="6"/>
  <c r="Q212" i="6"/>
  <c r="Q211" i="6"/>
  <c r="Q210" i="6"/>
  <c r="Q209" i="6"/>
  <c r="Q208" i="6"/>
  <c r="Q207" i="6"/>
  <c r="Q206" i="6"/>
  <c r="Q205" i="6"/>
  <c r="Q204" i="6"/>
  <c r="Q203" i="6"/>
  <c r="Q202" i="6"/>
  <c r="Q201" i="6"/>
  <c r="Q200" i="6"/>
  <c r="Q199" i="6"/>
  <c r="Q198" i="6"/>
  <c r="Q197" i="6"/>
  <c r="Q196" i="6"/>
  <c r="Q195" i="6"/>
  <c r="Q194" i="6"/>
  <c r="Q193" i="6"/>
  <c r="Q192" i="6"/>
  <c r="Q191" i="6"/>
  <c r="Q190" i="6"/>
  <c r="Q189" i="6"/>
  <c r="Q188" i="6"/>
  <c r="Q187" i="6"/>
  <c r="Q186" i="6"/>
  <c r="Q185" i="6"/>
  <c r="Q184" i="6"/>
  <c r="Q183" i="6"/>
  <c r="Q182" i="6"/>
  <c r="Q181" i="6"/>
  <c r="Q180" i="6"/>
  <c r="Q179" i="6"/>
  <c r="Q178" i="6"/>
  <c r="Q177" i="6"/>
  <c r="Q176" i="6"/>
  <c r="Q175" i="6"/>
  <c r="Q174" i="6"/>
  <c r="Q173" i="6"/>
  <c r="Q172" i="6"/>
  <c r="Q171" i="6"/>
  <c r="Q170" i="6"/>
  <c r="Q169" i="6"/>
  <c r="Q168" i="6"/>
  <c r="Q167" i="6"/>
  <c r="Q166" i="6"/>
  <c r="Q165" i="6"/>
  <c r="Q164" i="6"/>
  <c r="Q162" i="6"/>
  <c r="Q161" i="6"/>
  <c r="Q160" i="6"/>
  <c r="Q159" i="6"/>
  <c r="Q158" i="6"/>
  <c r="Q157" i="6"/>
  <c r="Q156" i="6"/>
  <c r="Q155" i="6"/>
  <c r="Q154" i="6"/>
  <c r="Q153" i="6"/>
  <c r="Q152" i="6"/>
  <c r="Q151" i="6"/>
  <c r="Q150" i="6"/>
  <c r="Q149" i="6"/>
  <c r="Q148" i="6"/>
  <c r="Q147" i="6"/>
  <c r="Q146" i="6"/>
  <c r="Q145" i="6"/>
  <c r="Q144" i="6"/>
  <c r="Q143" i="6"/>
  <c r="Q142" i="6"/>
  <c r="Q141" i="6"/>
  <c r="Q140" i="6"/>
  <c r="Q139" i="6"/>
  <c r="Q138" i="6"/>
  <c r="Q137" i="6"/>
  <c r="Q136" i="6"/>
  <c r="Q135" i="6"/>
  <c r="Q134" i="6"/>
  <c r="Q133" i="6"/>
  <c r="Q132" i="6"/>
  <c r="Q131" i="6"/>
  <c r="Q130" i="6"/>
  <c r="Q129" i="6"/>
  <c r="Q128" i="6"/>
  <c r="Q127" i="6"/>
  <c r="Q126" i="6"/>
  <c r="Q125" i="6"/>
  <c r="Q124" i="6"/>
  <c r="Q123" i="6"/>
  <c r="Q122" i="6"/>
  <c r="Q121" i="6"/>
  <c r="Q120" i="6"/>
  <c r="Q119" i="6"/>
  <c r="Q118" i="6"/>
  <c r="Q117" i="6"/>
  <c r="Q116" i="6"/>
  <c r="Q115" i="6"/>
  <c r="Q114" i="6"/>
  <c r="Q109" i="6"/>
  <c r="Q108" i="6"/>
  <c r="Q107" i="6"/>
  <c r="Q106" i="6"/>
  <c r="Q105" i="6"/>
  <c r="Q104" i="6"/>
  <c r="Q103" i="6"/>
  <c r="Q102" i="6"/>
  <c r="Q101" i="6"/>
  <c r="Q100" i="6"/>
  <c r="Q99" i="6"/>
  <c r="Q98" i="6"/>
  <c r="Q97" i="6"/>
  <c r="Q96" i="6"/>
  <c r="Q95" i="6"/>
  <c r="Q94" i="6"/>
  <c r="Q93" i="6"/>
  <c r="Q92" i="6"/>
  <c r="Q91" i="6"/>
  <c r="Q90" i="6"/>
  <c r="Q89" i="6"/>
  <c r="Q88" i="6"/>
  <c r="Q87" i="6"/>
  <c r="Q86" i="6"/>
  <c r="Q84" i="6"/>
  <c r="Q83" i="6"/>
  <c r="Q82" i="6"/>
  <c r="Q81" i="6"/>
  <c r="Q80" i="6"/>
  <c r="Q79" i="6"/>
  <c r="Q78" i="6"/>
  <c r="Q77" i="6"/>
  <c r="Q76" i="6"/>
  <c r="Q75" i="6"/>
  <c r="Q74" i="6"/>
  <c r="Q73" i="6"/>
  <c r="Q72" i="6"/>
  <c r="Q71" i="6"/>
  <c r="Q70" i="6"/>
  <c r="Q69" i="6"/>
  <c r="Q68" i="6"/>
  <c r="Q65" i="6"/>
  <c r="Q64" i="6"/>
  <c r="Q63" i="6"/>
  <c r="Q62" i="6"/>
  <c r="Q61" i="6"/>
  <c r="Q60" i="6"/>
  <c r="Q59" i="6"/>
  <c r="Q58" i="6"/>
  <c r="Q57" i="6"/>
  <c r="Q56" i="6"/>
  <c r="Q55" i="6"/>
  <c r="Q54" i="6"/>
  <c r="Q53" i="6"/>
  <c r="Q52" i="6"/>
  <c r="Q51" i="6"/>
  <c r="Q50" i="6"/>
  <c r="Q49" i="6"/>
  <c r="Q48" i="6"/>
  <c r="Q47" i="6"/>
  <c r="Q46" i="6"/>
  <c r="Q45" i="6"/>
  <c r="Q44" i="6"/>
  <c r="Q43" i="6"/>
  <c r="Q42" i="6"/>
  <c r="Q41" i="6"/>
  <c r="Q40" i="6"/>
  <c r="Q39" i="6"/>
  <c r="Q38" i="6"/>
  <c r="Q37" i="6"/>
  <c r="Q36" i="6"/>
  <c r="Q35" i="6"/>
  <c r="Q34" i="6"/>
  <c r="Q33" i="6"/>
  <c r="Q32" i="6"/>
  <c r="Q31" i="6"/>
  <c r="Q30" i="6"/>
  <c r="Q29" i="6"/>
  <c r="Q28" i="6"/>
  <c r="Q26" i="6"/>
  <c r="Q25" i="6"/>
  <c r="Q24" i="6"/>
  <c r="Q23" i="6"/>
  <c r="Q22" i="6"/>
  <c r="Q21" i="6"/>
  <c r="Q20" i="6"/>
  <c r="Q19" i="6"/>
  <c r="Q18" i="6"/>
  <c r="Q17" i="6"/>
  <c r="Q16" i="6"/>
  <c r="Q15" i="6"/>
  <c r="Q14" i="6"/>
  <c r="Q13" i="6"/>
  <c r="Q12" i="6"/>
  <c r="Q11" i="6"/>
  <c r="Q10" i="6"/>
  <c r="Q9" i="6"/>
  <c r="Q8" i="6"/>
  <c r="U79" i="5" l="1"/>
  <c r="V79" i="5"/>
  <c r="Q98" i="5"/>
  <c r="Q25" i="5"/>
  <c r="Q91" i="5"/>
  <c r="Q93" i="5"/>
  <c r="Q63" i="5"/>
  <c r="Q67" i="5"/>
  <c r="Q82" i="5"/>
  <c r="Q58" i="5"/>
  <c r="Q94" i="5"/>
  <c r="Q56" i="5"/>
  <c r="Q71" i="5"/>
  <c r="Q47" i="5"/>
  <c r="Q86" i="5"/>
  <c r="Q81" i="5"/>
  <c r="Q105" i="5"/>
  <c r="Q30" i="5"/>
  <c r="Q42" i="5"/>
  <c r="Q106" i="5"/>
  <c r="Q41" i="5"/>
  <c r="Q61" i="5"/>
  <c r="Q17" i="5"/>
  <c r="Q16" i="5"/>
  <c r="Q90" i="5"/>
  <c r="Q64" i="5"/>
  <c r="Q26" i="5"/>
  <c r="Q66" i="5"/>
  <c r="Q102" i="5"/>
  <c r="Q62" i="5"/>
  <c r="Q87" i="5"/>
  <c r="Q39" i="5"/>
  <c r="Q40" i="5"/>
  <c r="Q44" i="5"/>
  <c r="Q103" i="5"/>
  <c r="Q85" i="5"/>
  <c r="Q8" i="5"/>
  <c r="Q55" i="5"/>
  <c r="Q54" i="5"/>
  <c r="Q70" i="5"/>
  <c r="Q53" i="5"/>
  <c r="Q52" i="5"/>
  <c r="Q51" i="5"/>
  <c r="Q84" i="5"/>
  <c r="Q57" i="5"/>
  <c r="Q72" i="5"/>
  <c r="Q78" i="5"/>
  <c r="Q60" i="5"/>
  <c r="Q68" i="5"/>
  <c r="Q50" i="5"/>
  <c r="Q97" i="5"/>
  <c r="Q28" i="5"/>
  <c r="Q37" i="5"/>
  <c r="Q34" i="5"/>
  <c r="Q21" i="5"/>
  <c r="Q107" i="5"/>
  <c r="Q108" i="5"/>
  <c r="Q95" i="5"/>
  <c r="Q100" i="5"/>
  <c r="Q99" i="5"/>
  <c r="Q73" i="5"/>
  <c r="Q24" i="5"/>
  <c r="Q75" i="5"/>
  <c r="Q96" i="5"/>
  <c r="Q83" i="5"/>
  <c r="Q31" i="5"/>
  <c r="Q104" i="5"/>
  <c r="Q69" i="5"/>
  <c r="Q65" i="5"/>
  <c r="Q77" i="5"/>
  <c r="Q76" i="5"/>
  <c r="Q59" i="5"/>
  <c r="Q13" i="5"/>
  <c r="Q11" i="5"/>
  <c r="Q23" i="5"/>
  <c r="Q43" i="5"/>
  <c r="Q45" i="5"/>
  <c r="Q27" i="5"/>
  <c r="Q14" i="5"/>
  <c r="Q19" i="5"/>
  <c r="Q20" i="5"/>
  <c r="Q15" i="5"/>
  <c r="Q79" i="5"/>
  <c r="Q9" i="5"/>
  <c r="Q88" i="5"/>
  <c r="Q80" i="5"/>
  <c r="Q74" i="5"/>
  <c r="Q35" i="5"/>
  <c r="Q18" i="5"/>
  <c r="Q10" i="5"/>
  <c r="Q12" i="5"/>
  <c r="Q49" i="5"/>
  <c r="Q33" i="5"/>
  <c r="Q38" i="5"/>
  <c r="Q101" i="5"/>
  <c r="Q48" i="5"/>
  <c r="Q36" i="5"/>
  <c r="Q22" i="5"/>
  <c r="Q29" i="5"/>
  <c r="Q89" i="5"/>
  <c r="Q32" i="5"/>
  <c r="Q46" i="5"/>
  <c r="Q92" i="5"/>
  <c r="V247" i="4"/>
  <c r="U247" i="4"/>
  <c r="V211" i="4"/>
  <c r="U211" i="4"/>
  <c r="V135" i="4"/>
  <c r="U135" i="4"/>
  <c r="Q191" i="4"/>
  <c r="Q241" i="4"/>
  <c r="Q255" i="4"/>
  <c r="Q47" i="4"/>
  <c r="Q81" i="4"/>
  <c r="Q100" i="4"/>
  <c r="Q9" i="4"/>
  <c r="Q113" i="4"/>
  <c r="Q172" i="4"/>
  <c r="Q247" i="4"/>
  <c r="Q205" i="4"/>
  <c r="Q189" i="4"/>
  <c r="Q8" i="4"/>
  <c r="Q92" i="4"/>
  <c r="Q61" i="4"/>
  <c r="Q78" i="4"/>
  <c r="Q73" i="4"/>
  <c r="Q214" i="4"/>
  <c r="Q202" i="4"/>
  <c r="Q178" i="4"/>
  <c r="Q110" i="4"/>
  <c r="Q109" i="4"/>
  <c r="Q210" i="4"/>
  <c r="Q201" i="4"/>
  <c r="Q165" i="4"/>
  <c r="Q37" i="4"/>
  <c r="Q167" i="4"/>
  <c r="Q63" i="4"/>
  <c r="Q174" i="4"/>
  <c r="Q150" i="4"/>
  <c r="Q13" i="4"/>
  <c r="Q82" i="4"/>
  <c r="Q10" i="4"/>
  <c r="Q200" i="4"/>
  <c r="Q166" i="4"/>
  <c r="Q112" i="4"/>
  <c r="Q145" i="4"/>
  <c r="Q153" i="4"/>
  <c r="Q187" i="4"/>
  <c r="Q102" i="4"/>
  <c r="Q164" i="4"/>
  <c r="Q251" i="4"/>
  <c r="Q250" i="4"/>
  <c r="Q252" i="4"/>
  <c r="Q76" i="4"/>
  <c r="Q186" i="4"/>
  <c r="Q179" i="4"/>
  <c r="Q49" i="4"/>
  <c r="Q152" i="4"/>
  <c r="Q254" i="4"/>
  <c r="Q249" i="4"/>
  <c r="Q215" i="4"/>
  <c r="Q227" i="4"/>
  <c r="Q177" i="4"/>
  <c r="Q31" i="4"/>
  <c r="Q59" i="4"/>
  <c r="Q134" i="4"/>
  <c r="Q16" i="4"/>
  <c r="Q149" i="4"/>
  <c r="Q11" i="4"/>
  <c r="Q159" i="4"/>
  <c r="Q279" i="4"/>
  <c r="Q273" i="4"/>
  <c r="Q91" i="4"/>
  <c r="Q262" i="4"/>
  <c r="Q184" i="4"/>
  <c r="Q132" i="4"/>
  <c r="Q301" i="4"/>
  <c r="Q175" i="4"/>
  <c r="Q50" i="4"/>
  <c r="Q296" i="4"/>
  <c r="Q294" i="4"/>
  <c r="Q104" i="4"/>
  <c r="Q285" i="4"/>
  <c r="Q300" i="4"/>
  <c r="Q128" i="4"/>
  <c r="Q207" i="4"/>
  <c r="Q234" i="4"/>
  <c r="Q274" i="4"/>
  <c r="Q118" i="4"/>
  <c r="Q276" i="4"/>
  <c r="Q288" i="4"/>
  <c r="Q95" i="4"/>
  <c r="Q295" i="4"/>
  <c r="Q280" i="4"/>
  <c r="Q18" i="4"/>
  <c r="Q302" i="4"/>
  <c r="Q26" i="4"/>
  <c r="Q23" i="4"/>
  <c r="Q281" i="4"/>
  <c r="Q69" i="4"/>
  <c r="Q292" i="4"/>
  <c r="Q194" i="4"/>
  <c r="Q260" i="4"/>
  <c r="Q163" i="4"/>
  <c r="Q237" i="4"/>
  <c r="Q182" i="4"/>
  <c r="Q181" i="4"/>
  <c r="Q180" i="4"/>
  <c r="Q71" i="4"/>
  <c r="Q156" i="4"/>
  <c r="Q52" i="4"/>
  <c r="Q84" i="4"/>
  <c r="Q22" i="4"/>
  <c r="Q269" i="4"/>
  <c r="Q239" i="4"/>
  <c r="Q299" i="4"/>
  <c r="Q265" i="4"/>
  <c r="Q289" i="4"/>
  <c r="Q275" i="4"/>
  <c r="Q293" i="4"/>
  <c r="Q298" i="4"/>
  <c r="Q236" i="4"/>
  <c r="Q230" i="4"/>
  <c r="Q35" i="4"/>
  <c r="Q142" i="4"/>
  <c r="Q284" i="4"/>
  <c r="Q203" i="4"/>
  <c r="Q106" i="4"/>
  <c r="Q240" i="4"/>
  <c r="Q64" i="4"/>
  <c r="Q32" i="4"/>
  <c r="Q290" i="4"/>
  <c r="Q222" i="4"/>
  <c r="Q291" i="4"/>
  <c r="Q96" i="4"/>
  <c r="Q155" i="4"/>
  <c r="Q162" i="4"/>
  <c r="Q204" i="4"/>
  <c r="Q108" i="4"/>
  <c r="Q266" i="4"/>
  <c r="Q272" i="4"/>
  <c r="Q261" i="4"/>
  <c r="Q51" i="4"/>
  <c r="Q111" i="4"/>
  <c r="Q287" i="4"/>
  <c r="Q33" i="4"/>
  <c r="Q278" i="4"/>
  <c r="Q268" i="4"/>
  <c r="Q303" i="4"/>
  <c r="Q258" i="4"/>
  <c r="Q99" i="4"/>
  <c r="Q267" i="4"/>
  <c r="Q119" i="4"/>
  <c r="Q62" i="4"/>
  <c r="Q130" i="4"/>
  <c r="Q83" i="4"/>
  <c r="Q297" i="4"/>
  <c r="Q264" i="4"/>
  <c r="Q213" i="4"/>
  <c r="Q171" i="4"/>
  <c r="Q188" i="4"/>
  <c r="Q30" i="4"/>
  <c r="Q45" i="4"/>
  <c r="Q140" i="4"/>
  <c r="Q90" i="4"/>
  <c r="Q126" i="4"/>
  <c r="Q56" i="4"/>
  <c r="Q25" i="4"/>
  <c r="Q270" i="4"/>
  <c r="Q103" i="4"/>
  <c r="Q131" i="4"/>
  <c r="Q228" i="4"/>
  <c r="Q263" i="4"/>
  <c r="Q283" i="4"/>
  <c r="Q282" i="4"/>
  <c r="Q286" i="4"/>
  <c r="Q257" i="4"/>
  <c r="Q67" i="4"/>
  <c r="Q98" i="4"/>
  <c r="Q277" i="4"/>
  <c r="Q271" i="4"/>
  <c r="Q259" i="4"/>
  <c r="Q198" i="4"/>
  <c r="Q27" i="4"/>
  <c r="Q89" i="4"/>
  <c r="Q220" i="4"/>
  <c r="Q212" i="4"/>
  <c r="Q107" i="4"/>
  <c r="Q57" i="4"/>
  <c r="Q29" i="4"/>
  <c r="Q93" i="4"/>
  <c r="Q58" i="4"/>
  <c r="Q80" i="4"/>
  <c r="Q141" i="4"/>
  <c r="Q185" i="4"/>
  <c r="Q94" i="4"/>
  <c r="Q88" i="4"/>
  <c r="Q238" i="4"/>
  <c r="Q72" i="4"/>
  <c r="Q138" i="4"/>
  <c r="Q147" i="4"/>
  <c r="Q117" i="4"/>
  <c r="Q21" i="4"/>
  <c r="Q122" i="4"/>
  <c r="Q121" i="4"/>
  <c r="Q157" i="4"/>
  <c r="Q219" i="4"/>
  <c r="Q217" i="4"/>
  <c r="Q146" i="4"/>
  <c r="Q60" i="4"/>
  <c r="Q79" i="4"/>
  <c r="Q74" i="4"/>
  <c r="Q218" i="4"/>
  <c r="Q34" i="4"/>
  <c r="Q42" i="4"/>
  <c r="Q176" i="4"/>
  <c r="Q87" i="4"/>
  <c r="Q246" i="4"/>
  <c r="Q235" i="4"/>
  <c r="Q169" i="4"/>
  <c r="Q170" i="4"/>
  <c r="Q154" i="4"/>
  <c r="Q115" i="4"/>
  <c r="Q127" i="4"/>
  <c r="Q15" i="4"/>
  <c r="Q226" i="4"/>
  <c r="Q173" i="4"/>
  <c r="Q245" i="4"/>
  <c r="Q229" i="4"/>
  <c r="Q224" i="4"/>
  <c r="Q137" i="4"/>
  <c r="Q116" i="4"/>
  <c r="Q125" i="4"/>
  <c r="Q199" i="4"/>
  <c r="Q161" i="4"/>
  <c r="Q148" i="4"/>
  <c r="Q197" i="4"/>
  <c r="Q36" i="4"/>
  <c r="Q68" i="4"/>
  <c r="Q19" i="4"/>
  <c r="Q20" i="4"/>
  <c r="Q70" i="4"/>
  <c r="Q253" i="4"/>
  <c r="Q193" i="4"/>
  <c r="Q151" i="4"/>
  <c r="Q231" i="4"/>
  <c r="Q14" i="4"/>
  <c r="Q242" i="4"/>
  <c r="Q183" i="4"/>
  <c r="Q244" i="4"/>
  <c r="Q216" i="4"/>
  <c r="Q243" i="4"/>
  <c r="Q77" i="4"/>
  <c r="Q55" i="4"/>
  <c r="Q225" i="4"/>
  <c r="Q135" i="4"/>
  <c r="Q139" i="4"/>
  <c r="Q256" i="4"/>
  <c r="Q43" i="4"/>
  <c r="Q211" i="4"/>
  <c r="Q40" i="4"/>
  <c r="Q158" i="4"/>
  <c r="Q86" i="4"/>
  <c r="Q38" i="4"/>
  <c r="Q221" i="4"/>
  <c r="Q223" i="4"/>
  <c r="Q144" i="4"/>
  <c r="Q120" i="4"/>
  <c r="Q160" i="4"/>
  <c r="Q66" i="4"/>
  <c r="Q233" i="4"/>
  <c r="Q248" i="4"/>
  <c r="Q136" i="4"/>
  <c r="Q209" i="4"/>
  <c r="Q124" i="4"/>
  <c r="Q41" i="4"/>
  <c r="Q17" i="4"/>
  <c r="Q208" i="4"/>
  <c r="Q123" i="4"/>
  <c r="Q143" i="4"/>
  <c r="Q24" i="4"/>
  <c r="Q97" i="4"/>
  <c r="Q168" i="4"/>
  <c r="Q46" i="4"/>
  <c r="Q85" i="4"/>
  <c r="Q114" i="4"/>
  <c r="Q196" i="4"/>
  <c r="Q44" i="4"/>
  <c r="Q48" i="4"/>
  <c r="Q12" i="4"/>
  <c r="Q54" i="4"/>
  <c r="Q53" i="4"/>
  <c r="Q192" i="4"/>
  <c r="Q206" i="4"/>
  <c r="Q190" i="4"/>
  <c r="Q28" i="4"/>
  <c r="Q133" i="4"/>
  <c r="Q39" i="4"/>
  <c r="Q129" i="4"/>
  <c r="Q105" i="4"/>
  <c r="Q75" i="4"/>
  <c r="Q101" i="4"/>
  <c r="Q195" i="4"/>
  <c r="Q65" i="4"/>
  <c r="Q232" i="4"/>
  <c r="U5" i="20"/>
  <c r="H24" i="2" s="1"/>
  <c r="U4" i="20"/>
  <c r="G24" i="2" s="1"/>
  <c r="V4" i="17"/>
  <c r="U5" i="16"/>
  <c r="H21" i="2" s="1"/>
  <c r="U4" i="16"/>
  <c r="G21" i="2" s="1"/>
  <c r="V4" i="14"/>
  <c r="H19" i="2" s="1"/>
  <c r="V3" i="14"/>
  <c r="V5" i="12"/>
  <c r="H17" i="2" s="1"/>
  <c r="V4" i="12"/>
  <c r="U5" i="9"/>
  <c r="H14" i="2" s="1"/>
  <c r="U4" i="9"/>
  <c r="G14" i="2" s="1"/>
  <c r="U3" i="8"/>
  <c r="H13" i="2" s="1"/>
  <c r="U2" i="8"/>
  <c r="G13" i="2" s="1"/>
  <c r="S5" i="7"/>
  <c r="H12" i="2" s="1"/>
  <c r="S4" i="7"/>
  <c r="G12" i="2" s="1"/>
  <c r="V5" i="5"/>
  <c r="H10" i="2" s="1"/>
  <c r="V4" i="5"/>
  <c r="U4" i="6"/>
  <c r="H11" i="2" s="1"/>
  <c r="G11" i="2"/>
  <c r="AE4" i="4"/>
  <c r="AD2" i="4"/>
  <c r="V2" i="4"/>
  <c r="G22" i="2" l="1"/>
  <c r="G17" i="2"/>
  <c r="F17" i="2"/>
  <c r="G10" i="2"/>
  <c r="F10" i="2"/>
  <c r="G9" i="2"/>
  <c r="G19" i="2"/>
  <c r="F19" i="2"/>
  <c r="F11" i="2"/>
  <c r="O23" i="2"/>
  <c r="N23" i="2"/>
  <c r="M23" i="2"/>
  <c r="K23" i="2"/>
  <c r="J23" i="2"/>
  <c r="I23" i="2"/>
  <c r="AF312" i="19"/>
  <c r="O25" i="2"/>
  <c r="N25" i="2"/>
  <c r="M25" i="2"/>
  <c r="K25" i="2"/>
  <c r="J25" i="2"/>
  <c r="I25" i="2"/>
  <c r="C2" i="19"/>
  <c r="C1" i="19"/>
  <c r="C2" i="20"/>
  <c r="C1" i="20"/>
  <c r="G23" i="2"/>
  <c r="C2" i="18"/>
  <c r="C1" i="18"/>
  <c r="L22" i="2"/>
  <c r="Q22" i="2"/>
  <c r="I22" i="2"/>
  <c r="J22" i="2"/>
  <c r="K22" i="2"/>
  <c r="M22" i="2"/>
  <c r="N22" i="2"/>
  <c r="O22" i="2"/>
  <c r="P22" i="2"/>
  <c r="C2" i="17"/>
  <c r="C1" i="17"/>
  <c r="C2" i="16"/>
  <c r="C1" i="16"/>
  <c r="G20" i="2"/>
  <c r="C2" i="15"/>
  <c r="C1" i="15"/>
  <c r="C2" i="14"/>
  <c r="C1" i="14"/>
  <c r="C2" i="12"/>
  <c r="C1" i="12"/>
  <c r="J16" i="2"/>
  <c r="P15" i="2"/>
  <c r="Q15" i="2"/>
  <c r="AD3" i="4"/>
  <c r="AE211" i="4"/>
  <c r="AE5" i="4" s="1"/>
  <c r="AF211" i="4"/>
  <c r="P9" i="2" s="1"/>
  <c r="AG211" i="4"/>
  <c r="Q9" i="2" s="1"/>
  <c r="I16" i="2"/>
  <c r="K16" i="2"/>
  <c r="L16" i="2"/>
  <c r="M16" i="2"/>
  <c r="N16" i="2"/>
  <c r="O16" i="2"/>
  <c r="C2" i="11"/>
  <c r="C1" i="11"/>
  <c r="I15" i="2"/>
  <c r="K15" i="2"/>
  <c r="N15" i="2"/>
  <c r="O15" i="2"/>
  <c r="M15" i="2"/>
  <c r="L15" i="2"/>
  <c r="J15" i="2"/>
  <c r="V3" i="10"/>
  <c r="H15" i="2" s="1"/>
  <c r="C2" i="10"/>
  <c r="C1" i="10"/>
  <c r="C2" i="9"/>
  <c r="C1" i="9"/>
  <c r="C2" i="8"/>
  <c r="C1" i="8"/>
  <c r="C2" i="7"/>
  <c r="C1" i="7"/>
  <c r="C3" i="7" s="1"/>
  <c r="C5" i="7" s="1"/>
  <c r="C2" i="6"/>
  <c r="C1" i="6"/>
  <c r="C2" i="5"/>
  <c r="C1" i="5"/>
  <c r="I9" i="2"/>
  <c r="J9" i="2"/>
  <c r="K9" i="2"/>
  <c r="L9" i="2"/>
  <c r="M9" i="2"/>
  <c r="N9" i="2"/>
  <c r="O9" i="2"/>
  <c r="C2" i="4"/>
  <c r="C1" i="4"/>
  <c r="G25" i="2" l="1"/>
  <c r="H20" i="2"/>
  <c r="C5" i="12"/>
  <c r="V3" i="11"/>
  <c r="V4" i="11"/>
  <c r="H16" i="2" s="1"/>
  <c r="V2" i="10"/>
  <c r="V4" i="10" s="1"/>
  <c r="C5" i="9"/>
  <c r="V3" i="4"/>
  <c r="P29" i="2"/>
  <c r="P4" i="2" s="1"/>
  <c r="H23" i="2"/>
  <c r="L25" i="2"/>
  <c r="L23" i="2"/>
  <c r="C5" i="19"/>
  <c r="C5" i="20"/>
  <c r="C5" i="18"/>
  <c r="C5" i="17"/>
  <c r="C5" i="16"/>
  <c r="C5" i="15"/>
  <c r="C5" i="14"/>
  <c r="K29" i="2"/>
  <c r="C5" i="11"/>
  <c r="C5" i="10"/>
  <c r="M29" i="2"/>
  <c r="C5" i="8"/>
  <c r="C5" i="6"/>
  <c r="O29" i="2"/>
  <c r="I29" i="2"/>
  <c r="N29" i="2"/>
  <c r="C5" i="5"/>
  <c r="J29" i="2"/>
  <c r="C5" i="4"/>
  <c r="H9" i="2" l="1"/>
  <c r="F9" i="2"/>
  <c r="G16" i="2"/>
  <c r="V5" i="11"/>
  <c r="F16" i="2"/>
  <c r="G15" i="2"/>
  <c r="F15" i="2"/>
  <c r="U5" i="19"/>
  <c r="F23" i="2"/>
  <c r="V8" i="18"/>
  <c r="L29" i="2"/>
  <c r="Q29" i="2"/>
  <c r="Q4" i="2" s="1"/>
  <c r="G29" i="2" l="1"/>
  <c r="V5" i="17"/>
  <c r="H25" i="2"/>
  <c r="H22" i="2" l="1"/>
  <c r="F22" i="2"/>
  <c r="F29" i="2" s="1"/>
  <c r="F4" i="2" s="1"/>
  <c r="H2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 J Lo Russo</author>
  </authors>
  <commentList>
    <comment ref="S8" authorId="0" shapeId="0" xr:uid="{0AD369FB-C614-4CDE-8660-A1BEC67BAC45}">
      <text>
        <r>
          <rPr>
            <b/>
            <sz val="9"/>
            <color indexed="81"/>
            <rFont val="Tahoma"/>
            <family val="2"/>
          </rPr>
          <t xml:space="preserve">A J Lo Russo: </t>
        </r>
        <r>
          <rPr>
            <sz val="9"/>
            <color indexed="10"/>
            <rFont val="Tahoma"/>
            <family val="2"/>
          </rPr>
          <t xml:space="preserve"> Totally agree, sounds capital and not on rev acct.  Alos, if this is only the deposit, where is the balance?  Check there isn't a contra income item that negates this and overall, I though it was an operating lease?  Or do we actually own the truch and carriages???</t>
        </r>
        <r>
          <rPr>
            <sz val="9"/>
            <color indexed="81"/>
            <rFont val="Tahoma"/>
            <family val="2"/>
          </rPr>
          <t xml:space="preserve">
</t>
        </r>
      </text>
    </comment>
    <comment ref="S38" authorId="0" shapeId="0" xr:uid="{D6E92EA9-1BEC-4A80-B681-0CA23C8F89FA}">
      <text>
        <r>
          <rPr>
            <b/>
            <sz val="9"/>
            <color indexed="12"/>
            <rFont val="Tahoma"/>
            <family val="2"/>
          </rPr>
          <t>A J Lo Russo:</t>
        </r>
        <r>
          <rPr>
            <sz val="9"/>
            <color indexed="12"/>
            <rFont val="Tahoma"/>
            <family val="2"/>
          </rPr>
          <t xml:space="preserve"> Can you have sustenance for clients - at field days, at Rabo conference, what abou client council meetings etc etc Does it make a difference?  I thought that under Div9A, all meals provided to clients irrespective of amount, time or where is not “sustenance”, but entertaiment.</t>
        </r>
        <r>
          <rPr>
            <sz val="9"/>
            <color indexed="81"/>
            <rFont val="Tahoma"/>
            <family val="2"/>
          </rPr>
          <t xml:space="preserve">
</t>
        </r>
      </text>
    </comment>
  </commentList>
</comments>
</file>

<file path=xl/sharedStrings.xml><?xml version="1.0" encoding="utf-8"?>
<sst xmlns="http://schemas.openxmlformats.org/spreadsheetml/2006/main" count="60921" uniqueCount="9264">
  <si>
    <t>AU001</t>
  </si>
  <si>
    <t>Balance entries to correct</t>
  </si>
  <si>
    <t>5100999000</t>
  </si>
  <si>
    <t>Other office expenses</t>
  </si>
  <si>
    <t>Stationery</t>
  </si>
  <si>
    <t>Training expenses</t>
  </si>
  <si>
    <t>5140001010</t>
  </si>
  <si>
    <t>External Training and Seminars</t>
  </si>
  <si>
    <t>5160001000</t>
  </si>
  <si>
    <t>Publicity/advertising</t>
  </si>
  <si>
    <t>5160007000</t>
  </si>
  <si>
    <t>Sponsoring</t>
  </si>
  <si>
    <t>5160008000</t>
  </si>
  <si>
    <t>Promotional gifts</t>
  </si>
  <si>
    <t>5160010000</t>
  </si>
  <si>
    <t>Marketing expense</t>
  </si>
  <si>
    <t>5160011000</t>
  </si>
  <si>
    <t>Business development</t>
  </si>
  <si>
    <t>5160999000</t>
  </si>
  <si>
    <t>Public relations</t>
  </si>
  <si>
    <t>Advice Tax &amp; Legal expenses</t>
  </si>
  <si>
    <t>5190001000</t>
  </si>
  <si>
    <t>Contributions&amp; club membershi</t>
  </si>
  <si>
    <t>Meeting costs</t>
  </si>
  <si>
    <t>5200999000</t>
  </si>
  <si>
    <t>Miscellaneous expenses</t>
  </si>
  <si>
    <t>5200999010</t>
  </si>
  <si>
    <t>Sundry expenses</t>
  </si>
  <si>
    <t>5200999020</t>
  </si>
  <si>
    <t>5900050000</t>
  </si>
  <si>
    <t>Other non banking expenses</t>
  </si>
  <si>
    <t>AU003</t>
  </si>
  <si>
    <t>AU009</t>
  </si>
  <si>
    <t>Accountng entrs to be repaire</t>
  </si>
  <si>
    <t>AU049</t>
  </si>
  <si>
    <t>AU052</t>
  </si>
  <si>
    <t>5140001030</t>
  </si>
  <si>
    <t>Training travel and lodging ex</t>
  </si>
  <si>
    <t>5160002000</t>
  </si>
  <si>
    <t>Client periodicals/magazines</t>
  </si>
  <si>
    <t>Opening jubilees own buildin</t>
  </si>
  <si>
    <t>5190002000</t>
  </si>
  <si>
    <t>Donations</t>
  </si>
  <si>
    <t xml:space="preserve">Rabobank Australia </t>
  </si>
  <si>
    <t>Income tax purposes</t>
  </si>
  <si>
    <t>Per TB</t>
  </si>
  <si>
    <t>Tax Description</t>
  </si>
  <si>
    <t>ME?
Y/N</t>
  </si>
  <si>
    <t>ME
$</t>
  </si>
  <si>
    <t>Not ME but other type of FB
Y/N</t>
  </si>
  <si>
    <t>Not ME but other type of FB ==&gt;
$</t>
  </si>
  <si>
    <t>Nets to Nil in GL accts</t>
  </si>
  <si>
    <t xml:space="preserve">s58P M&amp;I or 
Bus Exp - notFB </t>
  </si>
  <si>
    <t>ME</t>
  </si>
  <si>
    <t>Car FB - addn op costs</t>
  </si>
  <si>
    <t>CP Exp FB</t>
  </si>
  <si>
    <t xml:space="preserve">Capital expenditure </t>
  </si>
  <si>
    <t>No FBT and not ded</t>
  </si>
  <si>
    <t>Additional Comments</t>
  </si>
  <si>
    <t xml:space="preserve">Prepared by </t>
  </si>
  <si>
    <t xml:space="preserve">Date </t>
  </si>
  <si>
    <t>Date</t>
  </si>
  <si>
    <t>Account#</t>
  </si>
  <si>
    <t>Account Description</t>
  </si>
  <si>
    <t>Y</t>
  </si>
  <si>
    <t>N</t>
  </si>
  <si>
    <t xml:space="preserve">Includes meal entertainment subject to FBT using 50/50 method </t>
  </si>
  <si>
    <t>Contributions&amp; club membership</t>
  </si>
  <si>
    <t xml:space="preserve">Total </t>
  </si>
  <si>
    <t>Account Number</t>
  </si>
  <si>
    <t>Account Name</t>
  </si>
  <si>
    <t xml:space="preserve">GL Total </t>
  </si>
  <si>
    <t xml:space="preserve">Variance </t>
  </si>
  <si>
    <t>Totals</t>
  </si>
  <si>
    <t>BUSINESS_UNIT_CODE</t>
  </si>
  <si>
    <t>ACCOUNT_CODE</t>
  </si>
  <si>
    <t>DESCRIPTION</t>
  </si>
  <si>
    <t>BASE_AMOUNT</t>
  </si>
  <si>
    <t>BASE_CURRENCY_CODE</t>
  </si>
  <si>
    <t>JOURNAL_DATE</t>
  </si>
  <si>
    <t>DESCR</t>
  </si>
  <si>
    <t>LINE_DESCR</t>
  </si>
  <si>
    <t>PURPOSE</t>
  </si>
  <si>
    <t>INVOICE_DESCR</t>
  </si>
  <si>
    <t>INVOICE_ID</t>
  </si>
  <si>
    <t>VENDOR_NAME</t>
  </si>
  <si>
    <t>EMPLOYEE_NAME</t>
  </si>
  <si>
    <t>Search Terms</t>
  </si>
  <si>
    <t>AUQ</t>
  </si>
  <si>
    <t>AP Accruals</t>
  </si>
  <si>
    <t>INV-0025</t>
  </si>
  <si>
    <t>ZAVESKY CONSULTING</t>
  </si>
  <si>
    <t>1987585-ADAVI21</t>
  </si>
  <si>
    <t>HUDSON FACILITATION PTY LTD</t>
  </si>
  <si>
    <t>CCMS</t>
  </si>
  <si>
    <t>BrennanS1-Domestic &amp; Overseas</t>
  </si>
  <si>
    <t>Training</t>
  </si>
  <si>
    <t>RyanC1-Default Licensee Mercha</t>
  </si>
  <si>
    <t>WarrenA-Default Licensee Merch</t>
  </si>
  <si>
    <t>API PD</t>
  </si>
  <si>
    <t>KWIK KOPY PRINTING CENTRE CENTRAL CITY</t>
  </si>
  <si>
    <t/>
  </si>
  <si>
    <t>HonnefP-Default Licensee Merch</t>
  </si>
  <si>
    <t>FINANCIAL EDUCATION PROFFESIONALS PTYLTD</t>
  </si>
  <si>
    <t>FrekeK2-Default Licensee Merch</t>
  </si>
  <si>
    <t>FrekeK2-Office Supplies</t>
  </si>
  <si>
    <t>AbrahamMJ-Software</t>
  </si>
  <si>
    <t>BiskopN-Default Licensee Merch</t>
  </si>
  <si>
    <t>OU change from 24104 to 25103</t>
  </si>
  <si>
    <t>LANGLEY GROUP PTY LTD</t>
  </si>
  <si>
    <t>Graduate development workshop</t>
  </si>
  <si>
    <t>MILAN PARTNERS</t>
  </si>
  <si>
    <t>LEARN STUDIOS PTY LTD</t>
  </si>
  <si>
    <t>ThomasJ1-Default Licensee Merc</t>
  </si>
  <si>
    <t>CollaM-Default Licensee Mercha</t>
  </si>
  <si>
    <t>fennellLJ-Default Licensee Mer</t>
  </si>
  <si>
    <t>YOUNGF-Default Licensee Mercha</t>
  </si>
  <si>
    <t>KLIIK PTY LTD</t>
  </si>
  <si>
    <t>INV-17851-AFINA09</t>
  </si>
  <si>
    <t>FEP enrolment costs for releva</t>
  </si>
  <si>
    <t>PozziB-Default Licensee Mercha</t>
  </si>
  <si>
    <t>EllisT-Domestic &amp; Overseas lod</t>
  </si>
  <si>
    <t>ANNA DRAKE</t>
  </si>
  <si>
    <t>EllisT-Offshore Meals &amp; Lodgin</t>
  </si>
  <si>
    <t>PriceC-Offshore Meals &amp; Lodgin</t>
  </si>
  <si>
    <t>SkountzosR-Default Licensee Me</t>
  </si>
  <si>
    <t>SchofieldL-Default Licensee Me</t>
  </si>
  <si>
    <t>10000 HOURS (AUSTRALIA) PTY LTD</t>
  </si>
  <si>
    <t>GrootJ5-Default Licensee Merch</t>
  </si>
  <si>
    <t>INV-0062-AWILD06</t>
  </si>
  <si>
    <t>INV-0062</t>
  </si>
  <si>
    <t>MccreaM-Default Licensee Merch</t>
  </si>
  <si>
    <t>StevensonD1-Default Licensee M</t>
  </si>
  <si>
    <t>AbrahamMJ-Default Licensee Mer</t>
  </si>
  <si>
    <t>CrokerV-Default Licensee Merch</t>
  </si>
  <si>
    <t>FIRTHG-Default Licensee Mercha</t>
  </si>
  <si>
    <t xml:space="preserve">ABS </t>
  </si>
  <si>
    <t>No FBT, Tax deductible</t>
  </si>
  <si>
    <t>Business expense</t>
  </si>
  <si>
    <t>FBT 50/50 method</t>
  </si>
  <si>
    <t>Staff entertainment</t>
  </si>
  <si>
    <t>Notes:</t>
  </si>
  <si>
    <t xml:space="preserve">Expenditure on university courses and other courses conferences attended by employees.  These are not considered REAP but are in </t>
  </si>
  <si>
    <t>relation to the employees current roles so would be otherwise deductible for income tax purposes.  No FBT will apply to these expenses.</t>
  </si>
  <si>
    <t>McconvilleP-Default Licensee M</t>
  </si>
  <si>
    <t>No ME included.  All tax deductible</t>
  </si>
  <si>
    <t>T24 Rabo Direct Australia</t>
  </si>
  <si>
    <t>TURNKEY PROMOTIONS</t>
  </si>
  <si>
    <t>CENTIUM SOFTWARE PTY LTD TA EVENTSAIR</t>
  </si>
  <si>
    <t>SOLUTION ENTERTAINMENT</t>
  </si>
  <si>
    <t>MAGGIES MUSIC</t>
  </si>
  <si>
    <t>MURRAY DAIRY LIMITED</t>
  </si>
  <si>
    <t>Vision 6 Subscription</t>
  </si>
  <si>
    <t>VISION 6 PTY LTD</t>
  </si>
  <si>
    <t>BEEF AUSTRALIA LIMITED</t>
  </si>
  <si>
    <t>D3 PRODUCT DESIGN PTY LTD</t>
  </si>
  <si>
    <t>Facebook and Instagram Adverti</t>
  </si>
  <si>
    <t>META PLATFORMS IRELAND LIMITED</t>
  </si>
  <si>
    <t>AUSTRALIA POST ACCT NO 102088</t>
  </si>
  <si>
    <t>LIGHTHOUSE PRINT GROUP</t>
  </si>
  <si>
    <t>Vision6 subscription</t>
  </si>
  <si>
    <t>LAKE CARGELLIGO SHOW SOCIETY IN</t>
  </si>
  <si>
    <t>AUSTRALIAN DAIRY CONFERENCE</t>
  </si>
  <si>
    <t>TELEVISION EDUCATION NETWORK PTY</t>
  </si>
  <si>
    <t>TELUM MEDIA AUSTRALIA PTY LIMITED</t>
  </si>
  <si>
    <t>28 NATIONAL LTD TRADING AS LAMBEX</t>
  </si>
  <si>
    <t>QUALITY EVENT HIRE PTY LTD</t>
  </si>
  <si>
    <t>SWAN EVENT HIRE</t>
  </si>
  <si>
    <t>Gannon Discussion Group</t>
  </si>
  <si>
    <t>GANNON AGRIBUSINESS</t>
  </si>
  <si>
    <t>RIVERINA CLASSIC</t>
  </si>
  <si>
    <t>MINGENEW MIDWEST EXPO INC</t>
  </si>
  <si>
    <t>INV-0029</t>
  </si>
  <si>
    <t>stubby holders</t>
  </si>
  <si>
    <t>SOUPCAN PTY LTD</t>
  </si>
  <si>
    <t>DAIRYSA REGIONAL DEVELOPMENT PROGRAM INC</t>
  </si>
  <si>
    <t>STREEM PTY LTD</t>
  </si>
  <si>
    <t>NT CATTLEMENS ASSOCIATION INC</t>
  </si>
  <si>
    <t>AU001 AU032051 516001000</t>
  </si>
  <si>
    <t>NICK BAKER</t>
  </si>
  <si>
    <t>LAURENS LARDER</t>
  </si>
  <si>
    <t>PL Reval Journals</t>
  </si>
  <si>
    <t>GL Revaluation</t>
  </si>
  <si>
    <t>MANSONPLUSCOMPANY</t>
  </si>
  <si>
    <t>INVCAN-900006840-ACANS00</t>
  </si>
  <si>
    <t>Canstar Savings Subscription F</t>
  </si>
  <si>
    <t>INVCAN-900006840</t>
  </si>
  <si>
    <t>CANSTAR PTY LIMITED</t>
  </si>
  <si>
    <t>MITCHELL SHOW SOCIETY</t>
  </si>
  <si>
    <t>SRESNN24/41-5-AEXPO06</t>
  </si>
  <si>
    <t>DOWERIN EVENTS MANAGEMENT</t>
  </si>
  <si>
    <t>CMCAN-00029-ACANS00</t>
  </si>
  <si>
    <t>Credit note for INVCAN 9000068</t>
  </si>
  <si>
    <t>CMCAN-00029</t>
  </si>
  <si>
    <t>142</t>
  </si>
  <si>
    <t>CQ PRODUCTION HIRE</t>
  </si>
  <si>
    <t>93</t>
  </si>
  <si>
    <t>STEVE MULLAN SOUND AND LIGHTING</t>
  </si>
  <si>
    <t>Townsville marketing expense,</t>
  </si>
  <si>
    <t>INV-0008</t>
  </si>
  <si>
    <t>THE FINANCIAL BLOKE GROUP PTY LTD</t>
  </si>
  <si>
    <t>OoiS-Default Licensee Merchant</t>
  </si>
  <si>
    <t>Wholesale SMS text to clients</t>
  </si>
  <si>
    <t>SinghSS-Default Licensee Merch</t>
  </si>
  <si>
    <t>JINNAKAE-Default Licensee Merc</t>
  </si>
  <si>
    <t>RURAL YOUTH AGFEST ORGANISING COMMITTEE</t>
  </si>
  <si>
    <t>JINNAKAE-Other Personnel Expen</t>
  </si>
  <si>
    <t>LoysonYE-Offshore Meals &amp; Lodg</t>
  </si>
  <si>
    <t>71451-OSPRI00</t>
  </si>
  <si>
    <t>HodgeM-Default Licensee Mercha</t>
  </si>
  <si>
    <t>SilvaKJ-Default Licensee Merch</t>
  </si>
  <si>
    <t>SHAWD-Contributions &amp; Club Mem</t>
  </si>
  <si>
    <t>SHAWD-Default Licensee Merchan</t>
  </si>
  <si>
    <t>monthly Aus subscription</t>
  </si>
  <si>
    <t>WeatherlyC-Default Licensee Me</t>
  </si>
  <si>
    <t>ArnoldS-Default Licensee Merch</t>
  </si>
  <si>
    <t>KelleyM-Offshore Meals &amp; Lodgi</t>
  </si>
  <si>
    <t>Alpha Cricket Day</t>
  </si>
  <si>
    <t>Newspapers</t>
  </si>
  <si>
    <t>SHAWD-Other Personnel Expense</t>
  </si>
  <si>
    <t>SunT-Office Supplies</t>
  </si>
  <si>
    <t>SunT-Offshore Meals &amp; Lodging</t>
  </si>
  <si>
    <t>TreloarH-Default Licensee Merc</t>
  </si>
  <si>
    <t>KnowlesB-Default Licensee Merc</t>
  </si>
  <si>
    <t>BOTHWELL SHEEP STATION CUP INC.</t>
  </si>
  <si>
    <t>INV-0080</t>
  </si>
  <si>
    <t>AMY PIDDINGTON</t>
  </si>
  <si>
    <t>CarisK1-Default Licensee Merch</t>
  </si>
  <si>
    <t>HoepnerK-Entertainment Expense</t>
  </si>
  <si>
    <t>TierneyA-Default Licensee Merc</t>
  </si>
  <si>
    <t>MURPHY CARLISLE</t>
  </si>
  <si>
    <t>SIMSHAUSERM-Default Licensee M</t>
  </si>
  <si>
    <t>EllisT-Default Licensee Mercha</t>
  </si>
  <si>
    <t>TilleyM-Default Licensee Merch</t>
  </si>
  <si>
    <t>CraneB-Default Licensee Mercha</t>
  </si>
  <si>
    <t>Staff Supplies</t>
  </si>
  <si>
    <t>MELVILLER-Entertainment Expens</t>
  </si>
  <si>
    <t>PaulgerA-Offshore Meals &amp; Lodg</t>
  </si>
  <si>
    <t>HorriganAY-Default Licensee Me</t>
  </si>
  <si>
    <t>Gidley-BairdD-Default Licensee</t>
  </si>
  <si>
    <t>JASPERMI-Office Supplies</t>
  </si>
  <si>
    <t>JINNAKAE-Entertainment Expense</t>
  </si>
  <si>
    <t>JINNAKAE-Office Supplies</t>
  </si>
  <si>
    <t>PriceC-Default Licensee Mercha</t>
  </si>
  <si>
    <t>MaskellD-Offshore Meals &amp; Lodg</t>
  </si>
  <si>
    <t>BeckettK-Default Licensee Merc</t>
  </si>
  <si>
    <t>FelanT-Default Licensee Mercha</t>
  </si>
  <si>
    <t>BockR-Default Licensee Merchan</t>
  </si>
  <si>
    <t>HarveyP-Default Licensee Merch</t>
  </si>
  <si>
    <t>SturgissH-Default Licensee Mer</t>
  </si>
  <si>
    <t>BlanchardJ-Default Licensee Me</t>
  </si>
  <si>
    <t>CarisK1-Entertainment Expense</t>
  </si>
  <si>
    <t>CarisK1-Office Supplies</t>
  </si>
  <si>
    <t>KELLYS-Default Licensee Mercha</t>
  </si>
  <si>
    <t>TierneyA-Entertainment Expense</t>
  </si>
  <si>
    <t>Sponsorship is deductible under s8-1 as it promotes the business and the expectation is that it will generate future business</t>
  </si>
  <si>
    <t>Rabobank truck expenses have been treated as deductible on the basis that they are a marketing expense under s8-1</t>
  </si>
  <si>
    <t>No entertainment expenses included and all tax deductible</t>
  </si>
  <si>
    <t>No ME included.  Staff gifts are exempt from FBT</t>
  </si>
  <si>
    <t xml:space="preserve">All field day expenses have been treated as deductible </t>
  </si>
  <si>
    <t>Client gift</t>
  </si>
  <si>
    <t xml:space="preserve">Marquees, furniture and other associated costs at field day events are a business expense and not a recreational event - treated as tax deductible and not subject to FBT </t>
  </si>
  <si>
    <t>Includes ME and recreation expenses not deductible</t>
  </si>
  <si>
    <t>CCH AUSTRALIA LIMITED</t>
  </si>
  <si>
    <t>BEATTIES NEWSXPRESS</t>
  </si>
  <si>
    <t>Esperance Branch: monthly subs</t>
  </si>
  <si>
    <t>NEWSXPRESS ESPERANCE LOTTERY CENTRE</t>
  </si>
  <si>
    <t>YIELD BROKER PTY LTD</t>
  </si>
  <si>
    <t>NEWS &amp; GIFTS ON BANNA</t>
  </si>
  <si>
    <t>TIMOR STREET NEWSAGENCY</t>
  </si>
  <si>
    <t>Wagga newspaper subscription</t>
  </si>
  <si>
    <t>TOPSY TURVEY PTY LTD</t>
  </si>
  <si>
    <t>Swan Hill newspaper subscripti</t>
  </si>
  <si>
    <t>SWAN HILL NEWSAGENCY</t>
  </si>
  <si>
    <t>Echuca newspaper subscription</t>
  </si>
  <si>
    <t>ECHUCA AUTHORISED NEWSAGENCY</t>
  </si>
  <si>
    <t>ADELAIDE LOGISTICO</t>
  </si>
  <si>
    <t>Griffith newspaper subscriptio</t>
  </si>
  <si>
    <t>NARROGIN NEWSAGENCY</t>
  </si>
  <si>
    <t>INV-118731-OSPGL00</t>
  </si>
  <si>
    <t>Narrogin: Monthly subscription</t>
  </si>
  <si>
    <t>INV-0185</t>
  </si>
  <si>
    <t>PERPETUAL SERVICES PTY LTD</t>
  </si>
  <si>
    <t>NEWSXPRESS KADINA</t>
  </si>
  <si>
    <t>API Membership FAPI</t>
  </si>
  <si>
    <t>CLEMENTSP-Default Licensee Mer</t>
  </si>
  <si>
    <t>KeoC-Default Licensee Merchant</t>
  </si>
  <si>
    <t>SACCHETTIL-Contributions &amp; Clu</t>
  </si>
  <si>
    <t>AFR monthly subscription for Geerten Battjes</t>
  </si>
  <si>
    <t>GERSCHWITZB-Default Licensee M</t>
  </si>
  <si>
    <t>Shutterstock Monthly Subscription</t>
  </si>
  <si>
    <t>80186-AAFMA00</t>
  </si>
  <si>
    <t>WEALANDSG-Contributions &amp; Club</t>
  </si>
  <si>
    <t>afr</t>
  </si>
  <si>
    <t>MaskellD-Contributions &amp; Club</t>
  </si>
  <si>
    <t>FOSTERS NEWSAGENCY MT GAMBIER</t>
  </si>
  <si>
    <t>MULLERTA-Default Licensee Merc</t>
  </si>
  <si>
    <t>WHATLINGS1-Contributions &amp; Clu</t>
  </si>
  <si>
    <t>McfarlaneT-Default Licensee Me</t>
  </si>
  <si>
    <t>Fishing License</t>
  </si>
  <si>
    <t>SintEH2-Contributions &amp; Club M</t>
  </si>
  <si>
    <t>PiggottP-Default Licensee Merc</t>
  </si>
  <si>
    <t xml:space="preserve">The cost of renewing practicing certificates, memberships and accreditations required to work in the in field have been treated as tax deductible and </t>
  </si>
  <si>
    <t xml:space="preserve">no FBT on the basis that they are otherwise deductible. </t>
  </si>
  <si>
    <t>All other professional memberships and subscribtions have been treated as no FBT and tax deductible under s8-1</t>
  </si>
  <si>
    <t>MILLBROOK COUNTRY CLUB LTD</t>
  </si>
  <si>
    <t>GreenawayR-Office Supplies</t>
  </si>
  <si>
    <t>Milk for office</t>
  </si>
  <si>
    <t>HallidayA-Office Supplies</t>
  </si>
  <si>
    <t>Milk</t>
  </si>
  <si>
    <t>THE WILLIAM INGLIS HOTEL - MGALLERY BY</t>
  </si>
  <si>
    <t>PriceC-Domestic &amp; Overseas lod</t>
  </si>
  <si>
    <t>HallidayA-Default Licensee Mer</t>
  </si>
  <si>
    <t>HallidayA-Offshore Meals &amp; Lod</t>
  </si>
  <si>
    <t>Coffee</t>
  </si>
  <si>
    <t>EdmondsE-Domestic &amp; Overseas l</t>
  </si>
  <si>
    <t>KeoC-Offshore Meals &amp; Lodging</t>
  </si>
  <si>
    <t>ODONOGHUED-Office Supplies</t>
  </si>
  <si>
    <t>T24 Australia</t>
  </si>
  <si>
    <t>9999999</t>
  </si>
  <si>
    <t>Small Balances clean-up</t>
  </si>
  <si>
    <t>Clear returned funds</t>
  </si>
  <si>
    <t>NEVERFAIL SPRINGWATER LIMITED(100014803)</t>
  </si>
  <si>
    <t>DAILY I/CHANGE FEES</t>
  </si>
  <si>
    <t>Reverse batch169254 30.12.2021</t>
  </si>
  <si>
    <t>McCallumA-Default Licensee Mer</t>
  </si>
  <si>
    <t>WebbO-Office Supplies</t>
  </si>
  <si>
    <t>Office Groceries</t>
  </si>
  <si>
    <t>MCDONALDK-Default Licensee Mer</t>
  </si>
  <si>
    <t>GoochLL-Offshore Meals &amp; Lodgi</t>
  </si>
  <si>
    <t>water search</t>
  </si>
  <si>
    <t>SiceS-Airfares</t>
  </si>
  <si>
    <t>Office Supplies</t>
  </si>
  <si>
    <t>ShepherdD-Offshore Meals &amp; Lod</t>
  </si>
  <si>
    <t>BPAY INTERCHANGE</t>
  </si>
  <si>
    <t>HorriganAY-Office Supplies</t>
  </si>
  <si>
    <t>Dalby - Morning Tea - Staff</t>
  </si>
  <si>
    <t>ThomasJ2-Default Licensee Merc</t>
  </si>
  <si>
    <t>McCallumA-Offshore Meals &amp; Lod</t>
  </si>
  <si>
    <t>TOWNSENDP-Default Licensee Mer</t>
  </si>
  <si>
    <t>MATTHEWSR-Default Licensee Mer</t>
  </si>
  <si>
    <t xml:space="preserve">Costs associated with Client Council events such as accomodation, catering, venue hire, flights have been treated as tax deductible and no FBT on the basis that they are a business expense.  </t>
  </si>
  <si>
    <t xml:space="preserve">Costs associated with staff conferences are tax deductible if the conference is greater than 4 hours.  The offsite is for an entire day so greater than 4 hours.  The dinner and drinks in the evening have been classified </t>
  </si>
  <si>
    <t>as meal entertainment and subject to FBT using 50/50 method.</t>
  </si>
  <si>
    <t xml:space="preserve">No meal entertainment or capital expenditure </t>
  </si>
  <si>
    <t xml:space="preserve">One amount for sustainability benefit.  Check against HR report </t>
  </si>
  <si>
    <t xml:space="preserve">No ME included.  Check sustainability payment </t>
  </si>
  <si>
    <t>Office Fruit</t>
  </si>
  <si>
    <t>SHES APPLES</t>
  </si>
  <si>
    <t>Milk for staff room</t>
  </si>
  <si>
    <t>ShortN-Default Licensee Mercha</t>
  </si>
  <si>
    <t>West Coast Rock Lobster Search (Fisheries WA)</t>
  </si>
  <si>
    <t>Subscription Weekly Times</t>
  </si>
  <si>
    <t>The Mercury subscription</t>
  </si>
  <si>
    <t>Weekly Times subscription</t>
  </si>
  <si>
    <t>WHATLINGS1-Default Licensee Me</t>
  </si>
  <si>
    <t>ShortN-Office Supplies</t>
  </si>
  <si>
    <t>McphersonJ-Default Licensee Me</t>
  </si>
  <si>
    <t>Staff function treated as staff entertainment</t>
  </si>
  <si>
    <t>AUSTRALIA POST 5869859</t>
  </si>
  <si>
    <t>RSA TOKEN INVOICE PERIOD ENDIN</t>
  </si>
  <si>
    <t>CANON BUSINESS SERVICES AUSTRALIA PTY</t>
  </si>
  <si>
    <t>NORTH WEST FINANCE PL TA NORTH WEST AGRI</t>
  </si>
  <si>
    <t>INV-0597-AMULL00</t>
  </si>
  <si>
    <t>PARAPHERNALIA DESIGN</t>
  </si>
  <si>
    <t>CORBAN &amp; BLAIR</t>
  </si>
  <si>
    <t>YARRA VALLEY LODGE RE SANDHURST TRUSTEES</t>
  </si>
  <si>
    <t>EQUIFAX AUSTRALIA INFORMATION SERVICES</t>
  </si>
  <si>
    <t>AU1-0001048-AONES00</t>
  </si>
  <si>
    <t>EVENT TRAVEL MANAGEMENT</t>
  </si>
  <si>
    <t>AU1-0001039-AONES00</t>
  </si>
  <si>
    <t>AU1-0001045-AONES00</t>
  </si>
  <si>
    <t>RyanC1-Domestic &amp; Overseas lod</t>
  </si>
  <si>
    <t>ROSSR-Default Licensee Merchan</t>
  </si>
  <si>
    <t>PriceC-Literature (Books, News</t>
  </si>
  <si>
    <t>SturgissH-Office Supplies</t>
  </si>
  <si>
    <t>ShepherdD-Airfares</t>
  </si>
  <si>
    <t>KrugerG-Default Licensee Merch</t>
  </si>
  <si>
    <t>HareK-Default Licensee Merchan</t>
  </si>
  <si>
    <t>MiddletonM-Default Licensee Me</t>
  </si>
  <si>
    <t>GoochLL-Other Personnel Expens</t>
  </si>
  <si>
    <t>SiceS-Domestic &amp; Overseas lodg</t>
  </si>
  <si>
    <t>SiceS-Entertainment Expense</t>
  </si>
  <si>
    <t>ReynoldsT-Default Licensee Mer</t>
  </si>
  <si>
    <t>DulmEJK2-Default Licensee Merc</t>
  </si>
  <si>
    <t>PaulgerA-Entertainment Expense</t>
  </si>
  <si>
    <t>MossA-Default Licensee Merchan</t>
  </si>
  <si>
    <t>07/03/2024-07/03/2024</t>
  </si>
  <si>
    <t>TOWNSENDP-Office Supplies</t>
  </si>
  <si>
    <t>WealE-Domestic &amp; Overseas lodg</t>
  </si>
  <si>
    <t>WealE-Office Supplies</t>
  </si>
  <si>
    <t>Staff gift</t>
  </si>
  <si>
    <t>FRAUD</t>
  </si>
  <si>
    <t xml:space="preserve">Business expenses </t>
  </si>
  <si>
    <t>All business expenses.  Treat as deductible</t>
  </si>
  <si>
    <t>Kitchen supplies</t>
  </si>
  <si>
    <t>SWINTONS IGA</t>
  </si>
  <si>
    <t>BIG SPRINGS RIVERINA</t>
  </si>
  <si>
    <t>PAM letters</t>
  </si>
  <si>
    <t>IRON MOUNTAIN AUSTRALIA GROUP PTY LTD</t>
  </si>
  <si>
    <t>Kitchen expenses</t>
  </si>
  <si>
    <t>Big Springs Water for the Wagg</t>
  </si>
  <si>
    <t>Office supplies</t>
  </si>
  <si>
    <t>Newspaper subscription</t>
  </si>
  <si>
    <t>GIBSON SOAK WATER COMPANY</t>
  </si>
  <si>
    <t>Replacement water bottles for</t>
  </si>
  <si>
    <t>fennellLJ-Office Supplies</t>
  </si>
  <si>
    <t>Bendigo branch supplies</t>
  </si>
  <si>
    <t>makehamaj-Office Supplies</t>
  </si>
  <si>
    <t>Kitchen &amp; Bathroom supplies</t>
  </si>
  <si>
    <t>WilsonE3-Office Supplies</t>
  </si>
  <si>
    <t>THE FRUIT BOX GROUP PTY LTD</t>
  </si>
  <si>
    <t>Nespresso Pods</t>
  </si>
  <si>
    <t>NESPRESSO CLUB</t>
  </si>
  <si>
    <t>Monthly Linen Hire for L16 Exe</t>
  </si>
  <si>
    <t>ALSCO SYDNEY T A ALSCO PTY LTD</t>
  </si>
  <si>
    <t>KnowlesB-Costs own Car Fleet</t>
  </si>
  <si>
    <t>Milk for Branch</t>
  </si>
  <si>
    <t>Office Fruit Supply</t>
  </si>
  <si>
    <t>COUNTRY FRUIT DISTRIBUTORS</t>
  </si>
  <si>
    <t>MICHAEL S SUPA IGA</t>
  </si>
  <si>
    <t>ThomasJ1-Office Supplies</t>
  </si>
  <si>
    <t>Office expenses - branch milk</t>
  </si>
  <si>
    <t>SvanosioG-Default Licensee Mer</t>
  </si>
  <si>
    <t>SvanosioG-Office Supplies</t>
  </si>
  <si>
    <t>VosR5-Default Licensee Merchan</t>
  </si>
  <si>
    <t>VosR5-Office Supplies</t>
  </si>
  <si>
    <t>MOUNT LOFTY SPRINGS</t>
  </si>
  <si>
    <t>HawkeA-Offshore Meals &amp; Lodgin</t>
  </si>
  <si>
    <t>Coffee beans for Office Cofee Machine</t>
  </si>
  <si>
    <t>MarchantS-Contributions &amp; Club</t>
  </si>
  <si>
    <t>AFR subscription</t>
  </si>
  <si>
    <t>RobertsonS-Office Supplies</t>
  </si>
  <si>
    <t>Office Expenses</t>
  </si>
  <si>
    <t>Weekly Times subscription - MAC</t>
  </si>
  <si>
    <t>BrennanS1-Offshore Meals &amp; Lod</t>
  </si>
  <si>
    <t>TWIBELLDS-Default Licensee Mer</t>
  </si>
  <si>
    <t>TWIBELLDS-Office Supplies</t>
  </si>
  <si>
    <t>IrwinP-Office Supplies</t>
  </si>
  <si>
    <t>WESTRIDGE FRUIT AND VEGETABLES</t>
  </si>
  <si>
    <t>Milk for the Branch plus deliv</t>
  </si>
  <si>
    <t>THE STORE ON EAGLE</t>
  </si>
  <si>
    <t>PageN-Literature (Books, Newsp</t>
  </si>
  <si>
    <t>CampbellL-Office Supplies</t>
  </si>
  <si>
    <t>DavisM2-Office Supplies</t>
  </si>
  <si>
    <t>branch supplies</t>
  </si>
  <si>
    <t>WeatherlyC-Office Supplies</t>
  </si>
  <si>
    <t>BriginshawZ-Office Supplies</t>
  </si>
  <si>
    <t>CraneB-Office Supplies</t>
  </si>
  <si>
    <t>DOHLES-Default Licensee Mercha</t>
  </si>
  <si>
    <t>GoodwinM1-Office Supplies</t>
  </si>
  <si>
    <t>PriceC-Office Supplies</t>
  </si>
  <si>
    <t>RIGHETTIM-Office Supplies</t>
  </si>
  <si>
    <t>CoxJ-Office Supplies</t>
  </si>
  <si>
    <t>DavisM2-Default Licensee Merch</t>
  </si>
  <si>
    <t>WAGGA CATERING EQUIPMENT</t>
  </si>
  <si>
    <t>CowanA-Offshore Meals &amp; Lodgin</t>
  </si>
  <si>
    <t>EllisT-Office Supplies</t>
  </si>
  <si>
    <t>Orange Office Kitchen Supplies</t>
  </si>
  <si>
    <t>KrugerG-Office Supplies</t>
  </si>
  <si>
    <t>LyK-Office Supplies</t>
  </si>
  <si>
    <t>PageN-Office Supplies</t>
  </si>
  <si>
    <t>RENT A PLANT</t>
  </si>
  <si>
    <t>BestermanF-Default Licensee Me</t>
  </si>
  <si>
    <t>search  fees to confirm Vic sales</t>
  </si>
  <si>
    <t>Branch Milk</t>
  </si>
  <si>
    <t>HudsonM1-Default Licensee Merc</t>
  </si>
  <si>
    <t>MuscatM-Office Supplies</t>
  </si>
  <si>
    <t>Purchase office supplies - Milk</t>
  </si>
  <si>
    <t>NorthcottM-Office Supplies</t>
  </si>
  <si>
    <t>Milk for Kadina branch</t>
  </si>
  <si>
    <t>SIMMONSM-Office Supplies</t>
  </si>
  <si>
    <t>Branch Morning tea supplies</t>
  </si>
  <si>
    <t>LomaxR-Offshore Meals &amp; Lodgin</t>
  </si>
  <si>
    <t>RIGHETTIM-Costs own Car Fleet</t>
  </si>
  <si>
    <t>CONNOLLYB-Office Supplies</t>
  </si>
  <si>
    <t>CONNOLLYB-Offshore Meals &amp; Lod</t>
  </si>
  <si>
    <t>StewartF-Default Licensee Merc</t>
  </si>
  <si>
    <t>BRENNANS-Office Supplies</t>
  </si>
  <si>
    <t>CARLSONM-Default Licensee Merc</t>
  </si>
  <si>
    <t>BROOKDS-Office Supplies</t>
  </si>
  <si>
    <t>CICCHELLIM-Offshore Meals &amp; Lo</t>
  </si>
  <si>
    <t>office coffee</t>
  </si>
  <si>
    <t>Milk - Bendigo branch</t>
  </si>
  <si>
    <t>HoepnerK-Office Supplies</t>
  </si>
  <si>
    <t>Drinking Water</t>
  </si>
  <si>
    <t>MckellarE-Office Supplies</t>
  </si>
  <si>
    <t>ADAMSG-Office Supplies</t>
  </si>
  <si>
    <t>Milk for Perth office</t>
  </si>
  <si>
    <t>BockR-Office Supplies</t>
  </si>
  <si>
    <t>CampbellT-Office Supplies</t>
  </si>
  <si>
    <t>DuftyW-Office Supplies</t>
  </si>
  <si>
    <t>Groceries for the Office</t>
  </si>
  <si>
    <t>GoodwinP-Office Supplies</t>
  </si>
  <si>
    <t>McphersonJ-Office Supplies</t>
  </si>
  <si>
    <t>ROBINSONPJ-Office Supplies</t>
  </si>
  <si>
    <t>Adelaide office - Milk, Fruit, Drinks</t>
  </si>
  <si>
    <t>ArnoldS-Office Supplies</t>
  </si>
  <si>
    <t>GrayC-Default Licensee Merchan</t>
  </si>
  <si>
    <t>Atherton Branch refreshments</t>
  </si>
  <si>
    <t>MorganL-Office Supplies</t>
  </si>
  <si>
    <t>TriplettT-Offshore Meals &amp; Lod</t>
  </si>
  <si>
    <t>Weekly Branch Fruit &amp; Milk Delivery - Tim Triplett</t>
  </si>
  <si>
    <t>ALLENB-Office Supplies</t>
  </si>
  <si>
    <t>RenyardL1-Office Supplies</t>
  </si>
  <si>
    <t>Milk &amp; Fruit</t>
  </si>
  <si>
    <t>FARMERS PICK PTY LTD</t>
  </si>
  <si>
    <t>COffee Beans for Office</t>
  </si>
  <si>
    <t>VosR5-Software</t>
  </si>
  <si>
    <t>Dalby - Office Supplies</t>
  </si>
  <si>
    <t>CowanA-Office Supplies</t>
  </si>
  <si>
    <t>Branch kitchen supplies</t>
  </si>
  <si>
    <t>MckinnonR-Default Licensee Mer</t>
  </si>
  <si>
    <t>CowanA-Entertainment Expense</t>
  </si>
  <si>
    <t>Branch food &amp; beverage x 12 - All branch staff - 12 x staff</t>
  </si>
  <si>
    <t>Staff Amenities</t>
  </si>
  <si>
    <t>HallG-Default Licensee Merchan</t>
  </si>
  <si>
    <t>COLES 0638</t>
  </si>
  <si>
    <t>GRIFFITH FOODWORKS</t>
  </si>
  <si>
    <t>COLES 0615</t>
  </si>
  <si>
    <t>UNITED PETROLEUM MOO</t>
  </si>
  <si>
    <t>NARROGIN FRUIT</t>
  </si>
  <si>
    <t>HARVEY NORMAN AV/IT</t>
  </si>
  <si>
    <t>RYANS IGA NORTHWAY</t>
  </si>
  <si>
    <t>WOOLWORTHS/EASTWOOD ST &amp;</t>
  </si>
  <si>
    <t>SQ *BRICKS &amp; MORTAR COFFE</t>
  </si>
  <si>
    <t>BP EMERALD 1434</t>
  </si>
  <si>
    <t>HARVEY NORMAN DISCOU</t>
  </si>
  <si>
    <t>COLES 4541</t>
  </si>
  <si>
    <t>NEWS PTY LIMITED</t>
  </si>
  <si>
    <t>7-ELEVEN 1201</t>
  </si>
  <si>
    <t>VIC PROPERTY CERTS</t>
  </si>
  <si>
    <t>COLES 4490</t>
  </si>
  <si>
    <t>COLES 0620</t>
  </si>
  <si>
    <t>DEECA VIC GOV</t>
  </si>
  <si>
    <t>Nextra Mildura</t>
  </si>
  <si>
    <t>WOOLWORTHS/126 STURT STRE</t>
  </si>
  <si>
    <t>COLES 8760</t>
  </si>
  <si>
    <t>WOOLWORTHS/ATHERTON VLG C</t>
  </si>
  <si>
    <t>COLES 0396</t>
  </si>
  <si>
    <t>WOOLWORTHS/27 LIVERPOOL S</t>
  </si>
  <si>
    <t>Woolworths Online</t>
  </si>
  <si>
    <t>Bing Lee Electrics Pty Li</t>
  </si>
  <si>
    <t>NESPRESSO AUSTRALIA</t>
  </si>
  <si>
    <t>WOOLWORTHS/197-203 ANSON</t>
  </si>
  <si>
    <t>Village Bakehouse</t>
  </si>
  <si>
    <t>COLES ONLINE</t>
  </si>
  <si>
    <t>WOOLWORTHS/95-103 LANGTRE</t>
  </si>
  <si>
    <t>DEVONPORT BAKERY PTY L</t>
  </si>
  <si>
    <t>COLES 4384</t>
  </si>
  <si>
    <t>FOODWORKS GOONDIWIND</t>
  </si>
  <si>
    <t>PERTH CONVENIENCE STORE</t>
  </si>
  <si>
    <t>WOOLWORTHS/1 FORSTER ST</t>
  </si>
  <si>
    <t>ALDI STORES - TAMWORTH</t>
  </si>
  <si>
    <t>CATCH</t>
  </si>
  <si>
    <t>NESPRESSO AU</t>
  </si>
  <si>
    <t>WOOLWORTHS/SWIFT ST &amp; DAV</t>
  </si>
  <si>
    <t>COLES EXPRESS 6743</t>
  </si>
  <si>
    <t>LA PICCOLA GROSSERIA</t>
  </si>
  <si>
    <t>SQ *EASY AS</t>
  </si>
  <si>
    <t>CACAO HOUSE</t>
  </si>
  <si>
    <t>THE CORNER PATCH</t>
  </si>
  <si>
    <t>BERNARDI'S/SHOP 4 159-173</t>
  </si>
  <si>
    <t>FOODWORKS LONGREACH</t>
  </si>
  <si>
    <t>WOOLWORTHS/ESPERANCE BVD</t>
  </si>
  <si>
    <t>COLES 4964</t>
  </si>
  <si>
    <t>WOOLWORTHS/80-88 RUNDLE S</t>
  </si>
  <si>
    <t>ALDI STORES - ECHUCA</t>
  </si>
  <si>
    <t>WOOLWORTHS/35 - 41 MURRAY</t>
  </si>
  <si>
    <t>AAII ENTERPRISES PTY L</t>
  </si>
  <si>
    <t>WOOLWORTHS/ANN ST</t>
  </si>
  <si>
    <t>SUPA IGA ORANGE</t>
  </si>
  <si>
    <t>APCO SHEPPARTON</t>
  </si>
  <si>
    <t>HANCOCK AND SONS</t>
  </si>
  <si>
    <t>BENDIGO FR* BENDIGO FR</t>
  </si>
  <si>
    <t>WOOLWORTHS/CNR 540 GEORGE</t>
  </si>
  <si>
    <t>WOOLWORTHS/SANDRIDGE RD</t>
  </si>
  <si>
    <t>WOOLWORTHS/CNR BEARDY &amp; J</t>
  </si>
  <si>
    <t>CURATED WITH CONS</t>
  </si>
  <si>
    <t>RJ SMITH ENGINEERING</t>
  </si>
  <si>
    <t>NARROGIN RETICULATION</t>
  </si>
  <si>
    <t>Liquor Baron Narrogin</t>
  </si>
  <si>
    <t>AGRIBUSINESS ASSOCIATION</t>
  </si>
  <si>
    <t>WOOLWORTHS/DARLING &amp; NISH</t>
  </si>
  <si>
    <t>ORM PTY LTD</t>
  </si>
  <si>
    <t>CHARGE_DESCRIPTION</t>
  </si>
  <si>
    <t>Office consumables</t>
  </si>
  <si>
    <t xml:space="preserve">Office consumables such as milk, fruit,  tea, coffee, plant rental are treated as tax deductible and not subject to FBT on the basis that they are not entertainment expenses. </t>
  </si>
  <si>
    <t>Onsite sustenance such as working lunches, onsite morning and afternoon teas are treated as tax deductible on the basis that they are not entertainment expenses.</t>
  </si>
  <si>
    <t>Inlcudes ME and staff gifts which are exempt from FBT</t>
  </si>
  <si>
    <t xml:space="preserve">Inlcudes ME, staff gifts which are exempt from FBT and capital expenditure </t>
  </si>
  <si>
    <t xml:space="preserve">Rabobank has organised the following tours - cotton tour (Top End Cotton Tour TECT), Canadian grains tour (CGT),  Executive Development Program (EDP25M1 or CNEDP25M1), Farm Management Program (FMP18),Mini Masterclass Bundaberg (MMCB),  Mini Masterclass Riverina (MMCR), BMP Alumni Tour (BMPAT24) .  All costs associated with these programs are treated as deductible. </t>
  </si>
  <si>
    <t>Clients pay to attend the above events and all client contributions have been treated as assessable on the basis that the payments relate to the ordinary business activities of Rabobank.</t>
  </si>
  <si>
    <t xml:space="preserve">All branch Anniversary expenses have been treated as ME </t>
  </si>
  <si>
    <t>AU001 / MEC</t>
  </si>
  <si>
    <t>FBT return for the year ended 31 March 2025</t>
  </si>
  <si>
    <t>WP2 - Entertainment sensitive GL Accounts for Apr 2024 to Dec 2024</t>
  </si>
  <si>
    <t>OPERATING_UNIT_CODE</t>
  </si>
  <si>
    <t>AU010021</t>
  </si>
  <si>
    <t>AU030055</t>
  </si>
  <si>
    <t>AU032055</t>
  </si>
  <si>
    <t>AU030222</t>
  </si>
  <si>
    <t>LILEYIT-Entertainment Expense</t>
  </si>
  <si>
    <t>Seminar at Beef 2024</t>
  </si>
  <si>
    <t>BEEFAUS* BEEFAUS24 TIX</t>
  </si>
  <si>
    <t>AU010030</t>
  </si>
  <si>
    <t>AU030310</t>
  </si>
  <si>
    <t>00000196-AZAVE00</t>
  </si>
  <si>
    <t>Media Training - Deb Maskell-D</t>
  </si>
  <si>
    <t>00000196</t>
  </si>
  <si>
    <t>AU025104</t>
  </si>
  <si>
    <t>INV-18286-AFINA09</t>
  </si>
  <si>
    <t>INV-18286</t>
  </si>
  <si>
    <t>AU025109</t>
  </si>
  <si>
    <t>AU010025</t>
  </si>
  <si>
    <t>AU030619</t>
  </si>
  <si>
    <t>BriginshawZ-Postage</t>
  </si>
  <si>
    <t>AP NARROGIN POST SHOP</t>
  </si>
  <si>
    <t>AU020099</t>
  </si>
  <si>
    <t>KingstonK-Default Licensee Mer</t>
  </si>
  <si>
    <t>Staff Development - Rethink Change Conference</t>
  </si>
  <si>
    <t>TICKETS*RETHINK CH/5s2gwpxy</t>
  </si>
  <si>
    <t>AU032049</t>
  </si>
  <si>
    <t>AU032074</t>
  </si>
  <si>
    <t>AU074251</t>
  </si>
  <si>
    <t>SpilsteadN-Default Licensee Me</t>
  </si>
  <si>
    <t>Cotton Conference Early Bird Registration</t>
  </si>
  <si>
    <t>CORNERSTONE EVENTS</t>
  </si>
  <si>
    <t>AU010014</t>
  </si>
  <si>
    <t>22205-OMEND00</t>
  </si>
  <si>
    <t>Coaching Masterclass Leadershi</t>
  </si>
  <si>
    <t>22205</t>
  </si>
  <si>
    <t>MEND B.V.</t>
  </si>
  <si>
    <t>AU030510</t>
  </si>
  <si>
    <t>PIX conference registration</t>
  </si>
  <si>
    <t>KAM EVENTS</t>
  </si>
  <si>
    <t>AU025068</t>
  </si>
  <si>
    <t>10002093-AINFO11</t>
  </si>
  <si>
    <t>AU010010</t>
  </si>
  <si>
    <t>AuYeungS-Default Licensee Merc</t>
  </si>
  <si>
    <t>USA GreenBiz Sustainability event - payable by the US team</t>
  </si>
  <si>
    <t>GREENBIZ GROUP INC/GREENBIZ 24/RDNTNKS38YJ</t>
  </si>
  <si>
    <t>AU070150</t>
  </si>
  <si>
    <t>KellyA4-Contributions &amp; Club M</t>
  </si>
  <si>
    <t>$223.39 Rural Press Club</t>
  </si>
  <si>
    <t>RURAL PRESS CLUB QLD</t>
  </si>
  <si>
    <t>AU076174</t>
  </si>
  <si>
    <t>MiddletonM-Entertainment Expen</t>
  </si>
  <si>
    <t>Seminars Beef Week</t>
  </si>
  <si>
    <t>AU050118</t>
  </si>
  <si>
    <t>BARRACLOUGHD-Tuition (study) R</t>
  </si>
  <si>
    <t>climate governance forum</t>
  </si>
  <si>
    <t>COMPANY DIRECTOR</t>
  </si>
  <si>
    <t>AU073133</t>
  </si>
  <si>
    <t>13494-AGPTP00</t>
  </si>
  <si>
    <t>AU073158</t>
  </si>
  <si>
    <t>AU025103</t>
  </si>
  <si>
    <t>863320-AUNIV00</t>
  </si>
  <si>
    <t>Geraldton CNAg September 2023</t>
  </si>
  <si>
    <t>863320</t>
  </si>
  <si>
    <t>THE UNIVERSITY OF MELBOURNE</t>
  </si>
  <si>
    <t>864573-AUNIV00</t>
  </si>
  <si>
    <t>Facilitator Expenses - Ayr, Ke</t>
  </si>
  <si>
    <t>864573</t>
  </si>
  <si>
    <t>AU025074</t>
  </si>
  <si>
    <t>INV-0195-ALEAD00</t>
  </si>
  <si>
    <t>ITS Leadership Team Program</t>
  </si>
  <si>
    <t>INV-0195</t>
  </si>
  <si>
    <t>LEADERSHIP SHAPERS PTY LTD</t>
  </si>
  <si>
    <t>INV-18522-AFINA09</t>
  </si>
  <si>
    <t>FEP costs for April</t>
  </si>
  <si>
    <t>INV-18522</t>
  </si>
  <si>
    <t>AU030420</t>
  </si>
  <si>
    <t>MurrayR-Entertainment Expense</t>
  </si>
  <si>
    <t>RAB050-AHUDS00</t>
  </si>
  <si>
    <t>HudsonfacilitationFSW_NQNT_Apr</t>
  </si>
  <si>
    <t>RAB050</t>
  </si>
  <si>
    <t>AU050119</t>
  </si>
  <si>
    <t>ZEN*Australian Propert</t>
  </si>
  <si>
    <t>BaxterD-Tuition (study) Reimbu</t>
  </si>
  <si>
    <t>AGSM @ UNSW</t>
  </si>
  <si>
    <t>AU010016</t>
  </si>
  <si>
    <t>LiscoeA-Default Licensee Merch</t>
  </si>
  <si>
    <t>Recertification of Product Owner</t>
  </si>
  <si>
    <t>EB *CERTIFIED SCRUM PR</t>
  </si>
  <si>
    <t>RAB051-AHUDS00</t>
  </si>
  <si>
    <t>HudsonFailitation_VirtualFSW_M</t>
  </si>
  <si>
    <t>RAB051</t>
  </si>
  <si>
    <t>DellitT-Default Licensee Merch</t>
  </si>
  <si>
    <t>CMI Carbon Farming Forum</t>
  </si>
  <si>
    <t>CMI* 8TH CARBON FARMIN</t>
  </si>
  <si>
    <t>Conference - Peter HonnefP</t>
  </si>
  <si>
    <t>AA&amp;P EVENTS</t>
  </si>
  <si>
    <t>AU020090</t>
  </si>
  <si>
    <t>AU030100</t>
  </si>
  <si>
    <t>TAYLORC1-Default Licensee Merc</t>
  </si>
  <si>
    <t>GRDC Updates Registration Fee - Crawford Taylor</t>
  </si>
  <si>
    <t>TICKETS*2024 GRDC/j63a60w1</t>
  </si>
  <si>
    <t>AU030213</t>
  </si>
  <si>
    <t>WOOLWORTHS/502 PEEL STREE</t>
  </si>
  <si>
    <t>RAB052-AHUDS00</t>
  </si>
  <si>
    <t>HudsonFaciliation_FSW_SVIC.TAS</t>
  </si>
  <si>
    <t>RAB052</t>
  </si>
  <si>
    <t>AU025080</t>
  </si>
  <si>
    <t>22212-OMEND00</t>
  </si>
  <si>
    <t>Coaching Masterclass Sessions</t>
  </si>
  <si>
    <t>22212</t>
  </si>
  <si>
    <t>AU060888</t>
  </si>
  <si>
    <t>AU030613</t>
  </si>
  <si>
    <t>Steve Kelly: AAAC WA Professional Development</t>
  </si>
  <si>
    <t>TRYBOOKING*AAACWA INC/219305068790</t>
  </si>
  <si>
    <t>MICHELLE ZELTZER</t>
  </si>
  <si>
    <t>NTCA Conference Rego - Alice Springs</t>
  </si>
  <si>
    <t>AU075166</t>
  </si>
  <si>
    <t>dutchlink event networking</t>
  </si>
  <si>
    <t>EB *Cycle for Change K</t>
  </si>
  <si>
    <t>network event 06 06 2024</t>
  </si>
  <si>
    <t>DUTCHLINK PTY LTD</t>
  </si>
  <si>
    <t>UNSW</t>
  </si>
  <si>
    <t>INV-18761-AFINA09</t>
  </si>
  <si>
    <t>FEP Enrolment costs</t>
  </si>
  <si>
    <t>INV-18761</t>
  </si>
  <si>
    <t>WEBBERM-Entertainment Expense</t>
  </si>
  <si>
    <t>Beef Entry 2024</t>
  </si>
  <si>
    <t>AU030612</t>
  </si>
  <si>
    <t>2403-ALIEB00</t>
  </si>
  <si>
    <t>2403</t>
  </si>
  <si>
    <t>THE LIEBE GROUP</t>
  </si>
  <si>
    <t>AU020080</t>
  </si>
  <si>
    <t>INV-1253-ATRAN10</t>
  </si>
  <si>
    <t>INV-1253</t>
  </si>
  <si>
    <t>TRANSITION PARTNERS</t>
  </si>
  <si>
    <t>AU032053</t>
  </si>
  <si>
    <t>Campbell Town Venue Hire FSW May</t>
  </si>
  <si>
    <t>WWW.THEGRANGE.COM.AU</t>
  </si>
  <si>
    <t>Haynest-Offshore Meals &amp; Lodgi</t>
  </si>
  <si>
    <t>Financial Skills Workshop - Leongatha</t>
  </si>
  <si>
    <t>SQ *SPACE 47</t>
  </si>
  <si>
    <t>00000207-AZAVE00</t>
  </si>
  <si>
    <t>00000207</t>
  </si>
  <si>
    <t>AU025064</t>
  </si>
  <si>
    <t>AU032045</t>
  </si>
  <si>
    <t>Farm Writers industry lunch</t>
  </si>
  <si>
    <t>FARM WRITERS</t>
  </si>
  <si>
    <t>AU032056</t>
  </si>
  <si>
    <t>ShepherdD-Default Licensee Mer</t>
  </si>
  <si>
    <t>Professional Development - Hogan Certification Training (Danny Shepherd)</t>
  </si>
  <si>
    <t>PETER BERRY CONSULTANCY P</t>
  </si>
  <si>
    <t>JENKINS-Default Licensee Merch</t>
  </si>
  <si>
    <t>Ag Fair Entry</t>
  </si>
  <si>
    <t>SQ *AGFAIR BROKEN HILL</t>
  </si>
  <si>
    <t>API Rural &amp; Agribusiness Specialisation Program 2024</t>
  </si>
  <si>
    <t>women's lunch tickets</t>
  </si>
  <si>
    <t>PurdyN-Default Licensee Mercha</t>
  </si>
  <si>
    <t>Agribalance workshop Narrogin</t>
  </si>
  <si>
    <t>EB *AgriBalance Worksh</t>
  </si>
  <si>
    <t>AU030212</t>
  </si>
  <si>
    <t>Training &amp; Development_Governance Institute Course</t>
  </si>
  <si>
    <t>GOVERNANCE INSTITUTE</t>
  </si>
  <si>
    <t>DickeyM-Default Licensee Merch</t>
  </si>
  <si>
    <t>CLOC</t>
  </si>
  <si>
    <t>CLOC DIREC* 2024 APAC</t>
  </si>
  <si>
    <t>LILEYIT-Default Licensee Merch</t>
  </si>
  <si>
    <t>GRDC update</t>
  </si>
  <si>
    <t>AU030320</t>
  </si>
  <si>
    <t>McDougallJ-Default Licensee Me</t>
  </si>
  <si>
    <t>Best Wool/Best lamb Conference</t>
  </si>
  <si>
    <t>TRYBOOKING*DEECA/219342311628</t>
  </si>
  <si>
    <t>AU030319</t>
  </si>
  <si>
    <t>GRDC Event Ticket</t>
  </si>
  <si>
    <t>AU071196</t>
  </si>
  <si>
    <t>PassmoreA-Default Licensee Mer</t>
  </si>
  <si>
    <t>Renewables in Ag conference ticket</t>
  </si>
  <si>
    <t>TICKETS*NATIONAL R/6zp4xy8v</t>
  </si>
  <si>
    <t>Solar tour - renewables in ag conference</t>
  </si>
  <si>
    <t>TICKETS*NATIONAL R/bmh8ryfm</t>
  </si>
  <si>
    <t>863376-AUNIV00</t>
  </si>
  <si>
    <t>863376</t>
  </si>
  <si>
    <t>BaxterD-Default Licensee Merch</t>
  </si>
  <si>
    <t>Australian Agribusiness Conference</t>
  </si>
  <si>
    <t>AU061134</t>
  </si>
  <si>
    <t>BARRACLOUGHD-Default Licensee</t>
  </si>
  <si>
    <t>cotton conference</t>
  </si>
  <si>
    <t>EVANSP-Default Licensee Mercha</t>
  </si>
  <si>
    <t>First Aid qualification for the Canadian Grains Tour</t>
  </si>
  <si>
    <t>ST JOHN AMBULANCE AU</t>
  </si>
  <si>
    <t>Ticket - Leon Fennell to the Natutal Capital forum in Bendigo</t>
  </si>
  <si>
    <t>EB *Natural Capital Fo</t>
  </si>
  <si>
    <t>AU030318</t>
  </si>
  <si>
    <t>AU030217</t>
  </si>
  <si>
    <t>AU036742</t>
  </si>
  <si>
    <t>OonkWMJ1-Default Licensee Merc</t>
  </si>
  <si>
    <t>ISDA course</t>
  </si>
  <si>
    <t>AFMA</t>
  </si>
  <si>
    <t>AGSM58206-AUNIV06</t>
  </si>
  <si>
    <t>AGSM58206</t>
  </si>
  <si>
    <t>UNIVERSITY OF NSW</t>
  </si>
  <si>
    <t>AU050115</t>
  </si>
  <si>
    <t>AGSM67775-AUNIV06</t>
  </si>
  <si>
    <t>Accelerated Leadership Program</t>
  </si>
  <si>
    <t>AGSM67775</t>
  </si>
  <si>
    <t>INV-7283-APINN01</t>
  </si>
  <si>
    <t>EPMO Strategy Day Culture</t>
  </si>
  <si>
    <t>INV-7283</t>
  </si>
  <si>
    <t>PINNACLE TEAMS EVENTS PTY LTD</t>
  </si>
  <si>
    <t>AU071197</t>
  </si>
  <si>
    <t>00058-AWILL01</t>
  </si>
  <si>
    <t>RaboResearch Culture Training</t>
  </si>
  <si>
    <t>00058</t>
  </si>
  <si>
    <t>WILLIAM ALASTAIR WHITE</t>
  </si>
  <si>
    <t>INV-19030-AFINA09</t>
  </si>
  <si>
    <t>INV-19030</t>
  </si>
  <si>
    <t>CroattoMJ-Default Licensee Mer</t>
  </si>
  <si>
    <t>State conference API</t>
  </si>
  <si>
    <t>fennellLJ-Offshore Meals &amp; Lod</t>
  </si>
  <si>
    <t>Financial Skills Workshop, Bendigo VIC, 28/05/2024, venue hire &amp; catering</t>
  </si>
  <si>
    <t>The Bendigo Club</t>
  </si>
  <si>
    <t>Lambex Conference Adelaide - 3 days including meals</t>
  </si>
  <si>
    <t>COUNTRYWIDE CONFERENCE</t>
  </si>
  <si>
    <t>AU030514</t>
  </si>
  <si>
    <t>HoepnerK-Default Licensee Merc</t>
  </si>
  <si>
    <t>Thriving Women Conference Ticket</t>
  </si>
  <si>
    <t>TICKETS*THRIVING W/hwkcdcfx</t>
  </si>
  <si>
    <t>MonsbourghL-Entertainment Expe</t>
  </si>
  <si>
    <t>Beef Week attendance</t>
  </si>
  <si>
    <t>AU030611</t>
  </si>
  <si>
    <t>Staff Agribalance workshop</t>
  </si>
  <si>
    <t>Farm tour</t>
  </si>
  <si>
    <t>TICKETS*NATIONAL R/5gpc6qge</t>
  </si>
  <si>
    <t>DickeyM-Tuition (study) Reimbu</t>
  </si>
  <si>
    <t>Training - GenAI</t>
  </si>
  <si>
    <t>PAYPAL/J24985VSW3NR</t>
  </si>
  <si>
    <t>GallowayM-Entertainment Expens</t>
  </si>
  <si>
    <t>ParraM-Default Licensee Mercha</t>
  </si>
  <si>
    <t>AgriBalance Workshop FARMANCO</t>
  </si>
  <si>
    <t>INV-0346-ALEAR00</t>
  </si>
  <si>
    <t>IFTI module</t>
  </si>
  <si>
    <t>INV-0346</t>
  </si>
  <si>
    <t>AU076175</t>
  </si>
  <si>
    <t>InglisK-Default Licensee Merch</t>
  </si>
  <si>
    <t>work conference</t>
  </si>
  <si>
    <t>POTATOES AUSTRALIA</t>
  </si>
  <si>
    <t>AU025063</t>
  </si>
  <si>
    <t>PitkethleyS-Software</t>
  </si>
  <si>
    <t>WHS System Template for benchmarking</t>
  </si>
  <si>
    <t>SAFETYCULTURE PLUS</t>
  </si>
  <si>
    <t>JonesS2-Offshore Meals &amp; Lodgi</t>
  </si>
  <si>
    <t>Succession Planning venue</t>
  </si>
  <si>
    <t>CANOBOLAS PUB PTY LI</t>
  </si>
  <si>
    <t>WallaceMA-Offshore Meals &amp; Lod</t>
  </si>
  <si>
    <t>SSA Booking - Succession Workshop</t>
  </si>
  <si>
    <t>NXT*The Albury SSA Club</t>
  </si>
  <si>
    <t>AU030511</t>
  </si>
  <si>
    <t>fairliel-Default Licensee Merc</t>
  </si>
  <si>
    <t>Dairy Day Tickets</t>
  </si>
  <si>
    <t>TICKETS*DAIRYSA 20/23ev1bbe</t>
  </si>
  <si>
    <t>Haynest-Default Licensee Merch</t>
  </si>
  <si>
    <t>NIDA</t>
  </si>
  <si>
    <t>HETHERINGTONR-Default Licensee</t>
  </si>
  <si>
    <t>MLA conference</t>
  </si>
  <si>
    <t>MEAT &amp; LIVESTOCK AUS</t>
  </si>
  <si>
    <t>AU030316</t>
  </si>
  <si>
    <t>JASPERMI-Default Licensee Merc</t>
  </si>
  <si>
    <t>GRDC Update seminar- Nhill</t>
  </si>
  <si>
    <t>AU036750</t>
  </si>
  <si>
    <t>AU025025</t>
  </si>
  <si>
    <t>AU025082</t>
  </si>
  <si>
    <t>AU030432</t>
  </si>
  <si>
    <t>AU030315</t>
  </si>
  <si>
    <t>AU025067</t>
  </si>
  <si>
    <t>Energy &amp; Climate Summit - Vishal Patel</t>
  </si>
  <si>
    <t>RECEIPT- GST INCLUSIVE</t>
  </si>
  <si>
    <t>WALKERA-Default Licensee Merch</t>
  </si>
  <si>
    <t>Venue/Room Hire for St George Client Carbon Workshop</t>
  </si>
  <si>
    <t>BALONNE SHIRE COUNCIL</t>
  </si>
  <si>
    <t>22217-OMEND00</t>
  </si>
  <si>
    <t>22217</t>
  </si>
  <si>
    <t>22224-OMEND00</t>
  </si>
  <si>
    <t>Masterclass Sessions July</t>
  </si>
  <si>
    <t>22224</t>
  </si>
  <si>
    <t>AP-PR 1987585-ADAVI21</t>
  </si>
  <si>
    <t>AU030617</t>
  </si>
  <si>
    <t>Agribalance mental Health training</t>
  </si>
  <si>
    <t>AU010023</t>
  </si>
  <si>
    <t>DijkVS-Default Licensee Mercha</t>
  </si>
  <si>
    <t>Training TAPs LSL course</t>
  </si>
  <si>
    <t>THE ASSOCIATION FOR PA/630310455909</t>
  </si>
  <si>
    <t>AshworthJ-Default Licensee Mer</t>
  </si>
  <si>
    <t>Energy conference</t>
  </si>
  <si>
    <t>BaxterD-Entertainment Expense</t>
  </si>
  <si>
    <t>Wind Endergy Conference (Melbourne)</t>
  </si>
  <si>
    <t>LEADER ASSOCIATES</t>
  </si>
  <si>
    <t>carbon farming conference refund</t>
  </si>
  <si>
    <t>AU030214</t>
  </si>
  <si>
    <t>EllisT-Other Personnel Expense</t>
  </si>
  <si>
    <t>GoochLL-Default Licensee Merch</t>
  </si>
  <si>
    <t>Training/networking event - CA's (Sam Orr, Jack Priest, Josh Jones)</t>
  </si>
  <si>
    <t>Agri Balance workshop</t>
  </si>
  <si>
    <t>PROPSTINGRL-Domestic &amp; Oversea</t>
  </si>
  <si>
    <t>FinancialSkillsWorkshops_PittsworthQLD_16Jul_VenueHire</t>
  </si>
  <si>
    <t>SURANDA PTY LTD</t>
  </si>
  <si>
    <t>Jul 24 YTD Clear to AU073158</t>
  </si>
  <si>
    <t>AGSM83092-AUNIV06</t>
  </si>
  <si>
    <t>AGSM83092</t>
  </si>
  <si>
    <t>AU010067</t>
  </si>
  <si>
    <t>TALENT MACHAKAIRE</t>
  </si>
  <si>
    <t>Lambex Conference Ticket</t>
  </si>
  <si>
    <t>Industry Event - Grasslands Conference</t>
  </si>
  <si>
    <t>MJ* GRASSLANDSOCIETYOF</t>
  </si>
  <si>
    <t>AU030513</t>
  </si>
  <si>
    <t>MorganL-Default Licensee Merch</t>
  </si>
  <si>
    <t>Thriving Womens 2024 Conference 12th Aug - 13th Aug for Lily Morgan</t>
  </si>
  <si>
    <t>TICKETS*THRIVING W/35c79fkd</t>
  </si>
  <si>
    <t>INV-19299-AFINA09</t>
  </si>
  <si>
    <t>INV-19299</t>
  </si>
  <si>
    <t>AU030423</t>
  </si>
  <si>
    <t>ConwayT-Entertainment Expense</t>
  </si>
  <si>
    <t>Ag Grow gate entry</t>
  </si>
  <si>
    <t>AG GROW PTY LTD</t>
  </si>
  <si>
    <t>MULLERTA-Entertainment Expense</t>
  </si>
  <si>
    <t>Longreach FSW - Venue and Catering</t>
  </si>
  <si>
    <t>QANTAS FOUNDERS MUSEUM</t>
  </si>
  <si>
    <t>HR Strategy, HO Rembrsmt</t>
  </si>
  <si>
    <t>RUral</t>
  </si>
  <si>
    <t>KellyA4-Default Licensee Merch</t>
  </si>
  <si>
    <t>$279.12 Cotton conference</t>
  </si>
  <si>
    <t>SkountzosR-Contributions &amp; Clu</t>
  </si>
  <si>
    <t>Jenniffer Chris Thomson Reuters Regulatory Summit</t>
  </si>
  <si>
    <t>THOMSONREUTERS ESTORE/74564724198210328194506</t>
  </si>
  <si>
    <t>38247611-01/06/24-AVIEW00</t>
  </si>
  <si>
    <t>View By Sydney Venue Hire</t>
  </si>
  <si>
    <t>38247611-01/06/24</t>
  </si>
  <si>
    <t>VIEW BY SYDNEY</t>
  </si>
  <si>
    <t>AU020097</t>
  </si>
  <si>
    <t>AU032054</t>
  </si>
  <si>
    <t>00000236-AZAVE00</t>
  </si>
  <si>
    <t>Media Train for Ally Osborne a</t>
  </si>
  <si>
    <t>00000236</t>
  </si>
  <si>
    <t>Media Training for Paul Joules</t>
  </si>
  <si>
    <t>MEMC242553-AAUST105</t>
  </si>
  <si>
    <t>ACI 12 x users</t>
  </si>
  <si>
    <t>MEMC242553</t>
  </si>
  <si>
    <t>AUSTRALIAN COMPLIANCE INSTITUTE</t>
  </si>
  <si>
    <t>RB202401-WNIKI01</t>
  </si>
  <si>
    <t>Menopause Session 1 - Niki Bez</t>
  </si>
  <si>
    <t>RB202401</t>
  </si>
  <si>
    <t>NIKI BEZZANT</t>
  </si>
  <si>
    <t>AU036746</t>
  </si>
  <si>
    <t>EEC-500-EBOSC00</t>
  </si>
  <si>
    <t>Diploma of Leadership and Mana</t>
  </si>
  <si>
    <t>EEC-500</t>
  </si>
  <si>
    <t>TIFFANY BOSCO</t>
  </si>
  <si>
    <t>AU010020</t>
  </si>
  <si>
    <t>AU030615</t>
  </si>
  <si>
    <t>MUSITANOJB-Default Licensee Me</t>
  </si>
  <si>
    <t>WAFF Dairy  farmers 2024 Conference</t>
  </si>
  <si>
    <t>EB *WAFarmers 2024 Dai</t>
  </si>
  <si>
    <t>Agribalance workshop</t>
  </si>
  <si>
    <t>ExmannJ-Default Licensee Merch</t>
  </si>
  <si>
    <t>Grain conference</t>
  </si>
  <si>
    <t>GRAIN TRADE AUSTRALIA</t>
  </si>
  <si>
    <t>KumarA1-Tuition (study) Reimbu</t>
  </si>
  <si>
    <t>ALC TRAINING</t>
  </si>
  <si>
    <t>3 x 3 day passes for Henty Field Days</t>
  </si>
  <si>
    <t>123TIX*HENTY MACHINERY</t>
  </si>
  <si>
    <t>K 592 490 141-6-ATELS01</t>
  </si>
  <si>
    <t>Energy Transition Seminar</t>
  </si>
  <si>
    <t>CEIG.ORG.AU</t>
  </si>
  <si>
    <t>AGSM course</t>
  </si>
  <si>
    <t>AU030317</t>
  </si>
  <si>
    <t>RotthierZ-Default Licensee Mer</t>
  </si>
  <si>
    <t>Succession Expo Ticket</t>
  </si>
  <si>
    <t>TICKETS*BRUTHEN SU/n9hajxqj</t>
  </si>
  <si>
    <t>Clear OU</t>
  </si>
  <si>
    <t>FMP19 Tim Priest</t>
  </si>
  <si>
    <t>FMP19 Jo Thomas</t>
  </si>
  <si>
    <t>FMP19 Michael Williams</t>
  </si>
  <si>
    <t>FMP19 Thomas Campbell</t>
  </si>
  <si>
    <t>Partial re</t>
  </si>
  <si>
    <t>NIDA Corporate training</t>
  </si>
  <si>
    <t>11907-A100001</t>
  </si>
  <si>
    <t>Half Day Simulation Workshop f</t>
  </si>
  <si>
    <t>11907</t>
  </si>
  <si>
    <t>RB202402-WNIKI01</t>
  </si>
  <si>
    <t>Menopause Session 2</t>
  </si>
  <si>
    <t>RB202402</t>
  </si>
  <si>
    <t>GallowayM-Offshore Meals &amp; Lod</t>
  </si>
  <si>
    <t>JohnstoneI1-Default Licensee M</t>
  </si>
  <si>
    <t>Cotton Conf</t>
  </si>
  <si>
    <t>Grains Conference TIcket</t>
  </si>
  <si>
    <t>Advanced LSL Virtual Training Session - Payroll</t>
  </si>
  <si>
    <t>THE ASSOCIATION FOR PA/652112445341</t>
  </si>
  <si>
    <t>38247611-27/08/24-AVIEW00</t>
  </si>
  <si>
    <t>38247611-27/08/24</t>
  </si>
  <si>
    <t>INV-6873-ALANG01</t>
  </si>
  <si>
    <t>Langley Group Strength Profile</t>
  </si>
  <si>
    <t>INV-6873</t>
  </si>
  <si>
    <t>August FarmWriters event - Bob Gottliebsen</t>
  </si>
  <si>
    <t>Farmwriters - membership</t>
  </si>
  <si>
    <t>June FarmWriters event - Supermarket panel</t>
  </si>
  <si>
    <t>INV-19507-AFINA09</t>
  </si>
  <si>
    <t>Content Customisation</t>
  </si>
  <si>
    <t>INV-19507</t>
  </si>
  <si>
    <t>Clean Energy Investor Conf</t>
  </si>
  <si>
    <t>Refund of Succession Expo ticket</t>
  </si>
  <si>
    <t>TICKETS*BRUTHEN SU/26eptypq</t>
  </si>
  <si>
    <t>INV-12639</t>
  </si>
  <si>
    <t>22228-OMEND00</t>
  </si>
  <si>
    <t>22228</t>
  </si>
  <si>
    <t>004_24-25_Invoice-AKLII00</t>
  </si>
  <si>
    <t>Moodle monthly Directors LMS</t>
  </si>
  <si>
    <t>004_24-25_Invoice</t>
  </si>
  <si>
    <t>Tamworth CNAg F2F Workshop | 14 August 2024</t>
  </si>
  <si>
    <t>TAMWORTH HOTEL MANAGEM</t>
  </si>
  <si>
    <t>DonponR-Default Licensee Merch</t>
  </si>
  <si>
    <t>SuccessionsSessions_TamboQLD_22October_VenueHire</t>
  </si>
  <si>
    <t>BLACKALL TAMBO REG COU/160210003289</t>
  </si>
  <si>
    <t>DonponR-Domestic &amp; Overseas lo</t>
  </si>
  <si>
    <t>SuccessionSesions_RomaQLD_21October_VenueHire</t>
  </si>
  <si>
    <t>ROMA EXPLORERS INN</t>
  </si>
  <si>
    <t>Venue Deposit - Tamworth FSW Module 2 | September 13 2024</t>
  </si>
  <si>
    <t>SuccessionSessions_OrangeNSW_05Sept_Catering</t>
  </si>
  <si>
    <t>SuccessionSessions_OrangeNSW_5SEPT_Catering</t>
  </si>
  <si>
    <t>EEC-658-EDRAK01</t>
  </si>
  <si>
    <t>Anna Drake Toastmasters Member</t>
  </si>
  <si>
    <t>EEC-658</t>
  </si>
  <si>
    <t>63507-AVALI01</t>
  </si>
  <si>
    <t>Furniture Hire for ALT event</t>
  </si>
  <si>
    <t>63507</t>
  </si>
  <si>
    <t>VALIANT COMMERCIAL FURNITURE PTY LTD</t>
  </si>
  <si>
    <t>AFR Clean Energy Summit Conference</t>
  </si>
  <si>
    <t>Fairfax Business</t>
  </si>
  <si>
    <t>AU036745</t>
  </si>
  <si>
    <t>KimI-Entertainment Expense</t>
  </si>
  <si>
    <t>Conference for Marketing Analytics</t>
  </si>
  <si>
    <t>LUPTIX</t>
  </si>
  <si>
    <t>LourieA-Default Licensee Merch</t>
  </si>
  <si>
    <t>Seafood Conference</t>
  </si>
  <si>
    <t>LEISHMAN ASSOCIATES</t>
  </si>
  <si>
    <t>Vic Transport Assoc breakfast</t>
  </si>
  <si>
    <t>VIC TRANS ASSOC INC</t>
  </si>
  <si>
    <t>AU010033</t>
  </si>
  <si>
    <t>Ex</t>
  </si>
  <si>
    <t>AU025100</t>
  </si>
  <si>
    <t>knowlesp-Default Licensee Merc</t>
  </si>
  <si>
    <t>AusPayNet Summit 2024</t>
  </si>
  <si>
    <t>AUSTRALIAN PAYMENTS NE</t>
  </si>
  <si>
    <t>Viterra Site Tour with WoTL for Kadina Staff, including a tour of Viterra Site at Wallaroo and grain</t>
  </si>
  <si>
    <t>TICKETS*YP WOTL GR/q3tdtwdd</t>
  </si>
  <si>
    <t>SINCLAIRN-Default Licensee Mer</t>
  </si>
  <si>
    <t>Conference</t>
  </si>
  <si>
    <t>EB *Future Horizons Fo</t>
  </si>
  <si>
    <t>AP Closed Vouchers</t>
  </si>
  <si>
    <t>AU030616</t>
  </si>
  <si>
    <t>ThompsonP-Office Supplies</t>
  </si>
  <si>
    <t>Financial Skills Workshop - Ongerup</t>
  </si>
  <si>
    <t>OFFICEWORKS 0619</t>
  </si>
  <si>
    <t>38247611-19/09/24-AVIEW00</t>
  </si>
  <si>
    <t>View By Sydney final deposit</t>
  </si>
  <si>
    <t>38247611-19/09/24</t>
  </si>
  <si>
    <t>INV-19738-AFINA09</t>
  </si>
  <si>
    <t>INV-19738</t>
  </si>
  <si>
    <t>Tamworth FSW Module 2 | Venue &amp; Catering - 13th Sep 2024</t>
  </si>
  <si>
    <t>Raboresearch Orange Client Event</t>
  </si>
  <si>
    <t>INV-0189</t>
  </si>
  <si>
    <t>SUCCESS2YOU PTY LTD</t>
  </si>
  <si>
    <t>RB202403-WNIKI01</t>
  </si>
  <si>
    <t>Outstanding Amount for Menopau</t>
  </si>
  <si>
    <t>RB202403</t>
  </si>
  <si>
    <t>AU030413</t>
  </si>
  <si>
    <t>WHITEL-Default Licensee Mercha</t>
  </si>
  <si>
    <t>Ticket YBPF</t>
  </si>
  <si>
    <t>TICKETS*YOUNG BEEF/59ta47ap</t>
  </si>
  <si>
    <t>TICKETS*YOUNG BEEF/5pjtxfay</t>
  </si>
  <si>
    <t>TICKETS*YOUNG BEEF/7vwdxhf9</t>
  </si>
  <si>
    <t>AU030311</t>
  </si>
  <si>
    <t>Food and Fibre event - entrance ticket</t>
  </si>
  <si>
    <t>SHAWD-Tuition (study) Reimburs</t>
  </si>
  <si>
    <t>Understanding Financial Markets course</t>
  </si>
  <si>
    <t>FEP* O #12810</t>
  </si>
  <si>
    <t>Catering for Leongatha Board Room facilitated Rural &amp; MAC Broiler Update for Clients</t>
  </si>
  <si>
    <t>AU020084</t>
  </si>
  <si>
    <t>DuffyP-Default Licensee Mercha</t>
  </si>
  <si>
    <t>Tax Institute conference</t>
  </si>
  <si>
    <t>THE TAX INSTITUTE</t>
  </si>
  <si>
    <t>AGSM56780-AUNIV06</t>
  </si>
  <si>
    <t>AGSM leadership training</t>
  </si>
  <si>
    <t>AGSM56780</t>
  </si>
  <si>
    <t>INV02157615-OOREI00</t>
  </si>
  <si>
    <t>Subscription Renewal</t>
  </si>
  <si>
    <t>INV02157615</t>
  </si>
  <si>
    <t>OREILLY MEDIA INC</t>
  </si>
  <si>
    <t>AU020016</t>
  </si>
  <si>
    <t>INV-0547-AMADM00</t>
  </si>
  <si>
    <t>Leadership training by MAD Min</t>
  </si>
  <si>
    <t>INV-0547</t>
  </si>
  <si>
    <t>MAD MINDWORKS PTY LTD</t>
  </si>
  <si>
    <t>RenshawGC-Default Licensee Mer</t>
  </si>
  <si>
    <t>Spalding Financials Skills Workshop 10/10/24 - Function cost - Attended by 18 Clients / Facilitator</t>
  </si>
  <si>
    <t>SQ *SPALDING SPORTS</t>
  </si>
  <si>
    <t>OLIVIA PARIS</t>
  </si>
  <si>
    <t>International Association of Privacy Professionals accreditation course for Lan Line - Certified Inf</t>
  </si>
  <si>
    <t>INTL ASSOC PRIVACY PRO/22583/22583</t>
  </si>
  <si>
    <t>ParisO-Default Licensee Mercha</t>
  </si>
  <si>
    <t>AMAZON MARKETPLACE AU</t>
  </si>
  <si>
    <t>fairliel-Office Supplies</t>
  </si>
  <si>
    <t>AU030410</t>
  </si>
  <si>
    <t>HOPEC-Default Licensee Merchan</t>
  </si>
  <si>
    <t>Ebor Beef function - Matt George</t>
  </si>
  <si>
    <t>TRYBOOKING*EBOR BEEF/219402747470</t>
  </si>
  <si>
    <t>LomaxR-Office Supplies</t>
  </si>
  <si>
    <t>Catering for Leongatha Board Room for Ruminati Client Workshop</t>
  </si>
  <si>
    <t>Thornton Bakery</t>
  </si>
  <si>
    <t>TarcaN-Default Licensee Mercha</t>
  </si>
  <si>
    <t>Potato Congress Ticket - Nick Tarca</t>
  </si>
  <si>
    <t>Financial Skill Workshop - Blackall - Tracey Muller</t>
  </si>
  <si>
    <t>BLACKALL TAMBO REG COU/152531005097</t>
  </si>
  <si>
    <t>22238-OMEND00</t>
  </si>
  <si>
    <t>22238</t>
  </si>
  <si>
    <t>AAAC Ticket</t>
  </si>
  <si>
    <t>TRYBOOKING*AAACWA INC/219439746318</t>
  </si>
  <si>
    <t>almond conference</t>
  </si>
  <si>
    <t>PREMIER EVENT CONCEPTS</t>
  </si>
  <si>
    <t>AU030215</t>
  </si>
  <si>
    <t>MillettP-Default Licensee Merc</t>
  </si>
  <si>
    <t>Industry Events, Field Days &amp; Sponsorships - Tickets</t>
  </si>
  <si>
    <t>EDP 26.1 Carl Gibson</t>
  </si>
  <si>
    <t>EDP 26.1 Jock Thomas</t>
  </si>
  <si>
    <t>EDP 26.1 Scott Jenkin</t>
  </si>
  <si>
    <t>MillettP-Offshore Meals &amp; Lodg</t>
  </si>
  <si>
    <t>SuccessionSessions_GoulburnNSW_23May_Catering</t>
  </si>
  <si>
    <t>ALPINE HOTEL OPERATION</t>
  </si>
  <si>
    <t>refund BLACKALL/TAMBO COUNCIL</t>
  </si>
  <si>
    <t>2024220-AMCEA00</t>
  </si>
  <si>
    <t>Development of Nature 101 trai</t>
  </si>
  <si>
    <t>2024220</t>
  </si>
  <si>
    <t>ECOSYSTEM THINKING</t>
  </si>
  <si>
    <t>INV-19941-AFINA09</t>
  </si>
  <si>
    <t>INV-19941</t>
  </si>
  <si>
    <t>INV-7530-AMILA00</t>
  </si>
  <si>
    <t>Offsite Training</t>
  </si>
  <si>
    <t>INV-7530</t>
  </si>
  <si>
    <t>KIllara Nieland - Writing Effective Policies and Procedures</t>
  </si>
  <si>
    <t>UNI OF SYD CTR CONT EDU</t>
  </si>
  <si>
    <t>Annual TAPS Payroll Conference</t>
  </si>
  <si>
    <t>THE ASSOCIATION FOR PA/642210354431</t>
  </si>
  <si>
    <t>INV-1291-ATRAN10</t>
  </si>
  <si>
    <t>SuccessionSessions_QLD_Facilit</t>
  </si>
  <si>
    <t>INV-1291</t>
  </si>
  <si>
    <t>Agri Assoc event</t>
  </si>
  <si>
    <t>EZI*EZIDEBIT MEMBERSHI/799705052</t>
  </si>
  <si>
    <t>VTA breakfast for simon Horne</t>
  </si>
  <si>
    <t>AU010066</t>
  </si>
  <si>
    <t>Succession Session Charters Towers QLD Room Hire</t>
  </si>
  <si>
    <t>DEPT OF AGRICULTURE</t>
  </si>
  <si>
    <t>PozziB-Literature (Books, News</t>
  </si>
  <si>
    <t>Succession Session  Charters Towers QLD Stationery</t>
  </si>
  <si>
    <t>NEWSXPRESS QUEENTON</t>
  </si>
  <si>
    <t>PozziB-Office Supplies</t>
  </si>
  <si>
    <t>Succession Session Charters Towers QLD Plates</t>
  </si>
  <si>
    <t>WOOLWORTHS/GILL ST</t>
  </si>
  <si>
    <t>API Rural Conference + credit card fee</t>
  </si>
  <si>
    <t>ZEN*B2B-Aus Prop Instit S</t>
  </si>
  <si>
    <t>CookD-Default Licensee Merchan</t>
  </si>
  <si>
    <t>Internal Audit RANZ ethics learning Nov24</t>
  </si>
  <si>
    <t>IIA-AUST* O #37267</t>
  </si>
  <si>
    <t>6100-AMERI05</t>
  </si>
  <si>
    <t>Business Workshop</t>
  </si>
  <si>
    <t>6100</t>
  </si>
  <si>
    <t>MERIDIAN AGRICULTURE PTY LTD</t>
  </si>
  <si>
    <t>WHITEL-Domestic &amp; Overseas lod</t>
  </si>
  <si>
    <t>Accommodation for Lucy and Lee for Tambo Succession Workshops - LUCY REED</t>
  </si>
  <si>
    <t>TAMBO MILL MOTEL</t>
  </si>
  <si>
    <t>Catering for Roma Succession Planning Workshop - LEE WHITE</t>
  </si>
  <si>
    <t>WHITEL-Office Supplies</t>
  </si>
  <si>
    <t>Water and Paper Plates for Succession Workshop Tambo - LEE WHITE</t>
  </si>
  <si>
    <t>TAMBO NEWS &amp; GEAR</t>
  </si>
  <si>
    <t>WHITEL-Offshore Meals &amp; Lodgin</t>
  </si>
  <si>
    <t>Breakfast before Succession Planning Workshop - LEE WHITE</t>
  </si>
  <si>
    <t>FANNY MAES CAFE PTY LT/071933016991</t>
  </si>
  <si>
    <t>Breakfast before Succession Planning Workshop - LUCY REED</t>
  </si>
  <si>
    <t>Catering for Succession Planning Workshop - LEE WHITE</t>
  </si>
  <si>
    <t>SQ *MARY &amp; MARTHA'S COFFE</t>
  </si>
  <si>
    <t>AAAC WA Outlook: Dan Cransberg, Jacinda Lombardini &amp; Fraser Stewart Tickets</t>
  </si>
  <si>
    <t>TRYBOOKING*AAACWA INC/219457289930</t>
  </si>
  <si>
    <t>Steve Kelly: AAAC WA Outlook ticket</t>
  </si>
  <si>
    <t>TRYBOOKING*AAACWA INC/219444161151</t>
  </si>
  <si>
    <t>LaoV-Default Licensee Merchant</t>
  </si>
  <si>
    <t>farm writers</t>
  </si>
  <si>
    <t>AU025071</t>
  </si>
  <si>
    <t>EEC-925-ESOAR03</t>
  </si>
  <si>
    <t>ITIL 4 certification</t>
  </si>
  <si>
    <t>EEC-925</t>
  </si>
  <si>
    <t>PEDRO SOARES</t>
  </si>
  <si>
    <t>AU025089</t>
  </si>
  <si>
    <t>8025670-OINTE03</t>
  </si>
  <si>
    <t>ShawD1-Default Licensee Mercha</t>
  </si>
  <si>
    <t>API Rural Conference</t>
  </si>
  <si>
    <t>Accommodation and Meals, succession workshop,Emerald</t>
  </si>
  <si>
    <t>WESTERN GATEWAY MOTEL</t>
  </si>
  <si>
    <t>MckinnonR-Domestic &amp; Overseas</t>
  </si>
  <si>
    <t>Novotel On Collins OPI</t>
  </si>
  <si>
    <t>INV-0198-ASUCC00</t>
  </si>
  <si>
    <t>Co-faciliation of PLE M2 &amp; Pre</t>
  </si>
  <si>
    <t>INV-0198</t>
  </si>
  <si>
    <t>INV-20148-AFINA09</t>
  </si>
  <si>
    <t>Course modification</t>
  </si>
  <si>
    <t>INV-20148</t>
  </si>
  <si>
    <t>Accommodation - James Benson Succession Workshop</t>
  </si>
  <si>
    <t>succession workshop emerald</t>
  </si>
  <si>
    <t>EEC-1012-ESOAR03</t>
  </si>
  <si>
    <t>ITIL4 reimbursement</t>
  </si>
  <si>
    <t>EEC-1012</t>
  </si>
  <si>
    <t>00094-AWILL01</t>
  </si>
  <si>
    <t>Alastair White Virtual Trainin</t>
  </si>
  <si>
    <t>00094</t>
  </si>
  <si>
    <t>AU030325</t>
  </si>
  <si>
    <t>30-AAUST23</t>
  </si>
  <si>
    <t>Conference tour for Cameron de</t>
  </si>
  <si>
    <t>30</t>
  </si>
  <si>
    <t>Succession Workshop - Overcharge</t>
  </si>
  <si>
    <t>AU010029</t>
  </si>
  <si>
    <t>GM TAXIPAY</t>
  </si>
  <si>
    <t>AbrahamMJ-Printing</t>
  </si>
  <si>
    <t>Personal Development  - Jen Wen GRC solutions courses on ESG and DDO</t>
  </si>
  <si>
    <t>PAYPAL/1b8765cb42ea9c</t>
  </si>
  <si>
    <t>Enterprise Risk Management - Bringing it to Life Protecht course for Personal Development</t>
  </si>
  <si>
    <t>PROTECHT.ERM PTY LTD</t>
  </si>
  <si>
    <t>Personal Development - Protecht Course - Risk bow tie analysis for Valesca Choque</t>
  </si>
  <si>
    <t>CookD-Buildings Repairs/Mainte</t>
  </si>
  <si>
    <t>Leadership training at offsite</t>
  </si>
  <si>
    <t>MAD MINDWORKS</t>
  </si>
  <si>
    <t>MonsbourghL-Default Licensee M</t>
  </si>
  <si>
    <t>Ticket to conference</t>
  </si>
  <si>
    <t>EB *Mooving on Methane</t>
  </si>
  <si>
    <t>Farm Writers event - David Foote</t>
  </si>
  <si>
    <t>WhitesideM-Domestic &amp; Overseas</t>
  </si>
  <si>
    <t>Venue hire - FEC LT offsite</t>
  </si>
  <si>
    <t>Pullman Quay Grand OPI</t>
  </si>
  <si>
    <t>HO Reimbursement ALT</t>
  </si>
  <si>
    <t>INV-6733-AGRAD00</t>
  </si>
  <si>
    <t>AFR Top 100 Event Tickets</t>
  </si>
  <si>
    <t>INV-6733</t>
  </si>
  <si>
    <t>GRADCONNECTION PTY LTD</t>
  </si>
  <si>
    <t>AU030219</t>
  </si>
  <si>
    <t>2025 UN Women International Womens Day Virtual Event Tickets x40</t>
  </si>
  <si>
    <t>TICKETS*UN WOMEN A/30en6nwz</t>
  </si>
  <si>
    <t>SunT-Default Licensee Merchant</t>
  </si>
  <si>
    <t>AAGE Conference ticket</t>
  </si>
  <si>
    <t>PAYPAL/CPF6LRL4RAKX</t>
  </si>
  <si>
    <t>ADP Monthly Invoice - Dec2024</t>
  </si>
  <si>
    <t>AU020024</t>
  </si>
  <si>
    <t>KaiteieDT-Default Licensee Mer</t>
  </si>
  <si>
    <t>Corporate Climate Masterclass Series Ticket</t>
  </si>
  <si>
    <t>CMI* CORPORATE CLIMATE</t>
  </si>
  <si>
    <t>Catering for Leongatha Board Room Rural and Mac Networking Event</t>
  </si>
  <si>
    <t>Ladies Lunch</t>
  </si>
  <si>
    <t>GIPPSDAIRY</t>
  </si>
  <si>
    <t>ScottHS-Default Licensee Merch</t>
  </si>
  <si>
    <t>Training Expenses for VIVA (CPD) training modules.</t>
  </si>
  <si>
    <t>2220181-ATELU01</t>
  </si>
  <si>
    <t>FGH3492105120-OERUD00</t>
  </si>
  <si>
    <t>Technical Training</t>
  </si>
  <si>
    <t>FGH3492105120</t>
  </si>
  <si>
    <t>ERUDITUS LEARNING SOLUTIONS PTE LTD</t>
  </si>
  <si>
    <t>AU070100</t>
  </si>
  <si>
    <t>EbbesM1-Default Licensee Merch</t>
  </si>
  <si>
    <t>tickets ASFI summit 2x</t>
  </si>
  <si>
    <t>WWW.ASFI.ORG.AU</t>
  </si>
  <si>
    <t>RaboTruck Operation (MNGT fee)</t>
  </si>
  <si>
    <t>ChongG2-Default Licensee Merch</t>
  </si>
  <si>
    <t>ASX Course</t>
  </si>
  <si>
    <t>COMMODITIESWORKSH</t>
  </si>
  <si>
    <t>AshworthJ-Tuition (study) Reim</t>
  </si>
  <si>
    <t>UNSW Training l Development</t>
  </si>
  <si>
    <t>Farmer seminar in Mortlake</t>
  </si>
  <si>
    <t>TRYBOOKING*CYNTHIA MAHONE/219480637650</t>
  </si>
  <si>
    <t>BIG W/CRN OF GEORGE &amp; PAR</t>
  </si>
  <si>
    <t>Agribuzz FTI consulting</t>
  </si>
  <si>
    <t>AU060120</t>
  </si>
  <si>
    <t>AU025091</t>
  </si>
  <si>
    <t>SRINIVASANN-Tuition (study) Re</t>
  </si>
  <si>
    <t>CTO Technical training Program application fee</t>
  </si>
  <si>
    <t>ERUDITUS* CAMBRIDGE</t>
  </si>
  <si>
    <t>disregard</t>
  </si>
  <si>
    <t>Accept sustenance</t>
  </si>
  <si>
    <t>OU</t>
  </si>
  <si>
    <t>58P</t>
  </si>
  <si>
    <t>Financial Skills Workshop Catering Charters Towers 22March - Brad Pozzi</t>
  </si>
  <si>
    <t>PozziB-Offshore Meals &amp; Lodgin</t>
  </si>
  <si>
    <t>SANTONS GOURMET HOAGIES</t>
  </si>
  <si>
    <t>SQ *COFFEE + FLOWERS IN T</t>
  </si>
  <si>
    <t>venue hire</t>
  </si>
  <si>
    <t>TABLELANDS R C</t>
  </si>
  <si>
    <t>Milk Tea Coffee</t>
  </si>
  <si>
    <t>FRESH ST. MARKET IGA</t>
  </si>
  <si>
    <t>WeatherlyC-Offshore Meals &amp; Lo</t>
  </si>
  <si>
    <t>Lunch FSW</t>
  </si>
  <si>
    <t>SQ *PETALS &amp; PINECONES</t>
  </si>
  <si>
    <t>PIX Conference</t>
  </si>
  <si>
    <t>WebbO-Default Licensee Merchan</t>
  </si>
  <si>
    <t>FinancialSkillsWorkshops_Goondiwindi_17Jul_VenueHire</t>
  </si>
  <si>
    <t>GATEWAY TO TRAINING</t>
  </si>
  <si>
    <t>PriceC-Airfares</t>
  </si>
  <si>
    <t>Airfare RRM3 Training ADL SYD Fede Artero</t>
  </si>
  <si>
    <t>VIRGIN AUSTR/79560681071679/79560681071679</t>
  </si>
  <si>
    <t>Travel Fees FA RRM3 Training Airfares</t>
  </si>
  <si>
    <t>EGEN*AUSI142283256/AUBI2024741841671/AUBI2024741841671000</t>
  </si>
  <si>
    <t>Airfare SYD ADL RRM3 Training</t>
  </si>
  <si>
    <t>QANTAS AIR_ABN16009661901/QWPFZ9CRMLG74FH2/QWPFZ9CRMLG74FH2</t>
  </si>
  <si>
    <t>Horsham Culture Workshop - SYD MEL Return  May 24 - N Cross</t>
  </si>
  <si>
    <t>QANTAS AIR_ABN16009661901/NXGZNWNVGKJNQR32/NXGZNWNVGKJNQR32</t>
  </si>
  <si>
    <t>EEC-226-EPARI00</t>
  </si>
  <si>
    <t>EEC-226</t>
  </si>
  <si>
    <t>RAB054-AHUDS00</t>
  </si>
  <si>
    <t>RAB054</t>
  </si>
  <si>
    <t>RAB055-AHUDS00</t>
  </si>
  <si>
    <t>FSW_Pittsworth/Goondiwindi_Jul</t>
  </si>
  <si>
    <t>RAB055</t>
  </si>
  <si>
    <t>RAB056-AHUDS00</t>
  </si>
  <si>
    <t>FSW_Finley/Colleambally_Jul_Tr</t>
  </si>
  <si>
    <t>RAB056</t>
  </si>
  <si>
    <t>EEC-406-ENGUY01</t>
  </si>
  <si>
    <t>Utrecht trip 22-28June 2024</t>
  </si>
  <si>
    <t>EEC-406</t>
  </si>
  <si>
    <t>HAI NGUYEN</t>
  </si>
  <si>
    <t>EEC-499-EPARI00</t>
  </si>
  <si>
    <t>10/4 Travel from home to offic</t>
  </si>
  <si>
    <t>EEC-499</t>
  </si>
  <si>
    <t>8/4 Travel from Pier One to ho</t>
  </si>
  <si>
    <t>9/4 Travel from Pier One to ho</t>
  </si>
  <si>
    <t>RAB057-AHUDS00</t>
  </si>
  <si>
    <t>FSW_Longreach/Blackhall/Emeral</t>
  </si>
  <si>
    <t>RAB057</t>
  </si>
  <si>
    <t>TorresR2-Domestic &amp; Overseas l</t>
  </si>
  <si>
    <t>Dinner with Geert Embrechts - taxi home Mark &amp; Rafa</t>
  </si>
  <si>
    <t>NOVOTEL TAINUI</t>
  </si>
  <si>
    <t>RAB058-AHUDS00</t>
  </si>
  <si>
    <t>FSW_Ongerup_13Aug_FacilitatorT</t>
  </si>
  <si>
    <t>RAB058</t>
  </si>
  <si>
    <t>INV-1279-ATRAN10</t>
  </si>
  <si>
    <t>SuccessionPlanningInformationS</t>
  </si>
  <si>
    <t>INV-1279</t>
  </si>
  <si>
    <t>INV-1282-ATRAN10</t>
  </si>
  <si>
    <t>INV-1282</t>
  </si>
  <si>
    <t>RAB060-AHUDS00</t>
  </si>
  <si>
    <t>FSW_Inverell/Tamworth_Sep_Faci</t>
  </si>
  <si>
    <t>RAB060</t>
  </si>
  <si>
    <t>NazarenoJ-Airfares</t>
  </si>
  <si>
    <t>NGON - NZ4 - Flight</t>
  </si>
  <si>
    <t>EGEN*AUSI142497951/AUBI2024260417261/AUBI2024260417261650</t>
  </si>
  <si>
    <t>NGON - NZ4 Flight</t>
  </si>
  <si>
    <t>EGEN*AUSI142497983/AUBI2024260417293/AUBI2024260417293380</t>
  </si>
  <si>
    <t>NGON - NZ4 Flight - Jesus Nazareno</t>
  </si>
  <si>
    <t>EGEN*AUSI142497980/AUBI2024260417293/AUBI2024260417293310</t>
  </si>
  <si>
    <t>EEC-768-EFALC02</t>
  </si>
  <si>
    <t>Hotel Claim</t>
  </si>
  <si>
    <t>EEC-768</t>
  </si>
  <si>
    <t>LAUREN FALCONER</t>
  </si>
  <si>
    <t>1592537-APARK01</t>
  </si>
  <si>
    <t>Accommodation RCA participant</t>
  </si>
  <si>
    <t>1592537</t>
  </si>
  <si>
    <t>PARKROYAL DARLING HARBOUR</t>
  </si>
  <si>
    <t>RAB062-AHUDS00</t>
  </si>
  <si>
    <t>FSW_Arthurton&amp;Spalding_Facilit</t>
  </si>
  <si>
    <t>RAB062</t>
  </si>
  <si>
    <t>ParisO-Ground Travel</t>
  </si>
  <si>
    <t>Travel to ALT Basecamp 1 for 6am</t>
  </si>
  <si>
    <t>UBER   *TRIP/j7w7bf3s</t>
  </si>
  <si>
    <t>uber receipt -  transporting ALT materials</t>
  </si>
  <si>
    <t>UBER   *TRIP/573r2c97</t>
  </si>
  <si>
    <t>ALT - Uber home with BC3 Materials post event</t>
  </si>
  <si>
    <t>UBER   *TRIP/ezmvn4r4</t>
  </si>
  <si>
    <t>ALT- Uber to office with BC3 materials after event</t>
  </si>
  <si>
    <t>UBER   *TRIP/q4nq05n3</t>
  </si>
  <si>
    <t>BaylissK-Ground Travel</t>
  </si>
  <si>
    <t>travel home from ALT basecamp 3 after pack up</t>
  </si>
  <si>
    <t>UBER   *TRIP/jkpszy3v</t>
  </si>
  <si>
    <t>BennettA-Airfares</t>
  </si>
  <si>
    <t>Egencia booking fee</t>
  </si>
  <si>
    <t>EGEN*AUSI142521754/AUBI2024281448216/AUBI2024281448216790</t>
  </si>
  <si>
    <t>Flights to sydney for RCA</t>
  </si>
  <si>
    <t>VIRGIN AUSTR/79558153577409/79558153577409</t>
  </si>
  <si>
    <t>BennettA-Company Car Parking</t>
  </si>
  <si>
    <t>Airport Parking</t>
  </si>
  <si>
    <t>Melbourne Airport</t>
  </si>
  <si>
    <t>BennettA-Default Licensee Merc</t>
  </si>
  <si>
    <t>Road tolls to melb airport</t>
  </si>
  <si>
    <t>LINKT MELBOURNE</t>
  </si>
  <si>
    <t>Thurs dinner in sydney during RCA training</t>
  </si>
  <si>
    <t>WWW.ALHGROUP.COM* ME&amp;U</t>
  </si>
  <si>
    <t>BennettA-Domestic &amp; Overseas l</t>
  </si>
  <si>
    <t>Accommodation in Sydney for RCA</t>
  </si>
  <si>
    <t>Park Royal Darl Harb OPI</t>
  </si>
  <si>
    <t>BennettA-Ground Travel</t>
  </si>
  <si>
    <t>Taxi from airport to Darling Harbour</t>
  </si>
  <si>
    <t>Train from Darling Harbour to Airport</t>
  </si>
  <si>
    <t>TRANSPORTFORNSW TAP</t>
  </si>
  <si>
    <t>BennettA-Office Supplies</t>
  </si>
  <si>
    <t>Friday Breaky in Sydney during RCA</t>
  </si>
  <si>
    <t>Mrs. Fields</t>
  </si>
  <si>
    <t>BennettA-Offshore Meals &amp; Lodg</t>
  </si>
  <si>
    <t>Tues dinner in Sydney before RCA</t>
  </si>
  <si>
    <t>Chat Thai Westfield</t>
  </si>
  <si>
    <t>RCA RAF Training Activity Supplies</t>
  </si>
  <si>
    <t>DIERBERGS MARKET PL/06377600012AM1Y7028791037</t>
  </si>
  <si>
    <t>SCHNUCKS CHESTERFIELD</t>
  </si>
  <si>
    <t>EEC-830-ESMIT23</t>
  </si>
  <si>
    <t>Edwina Smith- Expenses for RCA</t>
  </si>
  <si>
    <t>EEC-830</t>
  </si>
  <si>
    <t>EDWINA SMITH</t>
  </si>
  <si>
    <t>AU030430</t>
  </si>
  <si>
    <t>EEC-835-EFINL00</t>
  </si>
  <si>
    <t>Expenses for RCA Training Syd</t>
  </si>
  <si>
    <t>EEC-835</t>
  </si>
  <si>
    <t>VIVIAN FINLAY</t>
  </si>
  <si>
    <t>AU030415</t>
  </si>
  <si>
    <t>EEC-868-ELYDD00</t>
  </si>
  <si>
    <t>Meals &amp; Taxis during RCA train</t>
  </si>
  <si>
    <t>EEC-868</t>
  </si>
  <si>
    <t>SANDY LYDDY</t>
  </si>
  <si>
    <t>FlynnA-Domestic &amp; Overseas lod</t>
  </si>
  <si>
    <t>Accomodation as part of trip to Sydney for Rural Credit Training.</t>
  </si>
  <si>
    <t>AU030313</t>
  </si>
  <si>
    <t>EEC-912-ECROK02</t>
  </si>
  <si>
    <t>Train travel</t>
  </si>
  <si>
    <t>EEC-912</t>
  </si>
  <si>
    <t>MISTY CROKER</t>
  </si>
  <si>
    <t>EEC-921-ECROK02</t>
  </si>
  <si>
    <t>Meal Allowance</t>
  </si>
  <si>
    <t>EEC-921</t>
  </si>
  <si>
    <t>AU060777</t>
  </si>
  <si>
    <t>EEC-939-EPASC00</t>
  </si>
  <si>
    <t>Laundry</t>
  </si>
  <si>
    <t>EEC-939</t>
  </si>
  <si>
    <t>JAMES PASCOE</t>
  </si>
  <si>
    <t>EEC-948-ETANG05</t>
  </si>
  <si>
    <t>Sydney RCA training - taxis to</t>
  </si>
  <si>
    <t>EEC-948</t>
  </si>
  <si>
    <t>VICTOR TANGARIS</t>
  </si>
  <si>
    <t>Sydney RCA training, food expe</t>
  </si>
  <si>
    <t>EEC-953-EFOWL01</t>
  </si>
  <si>
    <t>Syd RCA Training Meal</t>
  </si>
  <si>
    <t>EEC-953</t>
  </si>
  <si>
    <t>DAMON FOWLER</t>
  </si>
  <si>
    <t>Syd RCA Training Taxi</t>
  </si>
  <si>
    <t>KnowlesB-Company Car Parking</t>
  </si>
  <si>
    <t>parking at airport</t>
  </si>
  <si>
    <t>KnowlesB-Domestic &amp; Overseas l</t>
  </si>
  <si>
    <t>Bond - not charged</t>
  </si>
  <si>
    <t>Novotel Melb On Collins O</t>
  </si>
  <si>
    <t>Bond for Megan McDonald Novotel</t>
  </si>
  <si>
    <t>Bond refund for Megan Mac</t>
  </si>
  <si>
    <t>Novotel Bond refund</t>
  </si>
  <si>
    <t>BrooksH-Domestic &amp; Overseas lo</t>
  </si>
  <si>
    <t>Hotel Bond- returned less breakfast</t>
  </si>
  <si>
    <t>Hotel Bond- returned less breakfast- Benjamin Walmsley</t>
  </si>
  <si>
    <t>Accommodation for the facilitators and VICTAS staff traveling for RRB training in Melbourne (13th &amp;</t>
  </si>
  <si>
    <t>WilsonE3-Company Car Parking</t>
  </si>
  <si>
    <t>Melbourne airport parking</t>
  </si>
  <si>
    <t>WilsonE3-Airfares</t>
  </si>
  <si>
    <t>Egencia booking fees - Eric Wilson</t>
  </si>
  <si>
    <t>EGEN*AUSI142561015/AUBI2024312492682/AUBI2024312492682460</t>
  </si>
  <si>
    <t>Sydney to Melbourne flight - Eric Wilson</t>
  </si>
  <si>
    <t>VIRGIN AUSTR/79534850909509/79534850909509</t>
  </si>
  <si>
    <t>WilsonE3-Default Licensee Merc</t>
  </si>
  <si>
    <t>Melbourne to Sydney flight</t>
  </si>
  <si>
    <t>QANTAS AIR_ABN16009661901/VMSVLL9KC9G5XJF3/VMSVLL9KC9G5XJF3</t>
  </si>
  <si>
    <t>WilsonE3-Domestic &amp; Overseas l</t>
  </si>
  <si>
    <t>1 x night accomodation at Holiday Inn as part of Rural Credit Academy training in Sydney</t>
  </si>
  <si>
    <t>Holiday Inn Melb Airport</t>
  </si>
  <si>
    <t>EEC-968-EHOWA01</t>
  </si>
  <si>
    <t>Meal while travelling to Sydne</t>
  </si>
  <si>
    <t>EEC-968</t>
  </si>
  <si>
    <t>ALEXANDER HOWARD</t>
  </si>
  <si>
    <t>EEC-979-EJAKO00</t>
  </si>
  <si>
    <t>Breakfast, Lunch &amp; Dinner</t>
  </si>
  <si>
    <t>EEC-979</t>
  </si>
  <si>
    <t>TRINE JAKOBSEN</t>
  </si>
  <si>
    <t>Breakfast, Lunch &amp; Dinner GST</t>
  </si>
  <si>
    <t>AU030412</t>
  </si>
  <si>
    <t>WebbO-Company Car Parking</t>
  </si>
  <si>
    <t>Airport Parking - Rural Credit Academy Moodys Training</t>
  </si>
  <si>
    <t>WELLCAMP PARKING</t>
  </si>
  <si>
    <t>31-AAUST23</t>
  </si>
  <si>
    <t>Accommodation for Cameron De K</t>
  </si>
  <si>
    <t>31</t>
  </si>
  <si>
    <t>AU030711</t>
  </si>
  <si>
    <t>HumeH-Company Car Parking</t>
  </si>
  <si>
    <t>car park Hobart Airport R&amp;B training</t>
  </si>
  <si>
    <t>HOBART INTERNATIONAL A</t>
  </si>
  <si>
    <t>AU030710</t>
  </si>
  <si>
    <t>MccullochB-Domestic &amp; Overseas</t>
  </si>
  <si>
    <t>Meals &amp; Drinks while on training course</t>
  </si>
  <si>
    <t>Novotel Melb On Collins S</t>
  </si>
  <si>
    <t>20250224.2-ACROW18</t>
  </si>
  <si>
    <t>Treasury Offsite</t>
  </si>
  <si>
    <t>20250224.2</t>
  </si>
  <si>
    <t>CROWNE PLAZA TERRIGAL PACIFIC</t>
  </si>
  <si>
    <t>20250224.3-ACROW18</t>
  </si>
  <si>
    <t>20250224.3</t>
  </si>
  <si>
    <t>KaiteieDT-Company Car Parking</t>
  </si>
  <si>
    <t>CMI - Brisbane Conference</t>
  </si>
  <si>
    <t>WILSON PARKING AUSTR</t>
  </si>
  <si>
    <t>Flight Booking Fee - MAC Global Conference</t>
  </si>
  <si>
    <t>QANTAS AIR_ABN16009661901/H3QTPM2N5N75GXW3/H3QTPM2N5N75GXW3</t>
  </si>
  <si>
    <t>International Flight booking fee - Mac Global Program</t>
  </si>
  <si>
    <t>QANTAS AIR_ABN16009661901/SMHNJ84PMQ5KLJG6/SMHNJ84PMQ5KLJG6</t>
  </si>
  <si>
    <t>International Flight MAC Global Program</t>
  </si>
  <si>
    <t>QANTAS AIR_ABN16009661901/FR589ZSFNL5XKXD3/FR589ZSFNL5XKXD3</t>
  </si>
  <si>
    <t>RistromJ-Airfares</t>
  </si>
  <si>
    <t>Airfares for travel to RCA training Sydney</t>
  </si>
  <si>
    <t>VIRGIN AUSTR/79534850626969/79534850626969</t>
  </si>
  <si>
    <t>Egencia booking fee for travel for RCA training Sydney</t>
  </si>
  <si>
    <t>EGEN*AUSI142558785/AUBI2024311490718/AUBI2024311490718960</t>
  </si>
  <si>
    <t>Train travel for training RCA Sydney</t>
  </si>
  <si>
    <t>DTSOPAL4</t>
  </si>
  <si>
    <t>RistromJ-Company Car Parking</t>
  </si>
  <si>
    <t>Parking while at RCA training</t>
  </si>
  <si>
    <t>Parking while at RRB training</t>
  </si>
  <si>
    <t>WILSON PARKING AUSTRALIA</t>
  </si>
  <si>
    <t>RistromJ-Domestic &amp; Overseas l</t>
  </si>
  <si>
    <t>Breakfast - Melbourne RRB training</t>
  </si>
  <si>
    <t>Deposit for accommodation - RRB training Melbourne</t>
  </si>
  <si>
    <t>Deposit refund - Melbourne RRB training accommodation</t>
  </si>
  <si>
    <t>Parking Melbourne for training</t>
  </si>
  <si>
    <t>Novotel DarHarbour OPI</t>
  </si>
  <si>
    <t>ESTA Visa for RCA RAF trips USA</t>
  </si>
  <si>
    <t>USCUSTOMS ESTA APPL PMT/421162270/27EFP680</t>
  </si>
  <si>
    <t>RCA RAF Qantas Seat Selection</t>
  </si>
  <si>
    <t>QANTAS AIR_ABN16009661901/P6TJK5PGQLFGWSD3/P6TJK5PGQLFGWSD3</t>
  </si>
  <si>
    <t>RCA RAF Seat Selection International Flight</t>
  </si>
  <si>
    <t>QANTAS AIR_ABN16009661901/VSGZMN72VBVBHK52/VSGZMN72VBVBHK52</t>
  </si>
  <si>
    <t>AU030324</t>
  </si>
  <si>
    <t>SchmidtN-Ground Travel</t>
  </si>
  <si>
    <t>Taxi from airport - Bob Knowles - Nicholas Schmidt</t>
  </si>
  <si>
    <t>Taxi from airport - Nicholas Schmidt</t>
  </si>
  <si>
    <t>Taxi from airport - Tom Cohan</t>
  </si>
  <si>
    <t>Accept business travel food</t>
  </si>
  <si>
    <t>Accept business travel</t>
  </si>
  <si>
    <t>business related</t>
  </si>
  <si>
    <t>Accept seminar</t>
  </si>
  <si>
    <t>Accept seminar food</t>
  </si>
  <si>
    <t>AU032051</t>
  </si>
  <si>
    <t>INV-12836-ABRYA02</t>
  </si>
  <si>
    <t>INV-12836</t>
  </si>
  <si>
    <t>BRYANT AND BROTHERS PTY LTD TA SPARRO</t>
  </si>
  <si>
    <t>Rabobank ROS Paid Media-Dec24</t>
  </si>
  <si>
    <t>INV-12575-ABRYA02</t>
  </si>
  <si>
    <t>Sparro Agency - 2024 Febrauary</t>
  </si>
  <si>
    <t>INV-12575</t>
  </si>
  <si>
    <t>INV-13055-ABRYA02</t>
  </si>
  <si>
    <t>ROS Search Marketing - April 2</t>
  </si>
  <si>
    <t>INV-13055</t>
  </si>
  <si>
    <t>INV-13346-ABRYA02</t>
  </si>
  <si>
    <t>ROS paid media - Search Market</t>
  </si>
  <si>
    <t>INV-13346</t>
  </si>
  <si>
    <t>INV-13504-ABRYA02</t>
  </si>
  <si>
    <t>ROS search marketing campaigns</t>
  </si>
  <si>
    <t>INV-13504</t>
  </si>
  <si>
    <t>INV-13978-ABRYA02</t>
  </si>
  <si>
    <t>ROS paid Media - Affiliate cam</t>
  </si>
  <si>
    <t>INV-13978</t>
  </si>
  <si>
    <t>INV-14200-ABRYA02</t>
  </si>
  <si>
    <t>ROS paid performance - Septemb</t>
  </si>
  <si>
    <t>INV-14200</t>
  </si>
  <si>
    <t>AU032046</t>
  </si>
  <si>
    <t>INV-13384-ABRYA02</t>
  </si>
  <si>
    <t>Rabobank Country Banking - Bee</t>
  </si>
  <si>
    <t>INV-13384</t>
  </si>
  <si>
    <t>INV-13985-ABRYA02</t>
  </si>
  <si>
    <t>Rabobank ROS - Search Marketin</t>
  </si>
  <si>
    <t>INV-13985</t>
  </si>
  <si>
    <t>INV-13757-ABRYA02</t>
  </si>
  <si>
    <t>Rabobank search marketing camp</t>
  </si>
  <si>
    <t>INV-13757</t>
  </si>
  <si>
    <t>INV-13238-ABRYA02</t>
  </si>
  <si>
    <t>ROS Paid Media May 2024 - Affi</t>
  </si>
  <si>
    <t>INV-13238</t>
  </si>
  <si>
    <t>INV-13512-ABRYA02</t>
  </si>
  <si>
    <t>ROS affiliate marketing campai</t>
  </si>
  <si>
    <t>INV-13512</t>
  </si>
  <si>
    <t>INV-12922-ABRYA02</t>
  </si>
  <si>
    <t>ROS paid media April 2024 - af</t>
  </si>
  <si>
    <t>INV-12922</t>
  </si>
  <si>
    <t>Rabo CB Paid Media-Brand-Oct24</t>
  </si>
  <si>
    <t>INV-14392-ABRYA02</t>
  </si>
  <si>
    <t>INV-14392</t>
  </si>
  <si>
    <t>INV-13878-ABRYA02</t>
  </si>
  <si>
    <t>ROS paid performance - July 20</t>
  </si>
  <si>
    <t>INV-13878</t>
  </si>
  <si>
    <t>INV-14191-ABRYA02</t>
  </si>
  <si>
    <t>ROS affiliated marketing campa</t>
  </si>
  <si>
    <t>INV-14191</t>
  </si>
  <si>
    <t>INV-14674-ABRYA02</t>
  </si>
  <si>
    <t>ROS paid Media - Search campai</t>
  </si>
  <si>
    <t>INV-14674</t>
  </si>
  <si>
    <t>Brand Health Survey - question</t>
  </si>
  <si>
    <t>INV-12817-ABRYA02</t>
  </si>
  <si>
    <t>ROS Paid Media - Affiliate Fee</t>
  </si>
  <si>
    <t>INV-12817</t>
  </si>
  <si>
    <t>The Land advertsing camp(NSW)</t>
  </si>
  <si>
    <t>INV-14399-ABRYA02</t>
  </si>
  <si>
    <t>ROS Paid Media - affiliates fe</t>
  </si>
  <si>
    <t>INV-14399</t>
  </si>
  <si>
    <t>INV-14683-ABRYA02</t>
  </si>
  <si>
    <t>Paid Media - ROS Affiliate Fee</t>
  </si>
  <si>
    <t>INV-14683</t>
  </si>
  <si>
    <t>INV-14324-ABRYA02</t>
  </si>
  <si>
    <t>Rabobank CB brand awareness ca</t>
  </si>
  <si>
    <t>INV-14324</t>
  </si>
  <si>
    <t>INV-14612-ABRYA02</t>
  </si>
  <si>
    <t>ROS creative refresh</t>
  </si>
  <si>
    <t>INV-14612</t>
  </si>
  <si>
    <t>00013081-AQUAL08</t>
  </si>
  <si>
    <t>Beef 2024 marquee &amp; furniture</t>
  </si>
  <si>
    <t>00013081</t>
  </si>
  <si>
    <t>INVCAN-900006966-ACANS00</t>
  </si>
  <si>
    <t>2024 Canstar awards licence fe</t>
  </si>
  <si>
    <t>INVCAN-900006966</t>
  </si>
  <si>
    <t>INV-14838-ABRYA02</t>
  </si>
  <si>
    <t>Paid Media Retainer fee - Nove</t>
  </si>
  <si>
    <t>INV-14838</t>
  </si>
  <si>
    <t>INV-0054-ANUME00</t>
  </si>
  <si>
    <t>Nature 101 case study videos</t>
  </si>
  <si>
    <t>INV-0054</t>
  </si>
  <si>
    <t>NUMERAL CREATIVE PTY LTD</t>
  </si>
  <si>
    <t>AU036740</t>
  </si>
  <si>
    <t>24330-AD3PR00</t>
  </si>
  <si>
    <t>ROS Digipass trays and labels</t>
  </si>
  <si>
    <t>24330</t>
  </si>
  <si>
    <t>RABO2025/2-ASOLU01</t>
  </si>
  <si>
    <t>RaboTruck Operation (Storage,</t>
  </si>
  <si>
    <t>RABO2025/2</t>
  </si>
  <si>
    <t>INV-14558-ABRYA02</t>
  </si>
  <si>
    <t>ROS Paid Media - Social Media</t>
  </si>
  <si>
    <t>INV-14558</t>
  </si>
  <si>
    <t>INVKYNAU1921-AKYNE00</t>
  </si>
  <si>
    <t>Rural Confidence Survey 23/24</t>
  </si>
  <si>
    <t>INVKYNAU1921</t>
  </si>
  <si>
    <t>KYNETEC AUSTRALIA PTY LTD</t>
  </si>
  <si>
    <t>INVKYNAU2046-AKYNE00</t>
  </si>
  <si>
    <t>Rural Confidence Survey</t>
  </si>
  <si>
    <t>INVKYNAU2046</t>
  </si>
  <si>
    <t>INVKYNAU2135-AKYNE00</t>
  </si>
  <si>
    <t>Rural Confidence Survey 24/25</t>
  </si>
  <si>
    <t>INVKYNAU2135</t>
  </si>
  <si>
    <t>Rabo Paid Media Reta Fee-Dec24</t>
  </si>
  <si>
    <t>INV-13071-ABRYA02</t>
  </si>
  <si>
    <t>Sparro Paid Media Retainer Apr</t>
  </si>
  <si>
    <t>INV-13071</t>
  </si>
  <si>
    <t>INV-13345-ABRYA02</t>
  </si>
  <si>
    <t>INV-13345</t>
  </si>
  <si>
    <t>INV-13415-ABRYA02</t>
  </si>
  <si>
    <t>Sparro Agency media retainer f</t>
  </si>
  <si>
    <t>INV-13415</t>
  </si>
  <si>
    <t>INV-13846-ABRYA02</t>
  </si>
  <si>
    <t>Paid Media fees - July</t>
  </si>
  <si>
    <t>INV-13846</t>
  </si>
  <si>
    <t>INV-14074-ABRYA02</t>
  </si>
  <si>
    <t>Sparro Strategy Retainer fee A</t>
  </si>
  <si>
    <t>INV-14074</t>
  </si>
  <si>
    <t>INV-14327-ABRYA02</t>
  </si>
  <si>
    <t>Sparro Strategy Retainer fee S</t>
  </si>
  <si>
    <t>INV-14327</t>
  </si>
  <si>
    <t>INV-14557-ABRYA02</t>
  </si>
  <si>
    <t>Paid Media Retainer fee - Octo</t>
  </si>
  <si>
    <t>INV-14557</t>
  </si>
  <si>
    <t>INV-12639-ABRYA02</t>
  </si>
  <si>
    <t>Paid Media Retainer March 2024</t>
  </si>
  <si>
    <t>RaboTruck Operation (Proj Mgr)</t>
  </si>
  <si>
    <t>Cattle Australia sponsorship</t>
  </si>
  <si>
    <t>INV-0029-ASAVE01</t>
  </si>
  <si>
    <t>AU2040</t>
  </si>
  <si>
    <t>SAVEFUL WORLDWIDE PTY LTD</t>
  </si>
  <si>
    <t>INV-12635-ABRYA02</t>
  </si>
  <si>
    <t>Sparro - ROS paid media - Affi</t>
  </si>
  <si>
    <t>INV-12635</t>
  </si>
  <si>
    <t>RaboTruck Operation (Driver)</t>
  </si>
  <si>
    <t>RaboTruck Operation (CabLease)</t>
  </si>
  <si>
    <t>INV-4990/66-ASOLU01</t>
  </si>
  <si>
    <t>Truck prime mover lease Q3</t>
  </si>
  <si>
    <t>INV-4990/66</t>
  </si>
  <si>
    <t>INV-4990/67-ASOLU01</t>
  </si>
  <si>
    <t>Truck Q3 Operation cost</t>
  </si>
  <si>
    <t>INV-4990/67</t>
  </si>
  <si>
    <t>240369359-OMETA00</t>
  </si>
  <si>
    <t>Meta Advertising inc Agency</t>
  </si>
  <si>
    <t>240369359</t>
  </si>
  <si>
    <t>INV-14127-ABRYA02</t>
  </si>
  <si>
    <t>ROS paid media - Reddit campai</t>
  </si>
  <si>
    <t>INV-14127</t>
  </si>
  <si>
    <t>INV-14127Draft Invo-ABRYA02</t>
  </si>
  <si>
    <t>INV-14127Draft Invoice</t>
  </si>
  <si>
    <t>Farm to Fork Videography</t>
  </si>
  <si>
    <t>Farm to Fork Videography - Far</t>
  </si>
  <si>
    <t>INV-0173-ADUAL00</t>
  </si>
  <si>
    <t>INV-0173</t>
  </si>
  <si>
    <t>DUAL ENTERTAINMENT PTY LTD</t>
  </si>
  <si>
    <t>INV-0185-ADUAL00</t>
  </si>
  <si>
    <t>INV-0186-ADUAL00</t>
  </si>
  <si>
    <t>INV-0186</t>
  </si>
  <si>
    <t>INV-0189-ADUAL00</t>
  </si>
  <si>
    <t>INV-0190-ADUAL00</t>
  </si>
  <si>
    <t>INV-0190</t>
  </si>
  <si>
    <t>INV-0205-ADUAL00</t>
  </si>
  <si>
    <t>Farm to Fork farmer interview</t>
  </si>
  <si>
    <t>INV-0205</t>
  </si>
  <si>
    <t>INV-0206-ADUAL00</t>
  </si>
  <si>
    <t>Farm to Fork farmer TV, digita</t>
  </si>
  <si>
    <t>INV-0206</t>
  </si>
  <si>
    <t>INV-0168-ADUAL00</t>
  </si>
  <si>
    <t>- Videography - Farmer intervi</t>
  </si>
  <si>
    <t>INV-0168</t>
  </si>
  <si>
    <t>INV-4990/68-ASOLU01</t>
  </si>
  <si>
    <t>Truck driver cost Q3</t>
  </si>
  <si>
    <t>INV-4990/68</t>
  </si>
  <si>
    <t>INV-0178-AHUMA01</t>
  </si>
  <si>
    <t>Humans of Agri podcast and soc</t>
  </si>
  <si>
    <t>INV-0178</t>
  </si>
  <si>
    <t>HUMANS OF AGRICULTURE PTY LTD</t>
  </si>
  <si>
    <t>INV-14839-ABRYA02</t>
  </si>
  <si>
    <t>CB paid Media -  brand campaig</t>
  </si>
  <si>
    <t>INV-14839</t>
  </si>
  <si>
    <t>RaboTruck Gippsland event x 2</t>
  </si>
  <si>
    <t>INV-14095-ABRYA02</t>
  </si>
  <si>
    <t>INV-14095</t>
  </si>
  <si>
    <t>MOZO003198-AMOZO02</t>
  </si>
  <si>
    <t>Mozo 2024 Awards licence fee f</t>
  </si>
  <si>
    <t>MOZO003198</t>
  </si>
  <si>
    <t>MOZO PTY LTD</t>
  </si>
  <si>
    <t>9899289043-AMICR01</t>
  </si>
  <si>
    <t>Microsoft CRM training</t>
  </si>
  <si>
    <t>9899289043</t>
  </si>
  <si>
    <t>MICROSOFT PTY LTD</t>
  </si>
  <si>
    <t>239686517-OMETA00</t>
  </si>
  <si>
    <t>Meta advertising</t>
  </si>
  <si>
    <t>239686517</t>
  </si>
  <si>
    <t>INV-0130-AHUMA01</t>
  </si>
  <si>
    <t>Humans of Agri Podcast partner</t>
  </si>
  <si>
    <t>INV-0130</t>
  </si>
  <si>
    <t>INVCAN-900006916-ACANS00</t>
  </si>
  <si>
    <t>Canstar 2024 product listing f</t>
  </si>
  <si>
    <t>INVCAN-900006916</t>
  </si>
  <si>
    <t>INV-14075-ABRYA02</t>
  </si>
  <si>
    <t>Rabobank ROS Social Media camp</t>
  </si>
  <si>
    <t>INV-14075</t>
  </si>
  <si>
    <t>Farm to Fork TV airing  inc</t>
  </si>
  <si>
    <t>Farm to Fork TV airing Rabofac</t>
  </si>
  <si>
    <t>INV-0174-ADUAL00</t>
  </si>
  <si>
    <t>INV-0174</t>
  </si>
  <si>
    <t>INV-0184-ADUAL00</t>
  </si>
  <si>
    <t>INV-0184</t>
  </si>
  <si>
    <t>INV-0187-ADUAL00</t>
  </si>
  <si>
    <t>INV-0187</t>
  </si>
  <si>
    <t>INV-0188-ADUAL00</t>
  </si>
  <si>
    <t>INV-0188</t>
  </si>
  <si>
    <t>INV-0191-ADUAL00</t>
  </si>
  <si>
    <t>INV-0191</t>
  </si>
  <si>
    <t>INV-0204-ADUAL00</t>
  </si>
  <si>
    <t>Farm to Fork client testimonia</t>
  </si>
  <si>
    <t>INV-0204</t>
  </si>
  <si>
    <t>INV-0207-ADUAL00</t>
  </si>
  <si>
    <t>Farm to Fork recipe and digita</t>
  </si>
  <si>
    <t>INV-0207</t>
  </si>
  <si>
    <t>INV-0167-ADUAL00</t>
  </si>
  <si>
    <t>Farm to Fork TV airing, websit</t>
  </si>
  <si>
    <t>INV-0167</t>
  </si>
  <si>
    <t>INV-2282-AGEOR00</t>
  </si>
  <si>
    <t>George_the_farmer_beefweek_Roc</t>
  </si>
  <si>
    <t>INV-2282</t>
  </si>
  <si>
    <t>GEORGE THE FARMER PTY LTD</t>
  </si>
  <si>
    <t>INV-13112-ABRYA02</t>
  </si>
  <si>
    <t>INV-13112</t>
  </si>
  <si>
    <t>Meta and Reddit fees</t>
  </si>
  <si>
    <t>238640713-OMETA00</t>
  </si>
  <si>
    <t>238640713</t>
  </si>
  <si>
    <t>STCF Sponsorship</t>
  </si>
  <si>
    <t>country banking search and FMD</t>
  </si>
  <si>
    <t>34241-AJUPI00</t>
  </si>
  <si>
    <t>CB Paid Media - Search marketi</t>
  </si>
  <si>
    <t>1257-AEYEF00</t>
  </si>
  <si>
    <t>Photoshoot x 6</t>
  </si>
  <si>
    <t>1257</t>
  </si>
  <si>
    <t>A A RASHEED TA EYEFOOD</t>
  </si>
  <si>
    <t>239118976-OMETA00</t>
  </si>
  <si>
    <t>239118976</t>
  </si>
  <si>
    <t>INV-14611-ABRYA02</t>
  </si>
  <si>
    <t>Influencer partnership</t>
  </si>
  <si>
    <t>INV-14611</t>
  </si>
  <si>
    <t>INV-14615-ABRYA02</t>
  </si>
  <si>
    <t>influencer partnership extensi</t>
  </si>
  <si>
    <t>INV-14615</t>
  </si>
  <si>
    <t>INVRMK2740-ARAIN10</t>
  </si>
  <si>
    <t>SMSF money magazine award best</t>
  </si>
  <si>
    <t>INVRMK2740</t>
  </si>
  <si>
    <t>RAINMAKER INFORMATION PTY LTD</t>
  </si>
  <si>
    <t>INV 000902-AMANS04</t>
  </si>
  <si>
    <t>Company podcast partnership SA</t>
  </si>
  <si>
    <t>INV 000902</t>
  </si>
  <si>
    <t>INV-13847-ABRYA02</t>
  </si>
  <si>
    <t>ROS social media campaigns - J</t>
  </si>
  <si>
    <t>INV-13847</t>
  </si>
  <si>
    <t>INV 000901-AMANS04</t>
  </si>
  <si>
    <t>Company podcast partnership S1</t>
  </si>
  <si>
    <t>INV 000901</t>
  </si>
  <si>
    <t>RaboTruck Angus Expo</t>
  </si>
  <si>
    <t>RaboTruck FNQ FDs</t>
  </si>
  <si>
    <t>RaboTruck Taroom Show</t>
  </si>
  <si>
    <t>CB paid performance - Septembe</t>
  </si>
  <si>
    <t>Rabobank CB Srch Mrkt-Dec 2024</t>
  </si>
  <si>
    <t>INV-14372-ABRYA02</t>
  </si>
  <si>
    <t>Sparro Propensity Model Phase</t>
  </si>
  <si>
    <t>INV-14372</t>
  </si>
  <si>
    <t>Country Banking Search Marketi</t>
  </si>
  <si>
    <t>INV 000843-AMANS04</t>
  </si>
  <si>
    <t>S3 podcast sponsorship</t>
  </si>
  <si>
    <t>INV 000843</t>
  </si>
  <si>
    <t>INV 000842-04/06/24-AMANS04</t>
  </si>
  <si>
    <t>S3 Company sponsorship</t>
  </si>
  <si>
    <t>INV 000842-04/06/24</t>
  </si>
  <si>
    <t>CB paid Media -  Search campai</t>
  </si>
  <si>
    <t>INV-13376-ABRYA02</t>
  </si>
  <si>
    <t>INV-13376</t>
  </si>
  <si>
    <t>Country Banking - Search Marrk</t>
  </si>
  <si>
    <t>INV-14837-ABRYA02</t>
  </si>
  <si>
    <t>ROS paid Media -  Social Media</t>
  </si>
  <si>
    <t>INV-14837</t>
  </si>
  <si>
    <t>Rabobank CB - Search Marketing</t>
  </si>
  <si>
    <t>2551489-AGETT00</t>
  </si>
  <si>
    <t>Annual Subscription</t>
  </si>
  <si>
    <t>2551489</t>
  </si>
  <si>
    <t>GETTY IMAGES SALES AUSTRALIA PTY LTD</t>
  </si>
  <si>
    <t>1233-AEYEF00</t>
  </si>
  <si>
    <t>1233</t>
  </si>
  <si>
    <t>INV-13058-ABRYA02</t>
  </si>
  <si>
    <t>Adobe Analytics Migration Proj</t>
  </si>
  <si>
    <t>INV-13058</t>
  </si>
  <si>
    <t>TierneyA-Domestic &amp; Overseas l</t>
  </si>
  <si>
    <t>Ekka Client Event - Catering &amp; Room Hire</t>
  </si>
  <si>
    <t>RYDGES FORT VALLEY OPI</t>
  </si>
  <si>
    <t>LausD-Default Licensee Merchan</t>
  </si>
  <si>
    <t>Camera and Lens</t>
  </si>
  <si>
    <t>DIGITAL CAMERA WARE</t>
  </si>
  <si>
    <t>Paid Media - Social Media  - C</t>
  </si>
  <si>
    <t>Farm to Fork Dinner Melbo</t>
  </si>
  <si>
    <t>INV-13072-ABRYA02</t>
  </si>
  <si>
    <t>Search Marketing RSA project -</t>
  </si>
  <si>
    <t>INV-13072</t>
  </si>
  <si>
    <t>INV 000846-AMANS04</t>
  </si>
  <si>
    <t>INV 000846</t>
  </si>
  <si>
    <t>INV-0164-ADUAL00</t>
  </si>
  <si>
    <t>Farm to Fork logistics expense</t>
  </si>
  <si>
    <t>INV-0164</t>
  </si>
  <si>
    <t>INV 000842-AMANS04</t>
  </si>
  <si>
    <t>Company podcast partnership S2</t>
  </si>
  <si>
    <t>INV 000842</t>
  </si>
  <si>
    <t>1262-AEYEF00</t>
  </si>
  <si>
    <t>Photos post production</t>
  </si>
  <si>
    <t>1262</t>
  </si>
  <si>
    <t>Country banking - social media</t>
  </si>
  <si>
    <t>AP-PR 71451-OSPRI00</t>
  </si>
  <si>
    <t>13224-1-ATERR00</t>
  </si>
  <si>
    <t>Commercial Radio ads for Darwi</t>
  </si>
  <si>
    <t>13224-1</t>
  </si>
  <si>
    <t>104.1 TERRITORY FM</t>
  </si>
  <si>
    <t>INV-1262-AMURR04</t>
  </si>
  <si>
    <t>34407-AJUPI00</t>
  </si>
  <si>
    <t>593329-AVISI01</t>
  </si>
  <si>
    <t>593329</t>
  </si>
  <si>
    <t>INV-0585-ANSWW00</t>
  </si>
  <si>
    <t>237723172-OMETA00</t>
  </si>
  <si>
    <t>237723172</t>
  </si>
  <si>
    <t>INV-0174-ADRYL00</t>
  </si>
  <si>
    <t>Rabobank CB social campaigns -</t>
  </si>
  <si>
    <t>605793-AVISI01</t>
  </si>
  <si>
    <t>605793</t>
  </si>
  <si>
    <t>609254-AVISI01</t>
  </si>
  <si>
    <t>609254</t>
  </si>
  <si>
    <t>RaboTruck Trailer Rego YV13GF</t>
  </si>
  <si>
    <t>VICROADS ONLINE PAYMEN</t>
  </si>
  <si>
    <t>RaboTruck Trailer Rego YV14GF</t>
  </si>
  <si>
    <t>586808-AVISI01</t>
  </si>
  <si>
    <t>586808</t>
  </si>
  <si>
    <t>AU010017</t>
  </si>
  <si>
    <t>82217-ANUNN00</t>
  </si>
  <si>
    <t>Notice in The Australian</t>
  </si>
  <si>
    <t>82217</t>
  </si>
  <si>
    <t>NUNN MEDIA</t>
  </si>
  <si>
    <t>0201-WNICK00</t>
  </si>
  <si>
    <t>Nick Baker additional hours us</t>
  </si>
  <si>
    <t>0201</t>
  </si>
  <si>
    <t>Social boosted posts</t>
  </si>
  <si>
    <t>INV0008-AROTA16</t>
  </si>
  <si>
    <t>INV-14356-ABRYA02</t>
  </si>
  <si>
    <t>SA360 fees</t>
  </si>
  <si>
    <t>INV-14356</t>
  </si>
  <si>
    <t>86114-ANUNN00</t>
  </si>
  <si>
    <t>Deposits rate change ad</t>
  </si>
  <si>
    <t>86114</t>
  </si>
  <si>
    <t>86529-ANUNN00</t>
  </si>
  <si>
    <t>86529</t>
  </si>
  <si>
    <t>0171-WNICK00</t>
  </si>
  <si>
    <t>Nick Baker</t>
  </si>
  <si>
    <t>0171</t>
  </si>
  <si>
    <t>0184-WNICK00</t>
  </si>
  <si>
    <t>Nick Baker Digital Freelancer</t>
  </si>
  <si>
    <t>0184</t>
  </si>
  <si>
    <t>0178-WNICK00</t>
  </si>
  <si>
    <t>Nick Baker AU Digital Marketin</t>
  </si>
  <si>
    <t>0178</t>
  </si>
  <si>
    <t>0190-WNICK00</t>
  </si>
  <si>
    <t>Nick Baker Digital Marketing</t>
  </si>
  <si>
    <t>0190</t>
  </si>
  <si>
    <t>0200-WNICK00</t>
  </si>
  <si>
    <t>Nick Baker Freelancer</t>
  </si>
  <si>
    <t>0200</t>
  </si>
  <si>
    <t>0173-WNICK00</t>
  </si>
  <si>
    <t>0173</t>
  </si>
  <si>
    <t>0198-WNICK00</t>
  </si>
  <si>
    <t>0198</t>
  </si>
  <si>
    <t>166151-FT24186NYYKD</t>
  </si>
  <si>
    <t>596260-AVISI01</t>
  </si>
  <si>
    <t>596260</t>
  </si>
  <si>
    <t>BFIG Sponsorship</t>
  </si>
  <si>
    <t>INV-0030-ASAVE01</t>
  </si>
  <si>
    <t>INV-0030</t>
  </si>
  <si>
    <t>INV-0982-AMFMG00</t>
  </si>
  <si>
    <t>Mackillop Sponsorship agreemen</t>
  </si>
  <si>
    <t>INV-0982</t>
  </si>
  <si>
    <t>MACKILLOP FARM MANAGEMENT GROUP INC</t>
  </si>
  <si>
    <t>EASTER SHOW CASH GIVEAWAY 2024</t>
  </si>
  <si>
    <t>HDO-7726-ACOLI04</t>
  </si>
  <si>
    <t>164644-FT24234N5RBY</t>
  </si>
  <si>
    <t>164643-FT242349HK5S</t>
  </si>
  <si>
    <t>1085-ADJOY00</t>
  </si>
  <si>
    <t>RAS dinner</t>
  </si>
  <si>
    <t>1085</t>
  </si>
  <si>
    <t>DJOYOBISONO PHOTOGRAPHY</t>
  </si>
  <si>
    <t>174865-FT242187156Z</t>
  </si>
  <si>
    <t>166150-FT24186MK8WW</t>
  </si>
  <si>
    <t>171510-FT24358W121M</t>
  </si>
  <si>
    <t>168694-FT24291KTL0D</t>
  </si>
  <si>
    <t>GroganC-Printing</t>
  </si>
  <si>
    <t>Ayr Branch Women in Agriculture - Newpaper advertorial</t>
  </si>
  <si>
    <t>MYO*CORE PUBLISHING  E/219464642527</t>
  </si>
  <si>
    <t>173980-FT24281LZFKC</t>
  </si>
  <si>
    <t>589850-AVISI01</t>
  </si>
  <si>
    <t>589850</t>
  </si>
  <si>
    <t>164642-FT24234LN4YX</t>
  </si>
  <si>
    <t>164503-FT24353XB6WH</t>
  </si>
  <si>
    <t>INV-0809-ALUCI04</t>
  </si>
  <si>
    <t>Client Day at Venue</t>
  </si>
  <si>
    <t>INV-0809</t>
  </si>
  <si>
    <t>LUCINDALE COUNTRY CLUB</t>
  </si>
  <si>
    <t>Saveful event catering</t>
  </si>
  <si>
    <t>ZEST CATERING E</t>
  </si>
  <si>
    <t>1-000828-AQUIR01</t>
  </si>
  <si>
    <t>INV-0050-ACOON06</t>
  </si>
  <si>
    <t>163059-FT243316KQV5</t>
  </si>
  <si>
    <t>INV-7453-AFORB07</t>
  </si>
  <si>
    <t>361-AKATR02</t>
  </si>
  <si>
    <t>photography graziher</t>
  </si>
  <si>
    <t>361</t>
  </si>
  <si>
    <t>KATRINA AYERS PHOTOGRAPHY</t>
  </si>
  <si>
    <t>160856-FT24095W1PPG</t>
  </si>
  <si>
    <t>164650-FT24234PNKSC</t>
  </si>
  <si>
    <t>158339-FT24102ZV16Q</t>
  </si>
  <si>
    <t>164645-FT24234G9D67</t>
  </si>
  <si>
    <t>164770-FT2410607VCD</t>
  </si>
  <si>
    <t>164771-FT24106HY47J</t>
  </si>
  <si>
    <t>Maree Gymkhana Sponsorship</t>
  </si>
  <si>
    <t>Truck rug</t>
  </si>
  <si>
    <t>IKEA PTY LTD</t>
  </si>
  <si>
    <t>161702-FT24123ZV4HX</t>
  </si>
  <si>
    <t>LausD-Other Personnel Expense</t>
  </si>
  <si>
    <t>Mics for Gen</t>
  </si>
  <si>
    <t>AMAZON AU</t>
  </si>
  <si>
    <t>Motion array VFX subscription</t>
  </si>
  <si>
    <t>MOTIONARRA* MOTION ARR</t>
  </si>
  <si>
    <t>Oodnadatta Bronco Branding</t>
  </si>
  <si>
    <t>1258-AEYEF00</t>
  </si>
  <si>
    <t>Photo post production Brown</t>
  </si>
  <si>
    <t>1258</t>
  </si>
  <si>
    <t>0681-AMURP01</t>
  </si>
  <si>
    <t>Murphy Carlisle Graphic Design</t>
  </si>
  <si>
    <t>0681</t>
  </si>
  <si>
    <t>182905-FT24214HR3BX</t>
  </si>
  <si>
    <t>00000465-ATARA01</t>
  </si>
  <si>
    <t>612506-AVISI01</t>
  </si>
  <si>
    <t>612506</t>
  </si>
  <si>
    <t>602683-AVISI01</t>
  </si>
  <si>
    <t>602683</t>
  </si>
  <si>
    <t>599436-AVISI01</t>
  </si>
  <si>
    <t>599436</t>
  </si>
  <si>
    <t>AU030712</t>
  </si>
  <si>
    <t>1013027931-APOST07</t>
  </si>
  <si>
    <t>Australia Post - Feb 2024</t>
  </si>
  <si>
    <t>1013027931</t>
  </si>
  <si>
    <t>3026-AMCEL00</t>
  </si>
  <si>
    <t>Frances Truck Event</t>
  </si>
  <si>
    <t>3026</t>
  </si>
  <si>
    <t>THE MCELROY FAMILY TRUST</t>
  </si>
  <si>
    <t>158105-FT2413022MWF</t>
  </si>
  <si>
    <t>164852-FT24235N490L</t>
  </si>
  <si>
    <t>174535-FT243513VPGX</t>
  </si>
  <si>
    <t>extra mic and clip</t>
  </si>
  <si>
    <t>AMAZON AU RETAIL</t>
  </si>
  <si>
    <t>BoscoT-Printing</t>
  </si>
  <si>
    <t>Easter show deposit flyers</t>
  </si>
  <si>
    <t>KWIK KOPY CENTRAL CITY</t>
  </si>
  <si>
    <t>454330-FT2413199JDX</t>
  </si>
  <si>
    <t>173091-FT242670KZH7</t>
  </si>
  <si>
    <t>Canva yearly subscription</t>
  </si>
  <si>
    <t>Canva* 04186-15142560</t>
  </si>
  <si>
    <t>Rabobank Australia Linktree</t>
  </si>
  <si>
    <t>LINKTREE* LINKTREE</t>
  </si>
  <si>
    <t>173981-FT24281BNQ7V</t>
  </si>
  <si>
    <t>Linktree - Rabo Socials</t>
  </si>
  <si>
    <t>BoscoT-Default Licensee Mercha</t>
  </si>
  <si>
    <t>Ticket to FAAA event in Adelaide</t>
  </si>
  <si>
    <t>FINANCIAL PLAN AUS</t>
  </si>
  <si>
    <t>Ticket to FAAA event in Perth</t>
  </si>
  <si>
    <t>164762-FT24185H265P</t>
  </si>
  <si>
    <t>LausD-Software</t>
  </si>
  <si>
    <t>Rabo Grad Program Linktree</t>
  </si>
  <si>
    <t>240417-ATURN01</t>
  </si>
  <si>
    <t>164647-FT24234MZM2C</t>
  </si>
  <si>
    <t>157435-FT24109X136T</t>
  </si>
  <si>
    <t>475812-FT24341LT0BS</t>
  </si>
  <si>
    <t>171511-FT24358B5300</t>
  </si>
  <si>
    <t>AU030512</t>
  </si>
  <si>
    <t>GoodwinM1-Entertainment Expens</t>
  </si>
  <si>
    <t>Julian Baillie - $108.20 - Gift - Farm to Fork appearance</t>
  </si>
  <si>
    <t>LS PORT LINCOLN GOURM</t>
  </si>
  <si>
    <t>164648-FT24234RWRY6</t>
  </si>
  <si>
    <t>351417-FT24366JM6Q6</t>
  </si>
  <si>
    <t>453409-FT24103GCSR2</t>
  </si>
  <si>
    <t>155785-FT24107QFRTR</t>
  </si>
  <si>
    <t>162171-FT24113H7Q60</t>
  </si>
  <si>
    <t>154734-FT24114433F7</t>
  </si>
  <si>
    <t>162784-FT2413447L6C</t>
  </si>
  <si>
    <t>158273-FT24163KG7G8</t>
  </si>
  <si>
    <t>159090-FT24170C2CNG</t>
  </si>
  <si>
    <t>163095-FT24199X382J</t>
  </si>
  <si>
    <t>169130-FT24204XLNTP</t>
  </si>
  <si>
    <t>162450-FT242068152N</t>
  </si>
  <si>
    <t>474722-FT24229YFN3D</t>
  </si>
  <si>
    <t>170968-FT24232J0VKL</t>
  </si>
  <si>
    <t>170313-FT24239RQW54</t>
  </si>
  <si>
    <t>170314-FT24239P659N</t>
  </si>
  <si>
    <t>170315-FT24239RWXCV</t>
  </si>
  <si>
    <t>163487-FT24240XZJ24</t>
  </si>
  <si>
    <t>505929-FT24243MHWMG</t>
  </si>
  <si>
    <t>168699-FT24248B8CLC</t>
  </si>
  <si>
    <t>478662-FT24250TS2X8</t>
  </si>
  <si>
    <t>165344-FT24261K8X6V</t>
  </si>
  <si>
    <t>481671-FT24271BM5ZY</t>
  </si>
  <si>
    <t>185049-FT24275FHC28</t>
  </si>
  <si>
    <t>168937-FT24289349VC</t>
  </si>
  <si>
    <t>168695-FT242914H6WJ</t>
  </si>
  <si>
    <t>168696-FT24291F4V6K</t>
  </si>
  <si>
    <t>479446-FT24299JSS6Z</t>
  </si>
  <si>
    <t>171597-FT24316XCCG3</t>
  </si>
  <si>
    <t>164265-FT24324F7KKM</t>
  </si>
  <si>
    <t>164038-FT24332T6K0D</t>
  </si>
  <si>
    <t>453217-FT24096F3RJZ</t>
  </si>
  <si>
    <t>168938-FT24289MFN8Q</t>
  </si>
  <si>
    <t>Rode cables for Gen mic</t>
  </si>
  <si>
    <t>BFIG Crop Walk – Drinks $67.00</t>
  </si>
  <si>
    <t>BWS/94 TASMAN TERRACE</t>
  </si>
  <si>
    <t>166282-FT2434701GQP</t>
  </si>
  <si>
    <t>455537-FT24124M9PFV</t>
  </si>
  <si>
    <t>481058-FT242640M810</t>
  </si>
  <si>
    <t>333382-FT24152VF7M8</t>
  </si>
  <si>
    <t>BFIG Crop Walk – Soft Drinks – Coles $43.80</t>
  </si>
  <si>
    <t>COLES 0440</t>
  </si>
  <si>
    <t>2406172-ATURN01</t>
  </si>
  <si>
    <t>454331-FT24131P855X</t>
  </si>
  <si>
    <t>168939-FT242894J8C4</t>
  </si>
  <si>
    <t>1013100642-APOST07</t>
  </si>
  <si>
    <t>Australia Post - Mar 2024</t>
  </si>
  <si>
    <t>1013100642</t>
  </si>
  <si>
    <t>LomaxR-Costs own Car Fleet</t>
  </si>
  <si>
    <t>Milk Shakes for World Milk Day Event</t>
  </si>
  <si>
    <t>BP LEONGATHA 6984</t>
  </si>
  <si>
    <t>HoldenK-Office Supplies</t>
  </si>
  <si>
    <t>apples and pears for marquee</t>
  </si>
  <si>
    <t>WANDAL SUPERMARKET P</t>
  </si>
  <si>
    <t>171509-FT2435816Q6X</t>
  </si>
  <si>
    <t>160855-FT24095VQ5LN</t>
  </si>
  <si>
    <t>GoodwinM1-Offshore Meals &amp; Lod</t>
  </si>
  <si>
    <t>Minnipa Ag Field Day – Drinks $20</t>
  </si>
  <si>
    <t>ENCOUNTER BAY EXCAVATI</t>
  </si>
  <si>
    <t>156790-FT24135VGC44</t>
  </si>
  <si>
    <t>164646-FT24234DDNXF</t>
  </si>
  <si>
    <t>162785-FT241347CZLG</t>
  </si>
  <si>
    <t>173092-FT24267DWPW1</t>
  </si>
  <si>
    <t>164649-FT24234WGJJV</t>
  </si>
  <si>
    <t>refund mic and clip</t>
  </si>
  <si>
    <t>refunded - disregard</t>
  </si>
  <si>
    <t>2 Microphones - capital</t>
  </si>
  <si>
    <t>No entertainment expenses</t>
  </si>
  <si>
    <t>INV-3798-ABOYS00</t>
  </si>
  <si>
    <t>Boys to the Bush Sponsorship i</t>
  </si>
  <si>
    <t>INV-3798</t>
  </si>
  <si>
    <t>BOYS TO THE BUSH LIMITED</t>
  </si>
  <si>
    <t>INV-2280-AGEOR00</t>
  </si>
  <si>
    <t>NZ_GeorgetheFarmerBooks</t>
  </si>
  <si>
    <t>INV-2280</t>
  </si>
  <si>
    <t>McKayJ-Default Licensee Mercha</t>
  </si>
  <si>
    <t>Tickets - MCGA Golf Day x 3 people</t>
  </si>
  <si>
    <t>SQ *MACQUARIE COTTON GROW</t>
  </si>
  <si>
    <t>0005-AWOME06</t>
  </si>
  <si>
    <t>Student society sponsorship (W</t>
  </si>
  <si>
    <t>0005</t>
  </si>
  <si>
    <t>WOMEN IN TECHNOLOGY WIT</t>
  </si>
  <si>
    <t>104902-AUTSW00</t>
  </si>
  <si>
    <t>Women in Business Student Soci</t>
  </si>
  <si>
    <t>104902</t>
  </si>
  <si>
    <t>UTS WOMEN IN BUSINESS</t>
  </si>
  <si>
    <t>USYD Ag Soc networking event payment</t>
  </si>
  <si>
    <t>SQ *SU AGRICULTURAL SOCIE</t>
  </si>
  <si>
    <t>AU036743</t>
  </si>
  <si>
    <t>INV-1460-ASMSF00</t>
  </si>
  <si>
    <t>Joint event in Albury - Raboba</t>
  </si>
  <si>
    <t>INV-1460</t>
  </si>
  <si>
    <t>SMSF ASSOCIATION LTD</t>
  </si>
  <si>
    <t>GunnHF-Office Supplies</t>
  </si>
  <si>
    <t>client sponsorship badcock and Melton vale x 2 years</t>
  </si>
  <si>
    <t>COLES 7659</t>
  </si>
  <si>
    <t>Morawa P &amp; C Sponsorship</t>
  </si>
  <si>
    <t>LIQUORLAND 3083</t>
  </si>
  <si>
    <t>Voucher for sponsorship of Kimba Cup</t>
  </si>
  <si>
    <t>G PEDEMONTE MANUFACTURING</t>
  </si>
  <si>
    <t>sponsorship kingsday event</t>
  </si>
  <si>
    <t>ROYAL NETHERLANDS EM</t>
  </si>
  <si>
    <t>FFINV-24020-AUNEF00</t>
  </si>
  <si>
    <t>FFINV-24020</t>
  </si>
  <si>
    <t>UNE FARMING FUTURES</t>
  </si>
  <si>
    <t>AU032066</t>
  </si>
  <si>
    <t>ATASA00376-AAGRI23</t>
  </si>
  <si>
    <t>ATASA00376</t>
  </si>
  <si>
    <t>AGRICULTURAL TEACHERS ASSOCIATION OF SA</t>
  </si>
  <si>
    <t>INV-1934-AGIAN01</t>
  </si>
  <si>
    <t>Giant Steps annual ball</t>
  </si>
  <si>
    <t>INV-1934</t>
  </si>
  <si>
    <t>GIANT STEPS AUSTRALIA LIMITED</t>
  </si>
  <si>
    <t>0127-OSUGA00</t>
  </si>
  <si>
    <t>Ticket to Dubai Sugar Conferen</t>
  </si>
  <si>
    <t>0127</t>
  </si>
  <si>
    <t>SUGAR CONFERENCE ORGANIZERS L.L.C.</t>
  </si>
  <si>
    <t>INV-3475-ACARB02</t>
  </si>
  <si>
    <t>INV-3475</t>
  </si>
  <si>
    <t>CARBON MARKET INSTITUTE LIMITED</t>
  </si>
  <si>
    <t>1800000325-ATULL08</t>
  </si>
  <si>
    <t>1800000325</t>
  </si>
  <si>
    <t>TULLY SUGAR LIMITED</t>
  </si>
  <si>
    <t>AU032062</t>
  </si>
  <si>
    <t>5861-ACOTT07</t>
  </si>
  <si>
    <t>5861</t>
  </si>
  <si>
    <t>COTTON AUSTRALIA LTD</t>
  </si>
  <si>
    <t>AU032064</t>
  </si>
  <si>
    <t>310029263-ANSWH00</t>
  </si>
  <si>
    <t>310029263</t>
  </si>
  <si>
    <t>NSW HEALTH MURRUMBIDGEE LOCAL HEALTH</t>
  </si>
  <si>
    <t>INV-1121-AONET01</t>
  </si>
  <si>
    <t>One Tree Ag RU OK Day Sponosrs</t>
  </si>
  <si>
    <t>INV-1121</t>
  </si>
  <si>
    <t>ONE TREE AGRICULTURAL PTY LTD</t>
  </si>
  <si>
    <t>AU032061</t>
  </si>
  <si>
    <t>24023-AABLF00</t>
  </si>
  <si>
    <t>ABL_NQNT_July_Sponsorship</t>
  </si>
  <si>
    <t>24023</t>
  </si>
  <si>
    <t>ABL FOUNDATION LIMITED</t>
  </si>
  <si>
    <t>ABL_SQ_July_Sponsorship</t>
  </si>
  <si>
    <t>ArnoldS-Other Personnel Expens</t>
  </si>
  <si>
    <t>Support for Lock Health Night</t>
  </si>
  <si>
    <t>WISH GIFT CARD   6673</t>
  </si>
  <si>
    <t>00000713-AHEAR01</t>
  </si>
  <si>
    <t>HeartofAustralia_National_Spon</t>
  </si>
  <si>
    <t>00000713</t>
  </si>
  <si>
    <t>HEART OF AUSTRALIA</t>
  </si>
  <si>
    <t>Haynest-Entertainment Expense</t>
  </si>
  <si>
    <t>NZX Global Dairy Seminar 2024 Badge Sponsor - per Graydon</t>
  </si>
  <si>
    <t>NZX Limited</t>
  </si>
  <si>
    <t>RABO-11/06/24-AWELL02</t>
  </si>
  <si>
    <t>Sponsorship</t>
  </si>
  <si>
    <t>RABO-11/06/24</t>
  </si>
  <si>
    <t>WELLINGTON BBBBQ INC</t>
  </si>
  <si>
    <t>SINV110-002283-ANATI01</t>
  </si>
  <si>
    <t>Partnership Fee Aug 2022- Jul</t>
  </si>
  <si>
    <t>SINV110-002283</t>
  </si>
  <si>
    <t>NATIONAL FARMERS FEDERATION</t>
  </si>
  <si>
    <t>SINV110-002284-ANATI01</t>
  </si>
  <si>
    <t>Partnership Fee Aug 2023- Jul</t>
  </si>
  <si>
    <t>SINV110-002284</t>
  </si>
  <si>
    <t>06202414-AMANI01</t>
  </si>
  <si>
    <t>Gold Sponsorship of Harwood Mi</t>
  </si>
  <si>
    <t>06202414</t>
  </si>
  <si>
    <t>MANILDRA HARWOOD SUGARS</t>
  </si>
  <si>
    <t>PSI0015711-ASTVI01</t>
  </si>
  <si>
    <t>Staff Community day at Matthew</t>
  </si>
  <si>
    <t>PSI0015711</t>
  </si>
  <si>
    <t>ST VINCENT DE PAUL SOCIETY</t>
  </si>
  <si>
    <t>DawsonRP-Default Licensee Merc</t>
  </si>
  <si>
    <t>Tatura 200 Charity Bike Ride &amp; Walk - 2024</t>
  </si>
  <si>
    <t>TRYBOOKING*TATURA 200 CHA/219405134613</t>
  </si>
  <si>
    <t>AU030618</t>
  </si>
  <si>
    <t>ZankerL-Other Personnel Expens</t>
  </si>
  <si>
    <t>Calingiri golf open day</t>
  </si>
  <si>
    <t>GOLFBOX</t>
  </si>
  <si>
    <t>198730-AFOOD09</t>
  </si>
  <si>
    <t>volunteer Day for Wholesale me</t>
  </si>
  <si>
    <t>198730</t>
  </si>
  <si>
    <t>FOODBANK VICTORIA</t>
  </si>
  <si>
    <t>INV-0025-ALOCK03</t>
  </si>
  <si>
    <t>Lockhart Picnic Races Sponsors</t>
  </si>
  <si>
    <t>LOCKHART PICNIC RACE CLUB INCORPORATED</t>
  </si>
  <si>
    <t>ThompsonP-Default Licensee Mer</t>
  </si>
  <si>
    <t>Judges Vests - Katanning Ram Show</t>
  </si>
  <si>
    <t>BAREFOOT CLOTHING</t>
  </si>
  <si>
    <t>AU032067</t>
  </si>
  <si>
    <t>1907-APARA00</t>
  </si>
  <si>
    <t>TeacherFarmExperience_WACC_Con</t>
  </si>
  <si>
    <t>1907</t>
  </si>
  <si>
    <t>AU030414</t>
  </si>
  <si>
    <t>CarterJ1-Default Licensee Merc</t>
  </si>
  <si>
    <t>Cotton Growers Awards Dinner - James Carter</t>
  </si>
  <si>
    <t>DARLING DOWNS COTTON</t>
  </si>
  <si>
    <t>Davidson Ram sale</t>
  </si>
  <si>
    <t>DUXTON ROYAL OAK HOTEL</t>
  </si>
  <si>
    <t>Dowdy Ram Sale</t>
  </si>
  <si>
    <t>NARACOORTE HOTEL APP</t>
  </si>
  <si>
    <t>KimI-Default Licensee Merchant</t>
  </si>
  <si>
    <t>Community day expense</t>
  </si>
  <si>
    <t>WHEEN BEE FOUNDATION</t>
  </si>
  <si>
    <t>CONF447262410221-ATELE04</t>
  </si>
  <si>
    <t>AgriLaw Conference</t>
  </si>
  <si>
    <t>CONF447262410221</t>
  </si>
  <si>
    <t>GroganC-Entertainment Expense</t>
  </si>
  <si>
    <t>Home Hill Golf Club End of Harvest - Team sponsorship</t>
  </si>
  <si>
    <t>SQ *HOME HILL GOLF CLUB I</t>
  </si>
  <si>
    <t>00000762-AHEAR01</t>
  </si>
  <si>
    <t>HealthChecks_YoungBeefProducer</t>
  </si>
  <si>
    <t>00000762</t>
  </si>
  <si>
    <t>18112024-ABEGA02</t>
  </si>
  <si>
    <t>2025 Bega corporate event</t>
  </si>
  <si>
    <t>18112024</t>
  </si>
  <si>
    <t>BEGA CHEESE LIMITED</t>
  </si>
  <si>
    <t>C-1366464-INV-ALIFE03</t>
  </si>
  <si>
    <t>SQ Client Council_LifeFlight_W</t>
  </si>
  <si>
    <t>C-1366464-INV</t>
  </si>
  <si>
    <t>LIFEFLIGHT FOUNDATION</t>
  </si>
  <si>
    <t>INV-0119-ACARM00</t>
  </si>
  <si>
    <t>Farm Office Plus Online course</t>
  </si>
  <si>
    <t>INV-0119</t>
  </si>
  <si>
    <t>AGRIFOCUSED</t>
  </si>
  <si>
    <t>AU032063</t>
  </si>
  <si>
    <t>105965-AACTI08</t>
  </si>
  <si>
    <t>2025 sponsorship for the UTS W</t>
  </si>
  <si>
    <t>105965</t>
  </si>
  <si>
    <t>ACTIVATEUTS</t>
  </si>
  <si>
    <t>AU032065</t>
  </si>
  <si>
    <t>159642-AWDHS00</t>
  </si>
  <si>
    <t>Sponsorship of the National Ce</t>
  </si>
  <si>
    <t>159642</t>
  </si>
  <si>
    <t>WESTERN DISTRICT HEALTH SERVICE</t>
  </si>
  <si>
    <t>4-AABLF00</t>
  </si>
  <si>
    <t>ABLFoundation_National_Sponsor</t>
  </si>
  <si>
    <t>4</t>
  </si>
  <si>
    <t>INV-5300-ABOYS00</t>
  </si>
  <si>
    <t>BoystotheBush_BendigoVehicle_S</t>
  </si>
  <si>
    <t>INV-5300</t>
  </si>
  <si>
    <t>BoystotheBush_Orange_Sponsorsh</t>
  </si>
  <si>
    <t>1800165967-AAGRI24</t>
  </si>
  <si>
    <t>SQCC_DAFSchoolScienceComp_S/sh</t>
  </si>
  <si>
    <t>1800165967</t>
  </si>
  <si>
    <t>AGRI SCIENCE QUEENSLAND</t>
  </si>
  <si>
    <t>ASCF-0069-AAUST86</t>
  </si>
  <si>
    <t>CNNSW Client Council Sponsorsh</t>
  </si>
  <si>
    <t>ASCF-0069</t>
  </si>
  <si>
    <t>AUSTRALIAN SKIN CANCER FOUNDATION LTD</t>
  </si>
  <si>
    <t>City Farm Community Day</t>
  </si>
  <si>
    <t>CITY OF SYDNEY OBG</t>
  </si>
  <si>
    <t>Community Day - Angus Keeble</t>
  </si>
  <si>
    <t>Community Day - John Djukanovic</t>
  </si>
  <si>
    <t>INV-0071-ANETR03</t>
  </si>
  <si>
    <t>Sponsorship of the 2025 Food a</t>
  </si>
  <si>
    <t>INV-0071</t>
  </si>
  <si>
    <t>NE TRACKS LLEN</t>
  </si>
  <si>
    <t>INV-0120-ACARM00</t>
  </si>
  <si>
    <t>INV-0120</t>
  </si>
  <si>
    <t>INV-0221-ASOBE01</t>
  </si>
  <si>
    <t>QLDCC_SoberintheCountry_Sponso</t>
  </si>
  <si>
    <t>INV-0221</t>
  </si>
  <si>
    <t>SOBER IN THE COUNTRY LTD</t>
  </si>
  <si>
    <t>1800171110-AAGRI24</t>
  </si>
  <si>
    <t>SQCC_2025DAFSchoolsSienceComp_</t>
  </si>
  <si>
    <t>1800171110</t>
  </si>
  <si>
    <t>Sponsorship &amp; Industry Events - Crookwell &amp; Taralga APH Society Pasture Competition - Meals</t>
  </si>
  <si>
    <t>SMP*The Criterion Hote</t>
  </si>
  <si>
    <t>INV-0071-AZERO00</t>
  </si>
  <si>
    <t>Partnership payment to the Ag</t>
  </si>
  <si>
    <t>ZERO NET EMISSIONS AGRICULTURE CRC LTD</t>
  </si>
  <si>
    <t>AU030202</t>
  </si>
  <si>
    <t>HO reimbursment write off</t>
  </si>
  <si>
    <t>CutcliffeJ-Office Supplies</t>
  </si>
  <si>
    <t>Moree Public School Luncheon - Rolls</t>
  </si>
  <si>
    <t>SMP*Balo Square Bakery</t>
  </si>
  <si>
    <t>ShortN-Offshore Meals &amp; Lodgin</t>
  </si>
  <si>
    <t>West Coast Rock Lobster Coastal Tour Sponsorship</t>
  </si>
  <si>
    <t>The Gerald</t>
  </si>
  <si>
    <t>Charity days/community days have not been treated as recreational activity (arguably does not meet ITAA definition)</t>
  </si>
  <si>
    <t>recreational entertainment</t>
  </si>
  <si>
    <t>accept provided to client</t>
  </si>
  <si>
    <t>AU010011</t>
  </si>
  <si>
    <t>BeckettK-Printing</t>
  </si>
  <si>
    <t>Farewell Sign_RBAL Chair_RANZ Cocktail Evening (19 March 2024)</t>
  </si>
  <si>
    <t>ArnoldS-Entertainment Expense</t>
  </si>
  <si>
    <t>Property Settlement Gift Boxes for: Doudles, Schaefers, Peters and Crettendens (Total $16.3m new biz</t>
  </si>
  <si>
    <t>2397-ATURN01</t>
  </si>
  <si>
    <t>2397</t>
  </si>
  <si>
    <t>YoungB-Default Licensee Mercha</t>
  </si>
  <si>
    <t>Coffee mugs and gifts for staff</t>
  </si>
  <si>
    <t>VISITOR CENTRE</t>
  </si>
  <si>
    <t>INV-2327-AGEOR00</t>
  </si>
  <si>
    <t>INV-2327</t>
  </si>
  <si>
    <t>AU030422</t>
  </si>
  <si>
    <t>ADAMSC-Default Licensee Mercha</t>
  </si>
  <si>
    <t>Gift Hat for David Kemp Truck Event</t>
  </si>
  <si>
    <t>P COMINO &amp; SONS/144625004507</t>
  </si>
  <si>
    <t>ADAMSC-Other Personnel Expense</t>
  </si>
  <si>
    <t>Gift - Flowers for Lynda Kemp Truck event</t>
  </si>
  <si>
    <t>ENCHANTED FLOWERS MA</t>
  </si>
  <si>
    <t>archibald gifts</t>
  </si>
  <si>
    <t>Koko Black QVB North</t>
  </si>
  <si>
    <t>Refund of return gift</t>
  </si>
  <si>
    <t>P COMINO &amp; SONS/145934004782</t>
  </si>
  <si>
    <t>ADAMSC-Software</t>
  </si>
  <si>
    <t>Gift - for David Kemp for venue of Rabo Truck event</t>
  </si>
  <si>
    <t>OUTBACK TRADERS A</t>
  </si>
  <si>
    <t>INV-2383-AGEOR00</t>
  </si>
  <si>
    <t>GeorgeTheFarmer_National_Aug_B</t>
  </si>
  <si>
    <t>INV-2383</t>
  </si>
  <si>
    <t>FT24241V1B14 Darwin Comp</t>
  </si>
  <si>
    <t>FT24241015C6 Darwin Comp</t>
  </si>
  <si>
    <t>240822-ATURN01</t>
  </si>
  <si>
    <t>Rabobank branded notebooks for</t>
  </si>
  <si>
    <t>240822</t>
  </si>
  <si>
    <t>vanderstelta-Default Licensee</t>
  </si>
  <si>
    <t>Gift for Gemma organising the Markets offsite</t>
  </si>
  <si>
    <t>iKOU QVB</t>
  </si>
  <si>
    <t>RigbyC-Default Licensee Mercha</t>
  </si>
  <si>
    <t>Gift - Floor Vets</t>
  </si>
  <si>
    <t>CWH SYDNEY PARK STREET</t>
  </si>
  <si>
    <t>RigbyC-Literature (Books, News</t>
  </si>
  <si>
    <t>Gift - Floor Voets</t>
  </si>
  <si>
    <t>THE LUCKY CHARM QVB</t>
  </si>
  <si>
    <t>RigbyC-Office Supplies</t>
  </si>
  <si>
    <t>INV-2508-AGEOR00</t>
  </si>
  <si>
    <t>GTF_CNNSW_Books_Nov24</t>
  </si>
  <si>
    <t>INV-2508</t>
  </si>
  <si>
    <t>GTF_NQNT_Books_Nov24</t>
  </si>
  <si>
    <t>GTF_Riverina_Books_Nov24</t>
  </si>
  <si>
    <t>GTF_SA_Books_Nov24</t>
  </si>
  <si>
    <t>GTF_SQ_Books_Nov24</t>
  </si>
  <si>
    <t>GTF_SVT_Books_Nov24</t>
  </si>
  <si>
    <t>GTF_WA_Books_Nov24</t>
  </si>
  <si>
    <t>2738-ATURN01</t>
  </si>
  <si>
    <t>Promotional merchandise - Rabo</t>
  </si>
  <si>
    <t>2738</t>
  </si>
  <si>
    <t>2025 graduates welcomes hamper - client products</t>
  </si>
  <si>
    <t>SP GALLO DAIRYLAND</t>
  </si>
  <si>
    <t>SP SHOPIFY-ASHGROVEC</t>
  </si>
  <si>
    <t>BEECHWORTH HONEY</t>
  </si>
  <si>
    <t>RASPBERRYFARMCAFE.COM</t>
  </si>
  <si>
    <t>SQ *LONG TRACK PANTRY ONL</t>
  </si>
  <si>
    <t>Settlement gifts for Modra x 2 and Pope</t>
  </si>
  <si>
    <t>Gift card for Kimba School Ag scholarship</t>
  </si>
  <si>
    <t>BaylissK-Offshore Meals &amp; Lodg</t>
  </si>
  <si>
    <t>New Starter Welcome Gift</t>
  </si>
  <si>
    <t>BEECHWORTH HONEY PTY L</t>
  </si>
  <si>
    <t>New Starter Welcome Gifts</t>
  </si>
  <si>
    <t>Baby Gift - Trang &amp; Shaun Tupou</t>
  </si>
  <si>
    <t>CR QVB</t>
  </si>
  <si>
    <t>JPMorgan Run Shirt Invoice</t>
  </si>
  <si>
    <t>SCODY</t>
  </si>
  <si>
    <t>books provided to clients - accept as promotional</t>
  </si>
  <si>
    <t>Under $300 - accept 58P</t>
  </si>
  <si>
    <t>Accept</t>
  </si>
  <si>
    <t>Client - accept</t>
  </si>
  <si>
    <t>Accept - promotional</t>
  </si>
  <si>
    <t>Gifts - not provided to staff</t>
  </si>
  <si>
    <t>Promotional - office supplies</t>
  </si>
  <si>
    <t>Each item under $300</t>
  </si>
  <si>
    <t>Accept promotional</t>
  </si>
  <si>
    <t>Each shirt under $300</t>
  </si>
  <si>
    <t>INV00551-ADOWE01</t>
  </si>
  <si>
    <t>FinancialSkillsWorkshop_Doweri</t>
  </si>
  <si>
    <t>INV00551</t>
  </si>
  <si>
    <t>DOWERIN COMMUNITY CLUB INC</t>
  </si>
  <si>
    <t>BrennanS1-Airfares</t>
  </si>
  <si>
    <t>SVT CC Meeting - accommodation - Caitlin Radford 1 Feb 2024</t>
  </si>
  <si>
    <t>EGEN*AUSI142228683/AUBI2024331254631/AUBI2024331254631300</t>
  </si>
  <si>
    <t>SVT CC Meeting - accommodation - Chris Griffin 1 Feb 2024</t>
  </si>
  <si>
    <t>EGEN*AUSI142228682/AUBI2024331254630/AUBI2024331254630700</t>
  </si>
  <si>
    <t>SVT CC Meeting - accommodation - Fiona Chambers 1 Feb 2024</t>
  </si>
  <si>
    <t>EGEN*AUSI142228799/AUBI2024331254672/AUBI2024331254672800</t>
  </si>
  <si>
    <t>SVT CC Meeting - accommodation - Knox Paton 1 Feb 2024</t>
  </si>
  <si>
    <t>EGEN*AUSI142226981/AUBI2024321242743/AUBI2024321242743900</t>
  </si>
  <si>
    <t>EGEN*AUSI142228681/AUBI2024331254630/AUBI2024331254630200</t>
  </si>
  <si>
    <t>SVT CC Meeting - accommodation - Mark Bunge 1 Feb 2024</t>
  </si>
  <si>
    <t>EGEN*AUSI142228684/AUBI2024331254632/AUBI2024331254632300</t>
  </si>
  <si>
    <t>SVT CC Meeting - accommodation - Will Fergusson 1 Feb 2024</t>
  </si>
  <si>
    <t>EGEN*AUSI142228686/AUBI2024331254633/AUBI2024331254633400</t>
  </si>
  <si>
    <t>Lunch Catering - SVT Client Council Meeting - Melbourne 1 Feb 2024</t>
  </si>
  <si>
    <t>ELIZABETH ANDREWS/219235264725</t>
  </si>
  <si>
    <t>Dinner - SVT Client Council Meeting Melbourne - 01022024</t>
  </si>
  <si>
    <t>San Telmo</t>
  </si>
  <si>
    <t>PlattA-Entertainment Expense</t>
  </si>
  <si>
    <t>Farm world ticket - Field Day</t>
  </si>
  <si>
    <t>LARDNER PA* FARM WORLD</t>
  </si>
  <si>
    <t>Are You Bogged Mate? Event - Trafalgar - Tom Boyd Accommodation - 13032024</t>
  </si>
  <si>
    <t>EGEN*AUSI142282591/AUBI2024741839843/AUBI2024741839843500</t>
  </si>
  <si>
    <t>Catering - SVT Client Council Meeting - Melbourne 2 Feb 2024</t>
  </si>
  <si>
    <t>ELIZABETH ANDREWS/219235264581</t>
  </si>
  <si>
    <t>MckinnonR-Tuition (study) Reim</t>
  </si>
  <si>
    <t>CSU Approaching Ag Fair 2024 registration</t>
  </si>
  <si>
    <t>CHARLES STURT UNIVER</t>
  </si>
  <si>
    <t>TwomeyGJ-Costs own Car Fleet</t>
  </si>
  <si>
    <t>CB AU - Water for Stefan Vogel Shed Event</t>
  </si>
  <si>
    <t>AMPOL WAGGA WAG 22057F</t>
  </si>
  <si>
    <t>TwomeyGJ-Default Licensee Merc</t>
  </si>
  <si>
    <t>CB AU Gift for speaker</t>
  </si>
  <si>
    <t>LS The Bidgee and Vine</t>
  </si>
  <si>
    <t>KokC-Costs own Car Fleet</t>
  </si>
  <si>
    <t>Ice for Farmworld 2024</t>
  </si>
  <si>
    <t>UNITED WARRAGUL</t>
  </si>
  <si>
    <t>0155-WNICK00</t>
  </si>
  <si>
    <t>0155</t>
  </si>
  <si>
    <t>WholesaleSMS Pty Ltd</t>
  </si>
  <si>
    <t>RABO-04/04/24-ASPUR00</t>
  </si>
  <si>
    <t>Client Council dinner</t>
  </si>
  <si>
    <t>RABO-04/04/24</t>
  </si>
  <si>
    <t>SPURDLE FAMILY TRUST</t>
  </si>
  <si>
    <t>INV-0667-ALUCI04</t>
  </si>
  <si>
    <t>SE Field Days Catering</t>
  </si>
  <si>
    <t>INV-0667</t>
  </si>
  <si>
    <t>11-ASCAD00</t>
  </si>
  <si>
    <t>Esperance: Client Event w Stef</t>
  </si>
  <si>
    <t>11</t>
  </si>
  <si>
    <t>SCADDAN COUNTRY CLUB</t>
  </si>
  <si>
    <t>JonesS2-Software</t>
  </si>
  <si>
    <t>Busines networking - Stars of Beef &amp; Lamb Tasting Fundraiser, Matt, Mark &amp; Shirley - Mark Harris</t>
  </si>
  <si>
    <t>ROBANCO MEATS</t>
  </si>
  <si>
    <t>Busines networking - Stars of Beef &amp; Lamb Tasting Fundraiser, Matt, Mark &amp; Shirley - Matt Simshauser</t>
  </si>
  <si>
    <t>Busines networking - Stars of Beef &amp; Lamb Tasting Fundraiser, Matt, Mark &amp; Shirley - Shirley Jones</t>
  </si>
  <si>
    <t>12-ASCAD00</t>
  </si>
  <si>
    <t>WA Client Council_FinancialSki</t>
  </si>
  <si>
    <t>12</t>
  </si>
  <si>
    <t>PozziB-Entertainment Expense</t>
  </si>
  <si>
    <t>Entry Tickets to NQ Field Day</t>
  </si>
  <si>
    <t>OZT*NORTH QUEENSLAND F</t>
  </si>
  <si>
    <t>TarcaN-Domestic &amp; Overseas lod</t>
  </si>
  <si>
    <t>Tatiara Wheat comp Gift</t>
  </si>
  <si>
    <t>BORDERTOWN HOTEL</t>
  </si>
  <si>
    <t>751187-AFREM00</t>
  </si>
  <si>
    <t>Perth Seafood Client Event on</t>
  </si>
  <si>
    <t>751187</t>
  </si>
  <si>
    <t>FREMANTLE SAILING CLUB</t>
  </si>
  <si>
    <t>Eggs for Teachers Conference breakfast</t>
  </si>
  <si>
    <t>SQ *FEATHER &amp; PECK</t>
  </si>
  <si>
    <t>AU030411</t>
  </si>
  <si>
    <t>Toowoomba show</t>
  </si>
  <si>
    <t>SPOTLIGHT TOOWOOMBA</t>
  </si>
  <si>
    <t>HarveyP-Office Supplies</t>
  </si>
  <si>
    <t>WOOLWORTHS/MARGARET ST &amp;</t>
  </si>
  <si>
    <t>HarveyP-Printing</t>
  </si>
  <si>
    <t>Cattle tags for local show cattle sections sponsored by Rabobank.</t>
  </si>
  <si>
    <t>CRACKER PRINT &amp; PAPE</t>
  </si>
  <si>
    <t>0162-WNICK00</t>
  </si>
  <si>
    <t>0162</t>
  </si>
  <si>
    <t>0163-WNICK00</t>
  </si>
  <si>
    <t>0163</t>
  </si>
  <si>
    <t>TreloarH-Office Supplies</t>
  </si>
  <si>
    <t>Coles supplies for Broken Hill Agfair trade stand site</t>
  </si>
  <si>
    <t>Beef Entry Ticket Wednesday</t>
  </si>
  <si>
    <t>SQ *BEEFAUS2024</t>
  </si>
  <si>
    <t>2024066-ANEWD01</t>
  </si>
  <si>
    <t>2024066</t>
  </si>
  <si>
    <t>NEWDEGATE MACHINERY FIELD DAYS INC</t>
  </si>
  <si>
    <t>230329-ATURN01</t>
  </si>
  <si>
    <t>230329</t>
  </si>
  <si>
    <t>HarveyP-Entertainment Expense</t>
  </si>
  <si>
    <t>Gatton Small Crop field day</t>
  </si>
  <si>
    <t>OZT*LVG 2024 EXPO AND</t>
  </si>
  <si>
    <t>33481-APROD00</t>
  </si>
  <si>
    <t>Deposits banners</t>
  </si>
  <si>
    <t>33481</t>
  </si>
  <si>
    <t>PRODEUCE PTY LTD</t>
  </si>
  <si>
    <t>INV-0348-AWOTL00</t>
  </si>
  <si>
    <t>Thriving Women</t>
  </si>
  <si>
    <t>INV-0348</t>
  </si>
  <si>
    <t>WOTL LTD</t>
  </si>
  <si>
    <t>INV-1501-ASMSF00</t>
  </si>
  <si>
    <t>INV-1501</t>
  </si>
  <si>
    <t>INV-0205-ALION04</t>
  </si>
  <si>
    <t>LIONS CLUB OF STRZELECKI</t>
  </si>
  <si>
    <t>TwomeyGJ-Offshore Meals &amp; Lodg</t>
  </si>
  <si>
    <t>Raffle Voucher Grong Grong</t>
  </si>
  <si>
    <t>SPARE240529NB</t>
  </si>
  <si>
    <t>502-A28NA00</t>
  </si>
  <si>
    <t>LambEx</t>
  </si>
  <si>
    <t>502</t>
  </si>
  <si>
    <t>769810-AFREM00</t>
  </si>
  <si>
    <t>Seafood client event in Perth:</t>
  </si>
  <si>
    <t>769810</t>
  </si>
  <si>
    <t>5077-AMING01</t>
  </si>
  <si>
    <t>additional exhiitor pass for M</t>
  </si>
  <si>
    <t>5077</t>
  </si>
  <si>
    <t>INV-8509-AGOON20</t>
  </si>
  <si>
    <t>FinancialSkillsWorkshops_Goond</t>
  </si>
  <si>
    <t>INV-8509</t>
  </si>
  <si>
    <t>GOONDIWINDI SILO TA GATEWAY TO TRAINING</t>
  </si>
  <si>
    <t>LambEx / Bolts for hanging banners on exhibition site</t>
  </si>
  <si>
    <t>BUNNINGS 356000</t>
  </si>
  <si>
    <t>INV-0902-ADOWE00</t>
  </si>
  <si>
    <t>Dowerin 2024 Sundowner</t>
  </si>
  <si>
    <t>INV-0902</t>
  </si>
  <si>
    <t>INV-0910-ADOWE00</t>
  </si>
  <si>
    <t>Dowerin 2024 Catering</t>
  </si>
  <si>
    <t>INV-0910</t>
  </si>
  <si>
    <t>VISA JULY 2024</t>
  </si>
  <si>
    <t>fennellLJ-Domestic &amp; Overseas</t>
  </si>
  <si>
    <t>BENDIGO HOTEL FUND OP</t>
  </si>
  <si>
    <t>Carbon Workshop Bendigo 29 - 30/07/2024 venue hire</t>
  </si>
  <si>
    <t>Room Hire - Bendigo Carbon Workshop attendee dinner 29/07/2024</t>
  </si>
  <si>
    <t>LAKE VIEW HOTEL</t>
  </si>
  <si>
    <t>LambEx / site set up</t>
  </si>
  <si>
    <t>fennellLJ-Costs own Car Fleet</t>
  </si>
  <si>
    <t>5 bags of ice for Speed Field Days</t>
  </si>
  <si>
    <t>VANTAGE FUELS WYCHEPROOF</t>
  </si>
  <si>
    <t>AU030220</t>
  </si>
  <si>
    <t>MCDONALDK-Offshore Meals &amp; Lod</t>
  </si>
  <si>
    <t>Durkin Bull Sale Sponsorship</t>
  </si>
  <si>
    <t>LENNON BUTCHERY</t>
  </si>
  <si>
    <t>LEI Application Fee</t>
  </si>
  <si>
    <t>LEI00406983</t>
  </si>
  <si>
    <t>Rural Women Unite Raffle Donation</t>
  </si>
  <si>
    <t>SQ *RURAL WOMEN UNITE INC</t>
  </si>
  <si>
    <t>INV-1518-ASMSF00</t>
  </si>
  <si>
    <t>SMSF Association event sponsor</t>
  </si>
  <si>
    <t>INV-1518</t>
  </si>
  <si>
    <t>Decorating - Emerald 25 Years</t>
  </si>
  <si>
    <t>KMART</t>
  </si>
  <si>
    <t>WA CC Meeting: Ben McTaggart PER-GER flight</t>
  </si>
  <si>
    <t>QANTAS AIR_ABN16009661901/JM9J8KGCXXGN3RF6/JM9J8KGCXXGN3RF6</t>
  </si>
  <si>
    <t>RyanC1-Entertainment Expense</t>
  </si>
  <si>
    <t>WA CC Meeting in Perth 23.08.24 - remainder of accom and meeting costs</t>
  </si>
  <si>
    <t>MANDOON ESTATE PTY LTD</t>
  </si>
  <si>
    <t>AU030622</t>
  </si>
  <si>
    <t>Field Day expense</t>
  </si>
  <si>
    <t>COSTCO WHOLESALE AUSTR</t>
  </si>
  <si>
    <t>Corflute Signes - Emerald 25 Years</t>
  </si>
  <si>
    <t>ZLR*CQ Signs Plus</t>
  </si>
  <si>
    <t>Decorations - Emerald 25 Years</t>
  </si>
  <si>
    <t>SQ *FLORISTA HAZE</t>
  </si>
  <si>
    <t>Dowerin Field Day: Staff Tickets</t>
  </si>
  <si>
    <t>MEGATIX.COM.AU</t>
  </si>
  <si>
    <t>WA Client Council Meeting - Perth 22nd &amp; 23rd August - Deposit</t>
  </si>
  <si>
    <t>50807-APINN05</t>
  </si>
  <si>
    <t>WA CC Teacher FX: Bus for prog</t>
  </si>
  <si>
    <t>50807</t>
  </si>
  <si>
    <t>PINNACLE COACHLINES</t>
  </si>
  <si>
    <t>22-AARTH00</t>
  </si>
  <si>
    <t>Fin Skills Workshop venue</t>
  </si>
  <si>
    <t>22</t>
  </si>
  <si>
    <t>ARTHURTON WAR MEMORIAL SPORTS CLUB</t>
  </si>
  <si>
    <t>GrayC-Costs own Car Fleet</t>
  </si>
  <si>
    <t>Newdegate Field Day Ice for Sundowner</t>
  </si>
  <si>
    <t>NEWDEGATE RH 5572</t>
  </si>
  <si>
    <t>DEVREEV-Offshore Meals &amp; Lodgi</t>
  </si>
  <si>
    <t>Newdegate Field Day Sundowner Beverages</t>
  </si>
  <si>
    <t>MAGADASHLY PTY LTD</t>
  </si>
  <si>
    <t>TreloarH-Company Car Parking</t>
  </si>
  <si>
    <t>Adelaide Show / Event parking / 1 x day</t>
  </si>
  <si>
    <t>CITY OF ADELAIDE-PARKL</t>
  </si>
  <si>
    <t>TreloarH-Entertainment Expense</t>
  </si>
  <si>
    <t>Cleve Field Days / Wine for grain panel speakers</t>
  </si>
  <si>
    <t>BWS/157 THE ESPLANADE</t>
  </si>
  <si>
    <t>TreloarH-Offshore Meals &amp; Lodg</t>
  </si>
  <si>
    <t>LambEx / water for trade stand</t>
  </si>
  <si>
    <t>STOCKWELL HOUSE PTY</t>
  </si>
  <si>
    <t>124267-AKWIK05</t>
  </si>
  <si>
    <t>WA CC Teacher FX Program Print</t>
  </si>
  <si>
    <t>124267</t>
  </si>
  <si>
    <t>KWIK KOPY PERTH CBD</t>
  </si>
  <si>
    <t>67-ALAKE24</t>
  </si>
  <si>
    <t>Newdegate Field Day: Sundowner</t>
  </si>
  <si>
    <t>67</t>
  </si>
  <si>
    <t>LAKE GRACE P AND C ASSOCIATION</t>
  </si>
  <si>
    <t>240808-ATURN01</t>
  </si>
  <si>
    <t>WA Teacher FX Gift Bags</t>
  </si>
  <si>
    <t>240808</t>
  </si>
  <si>
    <t>BrownT2-Default Licensee Merch</t>
  </si>
  <si>
    <t>Ben Picton Oatlands - Client Event venue hire</t>
  </si>
  <si>
    <t>SOUTHERN MIDLANDS CO</t>
  </si>
  <si>
    <t>RABO-27/09/24-AMACQ00</t>
  </si>
  <si>
    <t>Return Airfares Dubbo Sydney</t>
  </si>
  <si>
    <t>RABO-27/09/24</t>
  </si>
  <si>
    <t>MACQUARIE ACCOUNTING NARROMINE</t>
  </si>
  <si>
    <t>tax Airport to Sydney CDB</t>
  </si>
  <si>
    <t>MitchellB-Default Licensee Mer</t>
  </si>
  <si>
    <t>Charity golf day marketing event</t>
  </si>
  <si>
    <t>ROTARY CLUB OF NARRAN</t>
  </si>
  <si>
    <t>1087-ALAUR00</t>
  </si>
  <si>
    <t>Ruminati Workshop client cater</t>
  </si>
  <si>
    <t>1087</t>
  </si>
  <si>
    <t>SCHMIDTK-Entertainment Expense</t>
  </si>
  <si>
    <t>Refreshments - Owen Ag Bureau</t>
  </si>
  <si>
    <t>BWS LIQUOR/103 GLEN OSMON</t>
  </si>
  <si>
    <t>SCHMIDTK-Office Supplies</t>
  </si>
  <si>
    <t>Stefan Vogel Event - Plains Grain, Mallala</t>
  </si>
  <si>
    <t>IGA MALLALA</t>
  </si>
  <si>
    <t>LambEx / refund on parts for hanging banners</t>
  </si>
  <si>
    <t>TaylorF-Ground Travel</t>
  </si>
  <si>
    <t>Bus for Croppa Creek Crop Tour (out of Moree sponsorship budget)</t>
  </si>
  <si>
    <t>MOREE BUS SERVICE</t>
  </si>
  <si>
    <t>AU030322</t>
  </si>
  <si>
    <t>INV29686-ATERA03</t>
  </si>
  <si>
    <t>Rabo sponsored event</t>
  </si>
  <si>
    <t>INV29686</t>
  </si>
  <si>
    <t>TERANG AND DIST RACING CLUB INC</t>
  </si>
  <si>
    <t>GallowayM-Office Supplies</t>
  </si>
  <si>
    <t>Water and ice - Henty catering</t>
  </si>
  <si>
    <t>WOOLWORTHS/KOORINGAL ML L</t>
  </si>
  <si>
    <t>GallowayM-Software</t>
  </si>
  <si>
    <t>Updated team photos</t>
  </si>
  <si>
    <t>JACKOFHEARTSSTUDIO</t>
  </si>
  <si>
    <t>Lockhart Expense - ICE</t>
  </si>
  <si>
    <t>UNITED</t>
  </si>
  <si>
    <t>Newdegate Field Day Sundowner Drinks</t>
  </si>
  <si>
    <t>PurdyN-Office Supplies</t>
  </si>
  <si>
    <t>Water for Newdegate FD</t>
  </si>
  <si>
    <t>IGA NEWDEGATE</t>
  </si>
  <si>
    <t>ChincariniSM-Entertainment Exp</t>
  </si>
  <si>
    <t>Elmore Field Days</t>
  </si>
  <si>
    <t>123TIX*2024 ELMORE FIE</t>
  </si>
  <si>
    <t>Catering - Elmore Field Days 2024</t>
  </si>
  <si>
    <t>EFDCOMMUNI* EFDCOMMUNI</t>
  </si>
  <si>
    <t>Portable PA system for RaboTruck event in Colbinabbin</t>
  </si>
  <si>
    <t>POWER AUDIO VISUAL</t>
  </si>
  <si>
    <t>fennellLJ-Rental - Office Equi</t>
  </si>
  <si>
    <t>RaboTruck Colbinabbin - toilet hire</t>
  </si>
  <si>
    <t>KENNARDS HIRE HO VIC</t>
  </si>
  <si>
    <t>MitchellB-Offshore Meals &amp; Lod</t>
  </si>
  <si>
    <t>Sponsorship- Illabo Show</t>
  </si>
  <si>
    <t>SQ *ILLABO SHOW SOCIETY I</t>
  </si>
  <si>
    <t>14-ASCAD00</t>
  </si>
  <si>
    <t>1/2 day hire of Scaddan Countr</t>
  </si>
  <si>
    <t>14</t>
  </si>
  <si>
    <t>CampbellT-Default Licensee Mer</t>
  </si>
  <si>
    <t>2024 Esperance Field Day Supplies</t>
  </si>
  <si>
    <t>MBL FOOD &amp; PACKAGING L</t>
  </si>
  <si>
    <t>AIR VOICE SPRMRKT PL</t>
  </si>
  <si>
    <t>ESPERANCE FRENCH HOT</t>
  </si>
  <si>
    <t>36-30/10/24-AAUST23</t>
  </si>
  <si>
    <t>Australian Dairy Conference Sp</t>
  </si>
  <si>
    <t>36-30/10/24</t>
  </si>
  <si>
    <t>INV-0022-AHURT01</t>
  </si>
  <si>
    <t>WA Client Council Community Fu</t>
  </si>
  <si>
    <t>INV-0022</t>
  </si>
  <si>
    <t>HURT TO HELP LIMITED</t>
  </si>
  <si>
    <t>CEC-2-AANDR00</t>
  </si>
  <si>
    <t>Return flights for Melissa Deg</t>
  </si>
  <si>
    <t>CEC-2</t>
  </si>
  <si>
    <t>ANDREW AND MELISSA DEGUARA</t>
  </si>
  <si>
    <t>WA Teacher FX: non refundable accomm charge: Bus driver, CC members, staff on program</t>
  </si>
  <si>
    <t>ALBERT FACEY MOTOR I</t>
  </si>
  <si>
    <t>RyanC1-Offshore Meals &amp; Lodgin</t>
  </si>
  <si>
    <t>WA Teacher FX: negotiated 50% dinner cost</t>
  </si>
  <si>
    <t>CUBALLING TAVERN</t>
  </si>
  <si>
    <t>WA Teacher FX: non refundable catering expense</t>
  </si>
  <si>
    <t>JUSTEAT GROUP PTY LTD</t>
  </si>
  <si>
    <t>CEC-3-AMICH01</t>
  </si>
  <si>
    <t>KM allowance reimbursement for</t>
  </si>
  <si>
    <t>CEC-3</t>
  </si>
  <si>
    <t>MICHELLE RAMSAY</t>
  </si>
  <si>
    <t>CEC-4-AARDI00</t>
  </si>
  <si>
    <t>Return flights Brisbane-Townsv</t>
  </si>
  <si>
    <t>CEC-4</t>
  </si>
  <si>
    <t>ARDIE LORD</t>
  </si>
  <si>
    <t>11241-AYUMY00</t>
  </si>
  <si>
    <t>YumYum4kids_SQCC_Nov24_purchas</t>
  </si>
  <si>
    <t>11241</t>
  </si>
  <si>
    <t>YUM YUM 4 KIDS</t>
  </si>
  <si>
    <t>EEC-963-ASPUR00</t>
  </si>
  <si>
    <t>Reimbursements for Sonia Spurd</t>
  </si>
  <si>
    <t>EEC-963</t>
  </si>
  <si>
    <t>CEC-5-ASPUR00</t>
  </si>
  <si>
    <t>CEC-5</t>
  </si>
  <si>
    <t>CEC-6-AFLOR01</t>
  </si>
  <si>
    <t>Return flights for Tony Olsen</t>
  </si>
  <si>
    <t>CEC-6</t>
  </si>
  <si>
    <t>FLOR-HANLY</t>
  </si>
  <si>
    <t>IN13653-AROYA05</t>
  </si>
  <si>
    <t>QLD Client Councils s/ship to</t>
  </si>
  <si>
    <t>IN13653</t>
  </si>
  <si>
    <t>ROYAL FLYING DOCTOR SERVICE(QLD SECTION)</t>
  </si>
  <si>
    <t>RABO-13/11/24-ANICO00</t>
  </si>
  <si>
    <t>ADL CBR Return 18 and 21 Nov</t>
  </si>
  <si>
    <t>RABO-13/11/24</t>
  </si>
  <si>
    <t>NICOLE KIRKLAND</t>
  </si>
  <si>
    <t>MGB ADL Return Rex Airlines</t>
  </si>
  <si>
    <t>Wagin Woolorama 2025 site application</t>
  </si>
  <si>
    <t>WOOLORAMA</t>
  </si>
  <si>
    <t>TaylorF-Other Personnel Expens</t>
  </si>
  <si>
    <t>Sponsorship of Young Aggies Moree</t>
  </si>
  <si>
    <t>CUSTOM CUTTING STUDIO</t>
  </si>
  <si>
    <t>AU032073</t>
  </si>
  <si>
    <t>CEC-7-AMMTI00</t>
  </si>
  <si>
    <t>Client Council Chairs Meeting_</t>
  </si>
  <si>
    <t>CEC-7</t>
  </si>
  <si>
    <t>MONIQUE BRYANT</t>
  </si>
  <si>
    <t>CEC-8-AWAMA00</t>
  </si>
  <si>
    <t>CEC-8</t>
  </si>
  <si>
    <t>WAMARA FARMING TRUST</t>
  </si>
  <si>
    <t>AU030321</t>
  </si>
  <si>
    <t>WarrenL-Offshore Meals &amp; Lodgi</t>
  </si>
  <si>
    <t>27 Sept - Room Hire - Renmark Bowling Club - Lee-Anne Warren</t>
  </si>
  <si>
    <t>Renmark Bowling Club I</t>
  </si>
  <si>
    <t>241907367-AHILT05</t>
  </si>
  <si>
    <t>YFF WA March 2025: Deposit for</t>
  </si>
  <si>
    <t>241907367</t>
  </si>
  <si>
    <t>HILTON GARDEN INN BUSSELTON</t>
  </si>
  <si>
    <t>INV-7132-ASHEL03</t>
  </si>
  <si>
    <t>INV-7132</t>
  </si>
  <si>
    <t>SHELTER BREWING</t>
  </si>
  <si>
    <t>TaylorF-Default Licensee Merch</t>
  </si>
  <si>
    <t>Santa Gifts - Moree RaboTruck Event</t>
  </si>
  <si>
    <t>KMART 3345</t>
  </si>
  <si>
    <t>Santa Gifts &amp; Decorations - Moree RaboTruck Event</t>
  </si>
  <si>
    <t>THE REJECT SHOP 2349</t>
  </si>
  <si>
    <t>TaylorF-Office Supplies</t>
  </si>
  <si>
    <t>Aeroguard - Moree RaboTruck Event</t>
  </si>
  <si>
    <t>WOOLWORTHS/215 BALO ST</t>
  </si>
  <si>
    <t>BaulchD-Costs own Car Fleet</t>
  </si>
  <si>
    <t>Ice- Cohuna Dairy Event</t>
  </si>
  <si>
    <t>TASCO PETROLEUM KERANG</t>
  </si>
  <si>
    <t>MCDONALDK-Office Supplies</t>
  </si>
  <si>
    <t>Flowers for the Munro Ladies</t>
  </si>
  <si>
    <t>COLES 4444</t>
  </si>
  <si>
    <t>SilvaKJ-Other Personnel Expens</t>
  </si>
  <si>
    <t>Flowers</t>
  </si>
  <si>
    <t>EASYFLOWERS</t>
  </si>
  <si>
    <t>HoldenK-Default Licensee Merch</t>
  </si>
  <si>
    <t>thank you to website contractor</t>
  </si>
  <si>
    <t>True Rewards/7333521295786189003977</t>
  </si>
  <si>
    <t>Sponsorship - OK</t>
  </si>
  <si>
    <t>PL</t>
  </si>
  <si>
    <t>Business expense - sponsorship</t>
  </si>
  <si>
    <t>Business expense - donation/sponsorship</t>
  </si>
  <si>
    <t>Accept as part of work - mostly clients and prospects</t>
  </si>
  <si>
    <t>Teachers - staff involved. ME</t>
  </si>
  <si>
    <t>Clients - OK</t>
  </si>
  <si>
    <t>Accept marketing</t>
  </si>
  <si>
    <t>DEVREEV-Contributions &amp; Club M</t>
  </si>
  <si>
    <t>GRDC Update - Lake Grace</t>
  </si>
  <si>
    <t>THE LAKE GRACE PINGRUP</t>
  </si>
  <si>
    <t>00013024-AQUAL08</t>
  </si>
  <si>
    <t>00013024</t>
  </si>
  <si>
    <t>036-AMUTT01</t>
  </si>
  <si>
    <t>NQNT Marketing expense, Muttab</t>
  </si>
  <si>
    <t>036</t>
  </si>
  <si>
    <t>MUTTABURRA STOCK SHOW SOCIETY INC</t>
  </si>
  <si>
    <t>2093059-AKWIK03</t>
  </si>
  <si>
    <t>Name tag Easter Show volunteer</t>
  </si>
  <si>
    <t>2093059</t>
  </si>
  <si>
    <t>2093133-AKWIK03</t>
  </si>
  <si>
    <t>Signs counter sides logo Easte</t>
  </si>
  <si>
    <t>2093133</t>
  </si>
  <si>
    <t>2357-ALIEB00</t>
  </si>
  <si>
    <t>WA Marketing: Diamond Partners</t>
  </si>
  <si>
    <t>2357</t>
  </si>
  <si>
    <t>INV-000035-ATHAL00</t>
  </si>
  <si>
    <t>INV-000035</t>
  </si>
  <si>
    <t>THALABA LAGGAN PASTORAL COMPANY</t>
  </si>
  <si>
    <t>INV-0108-AMOTH00</t>
  </si>
  <si>
    <t>Sponsoring , Motherland Mother</t>
  </si>
  <si>
    <t>INV-0108</t>
  </si>
  <si>
    <t>MOTHERLAND LTD</t>
  </si>
  <si>
    <t>RABO-25/03/24-ARANG00</t>
  </si>
  <si>
    <t>Rangan Charolais Sponsorship -</t>
  </si>
  <si>
    <t>RABO-25/03/24</t>
  </si>
  <si>
    <t>RANGAN CHAROLAIS</t>
  </si>
  <si>
    <t>SP24038-AWEEW05</t>
  </si>
  <si>
    <t>Sponsoring , MAC , Spring Plai</t>
  </si>
  <si>
    <t>SP24038</t>
  </si>
  <si>
    <t>WEE WAA VOLENTEER SUPPORT GROUP</t>
  </si>
  <si>
    <t>25/03/2024-25/03/20-EFRIZ00</t>
  </si>
  <si>
    <t>Reimbursement-Dalby 20 Year An</t>
  </si>
  <si>
    <t>25/03/2024-25/03/2024</t>
  </si>
  <si>
    <t>TROY FRIZZELL</t>
  </si>
  <si>
    <t>Poultry Conference</t>
  </si>
  <si>
    <t>Business Council Orange</t>
  </si>
  <si>
    <t>BUSINESS ORANGE</t>
  </si>
  <si>
    <t>Australian Dairy Conference delegate registration</t>
  </si>
  <si>
    <t>AUST DAIRY CONFERENCE</t>
  </si>
  <si>
    <t>australian dairy conference farm tour delegate registration - Kate Hemphill</t>
  </si>
  <si>
    <t>2092692-AKWIK03</t>
  </si>
  <si>
    <t>Postcard Albury</t>
  </si>
  <si>
    <t>2092692</t>
  </si>
  <si>
    <t>2092695-AKWIK03</t>
  </si>
  <si>
    <t>Postcard Shepperton</t>
  </si>
  <si>
    <t>2092695</t>
  </si>
  <si>
    <t>2092809-AKWIK03</t>
  </si>
  <si>
    <t>Postcard Wagga</t>
  </si>
  <si>
    <t>2092809</t>
  </si>
  <si>
    <t>2092853-AKWIK03</t>
  </si>
  <si>
    <t>Postcard Swan Hill</t>
  </si>
  <si>
    <t>2092853</t>
  </si>
  <si>
    <t>INV-1533-AHENT00</t>
  </si>
  <si>
    <t>Henty Machinery Field Days sit</t>
  </si>
  <si>
    <t>INV-1533</t>
  </si>
  <si>
    <t>HENTY MACHINERY FIELD DAYS CO OPERATIVE</t>
  </si>
  <si>
    <t>1007592-AWARR35</t>
  </si>
  <si>
    <t>Pre Farmworld Dinner</t>
  </si>
  <si>
    <t>1007592</t>
  </si>
  <si>
    <t>WARRAGUL COUNTRY CLUB</t>
  </si>
  <si>
    <t>GallowayM-Costs own Car Fleet</t>
  </si>
  <si>
    <t>Temora RaboTruck Event - Ice</t>
  </si>
  <si>
    <t>AMPOL TEMORA</t>
  </si>
  <si>
    <t>Temora RaboTruck Event - Milk &amp; Water</t>
  </si>
  <si>
    <t>WOOLWORTHS/104-110 HOSKIN</t>
  </si>
  <si>
    <t>Temora RaboTruck Event - Softdrink</t>
  </si>
  <si>
    <t>1576-APERE02</t>
  </si>
  <si>
    <t>PPS Sponsorship Agreement - 20</t>
  </si>
  <si>
    <t>1576</t>
  </si>
  <si>
    <t>PERENNIAL PASTURE SYSTEMS</t>
  </si>
  <si>
    <t>2092865-AKWIK03</t>
  </si>
  <si>
    <t>Postcard Emerald Save the date</t>
  </si>
  <si>
    <t>2092865</t>
  </si>
  <si>
    <t>2243-ATURN01</t>
  </si>
  <si>
    <t>2000 x Rabobank branded lanyar</t>
  </si>
  <si>
    <t>2243</t>
  </si>
  <si>
    <t>231011-ATURN01</t>
  </si>
  <si>
    <t>Rabobank PLaying Cards - Dalby</t>
  </si>
  <si>
    <t>231011</t>
  </si>
  <si>
    <t>INV-023632-ACENT02</t>
  </si>
  <si>
    <t>EA</t>
  </si>
  <si>
    <t>INV-023632</t>
  </si>
  <si>
    <t>5150-ASWAN08</t>
  </si>
  <si>
    <t>Swan Hill equipment hire for R</t>
  </si>
  <si>
    <t>5150</t>
  </si>
  <si>
    <t>SWAN HILL PARTY HIRE</t>
  </si>
  <si>
    <t>CAA2024001-ACURT05</t>
  </si>
  <si>
    <t>CAA2024001</t>
  </si>
  <si>
    <t>CURTIN AGRICULTURE ASSOCIATION</t>
  </si>
  <si>
    <t>RABO-01/02/24-ABAMA01</t>
  </si>
  <si>
    <t>Rochester DBN Sponsorship - ac</t>
  </si>
  <si>
    <t>RABO-01/02/24</t>
  </si>
  <si>
    <t>BAMAWM ROCHESTER DBN</t>
  </si>
  <si>
    <t>BriginshawZ-Default Licensee M</t>
  </si>
  <si>
    <t>Woolorama - cool room trailer hire</t>
  </si>
  <si>
    <t>BriginshawZ-Entertainment Expe</t>
  </si>
  <si>
    <t>Ice for woolorama for evening sun downer</t>
  </si>
  <si>
    <t>PALACE HOTEL WAGIN/152226016883</t>
  </si>
  <si>
    <t>Narrogin 20 years event items - power board and cleaning cloths</t>
  </si>
  <si>
    <t>Narrogin 20 years event items - water and cool drink</t>
  </si>
  <si>
    <t>Salmon Gums Business Devt</t>
  </si>
  <si>
    <t>SQ *SALMON GUMS DEVELOPME</t>
  </si>
  <si>
    <t>10-AGRAV01</t>
  </si>
  <si>
    <t>Sponsoring , 2024 Gravesend 10</t>
  </si>
  <si>
    <t>10</t>
  </si>
  <si>
    <t>GRAVESEND P AND C ASSOCIATION</t>
  </si>
  <si>
    <t>17705-ASWAN01</t>
  </si>
  <si>
    <t>Wagin marquee and furniture</t>
  </si>
  <si>
    <t>17705</t>
  </si>
  <si>
    <t>2024-APEAK01</t>
  </si>
  <si>
    <t>Sponsoring , Peak Hill Show</t>
  </si>
  <si>
    <t>2024</t>
  </si>
  <si>
    <t>PEAK HILL PA AND H ASSOCIATION INC</t>
  </si>
  <si>
    <t>230216-ATURN01</t>
  </si>
  <si>
    <t>Lanyards for Young Farmers For</t>
  </si>
  <si>
    <t>230216</t>
  </si>
  <si>
    <t>INV-0710-AAGRI06</t>
  </si>
  <si>
    <t>Adelaide Sponsorship 2024</t>
  </si>
  <si>
    <t>INV-0710</t>
  </si>
  <si>
    <t>AGRICULTURE KANGAROO ISLAND INC</t>
  </si>
  <si>
    <t>RABO-21/03/24-AMOOR00</t>
  </si>
  <si>
    <t>WA Marketing - 2024 Sponsorshi</t>
  </si>
  <si>
    <t>RABO-21/03/24</t>
  </si>
  <si>
    <t>MOORA MILING PASTURE IMPROVEMENT GROUP</t>
  </si>
  <si>
    <t>00202431-AMBCF00</t>
  </si>
  <si>
    <t>Kadina 20 years event Catering</t>
  </si>
  <si>
    <t>00202431</t>
  </si>
  <si>
    <t>MBC FOODS</t>
  </si>
  <si>
    <t>1-000348-AWARI00</t>
  </si>
  <si>
    <t>Sponsoing , Warialda Show</t>
  </si>
  <si>
    <t>1-000348</t>
  </si>
  <si>
    <t>WARIALDA PASTORAL AND AGRICULTURE</t>
  </si>
  <si>
    <t>151-AOURC00</t>
  </si>
  <si>
    <t>20 year branch anniversary fun</t>
  </si>
  <si>
    <t>151</t>
  </si>
  <si>
    <t>OUR CAKE ROOM</t>
  </si>
  <si>
    <t>3257-AFACE01</t>
  </si>
  <si>
    <t>WA Marketing: 2024 Sponsorship</t>
  </si>
  <si>
    <t>3257</t>
  </si>
  <si>
    <t>FACEY GROUP INC</t>
  </si>
  <si>
    <t>GallowayM-Rental - Office Equi</t>
  </si>
  <si>
    <t>Temora RaboTruck Event - Chair Hire</t>
  </si>
  <si>
    <t>JAEGERS EVENT HIRE</t>
  </si>
  <si>
    <t>Truck table cloths - Mulwala</t>
  </si>
  <si>
    <t>SPOTLIGHT SHEPPARTON</t>
  </si>
  <si>
    <t>Drinks for Mulwala truck event</t>
  </si>
  <si>
    <t>Ice for truck event</t>
  </si>
  <si>
    <t>BP YARRAWONGA 1070</t>
  </si>
  <si>
    <t>KnowlesB-Entertainment Expense</t>
  </si>
  <si>
    <t>DAN MURPHY'S/WYNDHAM STRE</t>
  </si>
  <si>
    <t>KnowlesB-Office Supplies</t>
  </si>
  <si>
    <t>Drinks and supplies for the Mulwala truck event</t>
  </si>
  <si>
    <t>FAIRLEYS IGA SHEPP</t>
  </si>
  <si>
    <t>MANNR-Office Supplies</t>
  </si>
  <si>
    <t>Branch groceries Farm World</t>
  </si>
  <si>
    <t>RobinsonR-Entertainment Expens</t>
  </si>
  <si>
    <t>Ice for truck event - Roger Robinson</t>
  </si>
  <si>
    <t>BWS LIQUOR/183 BELMORE ST</t>
  </si>
  <si>
    <t>TriplettT-Entertainment Expens</t>
  </si>
  <si>
    <t>3 Slabs Heavy Beer (Top Up) Hollins Rabobank Truck Event</t>
  </si>
  <si>
    <t>BOTTLE O SWANHILL</t>
  </si>
  <si>
    <t>Mid &amp; Heavy Beer, Wind &amp; Champagne Hollins Rabobank Truck Event</t>
  </si>
  <si>
    <t>TriplettT-Office Supplies</t>
  </si>
  <si>
    <t>Soft Drinks &amp; Ice Hollins Rabobank Truck Event</t>
  </si>
  <si>
    <t>COLES 0574</t>
  </si>
  <si>
    <t>WallaceMA-Office Supplies</t>
  </si>
  <si>
    <t>Name tags and holders - Mulwala Truck event</t>
  </si>
  <si>
    <t>OFFICEWORKS 0214</t>
  </si>
  <si>
    <t>Easter Show tins for display</t>
  </si>
  <si>
    <t>KMART 1155</t>
  </si>
  <si>
    <t>Bin Liners, Easter Show</t>
  </si>
  <si>
    <t>WW METRO/61-79 QUAY STREE</t>
  </si>
  <si>
    <t>Easter Show clip bopard, blutac</t>
  </si>
  <si>
    <t>OFFICEWORKS 0209</t>
  </si>
  <si>
    <t>Easter SHow post notes, double sided tape to install counter signs</t>
  </si>
  <si>
    <t>OFFICEWORKS 0251</t>
  </si>
  <si>
    <t>MCAULAYG-Offshore Meals &amp; Lodg</t>
  </si>
  <si>
    <t>Gift for client for photo shoot</t>
  </si>
  <si>
    <t>BANANA HM PTY LTD</t>
  </si>
  <si>
    <t>NichollsJ-Default Licensee Mer</t>
  </si>
  <si>
    <t>East Gippsland Field Days Site</t>
  </si>
  <si>
    <t>EAST GIPPS. FIELD DAYS</t>
  </si>
  <si>
    <t>CB AU - Sheep field day</t>
  </si>
  <si>
    <t>SQ *ANTHONY SHEPHERD</t>
  </si>
  <si>
    <t>TwomeyGJ-Entertainment Expense</t>
  </si>
  <si>
    <t>CB AU - Soil carbon tickets</t>
  </si>
  <si>
    <t>SQ *STICKY TICKETS*SOIL C</t>
  </si>
  <si>
    <t>TwomeyGJ-Office Supplies</t>
  </si>
  <si>
    <t>CB - Sheepmatters day drinks</t>
  </si>
  <si>
    <t>IGA COOTA</t>
  </si>
  <si>
    <t>00013036-AQUAL08</t>
  </si>
  <si>
    <t>Farmworld marquee and furnitur</t>
  </si>
  <si>
    <t>00013036</t>
  </si>
  <si>
    <t>00013048-AQUAL08</t>
  </si>
  <si>
    <t>East Gippsland Field Days marq</t>
  </si>
  <si>
    <t>00013048</t>
  </si>
  <si>
    <t>1949-ASHAN05</t>
  </si>
  <si>
    <t>Shannon Consulting Sponsorship</t>
  </si>
  <si>
    <t>1949</t>
  </si>
  <si>
    <t>SHANNON FARM CONSULTING</t>
  </si>
  <si>
    <t>2029-AJTWC00</t>
  </si>
  <si>
    <t>Bar service for the Dalby Bran</t>
  </si>
  <si>
    <t>2029</t>
  </si>
  <si>
    <t>JTW CLEANING AND BAR SERVICES</t>
  </si>
  <si>
    <t>24002-ABARC01</t>
  </si>
  <si>
    <t>NQNT Marketing expense, Blacka</t>
  </si>
  <si>
    <t>24002</t>
  </si>
  <si>
    <t>BARCOO PASTORAL SOCIETY</t>
  </si>
  <si>
    <t>264-ABEEF04</t>
  </si>
  <si>
    <t>Beef Industry Awards Dinner Ti</t>
  </si>
  <si>
    <t>264</t>
  </si>
  <si>
    <t>INV-0221-ALONG02</t>
  </si>
  <si>
    <t>NQNT Maretking expense, Longre</t>
  </si>
  <si>
    <t>LONGREACH SHOW SOCIETY</t>
  </si>
  <si>
    <t>2405-ACENT44</t>
  </si>
  <si>
    <t>Sponsorship - Central Gippslan</t>
  </si>
  <si>
    <t>2405</t>
  </si>
  <si>
    <t>CENTRAL GIPPSLAND JERSEY BREEDERS CLUB I</t>
  </si>
  <si>
    <t>Temora RaboTruck Event - Catering</t>
  </si>
  <si>
    <t>MARBULL CATERING</t>
  </si>
  <si>
    <t>Temora RaboTruck Event - Toilet Hire</t>
  </si>
  <si>
    <t>KENNARDS HIRE ACT</t>
  </si>
  <si>
    <t>Umbrella hire for Mulwala truck event</t>
  </si>
  <si>
    <t>BARLENS EVENT HIRE</t>
  </si>
  <si>
    <t>00024334-ABOON01</t>
  </si>
  <si>
    <t>Brisbane Branch S/Ship - 2024</t>
  </si>
  <si>
    <t>00024334</t>
  </si>
  <si>
    <t>BOONAH SHOW SOCIETY INC</t>
  </si>
  <si>
    <t>2093126-AKWIK03</t>
  </si>
  <si>
    <t>Mildura Letters</t>
  </si>
  <si>
    <t>2093126</t>
  </si>
  <si>
    <t>INV-0388-ADARL04</t>
  </si>
  <si>
    <t>S/Ship of the Darling Downs Co</t>
  </si>
  <si>
    <t>INV-0388</t>
  </si>
  <si>
    <t>DARLING DOWNS COTTON GROWERS INC</t>
  </si>
  <si>
    <t>B4602-AMIDN00</t>
  </si>
  <si>
    <t>Kadina 20 years event equipmen</t>
  </si>
  <si>
    <t>B4602</t>
  </si>
  <si>
    <t>MID NORTH PARTY HIRE</t>
  </si>
  <si>
    <t>HoepnerK-Offshore Meals &amp; Lodg</t>
  </si>
  <si>
    <t>Kadina 20 Year Anniversary- Balloons</t>
  </si>
  <si>
    <t>SQ *BOWIE?S CREATION?S</t>
  </si>
  <si>
    <t>2 &amp; 0 lights for Kadina 20yr anniversary</t>
  </si>
  <si>
    <t>KMART 3360</t>
  </si>
  <si>
    <t>Napkins for Kadina 20yr anniversary</t>
  </si>
  <si>
    <t>CHEAP AS CHIPS</t>
  </si>
  <si>
    <t>Small food plates for Kadina 20yr anniversary</t>
  </si>
  <si>
    <t>THE REJECT SHOP</t>
  </si>
  <si>
    <t>Wooden spoons and paper bags for Kadina 20yr anniversary</t>
  </si>
  <si>
    <t>Tea and Coffee supplies for Kadina 20yr anniversary</t>
  </si>
  <si>
    <t>NorthcottM-Default Licensee Me</t>
  </si>
  <si>
    <t>balloon</t>
  </si>
  <si>
    <t>DB &amp; KJ SMALLACOMBE</t>
  </si>
  <si>
    <t>Balloons in Rabobank colour - 20 year event</t>
  </si>
  <si>
    <t>Milk for 20 year celebration event at Maitland</t>
  </si>
  <si>
    <t>PalmerN-Office Supplies</t>
  </si>
  <si>
    <t>Field Days</t>
  </si>
  <si>
    <t>00017394-ARURA21</t>
  </si>
  <si>
    <t>Agfest Water Delivery Fee</t>
  </si>
  <si>
    <t>00017394</t>
  </si>
  <si>
    <t>Coffee cups for various events RaboTruck</t>
  </si>
  <si>
    <t>MYPAPERCUPS</t>
  </si>
  <si>
    <t>24/09-AGOLD03</t>
  </si>
  <si>
    <t>24/09</t>
  </si>
  <si>
    <t>GOLD CITY CAMPDRAFT ASSOCIATION INC</t>
  </si>
  <si>
    <t>3053854-ADIAM00</t>
  </si>
  <si>
    <t>NQNT Marketing expense, Winton</t>
  </si>
  <si>
    <t>3053854</t>
  </si>
  <si>
    <t>DIAMANTINA RODEO AND CAMPDRAFT ASSOC INC</t>
  </si>
  <si>
    <t>4993-ATARO02</t>
  </si>
  <si>
    <t>Dalby Branch S/Ship of Taroom</t>
  </si>
  <si>
    <t>4993</t>
  </si>
  <si>
    <t>TAROOM SHOW SOCIETY INC</t>
  </si>
  <si>
    <t>9426-AGOON00</t>
  </si>
  <si>
    <t>Goondiwindi Branch S/Ship of 2</t>
  </si>
  <si>
    <t>9426</t>
  </si>
  <si>
    <t>GOONDIWINDI P AND A SOCIETY</t>
  </si>
  <si>
    <t>INV-0376-ATAMB03</t>
  </si>
  <si>
    <t>Longreach marketing expense, T</t>
  </si>
  <si>
    <t>INV-0376</t>
  </si>
  <si>
    <t>TAMBO STOCK SHOW INC</t>
  </si>
  <si>
    <t>INV-FD24-ARICH04</t>
  </si>
  <si>
    <t>Townsville Branch expense, Ric</t>
  </si>
  <si>
    <t>INV-FD24</t>
  </si>
  <si>
    <t>RICHMOND TURF CLUB INC</t>
  </si>
  <si>
    <t>NOONANJM-Office Supplies</t>
  </si>
  <si>
    <t>SE Field Days supplies</t>
  </si>
  <si>
    <t>WOOLWORTHS/145 COMMERICAL</t>
  </si>
  <si>
    <t>NOONANJM-Other Personnel Expen</t>
  </si>
  <si>
    <t>Cattle drafting sticks - SE Field Days</t>
  </si>
  <si>
    <t>INSIGNIA CO.</t>
  </si>
  <si>
    <t>INV-4990/63-ASOLU01</t>
  </si>
  <si>
    <t>Truck prime mover lease annaul</t>
  </si>
  <si>
    <t>INV-4990/63</t>
  </si>
  <si>
    <t>INV-4990/61-ASOLU01</t>
  </si>
  <si>
    <t>Casino</t>
  </si>
  <si>
    <t>INV-4990/61</t>
  </si>
  <si>
    <t>Cotton conference</t>
  </si>
  <si>
    <t>Mackay &amp;amp; Emerald</t>
  </si>
  <si>
    <t>Moree</t>
  </si>
  <si>
    <t>INV0271-ANORT46</t>
  </si>
  <si>
    <t>NSS annual sponsorship</t>
  </si>
  <si>
    <t>INV0271</t>
  </si>
  <si>
    <t>NORTHERN SUSTAINABLE SOILS</t>
  </si>
  <si>
    <t>BarrettE-Entertainment Expense</t>
  </si>
  <si>
    <t>20 Year Event Entertainment</t>
  </si>
  <si>
    <t>PAYPAL/7CRU6RUZ8A9Q</t>
  </si>
  <si>
    <t>CampbellL-Default Licensee Mer</t>
  </si>
  <si>
    <t>Wagyu Conference Registration</t>
  </si>
  <si>
    <t>CarisK1-Airfares</t>
  </si>
  <si>
    <t>Riverina RaboTruck Roadshow REX baggage xs - Katrina Caris</t>
  </si>
  <si>
    <t>REGIONAL EXPRESS</t>
  </si>
  <si>
    <t>CarterJ1-Offshore Meals &amp; Lodg</t>
  </si>
  <si>
    <t>20 year dinner Alcohol - Clients and staff that attended the 20 year dinner</t>
  </si>
  <si>
    <t>CRITERION OP CO PTY LI</t>
  </si>
  <si>
    <t>FLETCHERM-Offshore Meals &amp; Lod</t>
  </si>
  <si>
    <t>Road to Beef Theodore</t>
  </si>
  <si>
    <t>HOTEL THEODORE</t>
  </si>
  <si>
    <t>HOTEL THEODORE COOPERATIV</t>
  </si>
  <si>
    <t>Dalby Branch Function - 20 year dinner</t>
  </si>
  <si>
    <t>CLEANING AND CATERING PTY</t>
  </si>
  <si>
    <t>DOLLARS AND SENSE</t>
  </si>
  <si>
    <t>KMART 3340</t>
  </si>
  <si>
    <t>WESTERN DOWNS RC</t>
  </si>
  <si>
    <t>coffee cup Beef - beef</t>
  </si>
  <si>
    <t>coffee cup Beef - podcasts</t>
  </si>
  <si>
    <t>SpinksJ-Default Licensee Merch</t>
  </si>
  <si>
    <t>Wagyu Cattle Conference Cairns</t>
  </si>
  <si>
    <t>TierneyA-Contributions &amp; Club</t>
  </si>
  <si>
    <t>Deposit for Beef Australia Breakfast</t>
  </si>
  <si>
    <t>ROCKY SPORTS CLUB</t>
  </si>
  <si>
    <t>Tags - Dalby 20 Year Event</t>
  </si>
  <si>
    <t>4Tags</t>
  </si>
  <si>
    <t>Deposit EKKA Event - Aug 2024</t>
  </si>
  <si>
    <t>TOWNSENDP-Offshore Meals &amp; Lod</t>
  </si>
  <si>
    <t>Accountants Pitch lunch - Mazars - balance payment</t>
  </si>
  <si>
    <t>Blackbird Bar &amp; Rest</t>
  </si>
  <si>
    <t>Accountants Pitch lunch - Mazars deposit</t>
  </si>
  <si>
    <t>BLACKBIRD RESTAURANT</t>
  </si>
  <si>
    <t>LILEYIT-Domestic &amp; Overseas lo</t>
  </si>
  <si>
    <t>Booking fee for Holbrook Hotel Beef VE event</t>
  </si>
  <si>
    <t>HOLBROOKHOTEL240514NB</t>
  </si>
  <si>
    <t>NorthcottM-Offshore Meals &amp; Lo</t>
  </si>
  <si>
    <t>Drinks for Ag Bureau event - Ag Bureau members x 30</t>
  </si>
  <si>
    <t>POMERY FAMILY NOMINEES</t>
  </si>
  <si>
    <t>Drinks for Ag Bureau event - Mark  Northcott</t>
  </si>
  <si>
    <t>McDougallJ-Offshore Meals &amp; Lo</t>
  </si>
  <si>
    <t>Lyons Bull Sale Sponsorship - One Off</t>
  </si>
  <si>
    <t>REGIONAL WHOLESALERS</t>
  </si>
  <si>
    <t>Ag innovation Expo - Porspecting event</t>
  </si>
  <si>
    <t>IPY*TOOWOOMBASURATB/RT53784187/RT53784187</t>
  </si>
  <si>
    <t>00013055-AQUAL08</t>
  </si>
  <si>
    <t>Dispatch, skins to Ag Fair</t>
  </si>
  <si>
    <t>00013055</t>
  </si>
  <si>
    <t>0624-AMURP01</t>
  </si>
  <si>
    <t>Design outsource RBAL Pillar I</t>
  </si>
  <si>
    <t>0624</t>
  </si>
  <si>
    <t>INV-0006-AMUNG00</t>
  </si>
  <si>
    <t>Sponsoring , Mungindi Show</t>
  </si>
  <si>
    <t>INV-0006</t>
  </si>
  <si>
    <t>MUNGINDI SHOW SOCIETY</t>
  </si>
  <si>
    <t>INV-0103-AWOME03</t>
  </si>
  <si>
    <t>Women in Farming: 2024 Silver</t>
  </si>
  <si>
    <t>INV-0103</t>
  </si>
  <si>
    <t>WOMEN IN FARMING ENTERPRISES INC</t>
  </si>
  <si>
    <t>INV-4990/60-ASOLU01</t>
  </si>
  <si>
    <t>extra driver cost</t>
  </si>
  <si>
    <t>INV-4990/60</t>
  </si>
  <si>
    <t>Generator diesel (RIV)</t>
  </si>
  <si>
    <t>Internet router</t>
  </si>
  <si>
    <t>isolated event in SA Diesel (W</t>
  </si>
  <si>
    <t>Table legs</t>
  </si>
  <si>
    <t>PSI-000245-AWEST47</t>
  </si>
  <si>
    <t>WA Marketing: DID 2024 Gold Sp</t>
  </si>
  <si>
    <t>PSI-000245</t>
  </si>
  <si>
    <t>WESTERN DAIRY INC</t>
  </si>
  <si>
    <t>INV-0626-AQFEE00</t>
  </si>
  <si>
    <t>INV-0626</t>
  </si>
  <si>
    <t>QFE EVENTS PTY LTD</t>
  </si>
  <si>
    <t>3 x early bird Full Delegate Registrations for PIX Conference being held at the Gold Coast in May</t>
  </si>
  <si>
    <t>2093701-AKWIK03</t>
  </si>
  <si>
    <t>Ag Fair Aframe insertion and c</t>
  </si>
  <si>
    <t>2093701</t>
  </si>
  <si>
    <t>INV-0182-ATALM00</t>
  </si>
  <si>
    <t>Sponsoring , Talmoi Picnic Rac</t>
  </si>
  <si>
    <t>INV-0182</t>
  </si>
  <si>
    <t>TALMOI AMATEUR  PICNIC RACE CLUB</t>
  </si>
  <si>
    <t>MATTHEWSR-Entertainment Expens</t>
  </si>
  <si>
    <t>Kadina 20 year anniversary 140 pax incl 10 staff F&amp;B costs</t>
  </si>
  <si>
    <t>SQ *CENTRAL YORKE FOOTBAL</t>
  </si>
  <si>
    <t>2456-AISIS00</t>
  </si>
  <si>
    <t>Longreach Branch marketing exp</t>
  </si>
  <si>
    <t>2456</t>
  </si>
  <si>
    <t>ISISFORD SHEEP AND WOOL SHOW INC</t>
  </si>
  <si>
    <t>0623-AMURP01</t>
  </si>
  <si>
    <t>Beef judging pack</t>
  </si>
  <si>
    <t>0623</t>
  </si>
  <si>
    <t>2093790-AKWIK03</t>
  </si>
  <si>
    <t>Aframe frame Adelaide</t>
  </si>
  <si>
    <t>2093790</t>
  </si>
  <si>
    <t>2861-AASHE00</t>
  </si>
  <si>
    <t>2861</t>
  </si>
  <si>
    <t>ASHEEP ESPERANCE</t>
  </si>
  <si>
    <t>100-ALONG32</t>
  </si>
  <si>
    <t>Catering for the Swan Hill tru</t>
  </si>
  <si>
    <t>100</t>
  </si>
  <si>
    <t>LONG PADDOCK FOOD STORE</t>
  </si>
  <si>
    <t>2093270-AKWIK03</t>
  </si>
  <si>
    <t>2093270</t>
  </si>
  <si>
    <t>GOODS-Default Licensee Merchan</t>
  </si>
  <si>
    <t>Attendance Tickets for Agfest</t>
  </si>
  <si>
    <t>AGFEST FIE* [EXHIBITOR</t>
  </si>
  <si>
    <t>Water drums for Agfest</t>
  </si>
  <si>
    <t>BCF LAUNCESTON</t>
  </si>
  <si>
    <t>GOODS-Office Supplies</t>
  </si>
  <si>
    <t>Biscuits for Agfest</t>
  </si>
  <si>
    <t>COLES 7562</t>
  </si>
  <si>
    <t>Coffee, biscuits, milk for Agfest</t>
  </si>
  <si>
    <t>00013065-AQUAL08</t>
  </si>
  <si>
    <t>Beef cutom made wall and print</t>
  </si>
  <si>
    <t>00013065</t>
  </si>
  <si>
    <t>00013073-AQUAL08</t>
  </si>
  <si>
    <t>00013073</t>
  </si>
  <si>
    <t>00065551-ALIGH03</t>
  </si>
  <si>
    <t>Warehousing March</t>
  </si>
  <si>
    <t>00065551</t>
  </si>
  <si>
    <t>1108-AGEOR08</t>
  </si>
  <si>
    <t>NQNT Marketing expense, George</t>
  </si>
  <si>
    <t>1108</t>
  </si>
  <si>
    <t>GEORGETOWN BUSH RACES INC</t>
  </si>
  <si>
    <t>117-AKELL01</t>
  </si>
  <si>
    <t>Kelly Country Cattle Dog Trial</t>
  </si>
  <si>
    <t>117</t>
  </si>
  <si>
    <t>KELLY COUNTRY CATTLE DOG TRIAL INC</t>
  </si>
  <si>
    <t>2092115-AKWIK03</t>
  </si>
  <si>
    <t>Poster Bega circular economy e</t>
  </si>
  <si>
    <t>2092115</t>
  </si>
  <si>
    <t>20-APRAI00</t>
  </si>
  <si>
    <t>NQNT Marketing expense, Prairi</t>
  </si>
  <si>
    <t>20</t>
  </si>
  <si>
    <t>PRAIRIE JOCKEY CLUB</t>
  </si>
  <si>
    <t>23242-APINI03</t>
  </si>
  <si>
    <t>Red Meats Sponsorship</t>
  </si>
  <si>
    <t>23242</t>
  </si>
  <si>
    <t>PINION ADVISORY</t>
  </si>
  <si>
    <t>33373-APROD00</t>
  </si>
  <si>
    <t>Sugar Women conference pull up</t>
  </si>
  <si>
    <t>33373</t>
  </si>
  <si>
    <t>741-AMERI07</t>
  </si>
  <si>
    <t>MerinoLink Conference - CNNSW</t>
  </si>
  <si>
    <t>741</t>
  </si>
  <si>
    <t>MERINOLINK LIMITED</t>
  </si>
  <si>
    <t>INV-001617168-ANEVE01</t>
  </si>
  <si>
    <t>Beef site water service</t>
  </si>
  <si>
    <t>INV-001617168</t>
  </si>
  <si>
    <t>NEVERFAIL SPRINGWATER PTY LTD(500010739)</t>
  </si>
  <si>
    <t>Beef water service</t>
  </si>
  <si>
    <t>INV-001617168-ANEVE07</t>
  </si>
  <si>
    <t>NEVERFAIL SPRINGWATER LIMITED</t>
  </si>
  <si>
    <t>INV-001620035-ANEVE01</t>
  </si>
  <si>
    <t>INV-001620035</t>
  </si>
  <si>
    <t>INV-001620035-ANEVE07</t>
  </si>
  <si>
    <t>INV-0612-AMACI00</t>
  </si>
  <si>
    <t>Goondiwindi Branch 2024 Silver</t>
  </si>
  <si>
    <t>INV-0612</t>
  </si>
  <si>
    <t>MACINTYRE VALLEY COTTON FIELD DAY</t>
  </si>
  <si>
    <t>INV-4990/62-ASOLU01</t>
  </si>
  <si>
    <t>Q2 Truck driver cost</t>
  </si>
  <si>
    <t>INV-4990/62</t>
  </si>
  <si>
    <t>INV-4990/64-ASOLU01</t>
  </si>
  <si>
    <t>Event Productin fee - Casino</t>
  </si>
  <si>
    <t>INV-4990/64</t>
  </si>
  <si>
    <t>Event Productin fee - Cotton C</t>
  </si>
  <si>
    <t>Event Productin fee - Moree</t>
  </si>
  <si>
    <t>Q2 truck events production fee</t>
  </si>
  <si>
    <t>Membership Renewal Country Life</t>
  </si>
  <si>
    <t>web*qldcountrylife/STANDING AUTHORITY</t>
  </si>
  <si>
    <t>236-ALAKE35</t>
  </si>
  <si>
    <t>WA Marketing: Sponsorship of L</t>
  </si>
  <si>
    <t>236</t>
  </si>
  <si>
    <t>LAKES GROWER GROUP</t>
  </si>
  <si>
    <t>323-AKATR02</t>
  </si>
  <si>
    <t>Professional photos for the Ro</t>
  </si>
  <si>
    <t>323</t>
  </si>
  <si>
    <t>2233-AMILL00</t>
  </si>
  <si>
    <t>Toowoomba Branch S/Ship of 202</t>
  </si>
  <si>
    <t>2233</t>
  </si>
  <si>
    <t>MILLMERRAN SHOW SOCIETY INC</t>
  </si>
  <si>
    <t>Business development - Prospect Interactions</t>
  </si>
  <si>
    <t>TICKETS*LADIES WHO/qc2zvsbt</t>
  </si>
  <si>
    <t>TICKETS*MARANOA AG/h1ez4nds</t>
  </si>
  <si>
    <t>PriceC-Printing</t>
  </si>
  <si>
    <t>Rabobank Logo stickers for 20 year anniversary food parcels</t>
  </si>
  <si>
    <t>HASH PRINT DIGITAL P</t>
  </si>
  <si>
    <t>SturgissH-Software</t>
  </si>
  <si>
    <t>Guest thankyou cookies X 150. Sale Anniversary Event</t>
  </si>
  <si>
    <t>PRETTYBITES</t>
  </si>
  <si>
    <t>00001450-ACQPR00</t>
  </si>
  <si>
    <t>AV Hire Beef Australia</t>
  </si>
  <si>
    <t>00001450</t>
  </si>
  <si>
    <t>00001451-ACQPR00</t>
  </si>
  <si>
    <t>00001451</t>
  </si>
  <si>
    <t>00001921-AMADD00</t>
  </si>
  <si>
    <t>Beef Australia - Photography</t>
  </si>
  <si>
    <t>00001921</t>
  </si>
  <si>
    <t>MAD DOG PRODUCTIONS PTY LTD</t>
  </si>
  <si>
    <t>10621-2-ACLYD00</t>
  </si>
  <si>
    <t>Food and drinks for RaboTruck</t>
  </si>
  <si>
    <t>10621-2</t>
  </si>
  <si>
    <t>CLYDESDALE MOTEL AND STEAKHOUSE</t>
  </si>
  <si>
    <t>11-AROWE02</t>
  </si>
  <si>
    <t>Sponsoring , 2024 Rowena Crack</t>
  </si>
  <si>
    <t>ROWENA P AND C ASSOCIATION</t>
  </si>
  <si>
    <t>INV-0025-AGULA02</t>
  </si>
  <si>
    <t>Sponsoring , Gulargambone Show</t>
  </si>
  <si>
    <t>GULARGAMBONE SHOW SOCIETY INC</t>
  </si>
  <si>
    <t>INV-0097-AMUNG01</t>
  </si>
  <si>
    <t>Sponsoring , Mungindi Races</t>
  </si>
  <si>
    <t>INV-0097</t>
  </si>
  <si>
    <t>MUNGINDI JOCKEY CLUB INC</t>
  </si>
  <si>
    <t>INV-1447-AALPH03</t>
  </si>
  <si>
    <t>NQNT, Emerald Branch marketing</t>
  </si>
  <si>
    <t>INV-1447</t>
  </si>
  <si>
    <t>ALPHA SHOW SOCIETY</t>
  </si>
  <si>
    <t>00001920-AMADD00</t>
  </si>
  <si>
    <t>Videography, photography, and</t>
  </si>
  <si>
    <t>00001920</t>
  </si>
  <si>
    <t>INV-1756-AROCK02</t>
  </si>
  <si>
    <t>Catering Beef Australia Breakf</t>
  </si>
  <si>
    <t>INV-1756</t>
  </si>
  <si>
    <t>ROCKY SPORTS CLUB LIMITED</t>
  </si>
  <si>
    <t>10-ACOND03</t>
  </si>
  <si>
    <t>Dalby Branch S/Ship of 2023 Co</t>
  </si>
  <si>
    <t>CONDAMINE CHARITY RODEO ASSOCIATION</t>
  </si>
  <si>
    <t>12750-AMACK10</t>
  </si>
  <si>
    <t>Mackay Show s'ship 2024</t>
  </si>
  <si>
    <t>12750</t>
  </si>
  <si>
    <t>MACKAY AND DISTRICT A.P. AND I.ASSOC INC</t>
  </si>
  <si>
    <t>228-ATABL08</t>
  </si>
  <si>
    <t>Atherton Branch Better Beef s'</t>
  </si>
  <si>
    <t>228</t>
  </si>
  <si>
    <t>TABLELANDS BETTER BEEF OPEN DAYS INC</t>
  </si>
  <si>
    <t>PP739-APLAN04</t>
  </si>
  <si>
    <t>NQNT Marleting expense, Mackay</t>
  </si>
  <si>
    <t>PP739</t>
  </si>
  <si>
    <t>PLANE CREEK PRODUCTIVITY SERVICES LTD</t>
  </si>
  <si>
    <t>00013080-AQUAL08</t>
  </si>
  <si>
    <t>00013080</t>
  </si>
  <si>
    <t>00013069-AQUAL08</t>
  </si>
  <si>
    <t>00013069</t>
  </si>
  <si>
    <t>00013074-AQUAL08</t>
  </si>
  <si>
    <t>Agfest marquee &amp; furniture</t>
  </si>
  <si>
    <t>00013074</t>
  </si>
  <si>
    <t>INV-0395-ASTON11</t>
  </si>
  <si>
    <t>INV-0395</t>
  </si>
  <si>
    <t>THE STONES RESTAURANT PTY LTD</t>
  </si>
  <si>
    <t>001621129292503081-ATURN01</t>
  </si>
  <si>
    <t>promo bottles</t>
  </si>
  <si>
    <t>001621129292503081</t>
  </si>
  <si>
    <t>47-2024-ASAJU00</t>
  </si>
  <si>
    <t>47-2024</t>
  </si>
  <si>
    <t>SA JUNIOR HEIFER EXPO COUNCIL INC</t>
  </si>
  <si>
    <t>FlynnA-Default Licensee Mercha</t>
  </si>
  <si>
    <t>Purchase of table for Rabobank team to attend Herron Todd White Agribusiness Property Market Overvie</t>
  </si>
  <si>
    <t>EB *2024 Herron Todd W</t>
  </si>
  <si>
    <t>KelleyM-Other Computer Expense</t>
  </si>
  <si>
    <t>Beef Week</t>
  </si>
  <si>
    <t>EVENTPOS</t>
  </si>
  <si>
    <t>Beef Week - Melinda Kelley</t>
  </si>
  <si>
    <t>2094007-AKWIK03</t>
  </si>
  <si>
    <t>Sale Branch relocation DL card</t>
  </si>
  <si>
    <t>2094007</t>
  </si>
  <si>
    <t>2094060-AKWIK03</t>
  </si>
  <si>
    <t>Sale anniversary place cards</t>
  </si>
  <si>
    <t>2094060</t>
  </si>
  <si>
    <t>2094070-AKWIK03</t>
  </si>
  <si>
    <t>Sale anniversary menu</t>
  </si>
  <si>
    <t>2094070</t>
  </si>
  <si>
    <t>2094244-AKWIK03</t>
  </si>
  <si>
    <t>Postcard Warragul</t>
  </si>
  <si>
    <t>2094244</t>
  </si>
  <si>
    <t>2094246-AKWIK03</t>
  </si>
  <si>
    <t>Postcard Melbourne</t>
  </si>
  <si>
    <t>2094246</t>
  </si>
  <si>
    <t>B61282-AATLA06</t>
  </si>
  <si>
    <t>B61282</t>
  </si>
  <si>
    <t>ATLAS EVENT AND PARTY HIRE</t>
  </si>
  <si>
    <t>FLETCHERM-Default Licensee Mer</t>
  </si>
  <si>
    <t>Ticket to Beef Australia Brangus Function</t>
  </si>
  <si>
    <t>EB *Brangus Australia-</t>
  </si>
  <si>
    <t>PIX Conference Ticket &amp; Accomodation</t>
  </si>
  <si>
    <t>Sponsorship - Bell Campdraft</t>
  </si>
  <si>
    <t>COUNTRYWIDE SADDLERY</t>
  </si>
  <si>
    <t>AU032039</t>
  </si>
  <si>
    <t>12749-AMACK10</t>
  </si>
  <si>
    <t>12749</t>
  </si>
  <si>
    <t>2093513-AKWIK03</t>
  </si>
  <si>
    <t>Welcome letter March Post</t>
  </si>
  <si>
    <t>2093513</t>
  </si>
  <si>
    <t>2093517-AKWIK03</t>
  </si>
  <si>
    <t>Welcome letter March Branch</t>
  </si>
  <si>
    <t>2093517</t>
  </si>
  <si>
    <t>00000176-AESKS01</t>
  </si>
  <si>
    <t>00000176</t>
  </si>
  <si>
    <t>ESK PASTORAL AGRICULTURAL AND INDUSTRIAL</t>
  </si>
  <si>
    <t>00065560-ALIGH03</t>
  </si>
  <si>
    <t>Folders dispatch to Roma</t>
  </si>
  <si>
    <t>00065560</t>
  </si>
  <si>
    <t>00214238-ATOOG00</t>
  </si>
  <si>
    <t>00214238</t>
  </si>
  <si>
    <t>TOOGOOLAWAH D A &amp; I ASSOCIATION INC</t>
  </si>
  <si>
    <t>2093685-AKWIK03</t>
  </si>
  <si>
    <t>Beef Certificate</t>
  </si>
  <si>
    <t>2093685</t>
  </si>
  <si>
    <t>2093693-AKWIK03</t>
  </si>
  <si>
    <t>2093693</t>
  </si>
  <si>
    <t>2093830-AKWIK03</t>
  </si>
  <si>
    <t>Beef name tags, place cards</t>
  </si>
  <si>
    <t>2093830</t>
  </si>
  <si>
    <t>202438-AGOON02</t>
  </si>
  <si>
    <t>202438</t>
  </si>
  <si>
    <t>GOONDIWINDI AMATEUR PICNIC RACE CLUB</t>
  </si>
  <si>
    <t>NOONANJM-Entertainment Expense</t>
  </si>
  <si>
    <t>Client gift 35yrs with Rabobank (Bob, Rosie, Henry &amp; Jess Legoe)</t>
  </si>
  <si>
    <t>DAN MURPHY'S/112 COMMERCI</t>
  </si>
  <si>
    <t>GO Goundation Bird In Hand function</t>
  </si>
  <si>
    <t>TICKETS*2024  THE/b5tkbvha</t>
  </si>
  <si>
    <t>240404-ATURN01</t>
  </si>
  <si>
    <t>Lanyards - Women In Sugar Conf</t>
  </si>
  <si>
    <t>240404</t>
  </si>
  <si>
    <t>33423-APROD00</t>
  </si>
  <si>
    <t>Armidale logo flag</t>
  </si>
  <si>
    <t>33423</t>
  </si>
  <si>
    <t>INV-0086-ATAMB08</t>
  </si>
  <si>
    <t>INV-0086</t>
  </si>
  <si>
    <t>TAMBO &amp; DISTRICT POLOCROSSE CLUB INC</t>
  </si>
  <si>
    <t>INV-0141-ANAME00</t>
  </si>
  <si>
    <t>Meals for 20 Year Anniversary</t>
  </si>
  <si>
    <t>INV-0141</t>
  </si>
  <si>
    <t>THE NAME YOUR ESCAPE TRUST</t>
  </si>
  <si>
    <t>INV-1061-AMACQ05</t>
  </si>
  <si>
    <t>INV-1061</t>
  </si>
  <si>
    <t>MACQUARIE COTTON GROWERS ASSOCIATION</t>
  </si>
  <si>
    <t>INV-1868-AEMER20</t>
  </si>
  <si>
    <t>Emerald Show s'ship 2024</t>
  </si>
  <si>
    <t>INV-1868</t>
  </si>
  <si>
    <t>EMERALD SHOW SOCIETY INC</t>
  </si>
  <si>
    <t>00001958-AMADD00</t>
  </si>
  <si>
    <t>Beef Australia - Transcript</t>
  </si>
  <si>
    <t>00001958</t>
  </si>
  <si>
    <t>MoloneyP-Default Licensee Merc</t>
  </si>
  <si>
    <t>Farm Writers' Event - 30/05/2024 - Liam Beckett</t>
  </si>
  <si>
    <t>AU030424</t>
  </si>
  <si>
    <t>Connolly Suthers - Payment of Invoice - Myrteza undercharge</t>
  </si>
  <si>
    <t>CONNOLLY SUTHERS</t>
  </si>
  <si>
    <t>1129-ASWSS01</t>
  </si>
  <si>
    <t>1129</t>
  </si>
  <si>
    <t>SWS STUD MERINO BREEDERS</t>
  </si>
  <si>
    <t>2094091-AKWIK03</t>
  </si>
  <si>
    <t>2094091</t>
  </si>
  <si>
    <t>240222-ATURN01</t>
  </si>
  <si>
    <t>240222</t>
  </si>
  <si>
    <t>4420-1-AVARD01</t>
  </si>
  <si>
    <t>Venue hire</t>
  </si>
  <si>
    <t>4420-1</t>
  </si>
  <si>
    <t>VARDY PROJECTS PTY LTD</t>
  </si>
  <si>
    <t>4432-1-AVARD01</t>
  </si>
  <si>
    <t>4432-1</t>
  </si>
  <si>
    <t>INV-4990/65-ASOLU01</t>
  </si>
  <si>
    <t>INV-4990/65</t>
  </si>
  <si>
    <t>Event activation  (Henty)</t>
  </si>
  <si>
    <t>Event activation (St George)</t>
  </si>
  <si>
    <t>INV-9289-AAUSV01</t>
  </si>
  <si>
    <t>INV-9289</t>
  </si>
  <si>
    <t>AUSVEG LTD</t>
  </si>
  <si>
    <t>Catering &amp; drinks for RaboTruck Event</t>
  </si>
  <si>
    <t>WOOLWORTHS/BRISBANE RD</t>
  </si>
  <si>
    <t>3 x dinner tickets for Lee, Renee &amp; Lucy to attend Mitchell Show Beef Dinner</t>
  </si>
  <si>
    <t>0046-AFATF00</t>
  </si>
  <si>
    <t>0046</t>
  </si>
  <si>
    <t>FAT FARMERS RURAL HEALTH INITIATIVE</t>
  </si>
  <si>
    <t>INV-0695-AMERR22</t>
  </si>
  <si>
    <t>MADFIG 2024 Sponsorship</t>
  </si>
  <si>
    <t>INV-0695</t>
  </si>
  <si>
    <t>MERREDIN AND DISTRICTS FARM IMPROVEMENT</t>
  </si>
  <si>
    <t>00001478-ACQPR00</t>
  </si>
  <si>
    <t>AV Support Beef Australia</t>
  </si>
  <si>
    <t>00001478</t>
  </si>
  <si>
    <t>INV-024951-ACENT02</t>
  </si>
  <si>
    <t>events air</t>
  </si>
  <si>
    <t>INV-024951</t>
  </si>
  <si>
    <t>INV-0080-AMALL01</t>
  </si>
  <si>
    <t>MALLAWA AMATEUR PICNIC RACE CLUB INC</t>
  </si>
  <si>
    <t>KelleyM-Contributions &amp; Club M</t>
  </si>
  <si>
    <t>Beef Week - Business Development</t>
  </si>
  <si>
    <t>NXT*Rockhampton Jockey</t>
  </si>
  <si>
    <t>AU030211</t>
  </si>
  <si>
    <t>WYTHEST-Default Licensee Merch</t>
  </si>
  <si>
    <t>Ice for Beef Event</t>
  </si>
  <si>
    <t>TRANSWEST FUELS</t>
  </si>
  <si>
    <t>00065864-ALIGH03</t>
  </si>
  <si>
    <t>00065864</t>
  </si>
  <si>
    <t>2093223-AKWIK03</t>
  </si>
  <si>
    <t>Renmark letters</t>
  </si>
  <si>
    <t>2093223</t>
  </si>
  <si>
    <t>26115-AKATH00</t>
  </si>
  <si>
    <t>Katherine Show Site fee</t>
  </si>
  <si>
    <t>26115</t>
  </si>
  <si>
    <t>KATHERINE AND DISTRICT SHOW SOCIETY INC</t>
  </si>
  <si>
    <t>INV-0062-AHOLB03</t>
  </si>
  <si>
    <t>HOLBROOK HOTEL MOTEL PTY LTD</t>
  </si>
  <si>
    <t>Agritechnica Event review - Parking</t>
  </si>
  <si>
    <t>SQ *MELBOURNE ROYAL</t>
  </si>
  <si>
    <t>DulmEJK2-Offshore Meals &amp; Lodg</t>
  </si>
  <si>
    <t>CSG Horticulture - Breakfast Hort Melbourne Payment 1</t>
  </si>
  <si>
    <t>THE BOHEMIAN RESTAUR</t>
  </si>
  <si>
    <t>DALBY ICE COMPANY</t>
  </si>
  <si>
    <t>Beef display</t>
  </si>
  <si>
    <t>SPOTLIGHT 030</t>
  </si>
  <si>
    <t>TARGET 5286</t>
  </si>
  <si>
    <t>VICTORIAS BASEMENT</t>
  </si>
  <si>
    <t>Truck Coffee Knox Tube liner</t>
  </si>
  <si>
    <t>SOURCE SEPARATION SYSTEMS</t>
  </si>
  <si>
    <t>Beef site power</t>
  </si>
  <si>
    <t>Beef Australia Limited</t>
  </si>
  <si>
    <t>USB sticks for Beef</t>
  </si>
  <si>
    <t>HE KOCH/CO PTY LTD</t>
  </si>
  <si>
    <t>MurrayR-Default Licensee Merch</t>
  </si>
  <si>
    <t>Ladies Luncheon - lucky door prize sponsorship</t>
  </si>
  <si>
    <t>Birdee Hair Boutique</t>
  </si>
  <si>
    <t>Ladies Luncheon Sponsor - part of multi draw prize</t>
  </si>
  <si>
    <t>VLB HOMEWARES PTY LTD/413201075209</t>
  </si>
  <si>
    <t>sponsorship - lucky draw raffle Paradise campdraft</t>
  </si>
  <si>
    <t>VLB HOMEWARES PTY LTD/410001384954</t>
  </si>
  <si>
    <t>sponsorship ladies luncheon - gift</t>
  </si>
  <si>
    <t>DAN MURPHY'S/CNR ANDERSON</t>
  </si>
  <si>
    <t>TierneyA-Buildings Repairs/Mai</t>
  </si>
  <si>
    <t>Coffee Machine Service - Beef Aust</t>
  </si>
  <si>
    <t>CENTRAL COM ELECTRIC</t>
  </si>
  <si>
    <t>Cushions - Rabobank Marquee Beef Aus</t>
  </si>
  <si>
    <t>TARGET 5049</t>
  </si>
  <si>
    <t>Flowers - Beef Breakfast</t>
  </si>
  <si>
    <t>Lilly &amp; Lotus</t>
  </si>
  <si>
    <t>Hessian - Marquee</t>
  </si>
  <si>
    <t>BUNNINGS 468000</t>
  </si>
  <si>
    <t>Pots &amp; Plants</t>
  </si>
  <si>
    <t>Pots &amp; Umbrella</t>
  </si>
  <si>
    <t>Speakers GIfts Beef Aust - Tea Towels</t>
  </si>
  <si>
    <t>SQ *SOMETHING DIFFERENT</t>
  </si>
  <si>
    <t>Tags - Women in Sugar Event</t>
  </si>
  <si>
    <t>Speakers gift - Beef Australia</t>
  </si>
  <si>
    <t>Tickets Beef Australia</t>
  </si>
  <si>
    <t>TierneyA-Literature (Books, Ne</t>
  </si>
  <si>
    <t>Marquee Supplies Beef Australia</t>
  </si>
  <si>
    <t>OFFICE NATIONAL EXPRESS</t>
  </si>
  <si>
    <t>Stickers for beef shirts</t>
  </si>
  <si>
    <t>NAPOLEON PAPIER CO</t>
  </si>
  <si>
    <t>Wrapping Pager - speaker gifts</t>
  </si>
  <si>
    <t>Rocky Riches</t>
  </si>
  <si>
    <t>TierneyA-Office Supplies</t>
  </si>
  <si>
    <t>Beef Australia - Marquee supplies</t>
  </si>
  <si>
    <t>COLES 4518</t>
  </si>
  <si>
    <t>Marque supplies</t>
  </si>
  <si>
    <t>Milk for Marquee - Beef Australia</t>
  </si>
  <si>
    <t>Slices - Beef Australia</t>
  </si>
  <si>
    <t>SHF WHOLESALE</t>
  </si>
  <si>
    <t>Speakers gifts - Beef Australia</t>
  </si>
  <si>
    <t>Haighs Chocolates 5441</t>
  </si>
  <si>
    <t>TierneyA-Offshore Meals &amp; Lodg</t>
  </si>
  <si>
    <t>Deposit for Lambex Networking Event</t>
  </si>
  <si>
    <t>ADELAIDE OVAL SMA LT</t>
  </si>
  <si>
    <t>SQ *ROSIE?S BOUTIQUE COND</t>
  </si>
  <si>
    <t>Hire of 2 x portable toilets for RaboTruck Event at Beaudesert</t>
  </si>
  <si>
    <t>BEAUDESERT LIQUID WA</t>
  </si>
  <si>
    <t>TreasureP-Default Licensee Mer</t>
  </si>
  <si>
    <t>Road to Beef - Drinks</t>
  </si>
  <si>
    <t>STAR HOTEL MOTEL</t>
  </si>
  <si>
    <t>Road to Beef - Meals</t>
  </si>
  <si>
    <t>Road to Beef - Meals and Drinks - cc charge</t>
  </si>
  <si>
    <t>DonponR-Offshore Meals &amp; Lodgi</t>
  </si>
  <si>
    <t>Dinner and entertainment - D &amp; R Sargood, A &amp; W Henning</t>
  </si>
  <si>
    <t>LS The Rocks Yeppoon</t>
  </si>
  <si>
    <t>KelleyM-Default Licensee Merch</t>
  </si>
  <si>
    <t>Alpha Show Customer Drinks</t>
  </si>
  <si>
    <t>SQ *ALPHA SHOW SOCIETY IN</t>
  </si>
  <si>
    <t>KelleyM-Entertainment Expense</t>
  </si>
  <si>
    <t>Entry tickets to Clermont Show</t>
  </si>
  <si>
    <t>OZT*2024 CLERMONT SHOW</t>
  </si>
  <si>
    <t>Beef Week - Customer Drinks</t>
  </si>
  <si>
    <t>Beef Week Customer Drinks</t>
  </si>
  <si>
    <t>Beef Week Customer Entertainment</t>
  </si>
  <si>
    <t>Beef Week, Customer Drinks</t>
  </si>
  <si>
    <t>Beef Week, Customer Entertainment</t>
  </si>
  <si>
    <t>Catering for Yeoman Society Lunch - Melb Office - 27 May 2024 (Central) - Rabobank Staff</t>
  </si>
  <si>
    <t>ELIZABETH ANDREWS/219332773020</t>
  </si>
  <si>
    <t>Catering for Yeoman Society Lunch - Melb Office - 27 May 2024 (Central) - Yeoman Society Members</t>
  </si>
  <si>
    <t>Agfest Field Days - biscuits for clients</t>
  </si>
  <si>
    <t>East Gippsland Field Day Tickets</t>
  </si>
  <si>
    <t>TRYBOOKING*EAST GIPPSLAND/219284122260</t>
  </si>
  <si>
    <t>NichollsJ-Offshore Meals &amp; Lod</t>
  </si>
  <si>
    <t>Flowers for 20 year anniversary dinner</t>
  </si>
  <si>
    <t>SQ *OZ WILDFLOWERS</t>
  </si>
  <si>
    <t>RistromJ-Office Supplies</t>
  </si>
  <si>
    <t>Morning tea supplies for disucssion group with Angus RR</t>
  </si>
  <si>
    <t>WOOLWORTHS/REEVES &amp; CUNNI</t>
  </si>
  <si>
    <t>RistromJ-Offshore Meals &amp; Lodg</t>
  </si>
  <si>
    <t>THE JOLLY DOLLY TAKE</t>
  </si>
  <si>
    <t>RistromJ-Other Personnel Expen</t>
  </si>
  <si>
    <t>PA and sound system - Sale 20 year celebration</t>
  </si>
  <si>
    <t>GIPPSLAND MUSIC &amp; SOUN</t>
  </si>
  <si>
    <t>Agribusiness Australia Event - tickets x 2</t>
  </si>
  <si>
    <t>2024-59-ANORT37</t>
  </si>
  <si>
    <t>2024-59</t>
  </si>
  <si>
    <t>NORTHERN AGRI GROUP</t>
  </si>
  <si>
    <t>2094607-AKWIK03</t>
  </si>
  <si>
    <t>Postcards Goulburn Sydney</t>
  </si>
  <si>
    <t>2094607</t>
  </si>
  <si>
    <t>2094614-AKWIK03</t>
  </si>
  <si>
    <t>2094614</t>
  </si>
  <si>
    <t>5837-AMING03</t>
  </si>
  <si>
    <t>5837</t>
  </si>
  <si>
    <t>MINGENEW  IRWIN GROUP</t>
  </si>
  <si>
    <t>PSI-000123-AMURR07</t>
  </si>
  <si>
    <t>PSI-000123</t>
  </si>
  <si>
    <t>VISA MAY 2024</t>
  </si>
  <si>
    <t>IN30551377-AGRAN06</t>
  </si>
  <si>
    <t>IN30551377</t>
  </si>
  <si>
    <t>GRANT DANIEL &amp; LONG PTY LTD</t>
  </si>
  <si>
    <t>INV-2989-AOAKP00</t>
  </si>
  <si>
    <t>INV-2989</t>
  </si>
  <si>
    <t>OAK PARK RACE CLUB INC</t>
  </si>
  <si>
    <t>00001935-AMADD00</t>
  </si>
  <si>
    <t>Video edit &amp; Production</t>
  </si>
  <si>
    <t>00001935</t>
  </si>
  <si>
    <t>Trees for the marquee at Beef Week</t>
  </si>
  <si>
    <t>JINNAKAE-Printing</t>
  </si>
  <si>
    <t>Magnet SAHJE</t>
  </si>
  <si>
    <t>EDITANDPRINT PTY LTD</t>
  </si>
  <si>
    <t>SQLD Truck Event - Catering</t>
  </si>
  <si>
    <t>SQ *2M8?S BBQ PTY LTD</t>
  </si>
  <si>
    <t>00003125-APROS05</t>
  </si>
  <si>
    <t>00003125</t>
  </si>
  <si>
    <t>PROSERPINE AGRICULTURAL PASTORAL</t>
  </si>
  <si>
    <t>00013099-AQUAL08</t>
  </si>
  <si>
    <t>Beef equipment storage</t>
  </si>
  <si>
    <t>00013099</t>
  </si>
  <si>
    <t>1522-ACENT25</t>
  </si>
  <si>
    <t>1522</t>
  </si>
  <si>
    <t>CENTRALIAN BEEF BREEDERS ASSOCIATION INC</t>
  </si>
  <si>
    <t>2367-ATURN01</t>
  </si>
  <si>
    <t>Trucker Caps &amp; Key Tags</t>
  </si>
  <si>
    <t>2367</t>
  </si>
  <si>
    <t>2401311-ATURN01</t>
  </si>
  <si>
    <t>Welcome gifts January 2024</t>
  </si>
  <si>
    <t>2401311</t>
  </si>
  <si>
    <t>INV-0089-AMCKI01</t>
  </si>
  <si>
    <t>INV-0089</t>
  </si>
  <si>
    <t>MCKINLAY RACE CLUB INC</t>
  </si>
  <si>
    <t>INV-0913-ACLON04</t>
  </si>
  <si>
    <t>INV-0913</t>
  </si>
  <si>
    <t>CLONCURRY &amp; DISTRICT SHOW SOCIETY INC</t>
  </si>
  <si>
    <t>NSW Farm Writers event</t>
  </si>
  <si>
    <t>INV-2469-ARABB00</t>
  </si>
  <si>
    <t>Rural Women's Day Video</t>
  </si>
  <si>
    <t>INV-2469</t>
  </si>
  <si>
    <t>RABBIT HOP FILMS PTY LTD</t>
  </si>
  <si>
    <t>INV-1530-AFOOD00</t>
  </si>
  <si>
    <t>Sponsorship VegNET</t>
  </si>
  <si>
    <t>INV-1530</t>
  </si>
  <si>
    <t>FOOD &amp; FIBRE GIPPSLAND</t>
  </si>
  <si>
    <t>WYTHEST-Domestic &amp; Overseas lo</t>
  </si>
  <si>
    <t>Drinks for Beef Event</t>
  </si>
  <si>
    <t>THE TAMWORTH HOTEL</t>
  </si>
  <si>
    <t>INV-0075-AHERB05</t>
  </si>
  <si>
    <t>INV-0075</t>
  </si>
  <si>
    <t>HERBERT RIVER PASTORAL &amp; AGRI ASSN INC</t>
  </si>
  <si>
    <t>RABO-24/05/24-ANUGG01</t>
  </si>
  <si>
    <t>RABO-24/05/24</t>
  </si>
  <si>
    <t>NUGGET OF THE NORTH CAMPDRAFT INC</t>
  </si>
  <si>
    <t>GrahamMJ-Default Licensee Merc</t>
  </si>
  <si>
    <t>Mel Graham &amp; Georgia Twomey Conference Local Land Services Natural Capital Conversations</t>
  </si>
  <si>
    <t>EB *Natural Capital Co</t>
  </si>
  <si>
    <t>INV 000845-AMANS04</t>
  </si>
  <si>
    <t>Speaker Fee Lambex</t>
  </si>
  <si>
    <t>INV 000845</t>
  </si>
  <si>
    <t>INV-001623473-ANEVE01</t>
  </si>
  <si>
    <t>Beef water</t>
  </si>
  <si>
    <t>INV-001623473</t>
  </si>
  <si>
    <t>INV-20978-ASOUP01</t>
  </si>
  <si>
    <t>Emerald 25 yr stubby holder</t>
  </si>
  <si>
    <t>INV-20978</t>
  </si>
  <si>
    <t>CransbergD-Default Licensee Me</t>
  </si>
  <si>
    <t>BD Workshop</t>
  </si>
  <si>
    <t>Donation- Pack for Blyth Snowtown Football Club Auction</t>
  </si>
  <si>
    <t>KP SURF WHERE</t>
  </si>
  <si>
    <t>JUDDP-Default Licensee Merchan</t>
  </si>
  <si>
    <t>Beef event hire of mic and speakers</t>
  </si>
  <si>
    <t>SQ *RENTFAST</t>
  </si>
  <si>
    <t>Hire Glasses for Beef event</t>
  </si>
  <si>
    <t>A1 HIRE &amp; SALES TAMWORTH</t>
  </si>
  <si>
    <t>JUDDP-Office Supplies</t>
  </si>
  <si>
    <t>Tamworth Beef event drinks</t>
  </si>
  <si>
    <t>MCAULAYG-Default Licensee Merc</t>
  </si>
  <si>
    <t>Beef Australia supplies for marquee</t>
  </si>
  <si>
    <t>BIG W/YAAMBA ROAD &amp; BRUCE</t>
  </si>
  <si>
    <t>catering for Mary O'Brien part of Harmony catering</t>
  </si>
  <si>
    <t>SQ *REVOLUTION TRAINING C</t>
  </si>
  <si>
    <t>MCAULAYG-Entertainment Expense</t>
  </si>
  <si>
    <t>Beef tickets staff</t>
  </si>
  <si>
    <t>gift for speakers Beef Aus</t>
  </si>
  <si>
    <t>BWS/SHP 3&amp;4 FITZROY ST</t>
  </si>
  <si>
    <t>Tickets to Beef for staff</t>
  </si>
  <si>
    <t>MCAULAYG-Literature (Books, Ne</t>
  </si>
  <si>
    <t>Coffee cup support for Beef Aus Graziher event</t>
  </si>
  <si>
    <t>GRAZIHER</t>
  </si>
  <si>
    <t>MCAULAYG-Office Supplies</t>
  </si>
  <si>
    <t>Beef Australia</t>
  </si>
  <si>
    <t>Catering Mrquee Beef</t>
  </si>
  <si>
    <t>FRESH READY MEALS</t>
  </si>
  <si>
    <t>better beef conference angus gidley baird</t>
  </si>
  <si>
    <t>TRYBOOKING*DEECA/219342308814</t>
  </si>
  <si>
    <t>LeckovskiL-Default Licensee Me</t>
  </si>
  <si>
    <t>Seminar Fee-External Event - Cotton Conference travelling wiht Ingrid</t>
  </si>
  <si>
    <t>A Horrigan CC refund</t>
  </si>
  <si>
    <t>Murdeduke Blackspot Event Inverleigh</t>
  </si>
  <si>
    <t>Daiso MidtownPlaza</t>
  </si>
  <si>
    <t>Murdeduke Black spot Event Inverleigh</t>
  </si>
  <si>
    <t>COLES 0668</t>
  </si>
  <si>
    <t>OFFICEWORKS 0319</t>
  </si>
  <si>
    <t>Coton Conference Registration | Dinner - Adrian Pirie</t>
  </si>
  <si>
    <t>Cotton Conference Registration | 2 day pass - Bruce Alcorn</t>
  </si>
  <si>
    <t>Cotton Conference Registration | 2 Day Pass - Geoff Tyrell</t>
  </si>
  <si>
    <t>Cotton Conference Registration | Dinner - Haimish Mc Alpin</t>
  </si>
  <si>
    <t>Cotton Conference Registration | General Pass - Andrew Walker</t>
  </si>
  <si>
    <t>Cotton Conference Registration | General Pass - Mark Middleton</t>
  </si>
  <si>
    <t>Cotton Conference Registration | General Pass + Dinner - Owen Webb</t>
  </si>
  <si>
    <t>GoodwinM1-Default Licensee Mer</t>
  </si>
  <si>
    <t>Cleve Field Days Site Fee - $2758</t>
  </si>
  <si>
    <t>EP FIELD DAYS</t>
  </si>
  <si>
    <t>0002951049/0100-18/-ARURA24</t>
  </si>
  <si>
    <t>AgQuip Field Days 2024 Site</t>
  </si>
  <si>
    <t>0002951049/0100-18/06/24</t>
  </si>
  <si>
    <t>RURAL PRESS PTY LTD</t>
  </si>
  <si>
    <t>00151-AMUNG05</t>
  </si>
  <si>
    <t>00151</t>
  </si>
  <si>
    <t>MUNGINDI WATER USERS AND COTTON GROWERS</t>
  </si>
  <si>
    <t>21/387 SAME AS LAST-AROYA24</t>
  </si>
  <si>
    <t>Darwin show site fee</t>
  </si>
  <si>
    <t>21/387 SAME AS LAST YEAR</t>
  </si>
  <si>
    <t>ROYAL AGRICULTURAL SOCIETY OF THE NT INC</t>
  </si>
  <si>
    <t>INV-0567-AYUNA02</t>
  </si>
  <si>
    <t>INV-0567</t>
  </si>
  <si>
    <t>YUNA FARM IMPROVEMENT GROUP</t>
  </si>
  <si>
    <t>INV1191-ATHEF04</t>
  </si>
  <si>
    <t>INV1191</t>
  </si>
  <si>
    <t>INV-20989-ASOUP01</t>
  </si>
  <si>
    <t>INV-20989</t>
  </si>
  <si>
    <t>Stubby holders SA Truck events</t>
  </si>
  <si>
    <t>Stubby holders St George</t>
  </si>
  <si>
    <t>Subby holder RIV truck event</t>
  </si>
  <si>
    <t>PSI-000289-ADAIR04</t>
  </si>
  <si>
    <t>Dairy SA Day - Mt Gambier</t>
  </si>
  <si>
    <t>PSI-000289</t>
  </si>
  <si>
    <t>CrokerC-Entertainment Expense</t>
  </si>
  <si>
    <t>Sponsoring | Active Farmmers Sports Lunch</t>
  </si>
  <si>
    <t>FrontRow Group</t>
  </si>
  <si>
    <t>DulmEJK2-Office Supplies</t>
  </si>
  <si>
    <t>Rabo Hort BReakfast_Print name badges</t>
  </si>
  <si>
    <t>OFFICEWORKS 0320</t>
  </si>
  <si>
    <t>Rabo Hort Breakfast MElbourne - Extra Food &amp; BEverages and aV</t>
  </si>
  <si>
    <t>Coton Conference Registration | General Pass + Dinner - Marco Cicchelli</t>
  </si>
  <si>
    <t>Cotton Conference Registration | Dinner - Bernie Connolley</t>
  </si>
  <si>
    <t>Cotton Conference Registration | General Pass - Jennifer Johnston</t>
  </si>
  <si>
    <t>Logo Vinyl banners Armidale Tamworth</t>
  </si>
  <si>
    <t>FOCUS PRINT GROUP</t>
  </si>
  <si>
    <t>lunch at Ekka - clients &amp; staff</t>
  </si>
  <si>
    <t>TICKETS*RRR WOMEN/3d511gnq</t>
  </si>
  <si>
    <t>Deposit - 20 year anniversary event 07.11.24 Atherton Branch</t>
  </si>
  <si>
    <t>TINAROO LAKE RESORT</t>
  </si>
  <si>
    <t>Murdeduke event - speaker and mic hire</t>
  </si>
  <si>
    <t>MUSIC WORKSHOP PL</t>
  </si>
  <si>
    <t>StewartF-Offshore Meals &amp; Lodg</t>
  </si>
  <si>
    <t>Murdeduke event catering</t>
  </si>
  <si>
    <t>Winchelsea Lions Club</t>
  </si>
  <si>
    <t>StewartF-Rental - Office Equip</t>
  </si>
  <si>
    <t>Murdeduke Event - Heaters and chair hire</t>
  </si>
  <si>
    <t>BELGROVE HIRING SERVIC</t>
  </si>
  <si>
    <t>1454-ABARE00</t>
  </si>
  <si>
    <t>1454</t>
  </si>
  <si>
    <t>BARELLAN SHOW SOCIETY INC</t>
  </si>
  <si>
    <t>INV-1680-AREGI00</t>
  </si>
  <si>
    <t>INV-1680</t>
  </si>
  <si>
    <t>REGIONAL DEVELOPMENT AUSTRALIA</t>
  </si>
  <si>
    <t>00052-ABOOR01</t>
  </si>
  <si>
    <t>00052</t>
  </si>
  <si>
    <t>BOORAGUL ANGUS</t>
  </si>
  <si>
    <t>PR-4 To be Closed-ADAIR04</t>
  </si>
  <si>
    <t>PR-4 To be Closed</t>
  </si>
  <si>
    <t>2094854-AKWIK03</t>
  </si>
  <si>
    <t>Emerald 25yr Aframe</t>
  </si>
  <si>
    <t>2094854</t>
  </si>
  <si>
    <t>24/553-AROYA24</t>
  </si>
  <si>
    <t>24/553</t>
  </si>
  <si>
    <t>INV0153-ASEDA01</t>
  </si>
  <si>
    <t>INV0153</t>
  </si>
  <si>
    <t>SEDAN DIP SPORTS AND RECREATION INC</t>
  </si>
  <si>
    <t>DonponR-Other Personnel Expens</t>
  </si>
  <si>
    <t>Flowers - Board visit</t>
  </si>
  <si>
    <t>FLORAL NOOK ROMA</t>
  </si>
  <si>
    <t>00065703-ALIGH03</t>
  </si>
  <si>
    <t>Warehousing April</t>
  </si>
  <si>
    <t>00065703</t>
  </si>
  <si>
    <t>00065858-ALIGH03</t>
  </si>
  <si>
    <t>Warehousing May</t>
  </si>
  <si>
    <t>00065858</t>
  </si>
  <si>
    <t>2094215-AKWIK03</t>
  </si>
  <si>
    <t>Welcome letter April</t>
  </si>
  <si>
    <t>2094215</t>
  </si>
  <si>
    <t>2094719-AKWIK03</t>
  </si>
  <si>
    <t>Welcome letter May</t>
  </si>
  <si>
    <t>2094719</t>
  </si>
  <si>
    <t>Donation- Blyth Snowtown Football Club auction</t>
  </si>
  <si>
    <t>PINKS MITRE 10</t>
  </si>
  <si>
    <t>0035-AMOME01</t>
  </si>
  <si>
    <t>20 Year Photographer</t>
  </si>
  <si>
    <t>0035</t>
  </si>
  <si>
    <t>MOMENTS BY BREE</t>
  </si>
  <si>
    <t>2094301-AKWIK03</t>
  </si>
  <si>
    <t>Signage Campbell Town Show</t>
  </si>
  <si>
    <t>2094301</t>
  </si>
  <si>
    <t>PSI-000242-ADAIR04</t>
  </si>
  <si>
    <t>PSI-000242</t>
  </si>
  <si>
    <t>KalischC-Airfares</t>
  </si>
  <si>
    <t>Innovation Generation</t>
  </si>
  <si>
    <t>EGEN*AUSI142334122/AUBI2024122248109/AUBI2024122248109590</t>
  </si>
  <si>
    <t>KalischC-Default Licensee Merc</t>
  </si>
  <si>
    <t>QANTAS AIR_ABN16009661901/P4ZCZKH9PLG74FH2/P4ZCZKH9PLG74FH2</t>
  </si>
  <si>
    <t>CraneB-Entertainment Expense</t>
  </si>
  <si>
    <t>Conference - Crane, Meldrum, Brooks</t>
  </si>
  <si>
    <t>ASHEEP &amp; BEEF INC.</t>
  </si>
  <si>
    <t>Cotton Conference Registration | General Pass - Ingrid Child</t>
  </si>
  <si>
    <t>RABO-01/07/24-ADORR00</t>
  </si>
  <si>
    <t>RABO-01/07/24</t>
  </si>
  <si>
    <t>DORRIGO SILVERSPURS CAMPDRAFT</t>
  </si>
  <si>
    <t>DLL Morning Tea and Prospect Planning $43.90</t>
  </si>
  <si>
    <t>PORT LINCOLN BAKERY</t>
  </si>
  <si>
    <t>SCHMIDTK-Default Licensee Merc</t>
  </si>
  <si>
    <t>Freeling GRDC Update - Kristian Schmidt &amp; Alexander Howard</t>
  </si>
  <si>
    <t>00065992-ALIGH03</t>
  </si>
  <si>
    <t>NQNT Newsletter</t>
  </si>
  <si>
    <t>00065992</t>
  </si>
  <si>
    <t>13281-AMACK10</t>
  </si>
  <si>
    <t>13281</t>
  </si>
  <si>
    <t>1744-AJSEL00</t>
  </si>
  <si>
    <t>1744</t>
  </si>
  <si>
    <t>JS ELECTRICAL SOLUTIONS &amp; HIGHLANDS</t>
  </si>
  <si>
    <t>202408-AADEL17</t>
  </si>
  <si>
    <t>202408</t>
  </si>
  <si>
    <t>ADELAIDE UNIVERSITY AGRICULTURAL</t>
  </si>
  <si>
    <t>$318 AgSummit</t>
  </si>
  <si>
    <t>EB *Australian AgInves</t>
  </si>
  <si>
    <t>INV-0011-ACLER03</t>
  </si>
  <si>
    <t>INV-0011</t>
  </si>
  <si>
    <t>CLERMONT ICPA SPORTS CAMP</t>
  </si>
  <si>
    <t>00066056-ALIGH03</t>
  </si>
  <si>
    <t>Newsletter</t>
  </si>
  <si>
    <t>00066056</t>
  </si>
  <si>
    <t>57356-AADEL16</t>
  </si>
  <si>
    <t>Royal Adelaide Show display wa</t>
  </si>
  <si>
    <t>57356</t>
  </si>
  <si>
    <t>ADELAIDE EXPO HIRE PTY LTD</t>
  </si>
  <si>
    <t>RWS-0169-ARIVE11</t>
  </si>
  <si>
    <t>Renmark Branch sponsorship</t>
  </si>
  <si>
    <t>RWS-0169</t>
  </si>
  <si>
    <t>RIVERLAND WINE SHOW SOCIETY INC</t>
  </si>
  <si>
    <t>240612-ATURN01</t>
  </si>
  <si>
    <t>Host gift &amp; door prize - Murde</t>
  </si>
  <si>
    <t>240612</t>
  </si>
  <si>
    <t>115571-AADEL15</t>
  </si>
  <si>
    <t>LambEx hanging signage from ce</t>
  </si>
  <si>
    <t>115571</t>
  </si>
  <si>
    <t>ADELAIDE VENUE MANAGEMENT CORPORATION</t>
  </si>
  <si>
    <t>4324-ANEWD03</t>
  </si>
  <si>
    <t>Half Page ad in local newslett</t>
  </si>
  <si>
    <t>4324</t>
  </si>
  <si>
    <t>NEWDEGATE PRIMARY SCHOOL</t>
  </si>
  <si>
    <t>1013297409-APOST07</t>
  </si>
  <si>
    <t>Auspost June 24</t>
  </si>
  <si>
    <t>1013297409</t>
  </si>
  <si>
    <t>2404301-16/07/24-ATURN01</t>
  </si>
  <si>
    <t>Welcome gifts May</t>
  </si>
  <si>
    <t>2404301-16/07/24</t>
  </si>
  <si>
    <t>Coton Conference Registration | General Pass - Melinda Kelley</t>
  </si>
  <si>
    <t>Cotton Conference Registration | Dinner - Barry Gerschwitz</t>
  </si>
  <si>
    <t>RABO-18/07/24-AHOLT00</t>
  </si>
  <si>
    <t>WA Sponsorship of HRAG 2024</t>
  </si>
  <si>
    <t>RABO-18/07/24</t>
  </si>
  <si>
    <t>HOLT ROCK AGRONOMY GROUP</t>
  </si>
  <si>
    <t>ELSTONJ-Entertainment Expense</t>
  </si>
  <si>
    <t>Mallee Machinery Field Day Invoice (site hire, electricity / exhibitor passes)</t>
  </si>
  <si>
    <t>MALLEE MACH FIELD DAYS</t>
  </si>
  <si>
    <t>IrwinP-Default Licensee Mercha</t>
  </si>
  <si>
    <t>Rice Connect Receipt</t>
  </si>
  <si>
    <t>TICKETS*RICE CONNE/4ctmz3ja</t>
  </si>
  <si>
    <t>RGA dinner tickets for Ivan and I</t>
  </si>
  <si>
    <t>TICKETS*RICE CONNE/g4hy380f</t>
  </si>
  <si>
    <t>RenyardL1-Default Licensee Mer</t>
  </si>
  <si>
    <t>Rice Industry Awards &amp; Gala Dinner Ticket - Laura Renyard</t>
  </si>
  <si>
    <t>TICKETS*RICE CONNE/hp4ga68z</t>
  </si>
  <si>
    <t>GoodwinP-Default Licensee Merc</t>
  </si>
  <si>
    <t>$107 no GST licencing Cleve Field Days - Tuesday</t>
  </si>
  <si>
    <t>CBS SA - LIQUOR LICENCE</t>
  </si>
  <si>
    <t>$107 no GST licencing Cleve Field Days- Wednesday</t>
  </si>
  <si>
    <t>Hort Connections - Mic for filming</t>
  </si>
  <si>
    <t>JB HI FI SOUTH WHARF</t>
  </si>
  <si>
    <t>Rabo Hort Breakfast - Print extra</t>
  </si>
  <si>
    <t>HORT CSG - Hort Breakfast Melbourne fee</t>
  </si>
  <si>
    <t>Accommodation | Cotton Conference Guest Speakers - Lawrie's</t>
  </si>
  <si>
    <t>Cotton Conf coffee cups</t>
  </si>
  <si>
    <t>Cotton conf truck rug for 40ft</t>
  </si>
  <si>
    <t>THE PROP HOUSE</t>
  </si>
  <si>
    <t>DOHLES-Entertainment Expense</t>
  </si>
  <si>
    <t>sheepvention fielday tickets for staff</t>
  </si>
  <si>
    <t>123TIX*SHEEPVENTION RU</t>
  </si>
  <si>
    <t>Cotton Conference Registration | Dinner - Felicity Taylor</t>
  </si>
  <si>
    <t>Cotton Conference Registration | Dinner - Kevin Murray</t>
  </si>
  <si>
    <t>Cotton Conference Registration | General Pass - Ben Nixon</t>
  </si>
  <si>
    <t>Catering - Fishing Seminar</t>
  </si>
  <si>
    <t>SQ *SALT CAFE AND BAR</t>
  </si>
  <si>
    <t>00013120-AQUAL08</t>
  </si>
  <si>
    <t>Beef walls, etc storage</t>
  </si>
  <si>
    <t>00013120</t>
  </si>
  <si>
    <t>00126054-AFARM02</t>
  </si>
  <si>
    <t>WA Sponsorship: Farmwest Disco</t>
  </si>
  <si>
    <t>00126054</t>
  </si>
  <si>
    <t>FARMWEST</t>
  </si>
  <si>
    <t>2094855-AKWIK03</t>
  </si>
  <si>
    <t>Commodity journey poster</t>
  </si>
  <si>
    <t>2094855</t>
  </si>
  <si>
    <t>2095052-AKWIK03</t>
  </si>
  <si>
    <t>Katherine Show A frame</t>
  </si>
  <si>
    <t>2095052</t>
  </si>
  <si>
    <t>2095125-AKWIK03</t>
  </si>
  <si>
    <t>Darwin show Rabo facts cube</t>
  </si>
  <si>
    <t>2095125</t>
  </si>
  <si>
    <t>2095299-AKWIK03</t>
  </si>
  <si>
    <t>Darwin Show A frame schedule</t>
  </si>
  <si>
    <t>2095299</t>
  </si>
  <si>
    <t>2095300-AKWIK03</t>
  </si>
  <si>
    <t>Darwin Show A frame</t>
  </si>
  <si>
    <t>2095300</t>
  </si>
  <si>
    <t>33539-APROD00</t>
  </si>
  <si>
    <t>Dubbo Merino show logo signage</t>
  </si>
  <si>
    <t>33539</t>
  </si>
  <si>
    <t>IN153448-AROYA10</t>
  </si>
  <si>
    <t>Feature Breed 2024 RAS</t>
  </si>
  <si>
    <t>IN153448</t>
  </si>
  <si>
    <t>ROYAL AGRICULTURAL &amp; HORTICULTURAL</t>
  </si>
  <si>
    <t>School Wether 2024 RAS</t>
  </si>
  <si>
    <t>INV-0569-ACORR05</t>
  </si>
  <si>
    <t>CFIG Rabobank Sponsorship 2024</t>
  </si>
  <si>
    <t>INV-0569</t>
  </si>
  <si>
    <t>CORRIGIN FARM IMPROVEMENT GROUP</t>
  </si>
  <si>
    <t>14135-AHAMI04</t>
  </si>
  <si>
    <t>Rabobank Sponsorship: Peter Sc</t>
  </si>
  <si>
    <t>14135</t>
  </si>
  <si>
    <t>HAMILTON PASTORAL AND AGRICULTURAL</t>
  </si>
  <si>
    <t>INV-0328-AMIDL00</t>
  </si>
  <si>
    <t>Campbell Town Show</t>
  </si>
  <si>
    <t>INV-0328</t>
  </si>
  <si>
    <t>MIDLANDS ARGICULTURAL ASSOCIATION INC</t>
  </si>
  <si>
    <t>Lockhart blackspot picnic races tickets (sponsored event)</t>
  </si>
  <si>
    <t>123TIX*LOCKHART PICNIC</t>
  </si>
  <si>
    <t>00000265-ACENT49</t>
  </si>
  <si>
    <t>Venue Hire Kadina 20 Year Anni</t>
  </si>
  <si>
    <t>00000265</t>
  </si>
  <si>
    <t>CENTRAL YORKE FOOTBALL CLUB</t>
  </si>
  <si>
    <t>BatemanM-Default Licensee Merc</t>
  </si>
  <si>
    <t>GRDC Farmer Update</t>
  </si>
  <si>
    <t>TICKETS*2024 GRDC/1h7591pn</t>
  </si>
  <si>
    <t>Alice Springs Show entry and car passes</t>
  </si>
  <si>
    <t>Central Australian Sh</t>
  </si>
  <si>
    <t>2095227-AKWIK03</t>
  </si>
  <si>
    <t>Innovation Genneration signage</t>
  </si>
  <si>
    <t>2095227</t>
  </si>
  <si>
    <t>2095351-AKWIK03</t>
  </si>
  <si>
    <t>Signage EP FDs donation</t>
  </si>
  <si>
    <t>2095351</t>
  </si>
  <si>
    <t>2095563-AKWIK03</t>
  </si>
  <si>
    <t>Dubbo branch letter</t>
  </si>
  <si>
    <t>2095563</t>
  </si>
  <si>
    <t>2451-AGANN00</t>
  </si>
  <si>
    <t>2451</t>
  </si>
  <si>
    <t>657309-AMALT01</t>
  </si>
  <si>
    <t>LambEx Networking Event</t>
  </si>
  <si>
    <t>657309</t>
  </si>
  <si>
    <t>MALT SHOVEL TAPHOUSE ADELAIDE</t>
  </si>
  <si>
    <t>CREATIVE EMBROIDERY</t>
  </si>
  <si>
    <t>Agribusiness Today Forum tickets</t>
  </si>
  <si>
    <t>TICKETS*AGRIBUSINE/bhqz1dyk</t>
  </si>
  <si>
    <t>AG Grow Entry</t>
  </si>
  <si>
    <t>Customer Drinks end of Cotton Season @ Ingrams</t>
  </si>
  <si>
    <t>BWS/15 EGERTON STREET</t>
  </si>
  <si>
    <t>KelleyM-Other Personnel Expens</t>
  </si>
  <si>
    <t>Customer Drinks - Ag Grow</t>
  </si>
  <si>
    <t>ROSES AND BEANS</t>
  </si>
  <si>
    <t>2401-ASTJO09</t>
  </si>
  <si>
    <t>Catering for the Mallee Machin</t>
  </si>
  <si>
    <t>2401</t>
  </si>
  <si>
    <t>ST JOSEPHS PARENTS AND FRIENDS</t>
  </si>
  <si>
    <t>202401-AGREA04</t>
  </si>
  <si>
    <t>WA Sponsorship of WA Sheep Exp</t>
  </si>
  <si>
    <t>202401</t>
  </si>
  <si>
    <t>GREAT SOUTHERN MERINO SHEEPBREEDERS</t>
  </si>
  <si>
    <t>240617-ATURN01</t>
  </si>
  <si>
    <t>Promotional item - delivery</t>
  </si>
  <si>
    <t>240617</t>
  </si>
  <si>
    <t>Vic No Till Conference in Wagga - 2 tickets</t>
  </si>
  <si>
    <t>TRYBOOKING*VIC NO TILL/219372998139</t>
  </si>
  <si>
    <t>Lunch for Growher participants</t>
  </si>
  <si>
    <t>Espresso House Temora</t>
  </si>
  <si>
    <t>WallaceMA-Entertainment Expens</t>
  </si>
  <si>
    <t>Murray Dairy Dinner tickets x 2 (Murray &amp; Ivan)</t>
  </si>
  <si>
    <t>MURRAYDAIRY EVENT</t>
  </si>
  <si>
    <t>1603-ALIKE01</t>
  </si>
  <si>
    <t>NQNT Marketing expense, Emeral</t>
  </si>
  <si>
    <t>1603</t>
  </si>
  <si>
    <t>LIKE MUM USED TO MAKE</t>
  </si>
  <si>
    <t>2149-ATAMM00</t>
  </si>
  <si>
    <t>Emerald branch marketing expen</t>
  </si>
  <si>
    <t>2149</t>
  </si>
  <si>
    <t>TAMMY MOXON</t>
  </si>
  <si>
    <t>240521-ATURN01</t>
  </si>
  <si>
    <t>Coffe tumblers for event Orang</t>
  </si>
  <si>
    <t>240521</t>
  </si>
  <si>
    <t>2524-ATURN01</t>
  </si>
  <si>
    <t>Aprons LambEX</t>
  </si>
  <si>
    <t>2524</t>
  </si>
  <si>
    <t>657694-AMALT01</t>
  </si>
  <si>
    <t>LambEx Networking Function Fin</t>
  </si>
  <si>
    <t>657694</t>
  </si>
  <si>
    <t>B6960-AAGGR01</t>
  </si>
  <si>
    <t>NQNT Marketing expense, GroWQ</t>
  </si>
  <si>
    <t>B6960</t>
  </si>
  <si>
    <t>AG GROW  PTY LTD</t>
  </si>
  <si>
    <t>RABO-02/08/24-ADIRR00</t>
  </si>
  <si>
    <t>Goondiwindi Branch 2024 S/Ship</t>
  </si>
  <si>
    <t>RABO-02/08/24</t>
  </si>
  <si>
    <t>DIRRANBANDI POLOCROSSE CLUB INC</t>
  </si>
  <si>
    <t>1337-ATEXA01</t>
  </si>
  <si>
    <t>Twba Branch Silver S/Ship of T</t>
  </si>
  <si>
    <t>1337</t>
  </si>
  <si>
    <t>TEXAS SHOW SOCIETY  INC.</t>
  </si>
  <si>
    <t>Cotton Conference deligate ticket</t>
  </si>
  <si>
    <t>Gift for speaker Beef 2024</t>
  </si>
  <si>
    <t>The Lionleigh Pub</t>
  </si>
  <si>
    <t>Fruit milk for marquee</t>
  </si>
  <si>
    <t>MCAULAYG-Other Personnel Expen</t>
  </si>
  <si>
    <t>URBAN FLOWER</t>
  </si>
  <si>
    <t>Cushions LambEx</t>
  </si>
  <si>
    <t>BED BATH N TABLE</t>
  </si>
  <si>
    <t>Georgina Poole Cotton ticket</t>
  </si>
  <si>
    <t>Video camera</t>
  </si>
  <si>
    <t>Video camera memory SD card</t>
  </si>
  <si>
    <t>JB HI FI BROADWAY</t>
  </si>
  <si>
    <t>1013357070-APOST07</t>
  </si>
  <si>
    <t>Auspost July 24</t>
  </si>
  <si>
    <t>1013357070</t>
  </si>
  <si>
    <t>CHERRY BAR GOLD COAS</t>
  </si>
  <si>
    <t>Membership renewal Agribusiness Australia</t>
  </si>
  <si>
    <t>00013131-AQUAL08</t>
  </si>
  <si>
    <t>LambEx site &amp; furniture</t>
  </si>
  <si>
    <t>00013131</t>
  </si>
  <si>
    <t>00013134-AQUAL08</t>
  </si>
  <si>
    <t>Beef assets storage cost Septe</t>
  </si>
  <si>
    <t>00013134</t>
  </si>
  <si>
    <t>00013135-AQUAL08</t>
  </si>
  <si>
    <t>00013135</t>
  </si>
  <si>
    <t>00065982-ALIGH03</t>
  </si>
  <si>
    <t>Warehouising June</t>
  </si>
  <si>
    <t>00065982</t>
  </si>
  <si>
    <t>DOHLES-Offshore Meals &amp; Lodgin</t>
  </si>
  <si>
    <t>Sheepvention client/prospect dinner</t>
  </si>
  <si>
    <t>STURGEON VIEW</t>
  </si>
  <si>
    <t>MANNR-Default Licensee Merchan</t>
  </si>
  <si>
    <t>Lely Event Central</t>
  </si>
  <si>
    <t>SQ *LIONS CLUB OF STRZELE</t>
  </si>
  <si>
    <t>GoodwinM1-Cleaning Expense</t>
  </si>
  <si>
    <t>Cleve Field Days – Cutlery – Plastic Cups – Napkins etc $108.56</t>
  </si>
  <si>
    <t>EP CLEANING SUPPLIES</t>
  </si>
  <si>
    <t>GRDC Event - Lock – Dale Stevenson – Registration $30</t>
  </si>
  <si>
    <t>GRDC Event - Lock $30 - Matthew Goodwin</t>
  </si>
  <si>
    <t>BWS – Field Days – Drinks $671.30 - Tues Arvo</t>
  </si>
  <si>
    <t>Client Council – Fields Days Speaker Gift – Ben Ranford $61</t>
  </si>
  <si>
    <t>LIQUORLAND 3022</t>
  </si>
  <si>
    <t>Coles – Field Days – Soft Drinks &amp; Water $87.10</t>
  </si>
  <si>
    <t>Woolworths $279.80 - Coffee &amp; Milk</t>
  </si>
  <si>
    <t>GoodwinP-Domestic &amp; Overseas l</t>
  </si>
  <si>
    <t>$330 Port Lincoln Hotel room hire deposit invoice- carbon training</t>
  </si>
  <si>
    <t>PORT LINCOLN HOTEL</t>
  </si>
  <si>
    <t>GoodwinP-Offshore Meals &amp; Lodg</t>
  </si>
  <si>
    <t>$43.50 Commercial Hotel - Cleve Field Days dinner 13.8.2024</t>
  </si>
  <si>
    <t>SUSAN ELDRED BLUM</t>
  </si>
  <si>
    <t>items for truck cleaning, containers, bin liners (Cotton Conf)</t>
  </si>
  <si>
    <t>WOOLWORTHS/THE OASIS S/C</t>
  </si>
  <si>
    <t>ConwayT-Office Supplies</t>
  </si>
  <si>
    <t>25yr Party - Menu Paper</t>
  </si>
  <si>
    <t>EMD OFFICE SUPPLIES</t>
  </si>
  <si>
    <t>Ekka proteins lunch - Business development</t>
  </si>
  <si>
    <t>RYDGES FORTITUDE VALLE</t>
  </si>
  <si>
    <t>AU060124</t>
  </si>
  <si>
    <t>2024 AUS Cotton Conference | Registration - Theo Saroukos</t>
  </si>
  <si>
    <t>Ag Excellence Alliance Seminar &amp; Dinner - Sustainability</t>
  </si>
  <si>
    <t>EB *Ag Excellence Foru</t>
  </si>
  <si>
    <t>GRDC Event Entry Fee (Jessie Cutcliffe &amp; Donna Matheson)</t>
  </si>
  <si>
    <t>INDEPENDENT CONSULTA</t>
  </si>
  <si>
    <t>142-AAGRI19</t>
  </si>
  <si>
    <t>Mallala Ag Bureau Sponsorship</t>
  </si>
  <si>
    <t>AGRICULTURAL BUREAU MALLALA</t>
  </si>
  <si>
    <t>INV-0314-ADUBB01</t>
  </si>
  <si>
    <t>Sponsorship Fee</t>
  </si>
  <si>
    <t>INV-0314</t>
  </si>
  <si>
    <t>DUBBO NATIONAL RAM SALE ASSOC</t>
  </si>
  <si>
    <t>CurtisL-Default Licensee Merch</t>
  </si>
  <si>
    <t>Innovation Generation National Sposnorship Additional Tickets</t>
  </si>
  <si>
    <t>TICKETS*INNOVATION/b2ss2nsd</t>
  </si>
  <si>
    <t>Farm to Fork photobook</t>
  </si>
  <si>
    <t>Snapfish AU</t>
  </si>
  <si>
    <t>Farm to Fork photobook for client</t>
  </si>
  <si>
    <t>Agribusiness Forum tickets</t>
  </si>
  <si>
    <t>TICKETS*AGRIBUSINE/1ce72gve</t>
  </si>
  <si>
    <t>00066192-ALIGH03</t>
  </si>
  <si>
    <t>Presentation folder dispatch</t>
  </si>
  <si>
    <t>00066192</t>
  </si>
  <si>
    <t>0055-APLAT00</t>
  </si>
  <si>
    <t>Catering for the GROWHER event</t>
  </si>
  <si>
    <t>0055</t>
  </si>
  <si>
    <t>PLATTER BITES</t>
  </si>
  <si>
    <t>X000283-AELMO00</t>
  </si>
  <si>
    <t>Elmore Field Days - purchase o</t>
  </si>
  <si>
    <t>X000283</t>
  </si>
  <si>
    <t>ELMORE AND DISTRICT MACHINERY FIELD DAYS</t>
  </si>
  <si>
    <t>00013124-AQUAL08</t>
  </si>
  <si>
    <t>Beef assets storage cost Augus</t>
  </si>
  <si>
    <t>00013124</t>
  </si>
  <si>
    <t>1407-02/08/24-AMAYF03</t>
  </si>
  <si>
    <t>1407-02/08/24</t>
  </si>
  <si>
    <t>MAYFAIR RIDGE TAVERN</t>
  </si>
  <si>
    <t>INV-1442-AEMER09</t>
  </si>
  <si>
    <t>INV-1442</t>
  </si>
  <si>
    <t>EMERALD STATE HIGH SCHOOL P &amp; C ASSOC</t>
  </si>
  <si>
    <t>RABO-23/07/24-AAUST108</t>
  </si>
  <si>
    <t>ACAJ Sponsorship Fee</t>
  </si>
  <si>
    <t>RABO-23/07/24</t>
  </si>
  <si>
    <t>AUSTRALIAN COUNCIL OF AGRICULTURAL</t>
  </si>
  <si>
    <t>INV-026474-ACENT02</t>
  </si>
  <si>
    <t>Events Air Subscription</t>
  </si>
  <si>
    <t>INV-026474</t>
  </si>
  <si>
    <t>SinghSS-Office Supplies</t>
  </si>
  <si>
    <t>Portable screen to use for Deposit events</t>
  </si>
  <si>
    <t>OFFICEWORKS</t>
  </si>
  <si>
    <t>YOUNGF-Printing</t>
  </si>
  <si>
    <t>Place cards for August MAC Dinner</t>
  </si>
  <si>
    <t>2095676-AKWIK03</t>
  </si>
  <si>
    <t>LambEx menu</t>
  </si>
  <si>
    <t>2095676</t>
  </si>
  <si>
    <t>2095708-AKWIK03</t>
  </si>
  <si>
    <t>Cotton Conf various signage</t>
  </si>
  <si>
    <t>2095708</t>
  </si>
  <si>
    <t>2096126-AKWIK03</t>
  </si>
  <si>
    <t>Postcard Atherton Beef Open Da</t>
  </si>
  <si>
    <t>2096126</t>
  </si>
  <si>
    <t>2096543-AKWIK03</t>
  </si>
  <si>
    <t>A frame South Gippslsnd Dairy</t>
  </si>
  <si>
    <t>2096543</t>
  </si>
  <si>
    <t>2096658-AKWIK03</t>
  </si>
  <si>
    <t>Aframe Goulburn Sydney</t>
  </si>
  <si>
    <t>2096658</t>
  </si>
  <si>
    <t>2507-ATURN01</t>
  </si>
  <si>
    <t>Promo Items - Enamel Mug - Eme</t>
  </si>
  <si>
    <t>2507</t>
  </si>
  <si>
    <t>33575-APROD00</t>
  </si>
  <si>
    <t>Caf?mbrella Forbes</t>
  </si>
  <si>
    <t>33575</t>
  </si>
  <si>
    <t>DulmEJK2-Printing</t>
  </si>
  <si>
    <t>Innovation Generation - Printing Flyers and Brochures</t>
  </si>
  <si>
    <t>XYZ ORIGINAL PTY LTD</t>
  </si>
  <si>
    <t>JINNAKAE-Offshore Meals &amp; Lodg</t>
  </si>
  <si>
    <t>Cotton Conf Guest speakers/panels catering</t>
  </si>
  <si>
    <t>MAGGIE CHOOS/210644001485</t>
  </si>
  <si>
    <t>Morning Tea - Customer visit NTB</t>
  </si>
  <si>
    <t>FAIRBAIRN BAKERY</t>
  </si>
  <si>
    <t>MccreaM-Domestic &amp; Overseas lo</t>
  </si>
  <si>
    <t>Port Lincoln Seafood Conference catering</t>
  </si>
  <si>
    <t>ALH VENUES/94 TASMAN TERR</t>
  </si>
  <si>
    <t>Dubbo Ram Show - Judges Vests</t>
  </si>
  <si>
    <t>WOOLERINA</t>
  </si>
  <si>
    <t>Marker - Lambex Nametags Networking Dinner</t>
  </si>
  <si>
    <t>ECKERSLEYS PTY  LIMITE</t>
  </si>
  <si>
    <t>Marker for Name Tags - LambEx</t>
  </si>
  <si>
    <t>Marker for nametags - Frances Truck Event</t>
  </si>
  <si>
    <t>Video Services - Cotton Conference</t>
  </si>
  <si>
    <t>CUSSONSMEDIA</t>
  </si>
  <si>
    <t>TierneyA-Other Personnel Expen</t>
  </si>
  <si>
    <t>Flowers for LambEx Site</t>
  </si>
  <si>
    <t>SQ *CHILL FLOWERS</t>
  </si>
  <si>
    <t>TierneyA-Printing</t>
  </si>
  <si>
    <t>Name Tags Printing Frances Truck Event</t>
  </si>
  <si>
    <t>Nametags LambEx Gala Dinner</t>
  </si>
  <si>
    <t>00013130-AQUAL08</t>
  </si>
  <si>
    <t>Mingenew marquee &amp; furniture</t>
  </si>
  <si>
    <t>00013130</t>
  </si>
  <si>
    <t>00013138-AQUAL08</t>
  </si>
  <si>
    <t>EP Field days marquee</t>
  </si>
  <si>
    <t>00013138</t>
  </si>
  <si>
    <t>2095806-AKWIK03</t>
  </si>
  <si>
    <t>Aframe EP field days DLL</t>
  </si>
  <si>
    <t>2095806</t>
  </si>
  <si>
    <t>2572-ATURN01</t>
  </si>
  <si>
    <t>Paperbags for the West team So</t>
  </si>
  <si>
    <t>2572</t>
  </si>
  <si>
    <t>DRI0001409-AOUYE01</t>
  </si>
  <si>
    <t>Catering for Speed Field Days</t>
  </si>
  <si>
    <t>DRI0001409</t>
  </si>
  <si>
    <t>OUYEN P-12 COLLEGE</t>
  </si>
  <si>
    <t>INV-10853-ANUFF00</t>
  </si>
  <si>
    <t>Nuffield Australia Conference</t>
  </si>
  <si>
    <t>INV-10853</t>
  </si>
  <si>
    <t>NUFFIELD AUSTRALIA</t>
  </si>
  <si>
    <t>00066107-ALIGH03</t>
  </si>
  <si>
    <t>Warehousing July</t>
  </si>
  <si>
    <t>00066107</t>
  </si>
  <si>
    <t>12024-AMORA04</t>
  </si>
  <si>
    <t>2024-25 Morawa Farm Improvemen</t>
  </si>
  <si>
    <t>12024</t>
  </si>
  <si>
    <t>MORAWA FARM IMPROVEMENT GROUP INC</t>
  </si>
  <si>
    <t>22-ACLEV00</t>
  </si>
  <si>
    <t>Sponsorship Cleve Running Fest</t>
  </si>
  <si>
    <t>CLEVE RUNNING FESTIVAL INC.</t>
  </si>
  <si>
    <t>2405301-ATURN01</t>
  </si>
  <si>
    <t>Welcome gift May</t>
  </si>
  <si>
    <t>2405301</t>
  </si>
  <si>
    <t>ConwayT-Default Licensee Merch</t>
  </si>
  <si>
    <t>Emerald 25yrs - Cake</t>
  </si>
  <si>
    <t>SQ *CREATE IT DESIGN CO</t>
  </si>
  <si>
    <t>2024 AUS Cotton Conference | Brazil Tour Announcement - Headpieces</t>
  </si>
  <si>
    <t>Shein AUS</t>
  </si>
  <si>
    <t>Additional Registration Costs - General Delegate (Ben Law)</t>
  </si>
  <si>
    <t>Additional Registration Costs - General Delegate (Will Banks)</t>
  </si>
  <si>
    <t>Cotton Conference | Registration - Marcel van Doremaele</t>
  </si>
  <si>
    <t>Credit of General Dinner Ticket - Haimish Mc Alpin</t>
  </si>
  <si>
    <t>Credit of General Registration Costs - Bruce Alcorn</t>
  </si>
  <si>
    <t>TEMU.COM</t>
  </si>
  <si>
    <t>EllisT-Tuition (study) Reimbur</t>
  </si>
  <si>
    <t>Brazil Entertainment | Launch of 2025 Tour at Cotton Conference</t>
  </si>
  <si>
    <t>PAYPAL/7CRUJZSJ336E</t>
  </si>
  <si>
    <t>Cable ties, velco tape , Bunting tape - Katherine show</t>
  </si>
  <si>
    <t>BUNNINGS 583000</t>
  </si>
  <si>
    <t>portion of client event Katherine Show</t>
  </si>
  <si>
    <t>ELDERS RURAL SERV</t>
  </si>
  <si>
    <t>GERSCHWITZB-Office Supplies</t>
  </si>
  <si>
    <t>Eggs for client breakfast</t>
  </si>
  <si>
    <t>WOOLWORTHS/M1 5 YARRAWONG</t>
  </si>
  <si>
    <t>Soft drinks Kath Show</t>
  </si>
  <si>
    <t>WOOLWORTHS/KATHERINE TERR</t>
  </si>
  <si>
    <t>Supplies for Client breakfsat KAth show</t>
  </si>
  <si>
    <t>GERSCHWITZB-Offshore Meals &amp; L</t>
  </si>
  <si>
    <t>Drinks for Client event Kath Show</t>
  </si>
  <si>
    <t>THE STUART HOTEL/154302015814</t>
  </si>
  <si>
    <t>AgInvestment Summit - Rabo table</t>
  </si>
  <si>
    <t>25 Year Celebration + Emerald</t>
  </si>
  <si>
    <t>BIG W/2-10 CODENWARRA ROA</t>
  </si>
  <si>
    <t>AYR Branch Sponsorship - Rural Women Unite</t>
  </si>
  <si>
    <t>TRYBOOKING*RURAL WOMEN UN/219358838000</t>
  </si>
  <si>
    <t>Key Tags For Emerald Branch Sponsorship</t>
  </si>
  <si>
    <t>LambEx Reg Fee - Skye Manson</t>
  </si>
  <si>
    <t>2095995-AKWIK03</t>
  </si>
  <si>
    <t>Welcome letter June Branch and</t>
  </si>
  <si>
    <t>2095995</t>
  </si>
  <si>
    <t>INV-2743-ASOUT00</t>
  </si>
  <si>
    <t>Southern Farming Systems Spons</t>
  </si>
  <si>
    <t>INV-2743</t>
  </si>
  <si>
    <t>SOUTHERN FARMING SYSTEMS LTD</t>
  </si>
  <si>
    <t>FacyK-Office Supplies</t>
  </si>
  <si>
    <t>Water Frances Truck Event</t>
  </si>
  <si>
    <t>Brock/Burrum event</t>
  </si>
  <si>
    <t>SQ *BROCKBURRUM FN CLUB I</t>
  </si>
  <si>
    <t>0005487-AUNGA00</t>
  </si>
  <si>
    <t>EP Field Days</t>
  </si>
  <si>
    <t>0005487</t>
  </si>
  <si>
    <t>UNGARRA PRIMARY SCHOOL</t>
  </si>
  <si>
    <t>1013433142-APOST07</t>
  </si>
  <si>
    <t>Auspost Aug 24</t>
  </si>
  <si>
    <t>1013433142</t>
  </si>
  <si>
    <t>1-ASTEV05</t>
  </si>
  <si>
    <t>Sound - Seafood Event</t>
  </si>
  <si>
    <t>1</t>
  </si>
  <si>
    <t>2095758-AKWIK03</t>
  </si>
  <si>
    <t>Signage Aframe insertions WA f</t>
  </si>
  <si>
    <t>2095758</t>
  </si>
  <si>
    <t>2095842-AKWIK03</t>
  </si>
  <si>
    <t>Aframe EP field days schedule</t>
  </si>
  <si>
    <t>2095842</t>
  </si>
  <si>
    <t>BANKSW-Entertainment Expense</t>
  </si>
  <si>
    <t>ACAJ Sponsorship - Pip Courtney acknowledgement</t>
  </si>
  <si>
    <t>BWS/7/16 ASHGROVE AVE</t>
  </si>
  <si>
    <t>Additional Registration Costs - General Delegate  (Paul Joules)</t>
  </si>
  <si>
    <t>Additional Registration Costs - General Delegate (Marcel van Doremaele)</t>
  </si>
  <si>
    <t>AUS Cotton Converence | Convention Centre - Michael Every Private Room Upgrade and Audio</t>
  </si>
  <si>
    <t>GOLD COAST CONVENTION</t>
  </si>
  <si>
    <t>AUS Cotton Converence | Convention Centre - Michael Every Private Session, Table Water + Cleaning of</t>
  </si>
  <si>
    <t>Brazil Entertainment | Launch of 2025 Tour at Cotton Conference (additional wait time)</t>
  </si>
  <si>
    <t>PAYPAL/7CRUNCWKMB6E</t>
  </si>
  <si>
    <t>Laptop hire for EKKA Client Function Event</t>
  </si>
  <si>
    <t>Coffee cart fee Darwin Show</t>
  </si>
  <si>
    <t>ROYAL AGRICULTURAL S</t>
  </si>
  <si>
    <t>Foil trays BBQ Darwin Show</t>
  </si>
  <si>
    <t>WINNELLIE SUPERMARKE</t>
  </si>
  <si>
    <t>Emerald 25 years</t>
  </si>
  <si>
    <t>20 year Atherton Branch function - gifts for clients tree tubestock</t>
  </si>
  <si>
    <t>YURUGA NURSERY</t>
  </si>
  <si>
    <t>RobertsonS-Domestic &amp; Overseas</t>
  </si>
  <si>
    <t>25 year celebrations - accom musician</t>
  </si>
  <si>
    <t>THE TRUSTEE FOR MAYFAI/074046001476</t>
  </si>
  <si>
    <t>RobertsonS-Entertainment Expen</t>
  </si>
  <si>
    <t>Event Hire</t>
  </si>
  <si>
    <t>Cutlery Plates wrap Emerald 25 years</t>
  </si>
  <si>
    <t>SandersWA-Costs own Car Fleet</t>
  </si>
  <si>
    <t>2660.40 Rabotruck Lotus Creek Event</t>
  </si>
  <si>
    <t>THE HOMESTEAD A LOTU</t>
  </si>
  <si>
    <t>TierneyA-Costs own Car Fleet</t>
  </si>
  <si>
    <t>Fuel Voucher - LambEx Emily Riggs</t>
  </si>
  <si>
    <t>CALTEX WATTLE GROVE</t>
  </si>
  <si>
    <t>LambEx - 70 x aprons - wash &amp; iron</t>
  </si>
  <si>
    <t>THE LAUNDRY LADY PTY L</t>
  </si>
  <si>
    <t>LambEx Registration Fee - Dan Laus</t>
  </si>
  <si>
    <t>LambEx Registration Fee - Michael McCrea</t>
  </si>
  <si>
    <t>Rabo branded shirts - WA - S Kelly, C Ryan &amp; J Northover</t>
  </si>
  <si>
    <t>MCDOWALL STREET TRAD</t>
  </si>
  <si>
    <t>Rabobank Branded Shirts for National Sponsorships</t>
  </si>
  <si>
    <t>Balance Payment - EKKA Event</t>
  </si>
  <si>
    <t>Royal Adelaide Show Admission Ticket</t>
  </si>
  <si>
    <t>FREWVILLE FOODLAND</t>
  </si>
  <si>
    <t>Meat Schlitz Family BBQ Rabo Research Young Farmers Event - Radcliffe Family</t>
  </si>
  <si>
    <t>SAITS FAMILY BUTCHER</t>
  </si>
  <si>
    <t>Salads Schlitz Family BBQ Rabo Research Young Farmers Event - Ash Marshall</t>
  </si>
  <si>
    <t>SMP*STEVES FISH AND FI</t>
  </si>
  <si>
    <t>Salads Schlitz Family BBQ Rabo Research Young Farmers Event - Boyd Family</t>
  </si>
  <si>
    <t>Salads Schlitz Family BBQ Rabo Research Young Farmers Event - Brodey Farley</t>
  </si>
  <si>
    <t>Salads Schlitz Family BBQ Rabo Research Young Farmers Event - Carl Chamberlain</t>
  </si>
  <si>
    <t>Salads Schlitz Family BBQ Rabo Research Young Farmers Event - Dale Baulch</t>
  </si>
  <si>
    <t>Salads Schlitz Family BBQ Rabo Research Young Farmers Event - Gregor Knight</t>
  </si>
  <si>
    <t>Salads Schlitz Family BBQ Rabo Research Young Farmers Event - Jarrod Elston</t>
  </si>
  <si>
    <t>Salads Schlitz Family BBQ Rabo Research Young Farmers Event - Peter Evans</t>
  </si>
  <si>
    <t>Salads Schlitz Family BBQ Rabo Research Young Farmers Event - Radcliffe Family</t>
  </si>
  <si>
    <t>Salads Schlitz Family BBQ Rabo Research Young Farmers Event - Robinson Family</t>
  </si>
  <si>
    <t>Salads Schlitz Family BBQ Rabo Research Young Farmers Event - Schlitz Family</t>
  </si>
  <si>
    <t>Salads Schlitz Family BBQ Rabo Research Young Farmers Event - Simon Schlitz</t>
  </si>
  <si>
    <t>Salads Schlitz Family BBQ Rabo Research Young Farmers Event - Tim Triplett</t>
  </si>
  <si>
    <t>Salads Schlitz Family BBQ Rabo Research Young Farmers Event - Vitor Pistoia</t>
  </si>
  <si>
    <t>WebbJ1-Entertainment Expense</t>
  </si>
  <si>
    <t>Client and prospect event Townsville PBR</t>
  </si>
  <si>
    <t>SQ *PBR AUSTRALIA</t>
  </si>
  <si>
    <t>WeissC-Default Licensee Mercha</t>
  </si>
  <si>
    <t>Beef Week Food Plus Water</t>
  </si>
  <si>
    <t>BIG W/8-20 MABEL STREET</t>
  </si>
  <si>
    <t>GRDC field day</t>
  </si>
  <si>
    <t>Seafood Directions Delegate Registration</t>
  </si>
  <si>
    <t>Deposit for Melbourne Dinner</t>
  </si>
  <si>
    <t>BOTANICAL HOTEL</t>
  </si>
  <si>
    <t>WeissC-Costs own Car Fleet</t>
  </si>
  <si>
    <t>Ice Beef Week Field Day</t>
  </si>
  <si>
    <t>AMPOL MAREEBA 11892F</t>
  </si>
  <si>
    <t>WeissC-Office Supplies</t>
  </si>
  <si>
    <t>Beef Week Soft Drink and Food</t>
  </si>
  <si>
    <t>00013146-AQUAL08</t>
  </si>
  <si>
    <t>Ag Quip marquee and furniture</t>
  </si>
  <si>
    <t>00013146</t>
  </si>
  <si>
    <t>CurtisL-Office Supplies</t>
  </si>
  <si>
    <t>consumables dowerin field days</t>
  </si>
  <si>
    <t>WOOLWORTHS/VICTORIA PARK</t>
  </si>
  <si>
    <t>MCAULAYG-Contributions &amp; Club</t>
  </si>
  <si>
    <t>Rural Press Ekka club</t>
  </si>
  <si>
    <t>Registration Cotton Conference Michael Fletcher</t>
  </si>
  <si>
    <t>00013173-AQUAL08</t>
  </si>
  <si>
    <t>Newdegate FDs marquee and furn</t>
  </si>
  <si>
    <t>00013173</t>
  </si>
  <si>
    <t>00013174-AQUAL08</t>
  </si>
  <si>
    <t>Dowerin FDs marquee and furnit</t>
  </si>
  <si>
    <t>00013174</t>
  </si>
  <si>
    <t>VISA AUG 2024</t>
  </si>
  <si>
    <t>1248-AEYEF00</t>
  </si>
  <si>
    <t>Bree's headshot</t>
  </si>
  <si>
    <t>1248</t>
  </si>
  <si>
    <t>INV-1695-AHART07</t>
  </si>
  <si>
    <t>Clare sponsorship 2024</t>
  </si>
  <si>
    <t>INV-1695</t>
  </si>
  <si>
    <t>HART FIELD-SITE GROUP INC</t>
  </si>
  <si>
    <t>00000259-AWEST74</t>
  </si>
  <si>
    <t>Dalby Branch S/ship of Western</t>
  </si>
  <si>
    <t>00000259</t>
  </si>
  <si>
    <t>WESTERN DOWNS SANTA GROUP</t>
  </si>
  <si>
    <t>00000260-AWEST74</t>
  </si>
  <si>
    <t>Twba Branch s/ship of Western</t>
  </si>
  <si>
    <t>00000260</t>
  </si>
  <si>
    <t>RABO-29/08/24-AOWEN00</t>
  </si>
  <si>
    <t>RABO-29/08/24</t>
  </si>
  <si>
    <t>OWEN AG BUREAU</t>
  </si>
  <si>
    <t>SEPWA Field Days</t>
  </si>
  <si>
    <t>SEPWA YIA Filed Day</t>
  </si>
  <si>
    <t>SEWPA Ladies Day</t>
  </si>
  <si>
    <t>TRYBOOKING*SEPWA/219391835546</t>
  </si>
  <si>
    <t>ECOBOY PTY LTD</t>
  </si>
  <si>
    <t>THE CHOPPIN BLOCK BUTC</t>
  </si>
  <si>
    <t>00013186-AQUAL08</t>
  </si>
  <si>
    <t>Beef, Sheepvention assets stor</t>
  </si>
  <si>
    <t>00013186</t>
  </si>
  <si>
    <t>Rugs truck</t>
  </si>
  <si>
    <t>truck rug cancel refund</t>
  </si>
  <si>
    <t>BriginshawZ-Buildings Repairs/</t>
  </si>
  <si>
    <t>Newdegate Field day supplies</t>
  </si>
  <si>
    <t>MELDRUMR-Costs own Car Fleet</t>
  </si>
  <si>
    <t>ice - field days</t>
  </si>
  <si>
    <t>AMPOL ESPERANCE 55409F</t>
  </si>
  <si>
    <t>INV0210-ASEDA01</t>
  </si>
  <si>
    <t>Cloncurry Branch S/ship of Sed</t>
  </si>
  <si>
    <t>INV0210</t>
  </si>
  <si>
    <t>HoepnerK-Company Car Parking</t>
  </si>
  <si>
    <t>Parking- Lambex</t>
  </si>
  <si>
    <t>ADELAIDE CONVENTION CENTR</t>
  </si>
  <si>
    <t>RenshawGC-Domestic &amp; Overseas</t>
  </si>
  <si>
    <t>Providing of cartons of drinks to  support Orroroo Farmers Wellbeing Golf day - Attended by AM  and</t>
  </si>
  <si>
    <t>SIMON &amp; MARY-LOUISE</t>
  </si>
  <si>
    <t>00013180-AHOCK</t>
  </si>
  <si>
    <t>Emerald &amp; Mackay Branches S/Sh</t>
  </si>
  <si>
    <t>00013180</t>
  </si>
  <si>
    <t>HOCH &amp; WILKINSON LIVESTOCK &amp; PROPERTY</t>
  </si>
  <si>
    <t>00066280-ALIGH03</t>
  </si>
  <si>
    <t>Warehousing Aug 2024</t>
  </si>
  <si>
    <t>00066280</t>
  </si>
  <si>
    <t>2095307-AKWIK03</t>
  </si>
  <si>
    <t>Angel Flight donation sign Cot</t>
  </si>
  <si>
    <t>2095307</t>
  </si>
  <si>
    <t>85-AMOLO00</t>
  </si>
  <si>
    <t>Roma Branch S/ship of Rangelan</t>
  </si>
  <si>
    <t>85</t>
  </si>
  <si>
    <t>THE MOLONEY FAMILY TRUST</t>
  </si>
  <si>
    <t>industry event</t>
  </si>
  <si>
    <t>ELSTONJ-Default Licensee Merch</t>
  </si>
  <si>
    <t>Inserts for Marketing A - Frames (Speed Field Days)</t>
  </si>
  <si>
    <t>ROSE IVORY PTY LTD</t>
  </si>
  <si>
    <t>Drinks for Schlitz / Speed marketing client events</t>
  </si>
  <si>
    <t>LIQUORLAND 3822</t>
  </si>
  <si>
    <t>Hire Digital Projector (Schlitz Marketing Event)</t>
  </si>
  <si>
    <t>ZLR*Swan Hill Party Hir</t>
  </si>
  <si>
    <t>Schlitz Client Marketing Event - Catering</t>
  </si>
  <si>
    <t>Schlitz Marketing Event - Catering</t>
  </si>
  <si>
    <t>ELSTONJ-Office Supplies</t>
  </si>
  <si>
    <t>SMP*Bakers Delight Swa</t>
  </si>
  <si>
    <t>Speed Field Days</t>
  </si>
  <si>
    <t>Speed Field Days  - Catering</t>
  </si>
  <si>
    <t>Colbo Hills event thank you gift bag</t>
  </si>
  <si>
    <t>Koch</t>
  </si>
  <si>
    <t>Hospitality - Rural women unite</t>
  </si>
  <si>
    <t>TOWERS JOCKEY CLUB I</t>
  </si>
  <si>
    <t>PaulgerA-Office Supplies</t>
  </si>
  <si>
    <t>Celebration Cake - 20 year anniversary function</t>
  </si>
  <si>
    <t>TINY DELIGHT CREATIONS</t>
  </si>
  <si>
    <t>Nuffield Conference Registration - Tom Cohen</t>
  </si>
  <si>
    <t>TRYBOOKING*NUFFIELD AUSTR/219394789813</t>
  </si>
  <si>
    <t>Nuffield Tour - Registration Fee - Tom Brown</t>
  </si>
  <si>
    <t>TRYBOOKING*NUFFIELD AUSTR/219394754130</t>
  </si>
  <si>
    <t>TierneyA-Rental - Office Equip</t>
  </si>
  <si>
    <t>Dubbo Sheep Show - Scissor Lift Hire</t>
  </si>
  <si>
    <t>KENNARDS HIRE HO NSW 2</t>
  </si>
  <si>
    <t>2024 Lambex Registration - Roger Matthews</t>
  </si>
  <si>
    <t>Henty RaboTruck supplies</t>
  </si>
  <si>
    <t>COLES 0704</t>
  </si>
  <si>
    <t>henty Truck supplies</t>
  </si>
  <si>
    <t>OFFICEWORKS 0238</t>
  </si>
  <si>
    <t>A Frame Dowerin Field Days</t>
  </si>
  <si>
    <t>WALL ART AUSTRALIA PTY</t>
  </si>
  <si>
    <t>Gidley-BairdD-Offshore Meals &amp;</t>
  </si>
  <si>
    <t>Client event - Spring Ridge Golf Day - one third split</t>
  </si>
  <si>
    <t>THE SPRING RIDGE COUNT</t>
  </si>
  <si>
    <t>Spring Ridge Golf Day sponsorship - one third</t>
  </si>
  <si>
    <t>JonesS2-Entertainment Expense</t>
  </si>
  <si>
    <t>DAN MURPHY'S/SUMMER STREE</t>
  </si>
  <si>
    <t>JonesS2-Office Supplies</t>
  </si>
  <si>
    <t>SUPA IGA SUMMER CNTR</t>
  </si>
  <si>
    <t>PARKVIEW HOTEL ORANGE</t>
  </si>
  <si>
    <t>MckellarE-Default Licensee Mer</t>
  </si>
  <si>
    <t>Marketing - Umbrella Base Stands</t>
  </si>
  <si>
    <t>BUNNINGS 589000</t>
  </si>
  <si>
    <t>Ram Show Set Up Costs</t>
  </si>
  <si>
    <t>BUNNINGS 699000</t>
  </si>
  <si>
    <t>WALTOCK PTY LTD</t>
  </si>
  <si>
    <t>Work trip to Brisbane Aginvest conference and adviser meetings</t>
  </si>
  <si>
    <t>Work trip to Gold Coast for Australian Cotton Conference and intermediary meetings</t>
  </si>
  <si>
    <t>Newdegate Field Day Cool Room</t>
  </si>
  <si>
    <t>RAIN Spring Field Day tickets</t>
  </si>
  <si>
    <t>TRYBOOKING*RAVENSTHORPE W/219407093423</t>
  </si>
  <si>
    <t>ASHEEP &amp; BEEF Spring Field Day</t>
  </si>
  <si>
    <t>ESMBA Ram Sale</t>
  </si>
  <si>
    <t>RAIN Spring Field Day</t>
  </si>
  <si>
    <t>GoodwinM1-Costs own Car Fleet</t>
  </si>
  <si>
    <t>Cleve Field Days - Ice</t>
  </si>
  <si>
    <t>CLEVE BIRDSEYE ROADHOU</t>
  </si>
  <si>
    <t>Cleve Field Days - Ice - Tuesday</t>
  </si>
  <si>
    <t>Cleve Running Festival Entry Fee $85</t>
  </si>
  <si>
    <t>APR*Sportitude/EsVQH0anNjlcFRzwT/EsVQH0anNjlcFRzwTh2S</t>
  </si>
  <si>
    <t>GoodwinM1-Domestic &amp; Overseas</t>
  </si>
  <si>
    <t>Cleve Field Days - Wednesday Arvo Drinks</t>
  </si>
  <si>
    <t>FOURTH ST. HOSPITALITY PL</t>
  </si>
  <si>
    <t>MF Baillie Group –  Yanta Ram Sale – Great Northern Hotel - Drinks - $64.99</t>
  </si>
  <si>
    <t>GREAT NTHN HOTEL</t>
  </si>
  <si>
    <t>Cleve Field Days - Ice &amp; Water</t>
  </si>
  <si>
    <t>CLEVE FOODLAND</t>
  </si>
  <si>
    <t>Cleve Field Days - Soft Drinks &amp; Water -</t>
  </si>
  <si>
    <t>Drakes $35.25 – Cleve Field Days – sun cream and cleaning</t>
  </si>
  <si>
    <t>DRAKES PORT LINCOLN</t>
  </si>
  <si>
    <t>Minnipa Ag Field Day - Supplies Coffee / Milk / Biscuits $87.50</t>
  </si>
  <si>
    <t>Running tops for Cleve running festival and City to Bay</t>
  </si>
  <si>
    <t>$24 Tumby Bay Hotel- Cleve Field Days dinner drinks 14.8.2024</t>
  </si>
  <si>
    <t>WHITE CROSS INVESTME</t>
  </si>
  <si>
    <t>Food and drink for carbon training</t>
  </si>
  <si>
    <t>GoodwinP-Entertainment Expense</t>
  </si>
  <si>
    <t>$25.38 Boston Bay Wines- Paella lunch at Cleve Field Days 14.8.2024</t>
  </si>
  <si>
    <t>CEL A DOR</t>
  </si>
  <si>
    <t>$12.00 Sassys cafe- Cleve Field Days breakfast 13.8.2024</t>
  </si>
  <si>
    <t>Sassys Cafe</t>
  </si>
  <si>
    <t>$14.00 Sassys cafe - Cleve Field Days, breakfast 14.8.2024</t>
  </si>
  <si>
    <t>COMMERCIAL HOTEL COW</t>
  </si>
  <si>
    <t>MoloneyP-Entertainment Expense</t>
  </si>
  <si>
    <t>Henty Field Days - 18/09 - Paige Moloney</t>
  </si>
  <si>
    <t>UnderwoodM-Entertainment Expen</t>
  </si>
  <si>
    <t>Henty Field 2024 day tickets 2 days</t>
  </si>
  <si>
    <t>023-ABELL00</t>
  </si>
  <si>
    <t>Sponsorship of Bellata Public</t>
  </si>
  <si>
    <t>023</t>
  </si>
  <si>
    <t>BELLATA PUBLIC SCHOOL PARENTS AND</t>
  </si>
  <si>
    <t>2096497-AKWIK03</t>
  </si>
  <si>
    <t>Dubbo Merino Show donation sig</t>
  </si>
  <si>
    <t>2096497</t>
  </si>
  <si>
    <t>2096928-AKWIK03</t>
  </si>
  <si>
    <t>Atherton 20 yesr event save th</t>
  </si>
  <si>
    <t>2096928</t>
  </si>
  <si>
    <t>33612-APROD00</t>
  </si>
  <si>
    <t>Tamworth ground flags</t>
  </si>
  <si>
    <t>33612</t>
  </si>
  <si>
    <t>6879624B-AHANS00</t>
  </si>
  <si>
    <t>Catalogue Paxton Stud</t>
  </si>
  <si>
    <t>6879624B</t>
  </si>
  <si>
    <t>HANSEN DESIGN AND PRINT</t>
  </si>
  <si>
    <t>92024-ABRET05</t>
  </si>
  <si>
    <t>Ram Sale Sponsorship</t>
  </si>
  <si>
    <t>92024</t>
  </si>
  <si>
    <t>BRETTON ESTATE PTY LTD ATF KARONG TRUST</t>
  </si>
  <si>
    <t>B33985-ACOLI04</t>
  </si>
  <si>
    <t>Sponsorship of CSC Working Sto</t>
  </si>
  <si>
    <t>B33985</t>
  </si>
  <si>
    <t>COLIN SAY AND CO PTY LTD</t>
  </si>
  <si>
    <t>INV-0065-AURUN00</t>
  </si>
  <si>
    <t>Sponsorship of Harvest Lunch</t>
  </si>
  <si>
    <t>INV-0065</t>
  </si>
  <si>
    <t>URUNGIE PARTNERSHIP</t>
  </si>
  <si>
    <t>INV-0636-AEBOR00</t>
  </si>
  <si>
    <t>Sponsorship for Ebor Beef</t>
  </si>
  <si>
    <t>INV-0636</t>
  </si>
  <si>
    <t>EBOR BEEF INCORPORATED</t>
  </si>
  <si>
    <t>INV-202852-ADORR01</t>
  </si>
  <si>
    <t>Sponsorship of 2024 Dorrigo Sh</t>
  </si>
  <si>
    <t>INV-202852</t>
  </si>
  <si>
    <t>DORRIGO AND GUY FAWKES AGRICULTURAL ASS</t>
  </si>
  <si>
    <t>IV00000000335-ATABL07</t>
  </si>
  <si>
    <t>Sponsorship of Tablelands Farm</t>
  </si>
  <si>
    <t>IV00000000335</t>
  </si>
  <si>
    <t>TABLELANDS FARMING SYSTEMS INC</t>
  </si>
  <si>
    <t>RABO-15/09/24-ACHIL00</t>
  </si>
  <si>
    <t>Sponsoring of Childrens Medica</t>
  </si>
  <si>
    <t>RABO-15/09/24</t>
  </si>
  <si>
    <t>CHILDREN'S MEDICAL RESEARCH INSTITUTE</t>
  </si>
  <si>
    <t>Dubbo Ram Show - Water and Milk for Truck</t>
  </si>
  <si>
    <t>COLES 0788</t>
  </si>
  <si>
    <t>SinghSS-Entertainment Expense</t>
  </si>
  <si>
    <t>Henty Machinery Field Day Tickets x 3</t>
  </si>
  <si>
    <t>24023-AMUTT00</t>
  </si>
  <si>
    <t>Longreach Branch S/Ship of Mut</t>
  </si>
  <si>
    <t>MUTTABURRA CAMPDRAFT ASSOC</t>
  </si>
  <si>
    <t>240531-ATURN01</t>
  </si>
  <si>
    <t>Trucker Hats Innovation Genera</t>
  </si>
  <si>
    <t>240531</t>
  </si>
  <si>
    <t>65-AANGU01</t>
  </si>
  <si>
    <t>World Angus Forum 8 x tickets</t>
  </si>
  <si>
    <t>65</t>
  </si>
  <si>
    <t>THE ANGUS SOCIETY OF AUSTRALIA</t>
  </si>
  <si>
    <t>69-AANGU01</t>
  </si>
  <si>
    <t>World Angus Forum - 1 x Ticket</t>
  </si>
  <si>
    <t>69</t>
  </si>
  <si>
    <t>8-AHUGH01</t>
  </si>
  <si>
    <t>Hall hire for Hughenden Carbon</t>
  </si>
  <si>
    <t>8</t>
  </si>
  <si>
    <t>HUGHENDEN BOWLS CLUB INCORPORATED</t>
  </si>
  <si>
    <t>Almond Conf - Adelaide - Fee to attend</t>
  </si>
  <si>
    <t>240821-ATURN01</t>
  </si>
  <si>
    <t>Rabo oil skin picnic rug</t>
  </si>
  <si>
    <t>240821</t>
  </si>
  <si>
    <t>INV-027792-ACENT02</t>
  </si>
  <si>
    <t>INV-027792</t>
  </si>
  <si>
    <t>INV-1202-AROCK39</t>
  </si>
  <si>
    <t>Atherton Branch S/Ship of Carc</t>
  </si>
  <si>
    <t>INV-1202</t>
  </si>
  <si>
    <t>ROCKY CREEK ABATTOIR PTY LTD</t>
  </si>
  <si>
    <t>AU030312</t>
  </si>
  <si>
    <t>BCG Field Day</t>
  </si>
  <si>
    <t>BIRCHIPCROPPINGGROUP</t>
  </si>
  <si>
    <t>GRDC Sea Lake event</t>
  </si>
  <si>
    <t>HodgeM-Entertainment Expense</t>
  </si>
  <si>
    <t>Henty Field Days</t>
  </si>
  <si>
    <t>#00169-ABLAC06</t>
  </si>
  <si>
    <t>Sponsorship of Blackville Arts</t>
  </si>
  <si>
    <t>#00169</t>
  </si>
  <si>
    <t>BLACKVILLE COMMUNITY ART SHOW</t>
  </si>
  <si>
    <t>00169-ABLAC06</t>
  </si>
  <si>
    <t>00169</t>
  </si>
  <si>
    <t>2095805-AKWIK03</t>
  </si>
  <si>
    <t>Ag Quip Rabofacts cubes</t>
  </si>
  <si>
    <t>2095805</t>
  </si>
  <si>
    <t>2096290-AKWIK03</t>
  </si>
  <si>
    <t>Ag Quip triangle pillar for ta</t>
  </si>
  <si>
    <t>2096290</t>
  </si>
  <si>
    <t>2097291-AKWIK03</t>
  </si>
  <si>
    <t>Moree postcard</t>
  </si>
  <si>
    <t>2097291</t>
  </si>
  <si>
    <t>2287-AOUTL02</t>
  </si>
  <si>
    <t>Sponsorship of Outlook Ag Wint</t>
  </si>
  <si>
    <t>2287</t>
  </si>
  <si>
    <t>OUTLOOK AG PTY LTD</t>
  </si>
  <si>
    <t>CollaM-Offshore Meals &amp; Lodgin</t>
  </si>
  <si>
    <t>Dairy Dinner with Michael Harvey</t>
  </si>
  <si>
    <t>THE WARRNAMBOOL HOTEL/221819009710</t>
  </si>
  <si>
    <t>SEPWA GP</t>
  </si>
  <si>
    <t>PaulgerA-Default Licensee Merc</t>
  </si>
  <si>
    <t>Table Decoration - EOY Function Atherton</t>
  </si>
  <si>
    <t>LINCRAFT SMITHFIELD</t>
  </si>
  <si>
    <t>Table Decorations - EOY Function Atherton</t>
  </si>
  <si>
    <t>KMART 1383</t>
  </si>
  <si>
    <t>Texta for NameTags</t>
  </si>
  <si>
    <t>Horsham Newsagency</t>
  </si>
  <si>
    <t>Cookies for Horhsam 20 Year Celebration</t>
  </si>
  <si>
    <t>SQ *ARTISAN DELIGHTS</t>
  </si>
  <si>
    <t>NameTags Horsham 21 Year Event</t>
  </si>
  <si>
    <t>AU030421</t>
  </si>
  <si>
    <t>Industry Breakfast Attendance - Matilda Tolcher</t>
  </si>
  <si>
    <t>OZT*INDUSTRY BREAKFAST</t>
  </si>
  <si>
    <t>6900924B-AHANS00</t>
  </si>
  <si>
    <t>Paxton Stud catalogue</t>
  </si>
  <si>
    <t>6900924B</t>
  </si>
  <si>
    <t>1013491895-APOST07</t>
  </si>
  <si>
    <t>Auspost Sep 24</t>
  </si>
  <si>
    <t>1013491895</t>
  </si>
  <si>
    <t>INV-0231-AIRRI00</t>
  </si>
  <si>
    <t>Sponsorship of IREC 80th Annuv</t>
  </si>
  <si>
    <t>INV-0231</t>
  </si>
  <si>
    <t>IRRIGATION RESEARCH AND EXTENSION CTE</t>
  </si>
  <si>
    <t>Tickets- sponsored event, Hart Field Day. Denise</t>
  </si>
  <si>
    <t>TICKETEBO PTY LTD</t>
  </si>
  <si>
    <t>Tickets- sponsored event, Hart Field Day. Kimberley</t>
  </si>
  <si>
    <t>Tickets- sponsored event, Hart Field Day. Lucy and Jackie</t>
  </si>
  <si>
    <t>NorthcottM-Entertainment Expen</t>
  </si>
  <si>
    <t>Tickets for Hart Field day</t>
  </si>
  <si>
    <t>Venue hire and morning tea - Rumanti workshop Wallaroo</t>
  </si>
  <si>
    <t>COOPERS ALEHOUSE WALLA/125104008109</t>
  </si>
  <si>
    <t>00013179-AQUAL08</t>
  </si>
  <si>
    <t>Henty flag and picket fence</t>
  </si>
  <si>
    <t>00013179</t>
  </si>
  <si>
    <t>00013201-AQUAL08</t>
  </si>
  <si>
    <t>Elmore FDs picket fence, flagp</t>
  </si>
  <si>
    <t>00013201</t>
  </si>
  <si>
    <t>00013204-AQUAL08</t>
  </si>
  <si>
    <t>Marquee and furniture Speed (M</t>
  </si>
  <si>
    <t>00013204</t>
  </si>
  <si>
    <t>14-AEBOR03</t>
  </si>
  <si>
    <t>Sponsoring of 2024 Rabobank &amp;</t>
  </si>
  <si>
    <t>EBOR RODEO AND SPORTS INC</t>
  </si>
  <si>
    <t>2096665-AKWIK03</t>
  </si>
  <si>
    <t>Welcome Letters June and July</t>
  </si>
  <si>
    <t>2096665</t>
  </si>
  <si>
    <t>2096990-AKWIK03</t>
  </si>
  <si>
    <t>Henty schedule A frame sign</t>
  </si>
  <si>
    <t>2096990</t>
  </si>
  <si>
    <t>2097236-AKWIK03</t>
  </si>
  <si>
    <t>Elmore FDs Donation sign</t>
  </si>
  <si>
    <t>2097236</t>
  </si>
  <si>
    <t>RABO-30/09/24-AROTA15</t>
  </si>
  <si>
    <t>Golf Day Sponsorship</t>
  </si>
  <si>
    <t>RABO-30/09/24</t>
  </si>
  <si>
    <t>ROTARY CLUB OF KOO WEE RUP LANG LANG INC</t>
  </si>
  <si>
    <t>Nuffield Registration Fee - D Pern</t>
  </si>
  <si>
    <t>TRYBOOKING*NUFFIELD AUSTR/219395145234</t>
  </si>
  <si>
    <t>INV-2674-AKSSW00</t>
  </si>
  <si>
    <t>Catering &amp; Equipment Hire for</t>
  </si>
  <si>
    <t>INV-2674</t>
  </si>
  <si>
    <t>KS AND S WHITE TA RELISH CATERING AT</t>
  </si>
  <si>
    <t>00013150-AQUAL08</t>
  </si>
  <si>
    <t>Sth Gippsland free standing wa</t>
  </si>
  <si>
    <t>00013150</t>
  </si>
  <si>
    <t>1493-ARANK02</t>
  </si>
  <si>
    <t>Catering for Rabotruck event</t>
  </si>
  <si>
    <t>1493</t>
  </si>
  <si>
    <t>RANKINS CATERING</t>
  </si>
  <si>
    <t>Sponsorship - Forbes Tennis Club</t>
  </si>
  <si>
    <t>TilleyM-Offshore Meals &amp; Lodgi</t>
  </si>
  <si>
    <t>Raboresearch Event - Parkes</t>
  </si>
  <si>
    <t>The RH Parkes</t>
  </si>
  <si>
    <t>1051489-AANGU01</t>
  </si>
  <si>
    <t>World Angus Forum 2025 Sponsor</t>
  </si>
  <si>
    <t>1051489</t>
  </si>
  <si>
    <t>2018-AGLEN12</t>
  </si>
  <si>
    <t>Sponsoring of Glen Elgin 53rd</t>
  </si>
  <si>
    <t>2018</t>
  </si>
  <si>
    <t>GLEN ELGIN FEDERATION SPORTS</t>
  </si>
  <si>
    <t>587-AGIPP02</t>
  </si>
  <si>
    <t>Gippsland Ag Group</t>
  </si>
  <si>
    <t>587</t>
  </si>
  <si>
    <t>GIPPSLAND AGRICULTURAL GROUP INC</t>
  </si>
  <si>
    <t>Henty Ticket Deb Bellamy</t>
  </si>
  <si>
    <t>GrahamMJ-Contributions &amp; Club</t>
  </si>
  <si>
    <t>Lockhart Races Entry Tickets x3</t>
  </si>
  <si>
    <t>LOCKHART PICNIC RACE</t>
  </si>
  <si>
    <t>Rotary Golf Day Narrandera</t>
  </si>
  <si>
    <t>SWS Merino Field Day Hay Bales</t>
  </si>
  <si>
    <t>THOMPSONS RURAL SUPP</t>
  </si>
  <si>
    <t>Caldwells Sale Beer</t>
  </si>
  <si>
    <t>DAN MURPHYS ONLINE</t>
  </si>
  <si>
    <t>Lockhart and Wagga office drinks</t>
  </si>
  <si>
    <t>DAN MURPHY'S/FLINDERS STR</t>
  </si>
  <si>
    <t>Lockhart drinks</t>
  </si>
  <si>
    <t>Narrandera Golf Club</t>
  </si>
  <si>
    <t>Catering Lockhart</t>
  </si>
  <si>
    <t>KNIGHTS MEATS WHOLES</t>
  </si>
  <si>
    <t>SWS Merino Field Days and Wagga Planning Day Supplies</t>
  </si>
  <si>
    <t>WOOLWORTHS/BAYLISS ST</t>
  </si>
  <si>
    <t>TarcaN-Offshore Meals &amp; Lodgin</t>
  </si>
  <si>
    <t>Seafood Event Cost</t>
  </si>
  <si>
    <t>SQ *PORT MACDONNELL GOLF</t>
  </si>
  <si>
    <t>MELDRUMR-Default Licensee Merc</t>
  </si>
  <si>
    <t>GP SEPWA field day</t>
  </si>
  <si>
    <t>GrahamMJ-Costs own Car Fleet</t>
  </si>
  <si>
    <t>Henty Field Days ice x4 bags for Rabo Truck on site</t>
  </si>
  <si>
    <t>GrahamMJ-Entertainment Expense</t>
  </si>
  <si>
    <t>Henty Field Days staff ticket Rabo Truck onsite</t>
  </si>
  <si>
    <t>Henty Field Days tickets for four staff Rabo Truck onsite</t>
  </si>
  <si>
    <t>JINNAKAE-Costs own Car Fleet</t>
  </si>
  <si>
    <t>Ice Elmore Field Days</t>
  </si>
  <si>
    <t>APCO STRATHDALE</t>
  </si>
  <si>
    <t>Beers Elmore Field Days</t>
  </si>
  <si>
    <t>BWS LIQUOR/116-120 MITCHE</t>
  </si>
  <si>
    <t>Coffee beans milk chips Elmore Field Days</t>
  </si>
  <si>
    <t>WOOLWORTHS/116-120 MITCHE</t>
  </si>
  <si>
    <t>Coke water milk Elmore Field Days</t>
  </si>
  <si>
    <t>Milk Elmore FDs</t>
  </si>
  <si>
    <t>RenyardL1-Entertainment Expens</t>
  </si>
  <si>
    <t>Elmore Ticket - Laura Renyard</t>
  </si>
  <si>
    <t>Elmore Ticket - Megan McDonald</t>
  </si>
  <si>
    <t>Adelaide show refund</t>
  </si>
  <si>
    <t>Elmore FDs entry Pass Eri Jinnaka</t>
  </si>
  <si>
    <t>Elmore FDs entry Pass Truck crews (2)</t>
  </si>
  <si>
    <t>RaboTruck Supplies - Colbo + Elmore</t>
  </si>
  <si>
    <t>THE REJECT SHOP 3396</t>
  </si>
  <si>
    <t>Coke &amp; Beers</t>
  </si>
  <si>
    <t>Coffee Beans, Milk, Lemonade &amp; Water</t>
  </si>
  <si>
    <t>ConwayT-Costs own Car Fleet</t>
  </si>
  <si>
    <t>6x Bags of Ice - Twin Hills races</t>
  </si>
  <si>
    <t>Twin Hills alcohol Order</t>
  </si>
  <si>
    <t>BWS/51-57 HOSPITAL RD</t>
  </si>
  <si>
    <t>ConwayT-Offshore Meals &amp; Lodgi</t>
  </si>
  <si>
    <t>R U OK Day Lunch - Longreach</t>
  </si>
  <si>
    <t>SQ *KYNDA CAFE &amp; BOUTIQUE</t>
  </si>
  <si>
    <t>MckenzieT-Entertainment Expens</t>
  </si>
  <si>
    <t>Henty ticket</t>
  </si>
  <si>
    <t>00013212-AQUAL08</t>
  </si>
  <si>
    <t>Storage</t>
  </si>
  <si>
    <t>00013212</t>
  </si>
  <si>
    <t>00066436-ALIGH03</t>
  </si>
  <si>
    <t>Storage Sep</t>
  </si>
  <si>
    <t>00066436</t>
  </si>
  <si>
    <t>08/2024-AAUST108</t>
  </si>
  <si>
    <t>ACAJ Star Prize Award</t>
  </si>
  <si>
    <t>08/2024</t>
  </si>
  <si>
    <t>2097670-AKWIK03</t>
  </si>
  <si>
    <t>Tags Atherton 20 years thank y</t>
  </si>
  <si>
    <t>2097670</t>
  </si>
  <si>
    <t>2097789-AKWIK03</t>
  </si>
  <si>
    <t>Postcard Julia Creek</t>
  </si>
  <si>
    <t>2097789</t>
  </si>
  <si>
    <t>2097913-AKWIK03</t>
  </si>
  <si>
    <t>Postcard Greenvale</t>
  </si>
  <si>
    <t>2097913</t>
  </si>
  <si>
    <t>232-AAJWA00</t>
  </si>
  <si>
    <t>A J W &amp; A G Bouffler Family Tr</t>
  </si>
  <si>
    <t>232</t>
  </si>
  <si>
    <t>A J W AND A G BOUFFLER FAMILY TRUST</t>
  </si>
  <si>
    <t>2460-AHOFF00</t>
  </si>
  <si>
    <t>Sponsoring of Hoffman Beef Con</t>
  </si>
  <si>
    <t>2460</t>
  </si>
  <si>
    <t>HOFFMAN BEEF CONSULTING PTY LTD</t>
  </si>
  <si>
    <t>2594-ATURN01</t>
  </si>
  <si>
    <t>Promo Items - NQNT Branches</t>
  </si>
  <si>
    <t>2594</t>
  </si>
  <si>
    <t>2646-ATURN01</t>
  </si>
  <si>
    <t>Enamel Mug _ Atherton</t>
  </si>
  <si>
    <t>2646</t>
  </si>
  <si>
    <t>440-ASPEC00</t>
  </si>
  <si>
    <t>Catering Horsham 21 Year Celeb</t>
  </si>
  <si>
    <t>440</t>
  </si>
  <si>
    <t>THE SPECKLED DUCK</t>
  </si>
  <si>
    <t>INV-0027-ANIND01</t>
  </si>
  <si>
    <t>INV-0027</t>
  </si>
  <si>
    <t>NINDIGULLY SPORTS COMMUNITY INC</t>
  </si>
  <si>
    <t>INV-21738-ASOUP01</t>
  </si>
  <si>
    <t>Stubby holder</t>
  </si>
  <si>
    <t>INV-21738</t>
  </si>
  <si>
    <t>INV-4990/69-ASOLU01</t>
  </si>
  <si>
    <t>40ft - replace parts and light</t>
  </si>
  <si>
    <t>INV-4990/69</t>
  </si>
  <si>
    <t>Generator Diesel (Beaudesrt Ca</t>
  </si>
  <si>
    <t>INV-4990/70-ASOLU01</t>
  </si>
  <si>
    <t>RaboTruck Coffee machine repai</t>
  </si>
  <si>
    <t>INV-4990/70</t>
  </si>
  <si>
    <t>Truck Generator Diesel (Colbin</t>
  </si>
  <si>
    <t>Truck Generator Diesel (Lotus</t>
  </si>
  <si>
    <t>INV-4990/75-ASOLU01</t>
  </si>
  <si>
    <t>RaboTruck out of 3events per r</t>
  </si>
  <si>
    <t>INV-4990/75</t>
  </si>
  <si>
    <t>2098244-AKWIK03</t>
  </si>
  <si>
    <t>Thank you Dinner Tags - F2F Di</t>
  </si>
  <si>
    <t>2098244</t>
  </si>
  <si>
    <t>CraneB-Offshore Meals &amp; Lodgin</t>
  </si>
  <si>
    <t>PASE</t>
  </si>
  <si>
    <t>SQ *LUCKY BAY BREWING</t>
  </si>
  <si>
    <t>GroganC-Default Licensee Merch</t>
  </si>
  <si>
    <t>BowenGumlu Growers Assn - Expo</t>
  </si>
  <si>
    <t>MYO*BOWEN GUMLU GROWER/219439845459</t>
  </si>
  <si>
    <t>SinghSS-Offshore Meals &amp; Lodgi</t>
  </si>
  <si>
    <t>Beechworth Honey for client gifts</t>
  </si>
  <si>
    <t>2097914-AKWIK03</t>
  </si>
  <si>
    <t>Postcard Bendigo team</t>
  </si>
  <si>
    <t>2097914</t>
  </si>
  <si>
    <t>2097919-AKWIK03</t>
  </si>
  <si>
    <t>CSG touchpoint poster for Sydn</t>
  </si>
  <si>
    <t>2097919</t>
  </si>
  <si>
    <t>300252-ACLON10</t>
  </si>
  <si>
    <t>Cloncurry Branch Bronze S/Ship</t>
  </si>
  <si>
    <t>300252</t>
  </si>
  <si>
    <t>CLONCURRY &amp; DISTRICT RACE CLUB</t>
  </si>
  <si>
    <t>INV-10877-ANUFF00</t>
  </si>
  <si>
    <t>Daker Pern - Nuffield Registra</t>
  </si>
  <si>
    <t>INV-10877</t>
  </si>
  <si>
    <t>INV-4990/71-ASOLU01</t>
  </si>
  <si>
    <t>Truck event activation Colbo H</t>
  </si>
  <si>
    <t>INV-4990/71</t>
  </si>
  <si>
    <t>Truck event Goulburn &amp; Sarah W</t>
  </si>
  <si>
    <t>Truck event SE Field days</t>
  </si>
  <si>
    <t>1008-AAAAJ00</t>
  </si>
  <si>
    <t>Catering for Elmore Field Days</t>
  </si>
  <si>
    <t>1008</t>
  </si>
  <si>
    <t>AA&amp;AJ PTY LTD TRADING AS CAFE ROUBAIX</t>
  </si>
  <si>
    <t>2098700-AKWIK03</t>
  </si>
  <si>
    <t>Postcards Warragul</t>
  </si>
  <si>
    <t>2098700</t>
  </si>
  <si>
    <t>2098701-AKWIK03</t>
  </si>
  <si>
    <t>Postcards Leongatha</t>
  </si>
  <si>
    <t>2098701</t>
  </si>
  <si>
    <t>INV-0342-AJOSE00</t>
  </si>
  <si>
    <t>Deposit for Bar Staff for More</t>
  </si>
  <si>
    <t>INV-0342</t>
  </si>
  <si>
    <t>JOSEPHINE'S DRINKS</t>
  </si>
  <si>
    <t>Carbon Workshop Lunch (2 x staff, 2 x clients)</t>
  </si>
  <si>
    <t>ROSIES CAFE</t>
  </si>
  <si>
    <t>2098258-AKWIK03</t>
  </si>
  <si>
    <t>AU2040Welcome gifts printing A</t>
  </si>
  <si>
    <t>2098258</t>
  </si>
  <si>
    <t>2098390-AKWIK03</t>
  </si>
  <si>
    <t>Welcome gifts printing Septemb</t>
  </si>
  <si>
    <t>2098390</t>
  </si>
  <si>
    <t>INV-41-ACOUR00</t>
  </si>
  <si>
    <t>AUSVEG editorial</t>
  </si>
  <si>
    <t>INV-41</t>
  </si>
  <si>
    <t>COURTYARD ON GIBRALTAR PTY LTD</t>
  </si>
  <si>
    <t>1013552726-APOST07</t>
  </si>
  <si>
    <t>Auspost Oct 24</t>
  </si>
  <si>
    <t>1013552726</t>
  </si>
  <si>
    <t>240701-ATURN01</t>
  </si>
  <si>
    <t>Pink hats various national spo</t>
  </si>
  <si>
    <t>240701</t>
  </si>
  <si>
    <t>2407311-ATURN01</t>
  </si>
  <si>
    <t>Welcome Gift JUne Post and Bra</t>
  </si>
  <si>
    <t>2407311</t>
  </si>
  <si>
    <t>2677-ATURN01</t>
  </si>
  <si>
    <t>Rabo Branded Lanyards</t>
  </si>
  <si>
    <t>2677</t>
  </si>
  <si>
    <t>INV-0059-ACLAR29</t>
  </si>
  <si>
    <t>Sponsoring of Clarence Canegro</t>
  </si>
  <si>
    <t>INV-0059</t>
  </si>
  <si>
    <t>CLARENCE CANE GROWERS ASSOCIATION INC</t>
  </si>
  <si>
    <t>HemphillK-Offshore Meals &amp; Lod</t>
  </si>
  <si>
    <t>Client Lunch Event Dookie RMF Update - Bob Knowles</t>
  </si>
  <si>
    <t>GLADSTONE HOTEL</t>
  </si>
  <si>
    <t>Client Lunch Event Dookie RMF Update - Craig Reynolds</t>
  </si>
  <si>
    <t>Client Lunch Event Dookie RMF Update - Craig Whinray</t>
  </si>
  <si>
    <t>Client Lunch Event Dookie RMF Update - David Geddes - Luke Felmingham</t>
  </si>
  <si>
    <t>Client Lunch Event Dookie RMF Update - Glenn Beattie</t>
  </si>
  <si>
    <t>Client Lunch Event Dookie RMF Update - Helen Reynolds</t>
  </si>
  <si>
    <t>Client Lunch Event Dookie RMF Update - James Armstrong</t>
  </si>
  <si>
    <t>Client Lunch Event Dookie RMF Update - Luke Felmingham</t>
  </si>
  <si>
    <t>Client Lunch Event Dookie RMF Update - Luke Harmer</t>
  </si>
  <si>
    <t>Client Lunch Event Dookie RMF Update - Murray Armstrong</t>
  </si>
  <si>
    <t>Client Lunch Event Dookie RMF Update - Nick Geddes</t>
  </si>
  <si>
    <t>Client Lunch Event Dookie RMF Update - Rhys O'Sullivan - Rhys  O'Sullivan</t>
  </si>
  <si>
    <t>Client Lunch Event Dookie RMF Update - Trav Beattie</t>
  </si>
  <si>
    <t>Leongatha logo vinyl signage 1x3m</t>
  </si>
  <si>
    <t>Leongatha logo vinyl signage freight</t>
  </si>
  <si>
    <t>43-ABINN00</t>
  </si>
  <si>
    <t>2024 Harvest Festival Sponsors</t>
  </si>
  <si>
    <t>43</t>
  </si>
  <si>
    <t>BINNU TENNIS CLUB INC</t>
  </si>
  <si>
    <t>00013249-AQUAL08</t>
  </si>
  <si>
    <t>00013249</t>
  </si>
  <si>
    <t>13406-AMACK23</t>
  </si>
  <si>
    <t>Sponsorship - Women In Sugar C</t>
  </si>
  <si>
    <t>13406</t>
  </si>
  <si>
    <t>MACKAY CANEGROWERS LIMITED</t>
  </si>
  <si>
    <t>151124-AHOLB02</t>
  </si>
  <si>
    <t>Donation to Holbrook Public Sc</t>
  </si>
  <si>
    <t>151124</t>
  </si>
  <si>
    <t>HOLBROOK PUBLIC SCHOOL PARENTS AND</t>
  </si>
  <si>
    <t>2406301-ATURN01</t>
  </si>
  <si>
    <t>June Welcome letters and Gift</t>
  </si>
  <si>
    <t>2406301</t>
  </si>
  <si>
    <t>33564-APROD00</t>
  </si>
  <si>
    <t>Logo flag Atherton</t>
  </si>
  <si>
    <t>33564</t>
  </si>
  <si>
    <t>33565-APROD00</t>
  </si>
  <si>
    <t>Logo flag Leongatha</t>
  </si>
  <si>
    <t>33565</t>
  </si>
  <si>
    <t>35-AAUST23</t>
  </si>
  <si>
    <t>ADC2025 Rabo registration</t>
  </si>
  <si>
    <t>35</t>
  </si>
  <si>
    <t>INV-0176-AGWYD01</t>
  </si>
  <si>
    <t>Sponsoring of Gwydir Valley Co</t>
  </si>
  <si>
    <t>INV-0176</t>
  </si>
  <si>
    <t>GWYDIR VALLEY COTTON GROWERS ASSOC</t>
  </si>
  <si>
    <t>INV-0230-AAUST23</t>
  </si>
  <si>
    <t>Australian Dairy Conference 20</t>
  </si>
  <si>
    <t>INV-0230</t>
  </si>
  <si>
    <t>INV-194794-AMCDO01</t>
  </si>
  <si>
    <t>Rabo Orange Shirt - originally</t>
  </si>
  <si>
    <t>INV-194794</t>
  </si>
  <si>
    <t>MCDOWALL STREET TRADERS PTY LTD</t>
  </si>
  <si>
    <t>INV-4990/72-ASOLU01</t>
  </si>
  <si>
    <t>RaboTruck Prime Mover Lease Q4</t>
  </si>
  <si>
    <t>INV-4990/72</t>
  </si>
  <si>
    <t>INV-4990/73-ASOLU01</t>
  </si>
  <si>
    <t>RaboTruck Project Manager Q4</t>
  </si>
  <si>
    <t>INV-4990/73</t>
  </si>
  <si>
    <t>INV-4990/74-ASOLU01</t>
  </si>
  <si>
    <t>RaboTruck Driver Q4</t>
  </si>
  <si>
    <t>INV-4990/74</t>
  </si>
  <si>
    <t>20240040-AMELT02</t>
  </si>
  <si>
    <t>Sponsorship for Poll Dorset Ra</t>
  </si>
  <si>
    <t>20240040</t>
  </si>
  <si>
    <t>MELTON VALE PASTORAL PTY LTD</t>
  </si>
  <si>
    <t>4188-ASCOT20</t>
  </si>
  <si>
    <t>TCE Prize Donation - Scotch Oa</t>
  </si>
  <si>
    <t>4188</t>
  </si>
  <si>
    <t>SCOTCH OAKBURN COLLEGE INC</t>
  </si>
  <si>
    <t>EVANSP-Entertainment Expense</t>
  </si>
  <si>
    <t>Tickets for the Elmore Field Days (rabotruck)</t>
  </si>
  <si>
    <t>fennellLJ-Entertainment Expens</t>
  </si>
  <si>
    <t>Wine order/gifts - RaboTruck Colbinabbin Event</t>
  </si>
  <si>
    <t>D G Rathjen and E J R</t>
  </si>
  <si>
    <t>Meat Voucher for Calivil Football &amp; Netball Club</t>
  </si>
  <si>
    <t>THE ERINDALE FARM BU</t>
  </si>
  <si>
    <t>Agracom Golf Day</t>
  </si>
  <si>
    <t>AGRACOM PTY LIMITED</t>
  </si>
  <si>
    <t>MASINRS-Entertainment Expense</t>
  </si>
  <si>
    <t>Service providers presentation with Ben Picton</t>
  </si>
  <si>
    <t>DAN MURPHY'S/114 CUNNINGH</t>
  </si>
  <si>
    <t>SIMSHAUSERM-Entertainment Expe</t>
  </si>
  <si>
    <t>1 ticket for Orange Field Days</t>
  </si>
  <si>
    <t>123TIX*AUSTRALIAN NATI</t>
  </si>
  <si>
    <t>TilleyM-Entertainment Expense</t>
  </si>
  <si>
    <t>Orr family ram sale - Bob Orr</t>
  </si>
  <si>
    <t>BWS LIQUOR/CLARINDA ST</t>
  </si>
  <si>
    <t>Orr family ram sale - Spike Orr</t>
  </si>
  <si>
    <t>Orr family ram sale - Tim Orr</t>
  </si>
  <si>
    <t>Burcher Crop Comp</t>
  </si>
  <si>
    <t>PAUL J FOSTER  AND SUS</t>
  </si>
  <si>
    <t>Micro sim card reader for new video camera</t>
  </si>
  <si>
    <t>JB HI FI SYDNEY CITY</t>
  </si>
  <si>
    <t>Photo usage for the Weekly Times adverttorial</t>
  </si>
  <si>
    <t>NEWSPIX</t>
  </si>
  <si>
    <t>C &amp; A cable for video camera</t>
  </si>
  <si>
    <t>Presenting ACAJ Award winner at RPC lunch</t>
  </si>
  <si>
    <t>Photography for Grazier Client Ali Hunter</t>
  </si>
  <si>
    <t>Red Rock Macadamia Snapfish photo book</t>
  </si>
  <si>
    <t>53-ATHEC05</t>
  </si>
  <si>
    <t>Catering (biscuits) for the El</t>
  </si>
  <si>
    <t>53</t>
  </si>
  <si>
    <t>THE COUNTRY WOMENS ASSOCIATION OF VIC</t>
  </si>
  <si>
    <t>Wangary Crop Walk - Coles $30.75 - Soft Drink</t>
  </si>
  <si>
    <t>EB *Alpha ICPA Cricket</t>
  </si>
  <si>
    <t>Henty FD Truck crew access</t>
  </si>
  <si>
    <t>DuftyW-Default Licensee Mercha</t>
  </si>
  <si>
    <t>Refund of additional Adelaide show ticks (refund confirmation attached)</t>
  </si>
  <si>
    <t>THE SHOW</t>
  </si>
  <si>
    <t>Conference extra tickets Bale Up armidale and tamworth</t>
  </si>
  <si>
    <t>EB *Bale Up 2024</t>
  </si>
  <si>
    <t>Goulburn | Field day Extra furniture</t>
  </si>
  <si>
    <t>RIVERINA PARTY HIRE</t>
  </si>
  <si>
    <t>Dinner Cotton Conference with Staff &amp; Clients</t>
  </si>
  <si>
    <t>ORZO</t>
  </si>
  <si>
    <t>FlynnA-Offshore Meals &amp; Lodgin</t>
  </si>
  <si>
    <t>Australian Macadamia Conference Event Tickets</t>
  </si>
  <si>
    <t>AUST MACADAMIA SOCIETY</t>
  </si>
  <si>
    <t>Cheap as chips $25.50 - Int Womens Day Event</t>
  </si>
  <si>
    <t>Coles $88.60 - Int Womens Day Event</t>
  </si>
  <si>
    <t>Office Choice - Int Womens Day Event</t>
  </si>
  <si>
    <t>LS PLOC PTY LTD ATF P</t>
  </si>
  <si>
    <t>Atherton 20 year anniversary function - decorations</t>
  </si>
  <si>
    <t>OCEANIC SQUARE PTY LTD</t>
  </si>
  <si>
    <t>Client Prizes - Atherton 20 yr event (Yeti Keep Cups)</t>
  </si>
  <si>
    <t>ATHERTON GAS N CAMP</t>
  </si>
  <si>
    <t>Decorating Supplies - Atherton 20yr event</t>
  </si>
  <si>
    <t>SPOTLIGHT 094</t>
  </si>
  <si>
    <t>Decorations Atherton 20 year event</t>
  </si>
  <si>
    <t>Engraving on Yetis (Prizes) - Atherton 20 yr Function</t>
  </si>
  <si>
    <t>ATHERTON TROPHIES</t>
  </si>
  <si>
    <t>Incidentals for Atherton 20 year function - batteries and gift bags</t>
  </si>
  <si>
    <t>Table Decoration Requirements - Atherton 20yr event</t>
  </si>
  <si>
    <t>Table Number Holders (to be made from) Atherton 20 yr event</t>
  </si>
  <si>
    <t>BUNNINGS 637200</t>
  </si>
  <si>
    <t>Gluten Free dessert option - Atherton 20 year anniversary function</t>
  </si>
  <si>
    <t>Name Tags for 20 Year Function for Clients</t>
  </si>
  <si>
    <t>FAR NORTH OFFICE CHO</t>
  </si>
  <si>
    <t>Food Expense - Atherton 20 year anniversary Function</t>
  </si>
  <si>
    <t>Prizes for best splash of blue or orange at Atherton 20yr anniversary</t>
  </si>
  <si>
    <t>SQ *COFFEE WORKS ATHERTON</t>
  </si>
  <si>
    <t>Dairies - 50% of order</t>
  </si>
  <si>
    <t>GRAZIHER PUBLISHING</t>
  </si>
  <si>
    <t>Diaries - 50% of order</t>
  </si>
  <si>
    <t>VtP-Airfares</t>
  </si>
  <si>
    <t>EOY Function Rockhampton/ speaker</t>
  </si>
  <si>
    <t>EGEN*AUSI142559473/AUBI2024311490809/AUBI2024311490809260</t>
  </si>
  <si>
    <t>VIRGIN AUSTR/79534850726029/79534850726029</t>
  </si>
  <si>
    <t>VtP-Default Licensee Merchant</t>
  </si>
  <si>
    <t>QANTAS AIR_ABN16009661901/ZL3XNZCRT8V49SF3/ZL3XNZCRT8V49SF3</t>
  </si>
  <si>
    <t>AlchinS-Offshore Meals &amp; Lodgi</t>
  </si>
  <si>
    <t>Xmas Drinks WDF</t>
  </si>
  <si>
    <t>BIRDY BAR WAGGA</t>
  </si>
  <si>
    <t>Burdekin Chamber Industry Breakfast</t>
  </si>
  <si>
    <t>TRYBOOKING*BURDEKIN SHIRE/219465815077</t>
  </si>
  <si>
    <t>MORIARTYG-Default Licensee Mer</t>
  </si>
  <si>
    <t>Markets Offsite</t>
  </si>
  <si>
    <t>BECHALLENGED</t>
  </si>
  <si>
    <t>BarrettE-Default Licensee Merc</t>
  </si>
  <si>
    <t>Toowoomba Client Function Venue Deposit</t>
  </si>
  <si>
    <t>EXPRESS BEAUTY</t>
  </si>
  <si>
    <t>Nation Ag Day Morning Tea</t>
  </si>
  <si>
    <t>Atherton 20yr event - Final payment (Bar Tab) 07.11.24</t>
  </si>
  <si>
    <t>SpinksJ-Offshore Meals &amp; Lodgi</t>
  </si>
  <si>
    <t>Charters Towers End of Year Client Event - Meal Expense</t>
  </si>
  <si>
    <t>RIX HOTEL MOTEL</t>
  </si>
  <si>
    <t>Charters Towers End of Year Client Event Charters Towers - Drink Expenses</t>
  </si>
  <si>
    <t>1-000089-AWEID00</t>
  </si>
  <si>
    <t>Horsham SShip 24 25</t>
  </si>
  <si>
    <t>1-000089</t>
  </si>
  <si>
    <t>WEIDEMANN PASTORAL PTY LTD</t>
  </si>
  <si>
    <t>29-ALAKE23</t>
  </si>
  <si>
    <t>LIFT 2024 Sponsorship</t>
  </si>
  <si>
    <t>29</t>
  </si>
  <si>
    <t>LAKES INFORMATION AND FARMING TECHNOLOGY</t>
  </si>
  <si>
    <t>Inv 2025/01-AMOLY00</t>
  </si>
  <si>
    <t>Advertising at the Molyullah E</t>
  </si>
  <si>
    <t>Inv 2025/01</t>
  </si>
  <si>
    <t>MOLYULLAH  RECREATION &amp; PUBLIC HALL</t>
  </si>
  <si>
    <t>00008603-ANORT04</t>
  </si>
  <si>
    <t>2025 NTCA Conference Sponsorsh</t>
  </si>
  <si>
    <t>00008603</t>
  </si>
  <si>
    <t>00013274-AQUAL08</t>
  </si>
  <si>
    <t>Beef equipment storage Jan</t>
  </si>
  <si>
    <t>00013274</t>
  </si>
  <si>
    <t>00066626-ALIGH03</t>
  </si>
  <si>
    <t>Warehousing Oct</t>
  </si>
  <si>
    <t>00066626</t>
  </si>
  <si>
    <t>00066713-ALIGH03</t>
  </si>
  <si>
    <t>Warehousing Nov</t>
  </si>
  <si>
    <t>00066713</t>
  </si>
  <si>
    <t>00066714-ALIGH03</t>
  </si>
  <si>
    <t>Warehousing Dec</t>
  </si>
  <si>
    <t>00066714</t>
  </si>
  <si>
    <t>0107-ABRAN00</t>
  </si>
  <si>
    <t>Rockhampton Branch S/Shop of 2</t>
  </si>
  <si>
    <t>0107</t>
  </si>
  <si>
    <t>BRANGUS YOUTH CAMP</t>
  </si>
  <si>
    <t>1256-AEYEF00</t>
  </si>
  <si>
    <t>Quinn photo edits</t>
  </si>
  <si>
    <t>1256</t>
  </si>
  <si>
    <t>1259-AEYEF00</t>
  </si>
  <si>
    <t>Photo post production Mahony</t>
  </si>
  <si>
    <t>1259</t>
  </si>
  <si>
    <t>33725-APROD00</t>
  </si>
  <si>
    <t>RaboStory Freestanding wall SA</t>
  </si>
  <si>
    <t>33725</t>
  </si>
  <si>
    <t>INV-0027-AMOUL00</t>
  </si>
  <si>
    <t>Moulamein races - included in</t>
  </si>
  <si>
    <t>MOULAMEIN RACING CLUB INC</t>
  </si>
  <si>
    <t>INV-195087-AMCDO01</t>
  </si>
  <si>
    <t>Rabo Orange Shirts - Aust Dair</t>
  </si>
  <si>
    <t>INV-195087</t>
  </si>
  <si>
    <t>INV-2793-ASOUT00</t>
  </si>
  <si>
    <t>AgriFocus 2024 Marquee Display</t>
  </si>
  <si>
    <t>INV-2793</t>
  </si>
  <si>
    <t>INV-897-ACAFE00</t>
  </si>
  <si>
    <t>Hamilton Client Christmas part</t>
  </si>
  <si>
    <t>INV-897</t>
  </si>
  <si>
    <t>CAFE GRAY</t>
  </si>
  <si>
    <t>PPB3282A-APORT07</t>
  </si>
  <si>
    <t>pop up marquee x 7 QLD</t>
  </si>
  <si>
    <t>PPB3282A</t>
  </si>
  <si>
    <t>PORTABLE POP UP MARQUEES</t>
  </si>
  <si>
    <t>PPB3282B-APORT07</t>
  </si>
  <si>
    <t>Pop up marquee x 5 VICTAS</t>
  </si>
  <si>
    <t>PPB3282B</t>
  </si>
  <si>
    <t>0680-AMURP01</t>
  </si>
  <si>
    <t>RBAL Pillar Disclosure Stateme</t>
  </si>
  <si>
    <t>0680</t>
  </si>
  <si>
    <t>GunnHF-Domestic &amp; Overseas lod</t>
  </si>
  <si>
    <t>Mick Havey Launceston Dairy function</t>
  </si>
  <si>
    <t>HCL OPERATIONS PTY LTD</t>
  </si>
  <si>
    <t>GunnHF-Offshore Meals &amp; Lodgin</t>
  </si>
  <si>
    <t>Mick Harvey Dairy event Scottsdale</t>
  </si>
  <si>
    <t>Little Rivers Brewing</t>
  </si>
  <si>
    <t>KokC-Office Supplies</t>
  </si>
  <si>
    <t>Knowledge, Networking &amp; Nibbles Nov 2024 Event</t>
  </si>
  <si>
    <t>WOOLWORTHS/58-66 VICTORIA</t>
  </si>
  <si>
    <t>KokC-Offshore Meals &amp; Lodging</t>
  </si>
  <si>
    <t>FRANKIES WARRAGUL</t>
  </si>
  <si>
    <t>THE PRESS CELLARS</t>
  </si>
  <si>
    <t>Thank You Gifts - Cohuna RaboResearch Lunch</t>
  </si>
  <si>
    <t>Rich Glen Olive Oil</t>
  </si>
  <si>
    <t>Catering - Cohuna RaboResearch Lunch</t>
  </si>
  <si>
    <t>RenyardL1-Offshore Meals &amp; Lod</t>
  </si>
  <si>
    <t>Echuca Meats</t>
  </si>
  <si>
    <t>MOAMA BAKERY PTY LTD</t>
  </si>
  <si>
    <t>Catering Rabo Research Service Provider Event 7/11/24</t>
  </si>
  <si>
    <t>SQ *LIRALOU PARTY CREATIO</t>
  </si>
  <si>
    <t>2099431-AKWIK03</t>
  </si>
  <si>
    <t>Welcome letter October</t>
  </si>
  <si>
    <t>2099431</t>
  </si>
  <si>
    <t>2408311-ATURN01</t>
  </si>
  <si>
    <t>Welcome Packs August 2024</t>
  </si>
  <si>
    <t>2408311</t>
  </si>
  <si>
    <t>2409301-ATURN01</t>
  </si>
  <si>
    <t>Welcome packs September</t>
  </si>
  <si>
    <t>2409301</t>
  </si>
  <si>
    <t>93-AAUST23</t>
  </si>
  <si>
    <t>ADC25 registration x2FD</t>
  </si>
  <si>
    <t>INV-01-AWALL01</t>
  </si>
  <si>
    <t>Horsham Sponsorship Dec 24</t>
  </si>
  <si>
    <t>INV-01</t>
  </si>
  <si>
    <t>WALLALOO PARK</t>
  </si>
  <si>
    <t>Gidley-BairdD-Contributions &amp;</t>
  </si>
  <si>
    <t>Client event Barraba Golf Day</t>
  </si>
  <si>
    <t>BARRABA GOLF CLUB LTD/431805214524</t>
  </si>
  <si>
    <t>RAB497/1-ASOLU01</t>
  </si>
  <si>
    <t>RaboTruck rebuild deposit</t>
  </si>
  <si>
    <t>RAB497/1</t>
  </si>
  <si>
    <t>Lambex Registration Fee Aug 2024 Adelaide</t>
  </si>
  <si>
    <t>Rural Women's Day gift bags for clients and prospects</t>
  </si>
  <si>
    <t>Beer and ice for Wangary Crop walk</t>
  </si>
  <si>
    <t>BBQ food for Wangary Crop Walk</t>
  </si>
  <si>
    <t>Michael &amp; Madeleine Crettenden $31.99 – Loan Approval Gift</t>
  </si>
  <si>
    <t>00013275-AQUAL08</t>
  </si>
  <si>
    <t>marquee skins x 9</t>
  </si>
  <si>
    <t>00013275</t>
  </si>
  <si>
    <t>0150000566-AWEST14</t>
  </si>
  <si>
    <t>WA Marketing: WMG Sponsorship</t>
  </si>
  <si>
    <t>0150000566</t>
  </si>
  <si>
    <t>WEST MIDLANDS GROUP</t>
  </si>
  <si>
    <t>1013625944-APOST07</t>
  </si>
  <si>
    <t>Auspost Nov 24</t>
  </si>
  <si>
    <t>1013625944</t>
  </si>
  <si>
    <t>24001-ACOME02</t>
  </si>
  <si>
    <t>Sponsoring of Come by Chance P</t>
  </si>
  <si>
    <t>24001</t>
  </si>
  <si>
    <t>COME BY CHANCE PICNIC RACE CLUB</t>
  </si>
  <si>
    <t>INV-0103-AFITZ02</t>
  </si>
  <si>
    <t>WA Marketing: FBG Sponsorship</t>
  </si>
  <si>
    <t>FITZGERALD BIOSPHERE GROUP INC</t>
  </si>
  <si>
    <t>INV-10370_AU_202411-WTRAC04</t>
  </si>
  <si>
    <t>ROS brand tracker</t>
  </si>
  <si>
    <t>INV-10370_AU_20241101</t>
  </si>
  <si>
    <t>TRACKSUIT LIMITED</t>
  </si>
  <si>
    <t>INV-1101-AMACQ05</t>
  </si>
  <si>
    <t>Sponsoring of Annual Non Growi</t>
  </si>
  <si>
    <t>INV-1101</t>
  </si>
  <si>
    <t>INV-0014-ALUCE01</t>
  </si>
  <si>
    <t>Adelaide Branch Sponsorship 20</t>
  </si>
  <si>
    <t>INV-0014</t>
  </si>
  <si>
    <t>LUCERNE AUSTRALIA</t>
  </si>
  <si>
    <t>Coona Event</t>
  </si>
  <si>
    <t>COONABARABRAN GOLF CLU</t>
  </si>
  <si>
    <t>Client event - Cattle connect- Tom DGB &amp; Sally</t>
  </si>
  <si>
    <t>AAP Events</t>
  </si>
  <si>
    <t>Mick Harvey Dairy function deposit</t>
  </si>
  <si>
    <t>2 x Tickets for Climate Salad Event</t>
  </si>
  <si>
    <t>TICKETS*AUSTRALIAN/axvk3few</t>
  </si>
  <si>
    <t>WHATLINGS1-Offshore Meals &amp; Lo</t>
  </si>
  <si>
    <t>Smithton Dairy Client event</t>
  </si>
  <si>
    <t>Tall Timbers Tasmania</t>
  </si>
  <si>
    <t>106-AAUST23</t>
  </si>
  <si>
    <t>ADC25 Reg MAC</t>
  </si>
  <si>
    <t>106</t>
  </si>
  <si>
    <t>113947-ACORB00</t>
  </si>
  <si>
    <t>Travel Luggage Tags</t>
  </si>
  <si>
    <t>113947</t>
  </si>
  <si>
    <t>202502-ALAKE02</t>
  </si>
  <si>
    <t>Sponsorship of the Lake Cargel</t>
  </si>
  <si>
    <t>202502</t>
  </si>
  <si>
    <t>241023-ATURN01</t>
  </si>
  <si>
    <t>Pink Trucker Hats - Townsville</t>
  </si>
  <si>
    <t>241023</t>
  </si>
  <si>
    <t>2713-ATURN01</t>
  </si>
  <si>
    <t>Merch Promo item National</t>
  </si>
  <si>
    <t>2713</t>
  </si>
  <si>
    <t>INV-0008-ABORD00</t>
  </si>
  <si>
    <t>Frances Truck Event - Catering</t>
  </si>
  <si>
    <t>BORDER DISTRICTS FOOTBALL CLUB</t>
  </si>
  <si>
    <t>INV-029192-ACENT02</t>
  </si>
  <si>
    <t>INV-029192</t>
  </si>
  <si>
    <t>INV-1740-ASOUT15</t>
  </si>
  <si>
    <t>WA Marketing: Southern Dirt Go</t>
  </si>
  <si>
    <t>INV-1740</t>
  </si>
  <si>
    <t>SOUTHERN DIRT INCORPORATED</t>
  </si>
  <si>
    <t>INV-0340-AMIDL00</t>
  </si>
  <si>
    <t>Camobell Town Show AV equipmen</t>
  </si>
  <si>
    <t>INV-0340</t>
  </si>
  <si>
    <t>Business Plan day - Team lunch</t>
  </si>
  <si>
    <t>EMERALD HOTEL</t>
  </si>
  <si>
    <t>00000292-AAGEC00</t>
  </si>
  <si>
    <t>Guest Speaker for Moree RaboTr</t>
  </si>
  <si>
    <t>00000292</t>
  </si>
  <si>
    <t>AG ECON</t>
  </si>
  <si>
    <t>000033-ARIVE30</t>
  </si>
  <si>
    <t>Sponsorship of the Riverina Cl</t>
  </si>
  <si>
    <t>000033</t>
  </si>
  <si>
    <t>187213-AHORS05</t>
  </si>
  <si>
    <t>Horsham 21 Year Event</t>
  </si>
  <si>
    <t>187213</t>
  </si>
  <si>
    <t>HORSHAM GOLF CLUB</t>
  </si>
  <si>
    <t>Horsham 21 Year Event  - Bar a</t>
  </si>
  <si>
    <t>2100027-AKWIK03</t>
  </si>
  <si>
    <t>Welcome Letters November 2024</t>
  </si>
  <si>
    <t>2100027</t>
  </si>
  <si>
    <t>2410311-ATURN01</t>
  </si>
  <si>
    <t>Welcome Gift Packs October 202</t>
  </si>
  <si>
    <t>2410311</t>
  </si>
  <si>
    <t>24-AMAGG02</t>
  </si>
  <si>
    <t>Live Music for Roma Branch EOY</t>
  </si>
  <si>
    <t>24</t>
  </si>
  <si>
    <t>2668-ASOUT32</t>
  </si>
  <si>
    <t>SEPWA Sponsorship Agreement -</t>
  </si>
  <si>
    <t>2668</t>
  </si>
  <si>
    <t>SOUTH EAST PREMIUM WHEAT GROWERS ASS</t>
  </si>
  <si>
    <t>2717-ATURN01</t>
  </si>
  <si>
    <t>Moree_Pens inkind sponsorship</t>
  </si>
  <si>
    <t>2717</t>
  </si>
  <si>
    <t>INV-0353-AJOSE00</t>
  </si>
  <si>
    <t>Local branch event_RaboTruck M</t>
  </si>
  <si>
    <t>INV-0353</t>
  </si>
  <si>
    <t>RABO-05/12/24-AKYLA01</t>
  </si>
  <si>
    <t>Entertainment for Moree Christ</t>
  </si>
  <si>
    <t>RABO-05/12/24</t>
  </si>
  <si>
    <t>KYLA BELLE ROBERTS</t>
  </si>
  <si>
    <t>RABO-06/12/24-ABROO06</t>
  </si>
  <si>
    <t>Catering for Moree RaboTruck C</t>
  </si>
  <si>
    <t>RABO-06/12/24</t>
  </si>
  <si>
    <t>BROOKER EQUITY GROUP</t>
  </si>
  <si>
    <t>INV-0080-ABOTH00</t>
  </si>
  <si>
    <t>Sheep Station Cup</t>
  </si>
  <si>
    <t>Toowoomba Client Function Venue and Staff</t>
  </si>
  <si>
    <t>BrownT2-Offshore Meals &amp; Lodgi</t>
  </si>
  <si>
    <t>Wine Tas - Membership</t>
  </si>
  <si>
    <t>SQ *WINE TASMANIA</t>
  </si>
  <si>
    <t>KrugerG-Domestic &amp; Overseas lo</t>
  </si>
  <si>
    <t>Ingham client knowledge event bar bill</t>
  </si>
  <si>
    <t>Lucinda Point Hotel</t>
  </si>
  <si>
    <t>Ingham client knowledge event bar meal bill</t>
  </si>
  <si>
    <t>EOY Function - lucky door prizes</t>
  </si>
  <si>
    <t>MurrayR-Offshore Meals &amp; Lodgi</t>
  </si>
  <si>
    <t>EOY Function - Room Hire</t>
  </si>
  <si>
    <t>ROCKHAMPTON LEAGUES</t>
  </si>
  <si>
    <t>Name Tags for Toowoomba Client Function</t>
  </si>
  <si>
    <t>DOWN OFFICE EQUIP</t>
  </si>
  <si>
    <t>Refreshments for Toowoomba Client Function</t>
  </si>
  <si>
    <t>DAN MURPHY'S/111 JAMES ST</t>
  </si>
  <si>
    <t>Westbrook Tavern</t>
  </si>
  <si>
    <t>BarrettE-Office Supplies</t>
  </si>
  <si>
    <t>Platters for Toowoomba Client Function</t>
  </si>
  <si>
    <t>COLES 4534</t>
  </si>
  <si>
    <t>HarveyP-Offshore Meals &amp; Lodgi</t>
  </si>
  <si>
    <t>Toowoomba Client Function catering</t>
  </si>
  <si>
    <t>SQ *CARYS CATERING</t>
  </si>
  <si>
    <t>EOY Function decorations</t>
  </si>
  <si>
    <t>Audio Visual Hire for Atherton 20 year anniversary event 07.11.24</t>
  </si>
  <si>
    <t>CAIRNS AV HIRE</t>
  </si>
  <si>
    <t>Client Xmas Function Coonabarabran Food 27.11.24</t>
  </si>
  <si>
    <t>COLES 8761</t>
  </si>
  <si>
    <t>SIMMONSM-Offshore Meals &amp; Lodg</t>
  </si>
  <si>
    <t>Client Christmas Function Food Coonabarabran 27.11.24</t>
  </si>
  <si>
    <t>VANISA PTY LIMITED</t>
  </si>
  <si>
    <t>Launceston Dairy function</t>
  </si>
  <si>
    <t>Nuffield Scholar Sponsorship</t>
  </si>
  <si>
    <t>SilvaKJ-Offshore Meals &amp; Lodgi</t>
  </si>
  <si>
    <t>Accomodation</t>
  </si>
  <si>
    <t>GEMINI HOTEL</t>
  </si>
  <si>
    <t>GroganC-Offshore Meals &amp; Lodgi</t>
  </si>
  <si>
    <t>Greenvale Client Event Catering / Accommodation - Andrew Harwin</t>
  </si>
  <si>
    <t>THREE RIVERS HOTEL</t>
  </si>
  <si>
    <t>Greenvale Client Event Catering / Accommodation - Brad Pozzi</t>
  </si>
  <si>
    <t>Greenvale Client Event Catering / Accommodation - Clients</t>
  </si>
  <si>
    <t>Greenvale Client Event Catering / Accommodation - Justin Spinks</t>
  </si>
  <si>
    <t>MitchellB-Office Supplies</t>
  </si>
  <si>
    <t>Staff Christmas Breakfast Meeting</t>
  </si>
  <si>
    <t>Beef Aust Client Photos - Quinn, Brown &amp; Mahony</t>
  </si>
  <si>
    <t>CAMERA HOUSE ROCKHMPTN</t>
  </si>
  <si>
    <t>EOY Function Rockhampton Clients</t>
  </si>
  <si>
    <t>RaboTruck - capital item?</t>
  </si>
  <si>
    <t>To consider if capital?</t>
  </si>
  <si>
    <t>Hire - OK</t>
  </si>
  <si>
    <t>marketing - OK</t>
  </si>
  <si>
    <t>Catering</t>
  </si>
  <si>
    <t>Catering - sustenance for event OK</t>
  </si>
  <si>
    <t>Capital - these have been purchased</t>
  </si>
  <si>
    <t>Accept this is a training seminar - industry insights, tech, etc.</t>
  </si>
  <si>
    <t>RaboTruck event - accept sustenance and for clients</t>
  </si>
  <si>
    <t>Capital items</t>
  </si>
  <si>
    <t>ME - hire associated with ME</t>
  </si>
  <si>
    <t>Accept client</t>
  </si>
  <si>
    <t>Recreastional entertainment</t>
  </si>
  <si>
    <t>Accept - sustenance</t>
  </si>
  <si>
    <t>Accept gifts for clients</t>
  </si>
  <si>
    <t>Rabobank truck expenses have been treated as deductible on the basis that they are a marketing expense under s8-1.</t>
  </si>
  <si>
    <t>Field days include alcohol - but staff are not able to drink on jobs. Intention is to assist prospective clients or existing clients. Run sheets are available. Days usually wrap up mid afternoon.</t>
  </si>
  <si>
    <t>Field day</t>
  </si>
  <si>
    <t>Accept field day - client focused no ME</t>
  </si>
  <si>
    <t>BANKSW-Contributions &amp; Club Me</t>
  </si>
  <si>
    <t>Farming Ahead Subscription</t>
  </si>
  <si>
    <t>KONDININ INFO</t>
  </si>
  <si>
    <t>BANKSW-Offshore Meals &amp; Lodgin</t>
  </si>
  <si>
    <t>Coffee with Savings.com Brooke Cooper</t>
  </si>
  <si>
    <t>MAS Espresso</t>
  </si>
  <si>
    <t>BattenS-Default Licensee Merch</t>
  </si>
  <si>
    <t>Media Room green screen backdrop</t>
  </si>
  <si>
    <t>BACKDROPSOURCE AU</t>
  </si>
  <si>
    <t>Audio Music for internal videos x 10</t>
  </si>
  <si>
    <t>ENVATO 68360304/2491170B28AF41761/27563644</t>
  </si>
  <si>
    <t>BANKSW-Default Licensee Mercha</t>
  </si>
  <si>
    <t>ACM subscription</t>
  </si>
  <si>
    <t>Global Food Forum Registration</t>
  </si>
  <si>
    <t>TICKETS*THE AUSTRA/krzn2n80</t>
  </si>
  <si>
    <t>Beef 2024 - Entry Pass</t>
  </si>
  <si>
    <t>monthly online Aus subscription</t>
  </si>
  <si>
    <t>monthly online Telegraph subscription</t>
  </si>
  <si>
    <t>INV-18593-ASTEE00</t>
  </si>
  <si>
    <t>Streem</t>
  </si>
  <si>
    <t>INV-18593</t>
  </si>
  <si>
    <t>annual Farm Online subscription</t>
  </si>
  <si>
    <t>web*farmonline/STANDING AUTHORITY</t>
  </si>
  <si>
    <t>TARALGA GENERAL STORE</t>
  </si>
  <si>
    <t>03.24-AREBE03</t>
  </si>
  <si>
    <t>annual online SMH subscription</t>
  </si>
  <si>
    <t>FAIRFAX SUBSCRIPTIONS/74564724204353116599668</t>
  </si>
  <si>
    <t>monthly online Telegraph/News.com subs</t>
  </si>
  <si>
    <t>monthly Telegraph/News Corp online subs</t>
  </si>
  <si>
    <t>INV-19757-ASTEE00</t>
  </si>
  <si>
    <t>Streem subscription</t>
  </si>
  <si>
    <t>INV-19757</t>
  </si>
  <si>
    <t>Telum Masterclass: AI Literacy</t>
  </si>
  <si>
    <t>EB *Masterclass AI Lit</t>
  </si>
  <si>
    <t>BANKSW-Other Personnel Expense</t>
  </si>
  <si>
    <t>Gen McAulay Flowers</t>
  </si>
  <si>
    <t>PERROTTS</t>
  </si>
  <si>
    <t>05.24-AREBE03</t>
  </si>
  <si>
    <t>RCS Q3 Media Releases</t>
  </si>
  <si>
    <t>monthly Tele/News.com sub</t>
  </si>
  <si>
    <t>MN2077532-AMEDI00</t>
  </si>
  <si>
    <t>Medianet annual subscription</t>
  </si>
  <si>
    <t>MN2077532</t>
  </si>
  <si>
    <t>MEDIANET AUSTRALIA PTY LTD</t>
  </si>
  <si>
    <t>monthly Tele/News subscription</t>
  </si>
  <si>
    <t>Annual Bloomberg news subscription (billed in USD)</t>
  </si>
  <si>
    <t>BLOOMBERG* BB-2296-430</t>
  </si>
  <si>
    <t>Rural Press Club Lunch Tickets</t>
  </si>
  <si>
    <t>INV-20881-ASTEE00</t>
  </si>
  <si>
    <t>Streem subcription</t>
  </si>
  <si>
    <t>INV-20881</t>
  </si>
  <si>
    <t>TMSYD9075-ATELU00</t>
  </si>
  <si>
    <t>Telum annual subsctiption</t>
  </si>
  <si>
    <t>TMSYD9075</t>
  </si>
  <si>
    <t>INV-45-ACOUR00</t>
  </si>
  <si>
    <t>Rural Confidence Survey Q4</t>
  </si>
  <si>
    <t>INV-45</t>
  </si>
  <si>
    <t>monthly online Tele/News.com subscription</t>
  </si>
  <si>
    <t>03.24</t>
  </si>
  <si>
    <t>05.24</t>
  </si>
  <si>
    <t>subscription - OK</t>
  </si>
  <si>
    <t xml:space="preserve">ME </t>
  </si>
  <si>
    <t>Accept - gift under $300</t>
  </si>
  <si>
    <t>AU070146</t>
  </si>
  <si>
    <t>AU020087</t>
  </si>
  <si>
    <t>AU050110</t>
  </si>
  <si>
    <t>AU020088</t>
  </si>
  <si>
    <t>18154-AAUST05</t>
  </si>
  <si>
    <t>Annual AAGE Membership Renewal</t>
  </si>
  <si>
    <t>18154</t>
  </si>
  <si>
    <t>AUSTRALIAN ASSOCIATION OF GRADUATE</t>
  </si>
  <si>
    <t>477074-ATOPS03</t>
  </si>
  <si>
    <t>477074</t>
  </si>
  <si>
    <t>SN00 0618 3103 2024-AKADI02</t>
  </si>
  <si>
    <t>Kadina subscriptions Feb 2024</t>
  </si>
  <si>
    <t>SN00 0618 3103 2024</t>
  </si>
  <si>
    <t>POWELLK-Contributions &amp; Club M</t>
  </si>
  <si>
    <t>AFR annual subscription for Product</t>
  </si>
  <si>
    <t>FAIRFAX SUBSCRIPTIONS/74564724075353105203658</t>
  </si>
  <si>
    <t>SN00 1541 3103 2024-ANARR16</t>
  </si>
  <si>
    <t>SN00 1541 3103 2024</t>
  </si>
  <si>
    <t>YB-21112-AYIEL01</t>
  </si>
  <si>
    <t>Monthly Auction Dealer Fee for</t>
  </si>
  <si>
    <t>YB-21112</t>
  </si>
  <si>
    <t>BARRACLOUGHD-Contributions &amp; C</t>
  </si>
  <si>
    <t>harvard business review subscription</t>
  </si>
  <si>
    <t>HBRSUBSCRIPTION/BT_11L3VMLHOS8680/77618854</t>
  </si>
  <si>
    <t>global food forum tickets 2024 x 5 tickets</t>
  </si>
  <si>
    <t>TICKETS*THE AUSTRA/84ttrf0z</t>
  </si>
  <si>
    <t>SN00 4556 0304 2024-ANEXT03</t>
  </si>
  <si>
    <t>Mildura subscriptions Mar 24</t>
  </si>
  <si>
    <t>SN00 4556 0304 2024</t>
  </si>
  <si>
    <t>NEXTRA MILDURA</t>
  </si>
  <si>
    <t>SN00 4994 0304 2024-AFOST01</t>
  </si>
  <si>
    <t>Mt Gambier subscriptions Mar 2</t>
  </si>
  <si>
    <t>SN00 4994 0304 2024</t>
  </si>
  <si>
    <t>GRAYL-Default Licensee Merchan</t>
  </si>
  <si>
    <t>Renewal of practising certificate</t>
  </si>
  <si>
    <t>AU030216</t>
  </si>
  <si>
    <t>336549-ANEWS00</t>
  </si>
  <si>
    <t>336549</t>
  </si>
  <si>
    <t>DEPARTMENT OF PRIMARY</t>
  </si>
  <si>
    <t>NAFRANOWICZA-Insurance</t>
  </si>
  <si>
    <t>LAW SOCIETY OF NSW</t>
  </si>
  <si>
    <t>SN00 0358 3103 2024-AESPE05</t>
  </si>
  <si>
    <t>Esperance: monthly subsciption</t>
  </si>
  <si>
    <t>SN00 0358 3103 2024</t>
  </si>
  <si>
    <t>SN00 9160 3103 2024-AECHU01</t>
  </si>
  <si>
    <t>SN00 9160 3103 2024</t>
  </si>
  <si>
    <t>HARVEYMF-Default Licensee Merc</t>
  </si>
  <si>
    <t>Australian Fodder Membership</t>
  </si>
  <si>
    <t>AUST FODDER INDUSTRY</t>
  </si>
  <si>
    <t>80668-AAFMA00</t>
  </si>
  <si>
    <t>annual fee AFMA Accredited ind</t>
  </si>
  <si>
    <t>80668</t>
  </si>
  <si>
    <t>AUSTRALIAN FINANCIAL MARKETS ASSOCIATION</t>
  </si>
  <si>
    <t>2024-0115-ARISK01</t>
  </si>
  <si>
    <t>Risk Management Association 20</t>
  </si>
  <si>
    <t>2024-0115</t>
  </si>
  <si>
    <t>RISK MANAGEMENT ASSOCIATION INC</t>
  </si>
  <si>
    <t>203283-ABEAT00</t>
  </si>
  <si>
    <t>Hamilton Branch Newspaper - Ma</t>
  </si>
  <si>
    <t>203283</t>
  </si>
  <si>
    <t>INV00730-AAUST11</t>
  </si>
  <si>
    <t>Quarterly membership contribut</t>
  </si>
  <si>
    <t>INV00730</t>
  </si>
  <si>
    <t>AUSTRALIAN BANKING ASSOCIATION INC</t>
  </si>
  <si>
    <t>SN00 2303 0204 2024-ASLAD03</t>
  </si>
  <si>
    <t>SN00 2303 0204 2024</t>
  </si>
  <si>
    <t>SLADES HAMILTON NEWSAGENCY AND LOTTO</t>
  </si>
  <si>
    <t>INV-0527-ACORR05</t>
  </si>
  <si>
    <t>Perth CFIG 2024 Corporate Memb</t>
  </si>
  <si>
    <t>INV-0527</t>
  </si>
  <si>
    <t>INV-0528-ACORR05</t>
  </si>
  <si>
    <t>Merredin CFIG 2024 Corporate M</t>
  </si>
  <si>
    <t>INV-0528</t>
  </si>
  <si>
    <t>6631-AADEL01</t>
  </si>
  <si>
    <t>Subscriptions March 2024 Adela</t>
  </si>
  <si>
    <t>6631</t>
  </si>
  <si>
    <t>INV-0526-ACORR05</t>
  </si>
  <si>
    <t>Narrogin CFIG 2024 Corporate M</t>
  </si>
  <si>
    <t>INV-0526</t>
  </si>
  <si>
    <t>NGUYENG-Insurance</t>
  </si>
  <si>
    <t>vongratsavaij-Insurance</t>
  </si>
  <si>
    <t>Renewal of Practising Certiicate - Kate Pitcairn</t>
  </si>
  <si>
    <t>Renewal of Practising Certiicate - Ramla Fakhri</t>
  </si>
  <si>
    <t>Renewal of Practising Certiicate - Theresa Francis</t>
  </si>
  <si>
    <t>BondJ-Insurance</t>
  </si>
  <si>
    <t>Renewal of practicing certificate</t>
  </si>
  <si>
    <t>DAVISJ-Insurance</t>
  </si>
  <si>
    <t>HuiK-Insurance</t>
  </si>
  <si>
    <t>Renewal  of Practising Certificate - Anisha Dhillon</t>
  </si>
  <si>
    <t>Renewal  of Practising Certificate - K Hui</t>
  </si>
  <si>
    <t>STK*Shutterstock/145343185</t>
  </si>
  <si>
    <t>ngos-Insurance</t>
  </si>
  <si>
    <t>OBAA membership</t>
  </si>
  <si>
    <t>TICKETS*2024 OBAA/56vr1q54</t>
  </si>
  <si>
    <t>FAIRFAX SUBSCRIPTIONS/74564724082353104778404</t>
  </si>
  <si>
    <t>479191-ATOPS03</t>
  </si>
  <si>
    <t>479191</t>
  </si>
  <si>
    <t>Inv 3591-AAITH00</t>
  </si>
  <si>
    <t>March 2024 and June 2024 Quart</t>
  </si>
  <si>
    <t>Inv 3591</t>
  </si>
  <si>
    <t>AITHER PTY LTD</t>
  </si>
  <si>
    <t>SN00 0358 3004 2024-AESPE05</t>
  </si>
  <si>
    <t>SN00 0358 3004 2024</t>
  </si>
  <si>
    <t>SN00 9160 2804 2024-AECHU01</t>
  </si>
  <si>
    <t>SN00 9160 2804 2024</t>
  </si>
  <si>
    <t>ValdmanisA-Insurance</t>
  </si>
  <si>
    <t>Renewal of practising certificate - AV</t>
  </si>
  <si>
    <t>Renewal of Practising Certiicate - Jason</t>
  </si>
  <si>
    <t>337403-ANEWS00</t>
  </si>
  <si>
    <t>337403</t>
  </si>
  <si>
    <t>SN00 1541 3004 2024-ANARR16</t>
  </si>
  <si>
    <t>SN00 1541 3004 2024</t>
  </si>
  <si>
    <t>SN00 0618 2804 2024-AKADI02</t>
  </si>
  <si>
    <t>Kadina subscriptions Apr 24</t>
  </si>
  <si>
    <t>SN00 0618 2804 2024</t>
  </si>
  <si>
    <t>LOBOM-Default Licensee Merchan</t>
  </si>
  <si>
    <t>Renewal of ACC membership</t>
  </si>
  <si>
    <t>ACC Asia Pacific, Ltd.</t>
  </si>
  <si>
    <t>NiezabitowskiB-Insurance</t>
  </si>
  <si>
    <t>Practising certificate : renewal fee</t>
  </si>
  <si>
    <t>SN00 4556 0105 2024-ANEXT03</t>
  </si>
  <si>
    <t>Subscriptions Mildura- Apr 24</t>
  </si>
  <si>
    <t>SN00 4556 0105 2024</t>
  </si>
  <si>
    <t>1063265-ASWAN09</t>
  </si>
  <si>
    <t>1063265</t>
  </si>
  <si>
    <t>GRAYL-Insurance</t>
  </si>
  <si>
    <t>Lara Gray - Renewal of practising certificate</t>
  </si>
  <si>
    <t>FT annual subscription</t>
  </si>
  <si>
    <t>Financial Times</t>
  </si>
  <si>
    <t>FAIRFAX SUBSCRIPTIONS/74564724113353117091236</t>
  </si>
  <si>
    <t>YB-21311-AYIEL01</t>
  </si>
  <si>
    <t>YB-21311</t>
  </si>
  <si>
    <t>PascoeJ-Contributions &amp; Club M</t>
  </si>
  <si>
    <t>News/Research</t>
  </si>
  <si>
    <t>FAIRFAX SUBSCRIPTIONS/74564724127353113344252</t>
  </si>
  <si>
    <t>Membership</t>
  </si>
  <si>
    <t>RICS Membership</t>
  </si>
  <si>
    <t>RICS SUBS AUS CYBS/QUO772164W7G0Z5/QUO772164W7G0Z5</t>
  </si>
  <si>
    <t>7015-AADEL01</t>
  </si>
  <si>
    <t>ADL Subscriptions Apr 2024</t>
  </si>
  <si>
    <t>7015</t>
  </si>
  <si>
    <t>Shutterstock additional images</t>
  </si>
  <si>
    <t>SHUTTERSTOCK IRELAND LIMI</t>
  </si>
  <si>
    <t>STK*Shutterstock/145827807</t>
  </si>
  <si>
    <t>API Educational Courses for Compliance</t>
  </si>
  <si>
    <t>Renewal of practising certificate - Julie Hwang</t>
  </si>
  <si>
    <t>Renewal of practising certificate - Matt Dixon</t>
  </si>
  <si>
    <t>RyanC1-Printing</t>
  </si>
  <si>
    <t>Yearly Farm Weekly subscription for Perth Branch</t>
  </si>
  <si>
    <t>ACM PHONE PAYMENT</t>
  </si>
  <si>
    <t>FAIRFAX SUBSCRIPTIONS/74564724100353103910352</t>
  </si>
  <si>
    <t>SolomonM-Insurance</t>
  </si>
  <si>
    <t>Renewal of Practising Certicate</t>
  </si>
  <si>
    <t>Digital subscription to industry publication - Farm Weekly</t>
  </si>
  <si>
    <t>web*farmweekly</t>
  </si>
  <si>
    <t>Financial Review Subscription - April 2024</t>
  </si>
  <si>
    <t>FAIRFAX SUBSCRIPTIONS/74564724106353117352405</t>
  </si>
  <si>
    <t>Digital subscription The Land</t>
  </si>
  <si>
    <t>web*The Land/STANDING AUTHORITY</t>
  </si>
  <si>
    <t>Membership for FAAA (Financial Advice Association Australia)</t>
  </si>
  <si>
    <t>SEC*FINANCIAL ADVICE</t>
  </si>
  <si>
    <t>CaculaV-Software</t>
  </si>
  <si>
    <t>survey monkey subscription</t>
  </si>
  <si>
    <t>SURVEYMONKEY.COM</t>
  </si>
  <si>
    <t>6067742-APERP03</t>
  </si>
  <si>
    <t>6067742</t>
  </si>
  <si>
    <t>DOHLES-Contributions &amp; Club Me</t>
  </si>
  <si>
    <t>Economist Subscription</t>
  </si>
  <si>
    <t>ECONOMIST NEWSPAPER LTD-A/P06818339/P06818339</t>
  </si>
  <si>
    <t>annual membership dutchlink</t>
  </si>
  <si>
    <t>FAIRFAX SUBSCRIPTIONS/74564724143353104124952</t>
  </si>
  <si>
    <t>EEC-121-EGUTI00</t>
  </si>
  <si>
    <t>Annual CA Membership</t>
  </si>
  <si>
    <t>EEC-121</t>
  </si>
  <si>
    <t>Hema maps</t>
  </si>
  <si>
    <t>APPLE.COM/BILL/MTVGF7W5ZMA0   9999999999</t>
  </si>
  <si>
    <t>6082503-APERP03</t>
  </si>
  <si>
    <t>6082503</t>
  </si>
  <si>
    <t>FAIRFAX SUBSCRIPTIONS/74564724009353103891489</t>
  </si>
  <si>
    <t>FAIRFAX SUBSCRIPTIONS/74564724071353116834560</t>
  </si>
  <si>
    <t>FAIRFAX SUBSCRIPTIONS/74564724130353104334580</t>
  </si>
  <si>
    <t>AAAC INV-0046-AAAAC01</t>
  </si>
  <si>
    <t>AAAC INV-0046</t>
  </si>
  <si>
    <t>AUSTRALIAN ASSOCIATION OF AGRICULTURAL</t>
  </si>
  <si>
    <t>YB-21592-ATRAD00</t>
  </si>
  <si>
    <t>Monthly Fee - Auction Dealer</t>
  </si>
  <si>
    <t>YB-21592</t>
  </si>
  <si>
    <t>TRADEWEB AUSTRALIA PTY LTD</t>
  </si>
  <si>
    <t>Shutterstock additional images for Canadian tour special report</t>
  </si>
  <si>
    <t>The Land Subscription</t>
  </si>
  <si>
    <t>SharmaJ2-Contributions &amp; Club</t>
  </si>
  <si>
    <t>Staff development - Regualtory Conference</t>
  </si>
  <si>
    <t>THOMSONREUTERS ESTORE/74564724164210330832812</t>
  </si>
  <si>
    <t>GreenawayR-Contributions &amp; Clu</t>
  </si>
  <si>
    <t>Prime Amazon Membership Cancellation</t>
  </si>
  <si>
    <t>AMZNPRIMEAU MEMBERSHIP</t>
  </si>
  <si>
    <t>Prime Amazon Membership has been cancelled</t>
  </si>
  <si>
    <t>NGOT-Audit Fees</t>
  </si>
  <si>
    <t>CA membership renewal</t>
  </si>
  <si>
    <t>CA ANZ</t>
  </si>
  <si>
    <t>FAIRFAX SUBSCRIPTIONS/74564724176353116225086</t>
  </si>
  <si>
    <t>landgate title search</t>
  </si>
  <si>
    <t>LANDGATE</t>
  </si>
  <si>
    <t>WEBBERM-Tuition (study) Reimbu</t>
  </si>
  <si>
    <t>Professional Membership</t>
  </si>
  <si>
    <t>STK*Shutterstock/146297953</t>
  </si>
  <si>
    <t>57701-AESPE06</t>
  </si>
  <si>
    <t>57701</t>
  </si>
  <si>
    <t>ESPERANCE BAY YACHT CLUB</t>
  </si>
  <si>
    <t>INV-0179-ANARR15</t>
  </si>
  <si>
    <t>INV-0179</t>
  </si>
  <si>
    <t>NARROGIN CHAMBER OF COMMERCE</t>
  </si>
  <si>
    <t>WebberB-Default Licensee Merch</t>
  </si>
  <si>
    <t>Membership renewal</t>
  </si>
  <si>
    <t>CHIEF EXECUTIVE WOMEN</t>
  </si>
  <si>
    <t>EEC-315-ETRAN01</t>
  </si>
  <si>
    <t>EEC-315</t>
  </si>
  <si>
    <t>ALBERT TRANG</t>
  </si>
  <si>
    <t>Canva design subscription</t>
  </si>
  <si>
    <t>Canva* 04203-72884994</t>
  </si>
  <si>
    <t>Cotton Compass Subscription</t>
  </si>
  <si>
    <t>MYO*COTTON COMPASS PTY/219357095667</t>
  </si>
  <si>
    <t>FAIRFAX SUBSCRIPTIONS/74564724162353115483716</t>
  </si>
  <si>
    <t>CA Membership renewal for Tracey Henshall</t>
  </si>
  <si>
    <t>CA ANZ ANNUAL BILLING</t>
  </si>
  <si>
    <t>CookD-Audit Fees</t>
  </si>
  <si>
    <t>Chartered Accountant Annual subscription fee DC</t>
  </si>
  <si>
    <t>DuffyP-Audit Fees</t>
  </si>
  <si>
    <t>Annual professional subscription</t>
  </si>
  <si>
    <t>MakG-Tuition (study) Reimburse</t>
  </si>
  <si>
    <t>Certified Information Systems Security Professional (CISSP) Annual Maintenance Fee</t>
  </si>
  <si>
    <t>ISC2/31727963</t>
  </si>
  <si>
    <t>GIAC Certified Incident Handler (GCIH) Maintenance Fee</t>
  </si>
  <si>
    <t>SANS INSTITUTE/454911985Y198T830/45491198</t>
  </si>
  <si>
    <t>GIAC Critical Controls Certification (GCCC) Maintenance Fee</t>
  </si>
  <si>
    <t>SANS INSTITUTE/454920510XVQ8GE30/45492051</t>
  </si>
  <si>
    <t>mercury online subscription</t>
  </si>
  <si>
    <t>NEWS LIMITED</t>
  </si>
  <si>
    <t>CLEMENTSP-Audit Fees</t>
  </si>
  <si>
    <t>CA Membership renewal for Buffy Pereira</t>
  </si>
  <si>
    <t>CA Membership renewal for Ricky Tsui</t>
  </si>
  <si>
    <t>CA Membership renewal for Tanya Voronina</t>
  </si>
  <si>
    <t>EEC-368-ELORU00</t>
  </si>
  <si>
    <t>2024-25 Prof m'ship fees to CA</t>
  </si>
  <si>
    <t>EEC-368</t>
  </si>
  <si>
    <t>INV-20104818-AGRAI00</t>
  </si>
  <si>
    <t>GIWA Corporate Membership 2024</t>
  </si>
  <si>
    <t>INV-20104818</t>
  </si>
  <si>
    <t>GRAIN INDUSTRY ASSOCIATION OF WA</t>
  </si>
  <si>
    <t>AP-PR 80186-AAFMA00</t>
  </si>
  <si>
    <t>WBN Corporate Membership</t>
  </si>
  <si>
    <t>WHEATBELTBN</t>
  </si>
  <si>
    <t>fee membership NCCA</t>
  </si>
  <si>
    <t>PAYPAL/7CRLBN489TRL</t>
  </si>
  <si>
    <t>BFVG Membership</t>
  </si>
  <si>
    <t>BFVG COOPERATIVE LTD</t>
  </si>
  <si>
    <t>EEC-398-ELORU00</t>
  </si>
  <si>
    <t>Tax Institute m'ship 2024-25</t>
  </si>
  <si>
    <t>EEC-398</t>
  </si>
  <si>
    <t>Financial Review Subscription 20.7.24-19.7.25</t>
  </si>
  <si>
    <t>FAIRFAX SUBSCRIPTIONS/74564724204353116665659</t>
  </si>
  <si>
    <t>EEC-391-EMACH00</t>
  </si>
  <si>
    <t>CA Membership</t>
  </si>
  <si>
    <t>EEC-391</t>
  </si>
  <si>
    <t>ABS Cotton Subscription</t>
  </si>
  <si>
    <t>AUS BUREAU STATISTIC</t>
  </si>
  <si>
    <t>STK*Shutterstock/146737102</t>
  </si>
  <si>
    <t>583-AMOOR01</t>
  </si>
  <si>
    <t>Corporate Membership 2024/25</t>
  </si>
  <si>
    <t>583</t>
  </si>
  <si>
    <t>MOORA CHAMBER OF COMMERCE INC.</t>
  </si>
  <si>
    <t>Australia Macadamia Society Membership</t>
  </si>
  <si>
    <t>Aust Fin Review refund</t>
  </si>
  <si>
    <t>AGIC - Graydon Chong</t>
  </si>
  <si>
    <t>FAIRFAX SUBSCRIPTIONS/74564724191353103789467</t>
  </si>
  <si>
    <t>FAIRFAX SUBSCRIPTIONS/74564724222353104433910</t>
  </si>
  <si>
    <t>ThompsonP-Postage</t>
  </si>
  <si>
    <t>Farm Weekly &amp; Envelopes</t>
  </si>
  <si>
    <t>POST ALBANY POST SHOP</t>
  </si>
  <si>
    <t>119-AMULL03</t>
  </si>
  <si>
    <t>2024 Corporate Membership for</t>
  </si>
  <si>
    <t>119</t>
  </si>
  <si>
    <t>MULLEWA DRYLAND FARMERS INITIATIVE INC</t>
  </si>
  <si>
    <t>80881-AAFMA00</t>
  </si>
  <si>
    <t>XuP-Contributions &amp; Club Membe</t>
  </si>
  <si>
    <t>AFR membership</t>
  </si>
  <si>
    <t>FAIRFAX SUBSCRIPTIONS/74564724208353104471827</t>
  </si>
  <si>
    <t>Courier Mail Subscription</t>
  </si>
  <si>
    <t>Shutterstock Monthly Subscription -  Additional 2 images</t>
  </si>
  <si>
    <t>Shutterstock Monthly Subscription - 10 images</t>
  </si>
  <si>
    <t>STK*Shutterstock/147175889</t>
  </si>
  <si>
    <t>00003259-AHOLB00</t>
  </si>
  <si>
    <t>Membership to the Holbrook Lan</t>
  </si>
  <si>
    <t>00003259</t>
  </si>
  <si>
    <t>HOLBROOK NETWORK</t>
  </si>
  <si>
    <t>EEC-625-ELOKA00</t>
  </si>
  <si>
    <t>Chartered accountant membershi</t>
  </si>
  <si>
    <t>EEC-625</t>
  </si>
  <si>
    <t>6111141-APERP03</t>
  </si>
  <si>
    <t>AU Commercial Lending Risk Man</t>
  </si>
  <si>
    <t>6111141</t>
  </si>
  <si>
    <t>INV-1719-ACENT12</t>
  </si>
  <si>
    <t>Emerald Branch associate membe</t>
  </si>
  <si>
    <t>INV-1719</t>
  </si>
  <si>
    <t>CENTRAL HIGHLANDS COTTON GROWERS</t>
  </si>
  <si>
    <t>AU071198</t>
  </si>
  <si>
    <t>PictonBJ-Contributions &amp; Club</t>
  </si>
  <si>
    <t>WSJ subscription</t>
  </si>
  <si>
    <t>D J/P-0251643175</t>
  </si>
  <si>
    <t>cotton conference tickets</t>
  </si>
  <si>
    <t>AU030810</t>
  </si>
  <si>
    <t>Memebership NTLEA</t>
  </si>
  <si>
    <t>NT LIVESTOCK EX ASSO</t>
  </si>
  <si>
    <t>Australian Financial Review Subscription - June 2024</t>
  </si>
  <si>
    <t>FAIRFAX SUBSCRIPTIONS/74564724166353104316352</t>
  </si>
  <si>
    <t>Financial Review Subscription - July 2024</t>
  </si>
  <si>
    <t>FAIRFAX SUBSCRIPTIONS/74564724197353116464425</t>
  </si>
  <si>
    <t>Financial Review Subscription - June 2024</t>
  </si>
  <si>
    <t>FAIRFAX SUBSCRIPTIONS/74564724135353104008528</t>
  </si>
  <si>
    <t>Subscription - Financial Review - August 2024</t>
  </si>
  <si>
    <t>FAIRFAX SUBSCRIPTIONS/74564724227353103826176</t>
  </si>
  <si>
    <t>STK*Shutterstock/147624897</t>
  </si>
  <si>
    <t>ReillyJ1-Contributions &amp; Club</t>
  </si>
  <si>
    <t>staff council reward</t>
  </si>
  <si>
    <t>STRIKE AUSTRALIA PTY L</t>
  </si>
  <si>
    <t>Haynest-Contributions &amp; Club M</t>
  </si>
  <si>
    <t>The Australian subscription</t>
  </si>
  <si>
    <t>NEWS PTY LTD - AR IVR</t>
  </si>
  <si>
    <t>4INV-0057866-AFAIR11</t>
  </si>
  <si>
    <t>6 x subscribers Goulburn Branc</t>
  </si>
  <si>
    <t>4INV-0057866</t>
  </si>
  <si>
    <t>FAIRFAX MEDIA PUBLICATIONS PTY LIMITED</t>
  </si>
  <si>
    <t>8 x Corporate Lending AFR and</t>
  </si>
  <si>
    <t>Belinda Webber AFR</t>
  </si>
  <si>
    <t>David Mu AFR</t>
  </si>
  <si>
    <t>Denise Shaw AFR</t>
  </si>
  <si>
    <t>Gemma M with Markets AFR</t>
  </si>
  <si>
    <t>Ian Johnstone AFR</t>
  </si>
  <si>
    <t>James H &amp; Jurre S AFR</t>
  </si>
  <si>
    <t>Marcel vD AFR</t>
  </si>
  <si>
    <t>Maria and Chris AFR</t>
  </si>
  <si>
    <t>Michael Harvey and Cat AFR</t>
  </si>
  <si>
    <t>Rafael TF AFR</t>
  </si>
  <si>
    <t>Refund Mark W AFR</t>
  </si>
  <si>
    <t>Tim Felan and Tim Dellit AFR</t>
  </si>
  <si>
    <t>Dutch Business Association NZ</t>
  </si>
  <si>
    <t>DUTCHBA.NZ</t>
  </si>
  <si>
    <t>FAIRFAX SUBSCRIPTIONS/74564724253353114977049</t>
  </si>
  <si>
    <t>6600170430-ACCHA01</t>
  </si>
  <si>
    <t>Annual Political Alerts</t>
  </si>
  <si>
    <t>6600170430</t>
  </si>
  <si>
    <t>STK*Shutterstock/148070228</t>
  </si>
  <si>
    <t>PitkethleyS-Default Licensee M</t>
  </si>
  <si>
    <t>Subsription to Australian Standards</t>
  </si>
  <si>
    <t>STANDARDS AUSTRALIA</t>
  </si>
  <si>
    <t>ChampionA-Contributions &amp; Club</t>
  </si>
  <si>
    <t>Work Function - Andrew Champion</t>
  </si>
  <si>
    <t>THE GREENS/8921.2716.5943</t>
  </si>
  <si>
    <t>Inv 3854-AAITH00</t>
  </si>
  <si>
    <t>Sept 2024 and December 2024 Qu</t>
  </si>
  <si>
    <t>Inv 3854</t>
  </si>
  <si>
    <t>RABO_241121-AGRAI04</t>
  </si>
  <si>
    <t>Grainamarket Corporate Members</t>
  </si>
  <si>
    <t>RABO_241121</t>
  </si>
  <si>
    <t>GRAIN MARKET PTY LTD</t>
  </si>
  <si>
    <t>CEW - Membership fee for Lara - to November 2025</t>
  </si>
  <si>
    <t>STK*Shutterstock/148554897</t>
  </si>
  <si>
    <t>PetterssonT-Default Licensee M</t>
  </si>
  <si>
    <t>API CPV valuer membership fee</t>
  </si>
  <si>
    <t>API Memebership</t>
  </si>
  <si>
    <t>DAVISJ-Default Licensee Mercha</t>
  </si>
  <si>
    <t>Membersip renewal - Lynda Tecofsky</t>
  </si>
  <si>
    <t>GOVERNANCE INSTITUTE/STANDING AUTHORITY</t>
  </si>
  <si>
    <t>000036571-ADIVE03</t>
  </si>
  <si>
    <t>DCA Membership 2025-2027</t>
  </si>
  <si>
    <t>000036571</t>
  </si>
  <si>
    <t>DIVERSITY COUNCIL AUSTRALIA LIMITED</t>
  </si>
  <si>
    <t>PID000948-AACON00</t>
  </si>
  <si>
    <t>PID Membership 2025-2027</t>
  </si>
  <si>
    <t>PID000948</t>
  </si>
  <si>
    <t>ACON HEALTH LIMITED PRIDE IN DIVERSITY</t>
  </si>
  <si>
    <t>Coal River Products Association Membership</t>
  </si>
  <si>
    <t>SQ *COAL RIVER PRODUCTS A</t>
  </si>
  <si>
    <t>FAIRFAX SUBSCRIPTIONS/74564724283353102153433</t>
  </si>
  <si>
    <t>EEC-1015-ECHAN06</t>
  </si>
  <si>
    <t>ISACA Professional Certificati</t>
  </si>
  <si>
    <t>EEC-1015</t>
  </si>
  <si>
    <t>NATHAN CHANDLER</t>
  </si>
  <si>
    <t>ISC Professional Certification</t>
  </si>
  <si>
    <t>KangJH-Audit Fees</t>
  </si>
  <si>
    <t>CA membership</t>
  </si>
  <si>
    <t>EEC-1104-ELI0000</t>
  </si>
  <si>
    <t>Application fee for full CA me</t>
  </si>
  <si>
    <t>EEC-1104</t>
  </si>
  <si>
    <t>CARRIE LI</t>
  </si>
  <si>
    <t>EEC-1105-ELI0000</t>
  </si>
  <si>
    <t>Item 1 - Provisional CA annual</t>
  </si>
  <si>
    <t>EEC-1105</t>
  </si>
  <si>
    <t>andrewsc-Default Licensee Merc</t>
  </si>
  <si>
    <t>CPA professional fees</t>
  </si>
  <si>
    <t>CPA AUSTRALIA</t>
  </si>
  <si>
    <t>EllisT-Printing</t>
  </si>
  <si>
    <t>The Land Newspaper Subscription - Orange Branch</t>
  </si>
  <si>
    <t>ACM RURAL PRESS/74564724305210335001520</t>
  </si>
  <si>
    <t>Renewal of membership - Governance Institute</t>
  </si>
  <si>
    <t>Managers Round Table</t>
  </si>
  <si>
    <t>AU050113</t>
  </si>
  <si>
    <t>FAIRFAX SUBSCRIPTIONS/74564724344353116397031</t>
  </si>
  <si>
    <t>STK*Shutterstock/148991178</t>
  </si>
  <si>
    <t>CLEMENTSP-Tuition (study) Reim</t>
  </si>
  <si>
    <t>Vivian Huang ACCA membership fee</t>
  </si>
  <si>
    <t>ASSOCIATION OF CHARTERED</t>
  </si>
  <si>
    <t>KENNEDYPE-Default Licensee Mer</t>
  </si>
  <si>
    <t>Membership Australian Brahman Assoc</t>
  </si>
  <si>
    <t>AUSTRALIAN BRAHMAN</t>
  </si>
  <si>
    <t>OK - business expense</t>
  </si>
  <si>
    <t>Recreational entertainment</t>
  </si>
  <si>
    <t>01240327-ATIMH00</t>
  </si>
  <si>
    <t>Tim Hunt facilitation cost of</t>
  </si>
  <si>
    <t>TIM HUNT CONSULTING PTY LTD</t>
  </si>
  <si>
    <t>ChildI-Domestic &amp; Overseas lod</t>
  </si>
  <si>
    <t>RANZ RISK TEAM OFFSITE - CREDIT CARD FEE</t>
  </si>
  <si>
    <t>The William Inglis</t>
  </si>
  <si>
    <t>KimI-Domestic &amp; Overseas lodgi</t>
  </si>
  <si>
    <t>Products D&amp;A Strategy Day1</t>
  </si>
  <si>
    <t>21099-WMILL09</t>
  </si>
  <si>
    <t>Final FAAB invoice</t>
  </si>
  <si>
    <t>B-00854476D-04/03/2-AWILL00</t>
  </si>
  <si>
    <t>REGIONAL RISK OFFSITE - MARCH</t>
  </si>
  <si>
    <t>B-00854476D-04/03/24</t>
  </si>
  <si>
    <t>B-00854476D-14/03/2-AWILL00</t>
  </si>
  <si>
    <t>B-00854476D-14/03/24</t>
  </si>
  <si>
    <t>SACCHETTIL-Domestic &amp; Overseas</t>
  </si>
  <si>
    <t>ET Offsite accommodation/venue hire</t>
  </si>
  <si>
    <t>InterContinental Double B</t>
  </si>
  <si>
    <t>NQNTClientCouncilMeeting_Townsville_27March_MeetingExpenses</t>
  </si>
  <si>
    <t>RYDGES SOUTHBANK TOWNS</t>
  </si>
  <si>
    <t>soy milk</t>
  </si>
  <si>
    <t>SQ *BUN COFFEE BYRON BAY</t>
  </si>
  <si>
    <t>75813022-ATHEP05</t>
  </si>
  <si>
    <t>SANWVIC Client Council Meeting</t>
  </si>
  <si>
    <t>THE PLAYFORD ADELAIDE</t>
  </si>
  <si>
    <t>241762032-ASKSW00</t>
  </si>
  <si>
    <t>2024 WA REgional Offsite: Conf</t>
  </si>
  <si>
    <t>SKS WATERFRONT HOTEL PTY LTD TA DOUBLE</t>
  </si>
  <si>
    <t>GreenawayR-Default Licensee Me</t>
  </si>
  <si>
    <t>Jars for biscuits</t>
  </si>
  <si>
    <t>IKEA TEMPE</t>
  </si>
  <si>
    <t>Gluten free biscuits</t>
  </si>
  <si>
    <t>WA CC meeting: guest speaker gifts - gift bags</t>
  </si>
  <si>
    <t>KMART 1241</t>
  </si>
  <si>
    <t>WA CC meeting: Guest speaker thank you gifts</t>
  </si>
  <si>
    <t>2 Oceans Tackle</t>
  </si>
  <si>
    <t>WA CC Meeting: Jacqui Biddulph gift bag</t>
  </si>
  <si>
    <t>DAVID JONES LIMITED</t>
  </si>
  <si>
    <t>WA CC Meeting: speaker gift bags 'rabo' ribbon</t>
  </si>
  <si>
    <t>SPOTLIGHT BUSLTON</t>
  </si>
  <si>
    <t>WA CC Member: David Fulwood thank you gift - stepping down from CC</t>
  </si>
  <si>
    <t>WA CC Member: Jacqui Biddulph thank you gift - stepping down from CC</t>
  </si>
  <si>
    <t>GETAWAY OUTDOORS - B</t>
  </si>
  <si>
    <t>RyanC1-Ground Travel</t>
  </si>
  <si>
    <t>WA CC Meeting:  return transfer from accommodation to dinner</t>
  </si>
  <si>
    <t>SQ *SOUTH WEST LUXURY TRA</t>
  </si>
  <si>
    <t>RyanC1-Office Supplies</t>
  </si>
  <si>
    <t>WA CC Meeting: Thursday Catering for farm visit</t>
  </si>
  <si>
    <t>COWARAMUP BAKERY</t>
  </si>
  <si>
    <t>WA CC Meetng: CC Dinner Thursday 21.03.24</t>
  </si>
  <si>
    <t>NEWTOWN LODGE PTY LTD</t>
  </si>
  <si>
    <t>241728646-AHILT05</t>
  </si>
  <si>
    <t>WA Client Council: Meeting and</t>
  </si>
  <si>
    <t>SQ Client Council Meeting_Twba_13Mar24_Room + Equipment Hire and Catering</t>
  </si>
  <si>
    <t>BURKE AND WILLS HOTE</t>
  </si>
  <si>
    <t>RRM3</t>
  </si>
  <si>
    <t>WAB speaker</t>
  </si>
  <si>
    <t>CSIRO</t>
  </si>
  <si>
    <t>Cooking equipment</t>
  </si>
  <si>
    <t>Teapots</t>
  </si>
  <si>
    <t>C51969</t>
  </si>
  <si>
    <t>I BAKE</t>
  </si>
  <si>
    <t>Ikea biscuit jars</t>
  </si>
  <si>
    <t>Tea Cups</t>
  </si>
  <si>
    <t>Myer Pty Ltd</t>
  </si>
  <si>
    <t>DrakeA1-Default Licensee Merch</t>
  </si>
  <si>
    <t>Agribuzz networking event ticket</t>
  </si>
  <si>
    <t>QCC AUSTRALIA PL</t>
  </si>
  <si>
    <t>Incorrect charge to credit card. Refund via Hotel and invoice processed. SANWVIC CC Feb 2</t>
  </si>
  <si>
    <t>THE PLAYFORD HOTEL P</t>
  </si>
  <si>
    <t>gidley-bairda-Entertainment Ex</t>
  </si>
  <si>
    <t>Beef Week &amp; Lance Zimmerman AU Tour - Beef Ticket</t>
  </si>
  <si>
    <t>Biscuits for Office</t>
  </si>
  <si>
    <t>WOOLWORTHS/VICTORIA RD</t>
  </si>
  <si>
    <t>Milk and biscuits</t>
  </si>
  <si>
    <t>2306-ATURN01</t>
  </si>
  <si>
    <t>Milk plus</t>
  </si>
  <si>
    <t>Milk/biscuits/Honey</t>
  </si>
  <si>
    <t>Teaspoons and gourmet biscuits for Board</t>
  </si>
  <si>
    <t>biscuits</t>
  </si>
  <si>
    <t>Team Offsite - BBQ Cooking Class</t>
  </si>
  <si>
    <t>ZLR*Sydney Cooking Scho</t>
  </si>
  <si>
    <t>Carbon Farming WA workshop: Accommodation charges</t>
  </si>
  <si>
    <t>EAST PERTH SUITES</t>
  </si>
  <si>
    <t>WA Carbon Workshops 26th &amp; 27th June: Venue, Catering, AV</t>
  </si>
  <si>
    <t>THE CAMFIELD</t>
  </si>
  <si>
    <t>Venue Hire Keith Financial Skills 3 Jul 24</t>
  </si>
  <si>
    <t>TATIARA DISTRICT COUNCIL</t>
  </si>
  <si>
    <t>Accom Client Council - 9 Client Rooms - 1 night 14Jun</t>
  </si>
  <si>
    <t>Hilton Adelaide</t>
  </si>
  <si>
    <t>Catering, M Tea, Lunch, A Tea Client Council SANWVIC  Jun 24</t>
  </si>
  <si>
    <t>VELOCE PANINO</t>
  </si>
  <si>
    <t>SkountzosR-Office Supplies</t>
  </si>
  <si>
    <t>LT Offsite 29 May snacks and activity</t>
  </si>
  <si>
    <t>Refund for accommodation overcharge for Perth CnAg Workshops</t>
  </si>
  <si>
    <t>FinancialSkillsWorkshop_KeithSA_3July_Catering</t>
  </si>
  <si>
    <t>Deposit for SVT Client Council Meeting Dinner - 15th August 2024</t>
  </si>
  <si>
    <t>Rydges Melbourne OPI</t>
  </si>
  <si>
    <t>Financial Skills Catering Keith</t>
  </si>
  <si>
    <t>KEITH IGA</t>
  </si>
  <si>
    <t>fairliel-Offshore Meals &amp; Lodg</t>
  </si>
  <si>
    <t>HENRY AND ROSE CAFE</t>
  </si>
  <si>
    <t>418-ASPEC00</t>
  </si>
  <si>
    <t>Catering for 33 Pax &amp; Room Hir</t>
  </si>
  <si>
    <t>4000000100-AARTG00</t>
  </si>
  <si>
    <t>Archibald</t>
  </si>
  <si>
    <t>ART GALLERY OF NSW</t>
  </si>
  <si>
    <t>Archibald Dinner venue hire, A</t>
  </si>
  <si>
    <t>Archi speaker travel cost</t>
  </si>
  <si>
    <t>KEYNOTE ENTERTAINMEN</t>
  </si>
  <si>
    <t>Archibald Speaker</t>
  </si>
  <si>
    <t>RANZ RISK TEAM OFFSITE</t>
  </si>
  <si>
    <t>RANZ RISK TEAM OFFSITE - DEPOSIT</t>
  </si>
  <si>
    <t>EEC-582-ESWAM00</t>
  </si>
  <si>
    <t>Meals in NZ</t>
  </si>
  <si>
    <t>EEC-582</t>
  </si>
  <si>
    <t>RAJNI SWAMI</t>
  </si>
  <si>
    <t>0010123340010-ASHES00</t>
  </si>
  <si>
    <t>Business Development Training</t>
  </si>
  <si>
    <t>AU030431</t>
  </si>
  <si>
    <t>Bond Refund - Cloncurry Carbon Workshop</t>
  </si>
  <si>
    <t>CLONCURRY SHIRE CNCIL</t>
  </si>
  <si>
    <t>BradaricS-Office Supplies</t>
  </si>
  <si>
    <t>Bread and Butter</t>
  </si>
  <si>
    <t>2024 Australian Almond Conference: Registration</t>
  </si>
  <si>
    <t>1800002156-AGPTP02</t>
  </si>
  <si>
    <t>Darling Park Hall Hire 29/09</t>
  </si>
  <si>
    <t>GPT PROPERTY MANAGEMENT PTY LTD 301440</t>
  </si>
  <si>
    <t>1800002156-ATHEG05</t>
  </si>
  <si>
    <t>GPT PROPERTY MANAGEMENT PTY LTD</t>
  </si>
  <si>
    <t>Accom and Parking 11 Rooms Client Council Clients 19Sep</t>
  </si>
  <si>
    <t>BESPOKEWINEBA241002NB</t>
  </si>
  <si>
    <t>1009785-AMOUN00</t>
  </si>
  <si>
    <t>deposit for 2025 Advisory Boar</t>
  </si>
  <si>
    <t>MOUNT LOFTY HOUSE OPERATIONS PTY LTD</t>
  </si>
  <si>
    <t>OsborneA-Default Licensee Merc</t>
  </si>
  <si>
    <t>External engagement</t>
  </si>
  <si>
    <t>TICKETS*ACIUCN ECO/jnkgkgqd</t>
  </si>
  <si>
    <t>Clients Car Parking Client Council Meeting 20Sep</t>
  </si>
  <si>
    <t>PEPPERSWAYMOUTHHOTEL</t>
  </si>
  <si>
    <t>Catering Lunch SANWVIC CC Meeting 20Sep</t>
  </si>
  <si>
    <t>SQ *DAILY PLANET ADELAIDE</t>
  </si>
  <si>
    <t>Accom Fin Skills Spalding Oct 24 - 1 NT Tony Hudson</t>
  </si>
  <si>
    <t>EGEN*AUSI142526742/AUBI2024284454817/AUBI2024284454817560</t>
  </si>
  <si>
    <t>Fin Skills Workbook Stock - Pencils Erasers - 9 10 Oct Spalding Arthurton</t>
  </si>
  <si>
    <t>OFFICEWORKS 0501</t>
  </si>
  <si>
    <t>Flip Charts Clare Kadina Fin Skills Oct 2024 Arthurton Spalding</t>
  </si>
  <si>
    <t>Client Council 20Sep - Morning Tea &amp; Refreshments</t>
  </si>
  <si>
    <t>5758662-ALOTT00</t>
  </si>
  <si>
    <t>hire of function room and cate</t>
  </si>
  <si>
    <t>LOTTA LATTE'S</t>
  </si>
  <si>
    <t>Event Networking</t>
  </si>
  <si>
    <t>22Sep 24 - ADL Clare Kadina PLO Bus Dev Training - DDP &amp; AV Hire</t>
  </si>
  <si>
    <t>Novotel Barossa Val Res</t>
  </si>
  <si>
    <t>Client Council 20Sep Morning Afternoon Tea</t>
  </si>
  <si>
    <t>ADL Branch morning tea - A Glynn COO visit and QnA session 9 Aug</t>
  </si>
  <si>
    <t>FRASCAF-Default Licensee Merch</t>
  </si>
  <si>
    <t>ITS/CPO ELT team offsite - deposit for venue hire</t>
  </si>
  <si>
    <t>Pier One Sydney FP</t>
  </si>
  <si>
    <t>PEPPERSMANTRABKFREE</t>
  </si>
  <si>
    <t>Farm Writers Agribuzz event tickets - Anna</t>
  </si>
  <si>
    <t>Farm Writers Agribuzz event tickets - Paul</t>
  </si>
  <si>
    <t>Farm Writers Agribuzz event tickets - Pia</t>
  </si>
  <si>
    <t>Farm Writers Agribuzz event tickets - Vitor</t>
  </si>
  <si>
    <t>SQClientCouncilMeeting_Bundaberg_17Oct_Catering &amp; Room Hire</t>
  </si>
  <si>
    <t>KACYS RESTAURANT</t>
  </si>
  <si>
    <t>Collateral Risk Mgmt Team Workshop - Meeting supplies</t>
  </si>
  <si>
    <t>ODONOGHUED-Offshore Meals &amp; Lo</t>
  </si>
  <si>
    <t>Collateral Risk Mgmt Team Workshop - Coffees</t>
  </si>
  <si>
    <t>NEVAGGIO ON MARGARET</t>
  </si>
  <si>
    <t>Collateral Risk Mgt Team Workshop - Tues 12 Nov Lunch</t>
  </si>
  <si>
    <t>OSCAR JACK &amp; VINCENT P</t>
  </si>
  <si>
    <t>AU025085</t>
  </si>
  <si>
    <t>EEC-993-EWEIE00</t>
  </si>
  <si>
    <t>Dinner Expense RANZ MVP1 migra</t>
  </si>
  <si>
    <t>EEC-993</t>
  </si>
  <si>
    <t>KELVIN CHIA WEIEN</t>
  </si>
  <si>
    <t>EEC-1032-ENGUY01</t>
  </si>
  <si>
    <t>BC Team planning</t>
  </si>
  <si>
    <t>EEC-1032</t>
  </si>
  <si>
    <t>MATTHEWSR-Domestic &amp; Overseas</t>
  </si>
  <si>
    <t>Mt Gambier Branch Tune Up workshop 13Nov - Function Room Hire Branch flood damage</t>
  </si>
  <si>
    <t>The Henty</t>
  </si>
  <si>
    <t>1009992-AMOUN00</t>
  </si>
  <si>
    <t>2nd deposit for 2025 Advisory</t>
  </si>
  <si>
    <t>MOUNT LOFTY OPERATIONS PTY LTD</t>
  </si>
  <si>
    <t>AU060135</t>
  </si>
  <si>
    <t>425-AUPIN00</t>
  </si>
  <si>
    <t>Customer Day Catering</t>
  </si>
  <si>
    <t>UP IN SMOKE BBQ</t>
  </si>
  <si>
    <t>AU070152</t>
  </si>
  <si>
    <t>CPO &amp; ITS LT &amp; ELT offsite - Audio visual payment</t>
  </si>
  <si>
    <t>1010056-AMOUN00</t>
  </si>
  <si>
    <t>final instalment WAB</t>
  </si>
  <si>
    <t>EEC-1093-EFELD00</t>
  </si>
  <si>
    <t>Melbourne Flights</t>
  </si>
  <si>
    <t>EEC-1093</t>
  </si>
  <si>
    <t>CHRISTINE FELDMANIS</t>
  </si>
  <si>
    <t>September Board Flights - Utre</t>
  </si>
  <si>
    <t>September Board phone calls</t>
  </si>
  <si>
    <t>Sydney Stakeholder meetings -</t>
  </si>
  <si>
    <t>RigbyC-Offshore Meals &amp; Lodgin</t>
  </si>
  <si>
    <t>Customer Day Function Fee</t>
  </si>
  <si>
    <t>FOYS KIRRIBILLI</t>
  </si>
  <si>
    <t>ROSSR-Domestic &amp; Overseas lodg</t>
  </si>
  <si>
    <t>Regional Risk LT Strategy Session Dec 24 Deposit - Q Station</t>
  </si>
  <si>
    <t>Q STATION</t>
  </si>
  <si>
    <t>Regional offsite - training with staff around AU. Accept business</t>
  </si>
  <si>
    <t>business expense - ok</t>
  </si>
  <si>
    <t>travel expense for business - OK</t>
  </si>
  <si>
    <t>travel expense - ok</t>
  </si>
  <si>
    <t>7004000</t>
  </si>
  <si>
    <t>1143812</t>
  </si>
  <si>
    <t>1204937</t>
  </si>
  <si>
    <t>RABL 0324</t>
  </si>
  <si>
    <t>RANE 0324</t>
  </si>
  <si>
    <t>4023847</t>
  </si>
  <si>
    <t>RAB Cyber Insur D. Jan24-Dec24</t>
  </si>
  <si>
    <t>NSW Cyber Insur D. Jan24-Dec24</t>
  </si>
  <si>
    <t>NT Cyber Insur D. Jan24-Dec24</t>
  </si>
  <si>
    <t>QLD Cyber Insur D. Jan24-Dec24</t>
  </si>
  <si>
    <t>SA Cyber Insur D. Jan24-Dec24</t>
  </si>
  <si>
    <t>TAS Cyber Insur D. Jan24-Dec24</t>
  </si>
  <si>
    <t>VIC Cyber Insur D. Jan24-Dec24</t>
  </si>
  <si>
    <t>WA Cyber Insur D. Jan24-Dec24</t>
  </si>
  <si>
    <t>ASX INV ACL0307613</t>
  </si>
  <si>
    <t>ASX INV ACS0549125</t>
  </si>
  <si>
    <t>ASX INV ACL0307614</t>
  </si>
  <si>
    <t>ASX INV ACL0307615</t>
  </si>
  <si>
    <t>1212045</t>
  </si>
  <si>
    <t>1232128</t>
  </si>
  <si>
    <t>1416337</t>
  </si>
  <si>
    <t>4003139</t>
  </si>
  <si>
    <t>4010310</t>
  </si>
  <si>
    <t>6987328</t>
  </si>
  <si>
    <t>Clr Suspense</t>
  </si>
  <si>
    <t>AU030433</t>
  </si>
  <si>
    <t>AU033731</t>
  </si>
  <si>
    <t>Milligan writeoff</t>
  </si>
  <si>
    <t>AU076172</t>
  </si>
  <si>
    <t>4023703</t>
  </si>
  <si>
    <t>4026281</t>
  </si>
  <si>
    <t>Clr PYs revenue from GST Acc</t>
  </si>
  <si>
    <t>1352138</t>
  </si>
  <si>
    <t>1411504</t>
  </si>
  <si>
    <t>4023709</t>
  </si>
  <si>
    <t>1398048</t>
  </si>
  <si>
    <t>4016038</t>
  </si>
  <si>
    <t>1133121</t>
  </si>
  <si>
    <t>AU030218</t>
  </si>
  <si>
    <t>4017936</t>
  </si>
  <si>
    <t>RABL 0424</t>
  </si>
  <si>
    <t>RANE 0424</t>
  </si>
  <si>
    <t>ASX INV ACL0308964</t>
  </si>
  <si>
    <t>1127803</t>
  </si>
  <si>
    <t>ASX INV ACL0308965</t>
  </si>
  <si>
    <t>ASX INV ACL0308966</t>
  </si>
  <si>
    <t>1134923</t>
  </si>
  <si>
    <t>7058779</t>
  </si>
  <si>
    <t>7058839</t>
  </si>
  <si>
    <t>1171531</t>
  </si>
  <si>
    <t>4015076</t>
  </si>
  <si>
    <t>4027717</t>
  </si>
  <si>
    <t>CLEAR SUSPENSE SMALL BAL</t>
  </si>
  <si>
    <t>Clear suspense small bal</t>
  </si>
  <si>
    <t>1372619</t>
  </si>
  <si>
    <t>4017021</t>
  </si>
  <si>
    <t>4038293</t>
  </si>
  <si>
    <t>Rural AF LP Recovery</t>
  </si>
  <si>
    <t>1351528</t>
  </si>
  <si>
    <t>1236331</t>
  </si>
  <si>
    <t>4018578</t>
  </si>
  <si>
    <t>RABL 0524</t>
  </si>
  <si>
    <t>1337511</t>
  </si>
  <si>
    <t>RANE 0524</t>
  </si>
  <si>
    <t>4036160</t>
  </si>
  <si>
    <t>RAB D&amp;O Insur Jan24 -Dec24</t>
  </si>
  <si>
    <t>NSW D&amp;O Insur Jan24-Dec24</t>
  </si>
  <si>
    <t>NT D&amp;O Insur Jan24-Dec24</t>
  </si>
  <si>
    <t>QLD D&amp;O Insur Jan24-Dec24</t>
  </si>
  <si>
    <t>SA D&amp;O Insur Jan24-Dec24</t>
  </si>
  <si>
    <t>TAS D&amp;O Insur Jan24-Dec24</t>
  </si>
  <si>
    <t>VIC D&amp;O Insur Jan24-Dec24</t>
  </si>
  <si>
    <t>WA D&amp;O Insur Jan24-Dec24</t>
  </si>
  <si>
    <t>1415009</t>
  </si>
  <si>
    <t>ASX INV ACL0310328</t>
  </si>
  <si>
    <t>ASX INV ACL0310329</t>
  </si>
  <si>
    <t>ASX INV ACL0310330</t>
  </si>
  <si>
    <t>ASX INV ACS0549453</t>
  </si>
  <si>
    <t>6946574</t>
  </si>
  <si>
    <t>AU010015</t>
  </si>
  <si>
    <t>Lic.Temenos 30/06/23-29/06/24</t>
  </si>
  <si>
    <t>TuckM-Car Rental</t>
  </si>
  <si>
    <t>TuckM-Domestic &amp; Overseas lodg</t>
  </si>
  <si>
    <t>TuckM-Offshore Meals &amp; Lodging</t>
  </si>
  <si>
    <t>4028829</t>
  </si>
  <si>
    <t>4022910</t>
  </si>
  <si>
    <t>4023444</t>
  </si>
  <si>
    <t>1200477</t>
  </si>
  <si>
    <t>4008226</t>
  </si>
  <si>
    <t>4021153</t>
  </si>
  <si>
    <t>FX Error</t>
  </si>
  <si>
    <t>1415312</t>
  </si>
  <si>
    <t>RABL 0624</t>
  </si>
  <si>
    <t>RANE 0624</t>
  </si>
  <si>
    <t>4009651</t>
  </si>
  <si>
    <t>4011848</t>
  </si>
  <si>
    <t>4015095</t>
  </si>
  <si>
    <t>ASX INV ACL0311697</t>
  </si>
  <si>
    <t>ASX INV ACS0549618</t>
  </si>
  <si>
    <t>ASX INV ACL0311698</t>
  </si>
  <si>
    <t>ASX INV ACL0311699</t>
  </si>
  <si>
    <t>1340467</t>
  </si>
  <si>
    <t>4005533</t>
  </si>
  <si>
    <t>4027377</t>
  </si>
  <si>
    <t>Reclass for PM June</t>
  </si>
  <si>
    <t>TuckM-Costs own Car Fleet</t>
  </si>
  <si>
    <t>TuckM-Ground Travel</t>
  </si>
  <si>
    <t>1214878</t>
  </si>
  <si>
    <t>1395201</t>
  </si>
  <si>
    <t>1199879</t>
  </si>
  <si>
    <t>1132869</t>
  </si>
  <si>
    <t>1393387</t>
  </si>
  <si>
    <t>1388137</t>
  </si>
  <si>
    <t>4021698</t>
  </si>
  <si>
    <t>1368463</t>
  </si>
  <si>
    <t>4020523</t>
  </si>
  <si>
    <t>RABL 0724</t>
  </si>
  <si>
    <t>RANE 0724</t>
  </si>
  <si>
    <t>ASX INV ACL0313065</t>
  </si>
  <si>
    <t>ASX INV ACS0549747</t>
  </si>
  <si>
    <t>ASX INV ACL0313066</t>
  </si>
  <si>
    <t>ASX INV ACL0313067</t>
  </si>
  <si>
    <t>Tref clean up</t>
  </si>
  <si>
    <t>4024896</t>
  </si>
  <si>
    <t>4023682</t>
  </si>
  <si>
    <t>7067866</t>
  </si>
  <si>
    <t>AU030515</t>
  </si>
  <si>
    <t>RABL 0824</t>
  </si>
  <si>
    <t>RANE 0824</t>
  </si>
  <si>
    <t>ASX INV ACL0314435</t>
  </si>
  <si>
    <t>ASX INV ACL0314436</t>
  </si>
  <si>
    <t>ASX INV ACL0314437</t>
  </si>
  <si>
    <t>ASX INV ACS0549873</t>
  </si>
  <si>
    <t>1360293</t>
  </si>
  <si>
    <t>E54152-AETHO00</t>
  </si>
  <si>
    <t>TuckM-Airfares</t>
  </si>
  <si>
    <t>OU change from 24104 to 25104</t>
  </si>
  <si>
    <t>AU076173</t>
  </si>
  <si>
    <t>7062089</t>
  </si>
  <si>
    <t>1354527</t>
  </si>
  <si>
    <t>7042243</t>
  </si>
  <si>
    <t>7093693</t>
  </si>
  <si>
    <t>1152111</t>
  </si>
  <si>
    <t>ASX INV ACS0550043</t>
  </si>
  <si>
    <t>RABL 0924</t>
  </si>
  <si>
    <t>7014342</t>
  </si>
  <si>
    <t>RANE 0924</t>
  </si>
  <si>
    <t>ASX INV ACL0315812</t>
  </si>
  <si>
    <t>ASX INV ACL0315813</t>
  </si>
  <si>
    <t>ASX INV ACL0315814</t>
  </si>
  <si>
    <t>RAB GPL Insur Sep 24</t>
  </si>
  <si>
    <t>NSW GPL Insur Sep 24</t>
  </si>
  <si>
    <t>NT GPL Insur Sep 24</t>
  </si>
  <si>
    <t>QLD GPL Insur Sep 24</t>
  </si>
  <si>
    <t>SA GPL Insur Sep 24</t>
  </si>
  <si>
    <t>TAS GPL Insur Sep 24</t>
  </si>
  <si>
    <t>VIC GPL Insur Sep 24</t>
  </si>
  <si>
    <t>WA GPL Insur Sep 24</t>
  </si>
  <si>
    <t>USB-C to USB-C cable</t>
  </si>
  <si>
    <t>Wireless keyboard/mouse combo</t>
  </si>
  <si>
    <t>1318862</t>
  </si>
  <si>
    <t>4006236</t>
  </si>
  <si>
    <t>W/off small suspense</t>
  </si>
  <si>
    <t>4002986</t>
  </si>
  <si>
    <t>BANK CHRGS</t>
  </si>
  <si>
    <t>GNA11307AUD bankk chrgs</t>
  </si>
  <si>
    <t>GNA11314EUR Bank Chrgs</t>
  </si>
  <si>
    <t>6947023</t>
  </si>
  <si>
    <t>7016414</t>
  </si>
  <si>
    <t>1302997</t>
  </si>
  <si>
    <t>4017665</t>
  </si>
  <si>
    <t>6990688</t>
  </si>
  <si>
    <t>4024321</t>
  </si>
  <si>
    <t>4027114</t>
  </si>
  <si>
    <t>RABL 1024</t>
  </si>
  <si>
    <t>RANE 1024</t>
  </si>
  <si>
    <t>Correct I20 under inv with IT</t>
  </si>
  <si>
    <t>ASX INV ACL0317190</t>
  </si>
  <si>
    <t>ASX INV ACL0317191</t>
  </si>
  <si>
    <t>ASX INV ACL0317192</t>
  </si>
  <si>
    <t>Tsf Ktomlin costs to AU2163</t>
  </si>
  <si>
    <t>Clearing small prepayment Bal</t>
  </si>
  <si>
    <t>4014377</t>
  </si>
  <si>
    <t>4021414</t>
  </si>
  <si>
    <t>7023692</t>
  </si>
  <si>
    <t>4022685</t>
  </si>
  <si>
    <t>1230253</t>
  </si>
  <si>
    <t>CAL - S2B Break</t>
  </si>
  <si>
    <t>4030556</t>
  </si>
  <si>
    <t>RABL 1124</t>
  </si>
  <si>
    <t>RANE 1124</t>
  </si>
  <si>
    <t>ASX INV ACL0318562</t>
  </si>
  <si>
    <t>ASX INV ACM0018676</t>
  </si>
  <si>
    <t>ASX INV ACS0550373</t>
  </si>
  <si>
    <t>7098643</t>
  </si>
  <si>
    <t>ASX INV ACACM18678</t>
  </si>
  <si>
    <t>ASX INV ACL0318563</t>
  </si>
  <si>
    <t>ASX INV ACL0318564</t>
  </si>
  <si>
    <t>ASX INV ACM0018677</t>
  </si>
  <si>
    <t>7055964</t>
  </si>
  <si>
    <t>6950001</t>
  </si>
  <si>
    <t>T24 ROS Int Accrd Issue</t>
  </si>
  <si>
    <t>Int Desk Recovery 2024</t>
  </si>
  <si>
    <t>Write Off 2023</t>
  </si>
  <si>
    <t>0010707840005-ASHES00</t>
  </si>
  <si>
    <t>Office - Fruit</t>
  </si>
  <si>
    <t>0010707840005</t>
  </si>
  <si>
    <t>2289-AAVON00</t>
  </si>
  <si>
    <t>Car Expense</t>
  </si>
  <si>
    <t>2289</t>
  </si>
  <si>
    <t>AVON AUTO ELECTRICS</t>
  </si>
  <si>
    <t>Carwash pre handover</t>
  </si>
  <si>
    <t>CARWASH ON THE HIGHW</t>
  </si>
  <si>
    <t>Coffee for office</t>
  </si>
  <si>
    <t>DoremaeleMLM1-Default Licensee</t>
  </si>
  <si>
    <t>COLES 0350</t>
  </si>
  <si>
    <t>C0302-20240430C-OLEXI</t>
  </si>
  <si>
    <t>ThreatMetrix</t>
  </si>
  <si>
    <t>C0302-20240430C</t>
  </si>
  <si>
    <t>LEXISNEXIS RISK HOLDINGS INC</t>
  </si>
  <si>
    <t>MonsbourghL-Other Personnel Ex</t>
  </si>
  <si>
    <t>Bereavement</t>
  </si>
  <si>
    <t>EZI*Flowers Across Syd/778247110</t>
  </si>
  <si>
    <t>KENNEDYPE-Office Supplies</t>
  </si>
  <si>
    <t>Refreshments - Lake Elphinsone Beef - Paul Kennedy</t>
  </si>
  <si>
    <t>NOORLAH CONTRACTING PT</t>
  </si>
  <si>
    <t>INV-0600-AAUST04</t>
  </si>
  <si>
    <t>FRX Quarterly Fee</t>
  </si>
  <si>
    <t>INV-0600</t>
  </si>
  <si>
    <t>AUSTRALIAN FINANCIAL CRIMES EXCHANGE LTD</t>
  </si>
  <si>
    <t>HawkeA-Office Supplies</t>
  </si>
  <si>
    <t>Sympathy Flowers for Mary</t>
  </si>
  <si>
    <t>WCRL Search</t>
  </si>
  <si>
    <t>YFIG Corporate Membership</t>
  </si>
  <si>
    <t>YUNAFIG</t>
  </si>
  <si>
    <t>Milk &amp; Butter for staff room</t>
  </si>
  <si>
    <t>INV-0648-AAUST04</t>
  </si>
  <si>
    <t>INV-0648</t>
  </si>
  <si>
    <t>IN-1558-ASWEE00</t>
  </si>
  <si>
    <t>Christmas cookies/decorations</t>
  </si>
  <si>
    <t>IN-1558</t>
  </si>
  <si>
    <t>SWEET COUTURE</t>
  </si>
  <si>
    <t>HawkeA-Default Licensee Mercha</t>
  </si>
  <si>
    <t>Gift for P &amp; D Brown - property purchase</t>
  </si>
  <si>
    <t>SQ *A NEW LEAF</t>
  </si>
  <si>
    <t>Supplies for staff Christmas show</t>
  </si>
  <si>
    <t>ALDI STORES-KADINA</t>
  </si>
  <si>
    <t>AU010013</t>
  </si>
  <si>
    <t>WarnerE-Default Licensee Merch</t>
  </si>
  <si>
    <t>Frame - B Cooreman 10 Yrs</t>
  </si>
  <si>
    <t>Accept 58P</t>
  </si>
  <si>
    <t>AU032042</t>
  </si>
  <si>
    <t>CGT24-39 HOWARD</t>
  </si>
  <si>
    <t>00062811-AEXCL05</t>
  </si>
  <si>
    <t>00062811</t>
  </si>
  <si>
    <t>EXCLUSIVE TROPHIES</t>
  </si>
  <si>
    <t>GP invoice letter</t>
  </si>
  <si>
    <t>Bourke Street Clinic</t>
  </si>
  <si>
    <t>Psychology invoice</t>
  </si>
  <si>
    <t>THE FEEL GOOD CLINIC P</t>
  </si>
  <si>
    <t>Gift for exiting CC member (Philip Bouffler)</t>
  </si>
  <si>
    <t>WWCC VISITORS INFO CEN</t>
  </si>
  <si>
    <t>24/11/2023-24/11/20-EMART00</t>
  </si>
  <si>
    <t>Tripod for filming IC</t>
  </si>
  <si>
    <t>24/11/2023-24/11/2023</t>
  </si>
  <si>
    <t>ARIANNE MARTIN</t>
  </si>
  <si>
    <t>1013104635-AAUST02</t>
  </si>
  <si>
    <t>1013104635</t>
  </si>
  <si>
    <t>INV-0506-ANORT001</t>
  </si>
  <si>
    <t>Monthly retainer</t>
  </si>
  <si>
    <t>INV-0506</t>
  </si>
  <si>
    <t>CONNOLLYB-Other Personnel Expe</t>
  </si>
  <si>
    <t>Flowers as a gift to Gordon &amp; Verna Paterson</t>
  </si>
  <si>
    <t>VILLAGE FLORIST</t>
  </si>
  <si>
    <t>EDP25.2 Hartley PP</t>
  </si>
  <si>
    <t>FMP 19-9 Titree Park</t>
  </si>
  <si>
    <t>CGT24-42 Mifsud</t>
  </si>
  <si>
    <t>CGT24-60 Mifsud</t>
  </si>
  <si>
    <t>CalvertJ-Office Supplies</t>
  </si>
  <si>
    <t>Gift for borowing Helen Dalton's car. This was whilst my tool of trade vehicle was in the mechanics.</t>
  </si>
  <si>
    <t>HodgeM-Office Supplies</t>
  </si>
  <si>
    <t>Client hamper - apology gift x2</t>
  </si>
  <si>
    <t>BUNBARTHA BEEF AUSTRAL</t>
  </si>
  <si>
    <t>CGT24 - Clarke</t>
  </si>
  <si>
    <t>CGT24-41 Charles</t>
  </si>
  <si>
    <t>CGT2461 Johnston</t>
  </si>
  <si>
    <t>CGT24-62 Johnston</t>
  </si>
  <si>
    <t>CGT24-65 Phelps</t>
  </si>
  <si>
    <t>CGT24-73 Trevethan</t>
  </si>
  <si>
    <t>0011009940032-ASHES00</t>
  </si>
  <si>
    <t>0011009940032</t>
  </si>
  <si>
    <t>CGT24-45 Modra</t>
  </si>
  <si>
    <t>CGT24-48 Modra</t>
  </si>
  <si>
    <t>CGT24-75 Younghusband</t>
  </si>
  <si>
    <t>CGT24-76 68 Ramsay</t>
  </si>
  <si>
    <t>EDP26.1 - Curwen</t>
  </si>
  <si>
    <t>FMP19 - Condon</t>
  </si>
  <si>
    <t>ShepherdD-Car Rental</t>
  </si>
  <si>
    <t>Alumni Tour - Car Hire</t>
  </si>
  <si>
    <t>AVIS NEW ZEALAND AKLD</t>
  </si>
  <si>
    <t>ShepherdD-Costs own Car Fleet</t>
  </si>
  <si>
    <t>Petrol for Hire Car - ALumni Tour</t>
  </si>
  <si>
    <t>J YOUNG MOTORS LTD</t>
  </si>
  <si>
    <t>Alumni Tour - On bus provisions for participants</t>
  </si>
  <si>
    <t>The Warehouse 151</t>
  </si>
  <si>
    <t>Rode Microphone Cables - Interviews on site</t>
  </si>
  <si>
    <t>HYPOP</t>
  </si>
  <si>
    <t>ShepherdD-Domestic &amp; Overseas</t>
  </si>
  <si>
    <t>Meals x 3 people - 1 x Dinner (9 Mar) &amp; 3 x breakfast (10, 11, 12 March)</t>
  </si>
  <si>
    <t>PORTERS BOUTIQUE HOTEL</t>
  </si>
  <si>
    <t>ShepherdD-Entertainment Expens</t>
  </si>
  <si>
    <t>Alumni Tour: Lunch 10 March (Danny &amp; Robin)</t>
  </si>
  <si>
    <t>CHURCH RD WINERY</t>
  </si>
  <si>
    <t>ShepherdD-Ground Travel</t>
  </si>
  <si>
    <t>Alumni Tour: Incorrect Uber charge - refunded</t>
  </si>
  <si>
    <t>UBER* TRIP</t>
  </si>
  <si>
    <t>Alumni Tour: Uber - Airport to Hotel in Havelock North</t>
  </si>
  <si>
    <t>Alumni Tour: Uber - incorrect refunded charge</t>
  </si>
  <si>
    <t>Uber - Hotel in Havelock North to Airport to collect hire car</t>
  </si>
  <si>
    <t>Uber - Hotel to Dinner Venue</t>
  </si>
  <si>
    <t>ShepherdD-Office Supplies</t>
  </si>
  <si>
    <t>Alumni Tour - Gift for Facilitator from Cohort</t>
  </si>
  <si>
    <t>NEW WORLD HAVELOCK NORTH</t>
  </si>
  <si>
    <t>NEW WORLD HASTINGS</t>
  </si>
  <si>
    <t>Alumni Tour: Breakfast x 28pax (14 March)</t>
  </si>
  <si>
    <t>BIRDWOODS CAFE</t>
  </si>
  <si>
    <t>Alumni Tour: Dinner 10 March (Emma, Danny &amp; Robin)</t>
  </si>
  <si>
    <t>CENTRAL FIRESTATION</t>
  </si>
  <si>
    <t>Alumni Tour: Dinner 11 March (Emma, Danny &amp; Robin)</t>
  </si>
  <si>
    <t>MARY'S RESTAURANT</t>
  </si>
  <si>
    <t>Alumni Tour: Final Dinner - Black Barn Bistro</t>
  </si>
  <si>
    <t>BISTRO LIMITED</t>
  </si>
  <si>
    <t>Alumni Tour: Lunch 11 March - Danny &amp; Robin</t>
  </si>
  <si>
    <t>LOT2</t>
  </si>
  <si>
    <t>Alumni Tour: Lunch x 28pax (14 March)</t>
  </si>
  <si>
    <t>Sawyers Arms</t>
  </si>
  <si>
    <t>ShepherdD-Printing</t>
  </si>
  <si>
    <t>Name Lanyards - Printing and Supply</t>
  </si>
  <si>
    <t>keys for new sale office X 3</t>
  </si>
  <si>
    <t>BUNNINGS 349000</t>
  </si>
  <si>
    <t>15558476-AVEDA00</t>
  </si>
  <si>
    <t>ROS OCDD Mar</t>
  </si>
  <si>
    <t>15558476</t>
  </si>
  <si>
    <t>FTF00017542-ACANO00</t>
  </si>
  <si>
    <t>RSA TOKEN INVOICE FOR MARCH 20</t>
  </si>
  <si>
    <t>FTF00017542</t>
  </si>
  <si>
    <t>CGT24-17 Chaffey</t>
  </si>
  <si>
    <t>CGT24-44 49 Correll</t>
  </si>
  <si>
    <t>CGT24-52 Kitto</t>
  </si>
  <si>
    <t>CGT24-54 Raff</t>
  </si>
  <si>
    <t>CGT24-55 Kitto</t>
  </si>
  <si>
    <t>CGT24-63 Raff</t>
  </si>
  <si>
    <t>CGT24-77 Reynolds</t>
  </si>
  <si>
    <t>INV-1508-AAMYP00</t>
  </si>
  <si>
    <t>Photography for Advance Leader</t>
  </si>
  <si>
    <t>INV-1508</t>
  </si>
  <si>
    <t>41815-AEVEN00</t>
  </si>
  <si>
    <t>Travel management company paym</t>
  </si>
  <si>
    <t>41815</t>
  </si>
  <si>
    <t>CGT24-46 Blomeley</t>
  </si>
  <si>
    <t>CGT24-53 Blomeley</t>
  </si>
  <si>
    <t>FMP19-28 Yolander</t>
  </si>
  <si>
    <t>PORTERM-Office Supplies</t>
  </si>
  <si>
    <t>50th Birthday Cake for Andrew Walker to have at Client Council Meeting Lunch</t>
  </si>
  <si>
    <t>Cheese Cake Shop Toow</t>
  </si>
  <si>
    <t>Writing off small balances</t>
  </si>
  <si>
    <t>AU025119</t>
  </si>
  <si>
    <t>AU025121</t>
  </si>
  <si>
    <t>AU025141</t>
  </si>
  <si>
    <t>AU025135</t>
  </si>
  <si>
    <t>AU031752</t>
  </si>
  <si>
    <t>AU010022</t>
  </si>
  <si>
    <t>AU010034</t>
  </si>
  <si>
    <t>AU010060</t>
  </si>
  <si>
    <t>AU020089</t>
  </si>
  <si>
    <t>AU025072</t>
  </si>
  <si>
    <t>AU025073</t>
  </si>
  <si>
    <t>AU025081</t>
  </si>
  <si>
    <t>AU025098</t>
  </si>
  <si>
    <t>AU025102</t>
  </si>
  <si>
    <t>AU025105</t>
  </si>
  <si>
    <t>AU025106</t>
  </si>
  <si>
    <t>AU025115</t>
  </si>
  <si>
    <t>AU025126</t>
  </si>
  <si>
    <t>AU025128</t>
  </si>
  <si>
    <t>AU025132</t>
  </si>
  <si>
    <t>AU025133</t>
  </si>
  <si>
    <t>AU036751</t>
  </si>
  <si>
    <t>AU050120</t>
  </si>
  <si>
    <t>INV-0529-AAUST04</t>
  </si>
  <si>
    <t>AFCX: Quarterly FRX fee for pe</t>
  </si>
  <si>
    <t>INV-0529</t>
  </si>
  <si>
    <t>CGT24-43 Brown</t>
  </si>
  <si>
    <t>CGT24-47 Boyd</t>
  </si>
  <si>
    <t>CGT24-57 Chaffey</t>
  </si>
  <si>
    <t>CGT24-64 Brown</t>
  </si>
  <si>
    <t>FMP19-18 Dixon</t>
  </si>
  <si>
    <t>Ed McGeoch Farewell Gift</t>
  </si>
  <si>
    <t>R.M. Williams Australia</t>
  </si>
  <si>
    <t>Farewell card for Ed McGeoch</t>
  </si>
  <si>
    <t>ECARDFOREST CARDS&amp;GIFT</t>
  </si>
  <si>
    <t>BFVG Gala Dinner Tickets</t>
  </si>
  <si>
    <t>Breakfast Expense - BMP Alumni Tour 2024</t>
  </si>
  <si>
    <t>Breakfast Expense - Porters Boutqiue Hotel - BMP Alumni Tour</t>
  </si>
  <si>
    <t>Meal expense - Napier Airport - BMP Alumni Tour 2024</t>
  </si>
  <si>
    <t>LDEAB LIMITED</t>
  </si>
  <si>
    <t>CGT24-58 HOWARD</t>
  </si>
  <si>
    <t>EDP25M2-69 Appleton</t>
  </si>
  <si>
    <t>EDP25M2PP-50 A Taylor</t>
  </si>
  <si>
    <t>EDP26-14 Mort</t>
  </si>
  <si>
    <t>SturgissH-Offshore Meals &amp; Lod</t>
  </si>
  <si>
    <t>Coffee, Sale Branch Nespresso Machine</t>
  </si>
  <si>
    <t>EDP25M2-59 Gibson</t>
  </si>
  <si>
    <t>EDP25M2-68 Weatherly</t>
  </si>
  <si>
    <t>EDP25M2-76 Haylock</t>
  </si>
  <si>
    <t>EDP25M2-77 Haylock</t>
  </si>
  <si>
    <t>EDPM2-72 Gibson</t>
  </si>
  <si>
    <t>FMP19-20 Booth</t>
  </si>
  <si>
    <t>FMP19-30 Russell</t>
  </si>
  <si>
    <t>FMP19-31 Mildner</t>
  </si>
  <si>
    <t>Reclass 41815-AEVEN00</t>
  </si>
  <si>
    <t>12345-Nicholas Cross</t>
  </si>
  <si>
    <t>FMP19-39 Henderson</t>
  </si>
  <si>
    <t>CGT24-71 Robinson</t>
  </si>
  <si>
    <t>CGT24-72 Robinson</t>
  </si>
  <si>
    <t>EDP25M2-64 De Haan</t>
  </si>
  <si>
    <t>EDP26M1-17CHADWICK</t>
  </si>
  <si>
    <t>FMP19-21 Eckerman</t>
  </si>
  <si>
    <t>FMP19-45 Pursehouse</t>
  </si>
  <si>
    <t>FMP19-46 Visscher</t>
  </si>
  <si>
    <t>1013167859-AAUST02</t>
  </si>
  <si>
    <t>OTC Services for the period en</t>
  </si>
  <si>
    <t>1013167859</t>
  </si>
  <si>
    <t>EDP25M2-63 Locke</t>
  </si>
  <si>
    <t>EDP26-18 Kitto</t>
  </si>
  <si>
    <t>FMP19 - 35 McLean</t>
  </si>
  <si>
    <t>KeoC-Other Personnel Expense</t>
  </si>
  <si>
    <t>Emma Higgins Get Well Flowers</t>
  </si>
  <si>
    <t>INTERFLORA PACIFIC</t>
  </si>
  <si>
    <t>EDP25M2-70 Yates</t>
  </si>
  <si>
    <t>EDP25M2-71 Yates</t>
  </si>
  <si>
    <t>FMP19 -27 Munro</t>
  </si>
  <si>
    <t>FMP19-36 Druery</t>
  </si>
  <si>
    <t>FMP19 Flight SYD-MEL return + Egencia booking fees</t>
  </si>
  <si>
    <t>EGEN*AUSI142326390/AUBI2024114237035/AUBI2024114237035350</t>
  </si>
  <si>
    <t>QANTAS AIR_ABN16009661901/FKPKFB6F5798BFH2/FKPKFB6F5798BFH2</t>
  </si>
  <si>
    <t>INV-0511-ANORT001</t>
  </si>
  <si>
    <t>INV-0511</t>
  </si>
  <si>
    <t>FMP19-24 Wyllie Harris</t>
  </si>
  <si>
    <t>FMP19-32 Brice Marwood</t>
  </si>
  <si>
    <t>FMP19-38 Jack Harris</t>
  </si>
  <si>
    <t>FMP19-40 Pimm</t>
  </si>
  <si>
    <t>EDP25M2-82 Warren</t>
  </si>
  <si>
    <t>CGT2463-RAFF</t>
  </si>
  <si>
    <t>FMP19-25 Cameron</t>
  </si>
  <si>
    <t>06/05/2024-06/05/20-EZELT00</t>
  </si>
  <si>
    <t>PAW panel discussion thankyou</t>
  </si>
  <si>
    <t>06/05/2024-06/05/2024</t>
  </si>
  <si>
    <t>FMP19-33 Jones</t>
  </si>
  <si>
    <t>CGT24-81 MILLS</t>
  </si>
  <si>
    <t>EDP25M2-84 Warren</t>
  </si>
  <si>
    <t>EDP26M1-20 Kennedy</t>
  </si>
  <si>
    <t>15576079-AVEDA00</t>
  </si>
  <si>
    <t>ROS OCDD Apr</t>
  </si>
  <si>
    <t>15576079</t>
  </si>
  <si>
    <t>FTCF0000684-ACANO00</t>
  </si>
  <si>
    <t>Credit Note</t>
  </si>
  <si>
    <t>FTCF0000684</t>
  </si>
  <si>
    <t>FTF00017954-ACANO00</t>
  </si>
  <si>
    <t>RSA token letters Apr</t>
  </si>
  <si>
    <t>FTF00017954</t>
  </si>
  <si>
    <t>CGT24-79 Baker</t>
  </si>
  <si>
    <t>EDP25M2-80 Mulligan</t>
  </si>
  <si>
    <t>FMP19-22 Wittwer</t>
  </si>
  <si>
    <t>RABO-16/05/24-AJOHN 00</t>
  </si>
  <si>
    <t>Refund for Canadian Grains Tou</t>
  </si>
  <si>
    <t>RABO-16/05/24</t>
  </si>
  <si>
    <t>JOHN CHAFFEY</t>
  </si>
  <si>
    <t>RABO-16/05/24-AVICT18</t>
  </si>
  <si>
    <t>VICTORIA PARK FARMING PTY LTD</t>
  </si>
  <si>
    <t>EDP25M2-48 McCourt</t>
  </si>
  <si>
    <t>FMP19-47 Ipsen</t>
  </si>
  <si>
    <t>Bojana thank you WHS Matter</t>
  </si>
  <si>
    <t>PAYPAL/CPF5YVGR62XH</t>
  </si>
  <si>
    <t>Gift for Bojana Ilic</t>
  </si>
  <si>
    <t>PAYPAL/J24GVBCYC2XH</t>
  </si>
  <si>
    <t>HareK-Entertainment Expense</t>
  </si>
  <si>
    <t>Jade Bond - Thank you WHS</t>
  </si>
  <si>
    <t>ANIMUS DISTILLERY</t>
  </si>
  <si>
    <t>HareK-Offshore Meals &amp; Lodging</t>
  </si>
  <si>
    <t>Glenn Benton - Thank you WHS</t>
  </si>
  <si>
    <t>CHARLEYNOBLEEA240306NB</t>
  </si>
  <si>
    <t>Lance Zimmerman Gift</t>
  </si>
  <si>
    <t>R.M.Williams</t>
  </si>
  <si>
    <t>CGT24-82 Sexton</t>
  </si>
  <si>
    <t>CGT24-83 Sexton</t>
  </si>
  <si>
    <t>EDP25M2-49 Mulligan</t>
  </si>
  <si>
    <t>EDP25M2-66 Tait</t>
  </si>
  <si>
    <t>EDP25M2-67 Tait</t>
  </si>
  <si>
    <t>1276293-AYARR00</t>
  </si>
  <si>
    <t>1276293</t>
  </si>
  <si>
    <t>38247611-AVIEW00</t>
  </si>
  <si>
    <t>38247611</t>
  </si>
  <si>
    <t>Embroidery - Baggy Green hats x 6</t>
  </si>
  <si>
    <t>YP WORK &amp; SAFETY WEA</t>
  </si>
  <si>
    <t>EDP25M2-74 Young</t>
  </si>
  <si>
    <t>EDP26M1-19 Modra</t>
  </si>
  <si>
    <t>EDP26M1-23 Slade</t>
  </si>
  <si>
    <t>FAS CL 91002281/3403-ADIME01</t>
  </si>
  <si>
    <t>GrootJ5-Clearing &amp; Bank (trans</t>
  </si>
  <si>
    <t>MATTHEWSC-Domestic &amp; Overseas</t>
  </si>
  <si>
    <t>JAMESB-Offshore Meals &amp; Lodgin</t>
  </si>
  <si>
    <t>Venue, catering, audio etc. Payment for SQLD Bank Update &amp; All Staff Offsite - approx. 60 staff atte</t>
  </si>
  <si>
    <t>HSW Events</t>
  </si>
  <si>
    <t>Apple Cloud Storage - Iphone Rabo</t>
  </si>
  <si>
    <t>APPLE.COM/BILL</t>
  </si>
  <si>
    <t>PlattA-Default Licensee Mercha</t>
  </si>
  <si>
    <t>EDP26-21 McGrath</t>
  </si>
  <si>
    <t>EDP25M2-86 Burgess</t>
  </si>
  <si>
    <t>EDP25M2-88 Flanery</t>
  </si>
  <si>
    <t>EDP26-11 Jurgens</t>
  </si>
  <si>
    <t>EDP26M1-16 Ballinger</t>
  </si>
  <si>
    <t>FMP19-52 Coggan</t>
  </si>
  <si>
    <t>CGT24-80 MILLS</t>
  </si>
  <si>
    <t>EDP26-25 Burton</t>
  </si>
  <si>
    <t>Gift for the Caldwell farm visit in QLD</t>
  </si>
  <si>
    <t>1ST CHOICE 8612</t>
  </si>
  <si>
    <t>gidley-bairda-Default Licensee</t>
  </si>
  <si>
    <t>Beef Week &amp; Lance Zimmerman AU Tour - Meal</t>
  </si>
  <si>
    <t>LIFESTYLE AUSTRALIA</t>
  </si>
  <si>
    <t>lobelsonb-Default Licensee Mer</t>
  </si>
  <si>
    <t>Clearer Thank You's (P Hooper, T Hussain)</t>
  </si>
  <si>
    <t>Westfield Bondi</t>
  </si>
  <si>
    <t>Project Thank You - Kevin Hampton</t>
  </si>
  <si>
    <t>True Rewards/7155718811256027303968</t>
  </si>
  <si>
    <t>True Rewards/7158294113416696403990</t>
  </si>
  <si>
    <t>lobelsonb-Entertainment Expens</t>
  </si>
  <si>
    <t>Clearer Thank You (T Mendl)</t>
  </si>
  <si>
    <t>DAN MURPHY'S/71 SPRING ST</t>
  </si>
  <si>
    <t>lobelsonb-Other Personnel Expe</t>
  </si>
  <si>
    <t>Project Thank You - Krystal Oliver</t>
  </si>
  <si>
    <t>Title search</t>
  </si>
  <si>
    <t>RABO-16/05/24-ATHOM12</t>
  </si>
  <si>
    <t>Refund for Canadian GrainsTour</t>
  </si>
  <si>
    <t>THOMAS CHAFFEY</t>
  </si>
  <si>
    <t>EDP25M2-52 Hartley</t>
  </si>
  <si>
    <t>EDP25M2-75 Locke</t>
  </si>
  <si>
    <t>1013234240-AAUST02</t>
  </si>
  <si>
    <t>1013234240</t>
  </si>
  <si>
    <t>240305-ATURN01</t>
  </si>
  <si>
    <t>240305</t>
  </si>
  <si>
    <t>Drinks after Drinks Package finished at Team Dinner Regional All Staff Offsite</t>
  </si>
  <si>
    <t>HSW EVENTS PTY LTD</t>
  </si>
  <si>
    <t>Bread for Tomlinson Client Visit</t>
  </si>
  <si>
    <t>WESTERN BAKERIES PTY</t>
  </si>
  <si>
    <t>15593250-AVEDA00</t>
  </si>
  <si>
    <t>ROS OCDD May</t>
  </si>
  <si>
    <t>15593250</t>
  </si>
  <si>
    <t>1849-APARA00</t>
  </si>
  <si>
    <t>artwork design for tour</t>
  </si>
  <si>
    <t>1849</t>
  </si>
  <si>
    <t>1854-APARA00</t>
  </si>
  <si>
    <t>1854</t>
  </si>
  <si>
    <t>1013167868-APOST08</t>
  </si>
  <si>
    <t>1013167868</t>
  </si>
  <si>
    <t>AUSTRALIA POST ACCT NO 6276578</t>
  </si>
  <si>
    <t>1013234249-APOST08</t>
  </si>
  <si>
    <t>1013234249</t>
  </si>
  <si>
    <t>CGT24-59 Phelps</t>
  </si>
  <si>
    <t>dish rack, kettle</t>
  </si>
  <si>
    <t>KMART 1111</t>
  </si>
  <si>
    <t>doormat and step ladder</t>
  </si>
  <si>
    <t>CAPEVIEW HARDWARE PT</t>
  </si>
  <si>
    <t>extra keys cut for branch</t>
  </si>
  <si>
    <t>kitchen and bathroom stock</t>
  </si>
  <si>
    <t>plants &amp; plant supplies</t>
  </si>
  <si>
    <t>radio</t>
  </si>
  <si>
    <t>JB HI FI TRARALGON</t>
  </si>
  <si>
    <t>return &amp; exchange kettle &amp; dishrack</t>
  </si>
  <si>
    <t>Sale branch fit out - misc items</t>
  </si>
  <si>
    <t>Sale powerboards and bin</t>
  </si>
  <si>
    <t>wall hook</t>
  </si>
  <si>
    <t>THE REJECT SHOP 3437</t>
  </si>
  <si>
    <t>bathroom bins, soap, dishwashing supplies, business card holder</t>
  </si>
  <si>
    <t>OFFICEWORKS 0354</t>
  </si>
  <si>
    <t>initial branch kitchen &amp; bathroom stock</t>
  </si>
  <si>
    <t>COLES 0679</t>
  </si>
  <si>
    <t>initial kitchen stock  Sale branch</t>
  </si>
  <si>
    <t>INV-0514-ANORT001</t>
  </si>
  <si>
    <t>Broker Retainer</t>
  </si>
  <si>
    <t>INV-0514</t>
  </si>
  <si>
    <t>Gifts for Risk Bingo Event at Risk Offsite and coffees for Lizette and Marcel including guest speake</t>
  </si>
  <si>
    <t>CGT24-67 Trevethan</t>
  </si>
  <si>
    <t>CGT24-74 Younghusband</t>
  </si>
  <si>
    <t>KeshavP-Default Licensee Merch</t>
  </si>
  <si>
    <t>IR Roadshow - Doctor</t>
  </si>
  <si>
    <t>ONEHEALTH ACCIDENT &amp; MED</t>
  </si>
  <si>
    <t>IR Roadshow - Pharmacy</t>
  </si>
  <si>
    <t>MEDICINES TO MIDNIGHT</t>
  </si>
  <si>
    <t>Laminated Wall Maps of AU and NZ for BMPs</t>
  </si>
  <si>
    <t>eBay O*01-11661-84152</t>
  </si>
  <si>
    <t>TICKETS*WOMEN FOR/rmdvpqwz</t>
  </si>
  <si>
    <t>New bolts for TV screen replacements</t>
  </si>
  <si>
    <t>eBay O*20-11407-11439</t>
  </si>
  <si>
    <t>Sydney TVs bolts for TV bracket</t>
  </si>
  <si>
    <t>BUNNINGS 572000</t>
  </si>
  <si>
    <t>INV-0193-AWHAT00</t>
  </si>
  <si>
    <t>INV-0193</t>
  </si>
  <si>
    <t>WHAT I WISH I KNEW PTY LTD</t>
  </si>
  <si>
    <t>INV-0493-AROMA20</t>
  </si>
  <si>
    <t>INV-0493</t>
  </si>
  <si>
    <t>ROMA EVENT HIRE</t>
  </si>
  <si>
    <t>FTF00018335-ACANO00</t>
  </si>
  <si>
    <t>RSA Token invoice for May 2024</t>
  </si>
  <si>
    <t>FTF00018335</t>
  </si>
  <si>
    <t>RABO-25/05/24-AREEC05</t>
  </si>
  <si>
    <t>Tarina n Reece Reimbursement</t>
  </si>
  <si>
    <t>RABO-25/05/24</t>
  </si>
  <si>
    <t>REECE AND TARINA WARREN</t>
  </si>
  <si>
    <t>1013287518-AAUST15</t>
  </si>
  <si>
    <t>COMMUNITY REPRESENTATION FEE</t>
  </si>
  <si>
    <t>1013287518</t>
  </si>
  <si>
    <t>AUSTRALIA POST ACCT NO 6404113</t>
  </si>
  <si>
    <t>DunhillE-Airfares</t>
  </si>
  <si>
    <t>Mel Sheppard Flights - EDP25.2</t>
  </si>
  <si>
    <t>EGEN*AUSI142373268/AUBI2024152286768/AUBI2024152286768850</t>
  </si>
  <si>
    <t>Patrick Allen - Egencia Fee FMP19 Mnmgt Project Finalist Flights</t>
  </si>
  <si>
    <t>EGEN*AUSI142340166/AUBI2024127253493/AUBI2024127253493840</t>
  </si>
  <si>
    <t>Sam Hobbs - FMP19 Mnmgt Project Finalist Flights</t>
  </si>
  <si>
    <t>EGEN*AUSI142342531/AUBI2024128255364/AUBI2024128255364550</t>
  </si>
  <si>
    <t>EGEN*AUSI142342532/AUBI2024128255364/AUBI2024128255364560</t>
  </si>
  <si>
    <t>DunhillE-Default Licensee Merc</t>
  </si>
  <si>
    <t>EDP25.2 Photographer Fee first installment</t>
  </si>
  <si>
    <t>THE PHOTOG BUSINESS</t>
  </si>
  <si>
    <t>EDP26 Photographer Fee first installment</t>
  </si>
  <si>
    <t>Patrick Allen - FMP19 Mnmgt Project Finalist Flights</t>
  </si>
  <si>
    <t>QANTAS AIR_ABN16009661901/R89BVWHXL98H3HC2/R89BVWHXL98H3HC2</t>
  </si>
  <si>
    <t>DunhillE-Entertainment Expense</t>
  </si>
  <si>
    <t>Deposit for Audio Hire - FMP19 Graduation Dinner</t>
  </si>
  <si>
    <t>PARTY HIRE PRODUCTIO</t>
  </si>
  <si>
    <t>MurrayK-Default Licensee Merch</t>
  </si>
  <si>
    <t>Replacement Coffee Machine for Dubbo</t>
  </si>
  <si>
    <t>JB HI FI DUBBO</t>
  </si>
  <si>
    <t>FinancialSkillsWorkshops_LeongathaVIC_18May_Catering</t>
  </si>
  <si>
    <t>PROPSTINGRL-Default Licensee M</t>
  </si>
  <si>
    <t>Canadian Grains Tour - Client Tour Shirt</t>
  </si>
  <si>
    <t>DUST N BOOTS</t>
  </si>
  <si>
    <t>ITEMS FOR RISK TEAM OFFSITE</t>
  </si>
  <si>
    <t>BIG W/152 BUNNERONG ROAD</t>
  </si>
  <si>
    <t>ROSSR-Literature (Books, Newsp</t>
  </si>
  <si>
    <t>ITEMS FOR MUSIC BINGO EVENT</t>
  </si>
  <si>
    <t>DARLING PARK NEWS</t>
  </si>
  <si>
    <t>FMP19 Participant Personal Assessment Tool</t>
  </si>
  <si>
    <t>PREDICTIVE INSIGHT PTY</t>
  </si>
  <si>
    <t>344-AKATR02</t>
  </si>
  <si>
    <t>344</t>
  </si>
  <si>
    <t>Cloud storage April 24</t>
  </si>
  <si>
    <t>APPLE.COM/BILL/MT8WNNFG70A0   9999999999</t>
  </si>
  <si>
    <t>Cloud storage May 2024</t>
  </si>
  <si>
    <t>APPLE.COM/BILL/MT8WTS07K0A0   9999999999</t>
  </si>
  <si>
    <t>Iphone Cloud Storage March 2024</t>
  </si>
  <si>
    <t>APPLE.COM/BILL/MT8WKQB7Y0A0   9999999999</t>
  </si>
  <si>
    <t>flights - Shayne Sice</t>
  </si>
  <si>
    <t>EGEN*AUSI142379541/AUBI2024157293025/AUBI2024157293025780</t>
  </si>
  <si>
    <t>SiceS-Default Licensee Merchan</t>
  </si>
  <si>
    <t>fee to process visa</t>
  </si>
  <si>
    <t>CIBT AUSTRALIA</t>
  </si>
  <si>
    <t>Tour merchandise</t>
  </si>
  <si>
    <t>RB Sellars Australia</t>
  </si>
  <si>
    <t>SiceS-Other Personnel Expense</t>
  </si>
  <si>
    <t>farm host thank you</t>
  </si>
  <si>
    <t>Annabel Trends P L</t>
  </si>
  <si>
    <t>Sample client thank you</t>
  </si>
  <si>
    <t>ANNABEL TRENDS</t>
  </si>
  <si>
    <t>ChristianCM-Default Licensee M</t>
  </si>
  <si>
    <t>Car Wash - For Holden Trail Blazer - Went to Joe Clements</t>
  </si>
  <si>
    <t>CIRCUM WASH</t>
  </si>
  <si>
    <t>EDP25M2-87 Greenacre</t>
  </si>
  <si>
    <t>INV-0016-ALEAD01</t>
  </si>
  <si>
    <t>INV-0016</t>
  </si>
  <si>
    <t>LEADWELL PEOPLE PTY LTD</t>
  </si>
  <si>
    <t>Replacement Vacuum Cleaner for office</t>
  </si>
  <si>
    <t>Canadian Grain Tour Hamper</t>
  </si>
  <si>
    <t>LINDNER SOCKS</t>
  </si>
  <si>
    <t>Tour tablecloths</t>
  </si>
  <si>
    <t>Hook for coats</t>
  </si>
  <si>
    <t>non slip door mat</t>
  </si>
  <si>
    <t>DISCOUNT KING</t>
  </si>
  <si>
    <t>1283508-AYARR00</t>
  </si>
  <si>
    <t>1283508</t>
  </si>
  <si>
    <t>2024-1-ASTON08</t>
  </si>
  <si>
    <t>FMP Facilitation</t>
  </si>
  <si>
    <t>2024-1</t>
  </si>
  <si>
    <t>STONECASH ASSOCIATES PTY LIMITED</t>
  </si>
  <si>
    <t>FMP Travel reimbursement</t>
  </si>
  <si>
    <t>2024-2-ASTON08</t>
  </si>
  <si>
    <t>2024-2</t>
  </si>
  <si>
    <t>BMP Alumni Tour Facilitation</t>
  </si>
  <si>
    <t>2094566-AKWIK03</t>
  </si>
  <si>
    <t>FMP19_Printing Requirements</t>
  </si>
  <si>
    <t>2094566</t>
  </si>
  <si>
    <t>2094823-AKWIK03</t>
  </si>
  <si>
    <t>FMP19_Grad Dinner Printing</t>
  </si>
  <si>
    <t>2094823</t>
  </si>
  <si>
    <t>Weal001-ATHOM01</t>
  </si>
  <si>
    <t>CGT24_Farm host thank you</t>
  </si>
  <si>
    <t>Weal001</t>
  </si>
  <si>
    <t>THOMAS LACHLAN ROOKYARD T/A TLR LEATHER</t>
  </si>
  <si>
    <t>MHR 2024-03/07/24-WMELO00</t>
  </si>
  <si>
    <t>MHR 2024-03/07/24</t>
  </si>
  <si>
    <t>MELONIE SHEPPARD</t>
  </si>
  <si>
    <t>RABO-28/06/24-AAVLO00</t>
  </si>
  <si>
    <t>Refund for Executive Developme</t>
  </si>
  <si>
    <t>RABO-28/06/24</t>
  </si>
  <si>
    <t>AV LOCKE &amp; EJ SMITH</t>
  </si>
  <si>
    <t>RABO-28/06/24-ASWAN02</t>
  </si>
  <si>
    <t>Refund for Farm Managers Progr</t>
  </si>
  <si>
    <t>SWAN HILL CATTLE CO</t>
  </si>
  <si>
    <t>KeoC-Office Supplies</t>
  </si>
  <si>
    <t>Team Offsite - Snacks</t>
  </si>
  <si>
    <t>Adaptor Apple for Adelaide Boardroom Tech</t>
  </si>
  <si>
    <t>JB HI FI ADELAIDE CI</t>
  </si>
  <si>
    <t>Monthly icloud subscription for work phone</t>
  </si>
  <si>
    <t>Bryan Hunt Retirement Joe Noonan Farewell Gift Bags</t>
  </si>
  <si>
    <t>MYER CENTRE NEWSAGENT</t>
  </si>
  <si>
    <t>1871-APARA00</t>
  </si>
  <si>
    <t>FMP19 Graphic Design Work</t>
  </si>
  <si>
    <t>1871</t>
  </si>
  <si>
    <t>1872-APARA00</t>
  </si>
  <si>
    <t>Graphic Design Work CGT2024</t>
  </si>
  <si>
    <t>1872</t>
  </si>
  <si>
    <t>1013302453-AAUST02</t>
  </si>
  <si>
    <t>Monthly invoice ending 30/6/24</t>
  </si>
  <si>
    <t>1013302453</t>
  </si>
  <si>
    <t>213302-WBDOC00</t>
  </si>
  <si>
    <t>213302</t>
  </si>
  <si>
    <t>BDO CHRISTCHURCH LIMITED</t>
  </si>
  <si>
    <t>CBR Trip 14-15 May- Equipment for laptop charger, needed for RLT</t>
  </si>
  <si>
    <t>NEWS CBR</t>
  </si>
  <si>
    <t>1082-ADJOY00</t>
  </si>
  <si>
    <t>FMP19 Photography</t>
  </si>
  <si>
    <t>1082</t>
  </si>
  <si>
    <t>McCallumA-Company Car Parking</t>
  </si>
  <si>
    <t>Car parking at Rockhampton Airport to pick up Ellie, Lachie &amp; Lach M for Beef2024</t>
  </si>
  <si>
    <t>ROCKHAMPTON REGIONAL C</t>
  </si>
  <si>
    <t>McCallumA-Office Supplies</t>
  </si>
  <si>
    <t>Milk for Rabo Marquee at Beef2024</t>
  </si>
  <si>
    <t>INV-0515-ANORT001</t>
  </si>
  <si>
    <t>INV-0515</t>
  </si>
  <si>
    <t>INV-0900-WLAND02</t>
  </si>
  <si>
    <t>INV-0900</t>
  </si>
  <si>
    <t>LANDPRO LTD</t>
  </si>
  <si>
    <t>RABO-28/06/24-WPATR00</t>
  </si>
  <si>
    <t>Refund for Farm Managers Prog</t>
  </si>
  <si>
    <t>PATRICK ALLEN</t>
  </si>
  <si>
    <t>Meal expense sydney airport - flight to Melb pre FMP19 - Emma</t>
  </si>
  <si>
    <t>Watermark</t>
  </si>
  <si>
    <t>AV hire for FMP19 Graduation Dinner</t>
  </si>
  <si>
    <t>DunhillE-Ground Travel</t>
  </si>
  <si>
    <t>FMP19  - Emma Taxi Fare from Airport to Accom</t>
  </si>
  <si>
    <t>FMP19- Emma Taxi Fare to Sydney Airport pre FMP19</t>
  </si>
  <si>
    <t>CABCHARGE/kcdpnnbs</t>
  </si>
  <si>
    <t>2024-018-WRURA07</t>
  </si>
  <si>
    <t>2024-018</t>
  </si>
  <si>
    <t>RURAL FIELD CONSULTANTS LTD</t>
  </si>
  <si>
    <t>240004-AJONA01</t>
  </si>
  <si>
    <t>240004</t>
  </si>
  <si>
    <t>JONATHAN TURNER</t>
  </si>
  <si>
    <t>49964-AMCKE00</t>
  </si>
  <si>
    <t>FMP19 Coach Transfers Sunday 1</t>
  </si>
  <si>
    <t>49964</t>
  </si>
  <si>
    <t>MCKENZIES TOURIST SERVICES PTY LTD</t>
  </si>
  <si>
    <t>50001-AMCKE00</t>
  </si>
  <si>
    <t>FMP19 Coach Transfers - Visit,</t>
  </si>
  <si>
    <t>50001</t>
  </si>
  <si>
    <t>INV-390-ATIMO03</t>
  </si>
  <si>
    <t>FMP19 Fitness session and trav</t>
  </si>
  <si>
    <t>INV-390</t>
  </si>
  <si>
    <t>LEAHY CORPORATE SERVICES PTY LTD</t>
  </si>
  <si>
    <t>EDP26M1-30 Solomann</t>
  </si>
  <si>
    <t>NgoW-Audit Fees</t>
  </si>
  <si>
    <t>Chartered Accountant membership fee</t>
  </si>
  <si>
    <t>FAIRFAX SUBSCRIPTIONS/74564724156353103867506</t>
  </si>
  <si>
    <t>469-ANATA00</t>
  </si>
  <si>
    <t>FMP19 Communications facilitat</t>
  </si>
  <si>
    <t>469</t>
  </si>
  <si>
    <t>NATASHA MCNAMARA</t>
  </si>
  <si>
    <t>EDP26M1- 32 Sanderson</t>
  </si>
  <si>
    <t>INV-1724-APRED00</t>
  </si>
  <si>
    <t>FMP19 Managing People facilita</t>
  </si>
  <si>
    <t>INV-1724</t>
  </si>
  <si>
    <t>PREDICTIVE INSIGHT PTY LTD</t>
  </si>
  <si>
    <t>DunhillE-Offshore Meals &amp; Lodg</t>
  </si>
  <si>
    <t>FMP19 Graduation Dinner 2nd installment</t>
  </si>
  <si>
    <t>Hubert Estate</t>
  </si>
  <si>
    <t>FMP19 Car Hire</t>
  </si>
  <si>
    <t>AVIS AUSTRALIA</t>
  </si>
  <si>
    <t>ShepherdD-Company Car Parking</t>
  </si>
  <si>
    <t>EDP25.2 Parking for material collection from head office</t>
  </si>
  <si>
    <t>WILSON PARKING SYDOBS</t>
  </si>
  <si>
    <t>FMP19 Petrol for Hire Car</t>
  </si>
  <si>
    <t>AMPOL STH MELBO 33334F</t>
  </si>
  <si>
    <t>FMP19 First Aid items for FMP Program</t>
  </si>
  <si>
    <t>CWH CHIRNSIDE PARK</t>
  </si>
  <si>
    <t>FMP19 Gift for Program Facilitator</t>
  </si>
  <si>
    <t>BODYHAVEN2016</t>
  </si>
  <si>
    <t>FMP19 Melbourne Tolls</t>
  </si>
  <si>
    <t>LINKT SYDNEY</t>
  </si>
  <si>
    <t>FMP19 Replacement Label Maker Cassettes</t>
  </si>
  <si>
    <t>FMP19 BWS - Gifts for Management Project Presentation Runners Up</t>
  </si>
  <si>
    <t>BWS LIQUOR/MAROONDAH HWY</t>
  </si>
  <si>
    <t>EDP25.2 Coach Upgrade Fee (larger bus)</t>
  </si>
  <si>
    <t>SYDNEY COACH CHARTER</t>
  </si>
  <si>
    <t>FMP19 Uber SYD Airport to Home for Danny</t>
  </si>
  <si>
    <t>UBER   *TRIP/c8b8ak1z</t>
  </si>
  <si>
    <t>Various goods for use at FMP19, incl. tissues, snacks, mentos, etc.</t>
  </si>
  <si>
    <t>WOOLWORTHS/MAROONDAH HWY</t>
  </si>
  <si>
    <t>EDP26.1 Welcome Dinner - Deposit 2</t>
  </si>
  <si>
    <t>DECKHOUSE</t>
  </si>
  <si>
    <t>FMP19 Coffee at Business Excursion</t>
  </si>
  <si>
    <t>SMP*Deliworld</t>
  </si>
  <si>
    <t>FMP19 Coffee/snack at airport</t>
  </si>
  <si>
    <t>AIRPORT RETAIL ENTERPR</t>
  </si>
  <si>
    <t>FMP19 Dinner for Mel, Danny &amp; Emma (Sat 15 June)</t>
  </si>
  <si>
    <t>SQ *SAAMSAIITHAI</t>
  </si>
  <si>
    <t>FMP19 Graduation Dinner final payment</t>
  </si>
  <si>
    <t>Harriett</t>
  </si>
  <si>
    <t>EllisT-Software</t>
  </si>
  <si>
    <t>Thank you / building back relationship gift to Rydges Hunter Valley | 2025 Regional Offsite</t>
  </si>
  <si>
    <t>KOKOBLACK-AUS</t>
  </si>
  <si>
    <t>RABO-AP-204</t>
  </si>
  <si>
    <t>Payment from Fin Crime&amp; Fraud</t>
  </si>
  <si>
    <t>2485-ATURN01</t>
  </si>
  <si>
    <t>TurnKey CGT24 Merchandise</t>
  </si>
  <si>
    <t>2485</t>
  </si>
  <si>
    <t>Turnkey Lanyards BCT25</t>
  </si>
  <si>
    <t>IN24001184NZ-WBANK02</t>
  </si>
  <si>
    <t>Print &amp; mail April 2024</t>
  </si>
  <si>
    <t>IN24001184NZ</t>
  </si>
  <si>
    <t>ABCORP NZ LIMITED</t>
  </si>
  <si>
    <t>INV-395-ATIMO03</t>
  </si>
  <si>
    <t>EDP25.2 Fitness session presen</t>
  </si>
  <si>
    <t>INV-395</t>
  </si>
  <si>
    <t>MHR 2030-WMELO00</t>
  </si>
  <si>
    <t>EDP25.2 Strategic HR Session p</t>
  </si>
  <si>
    <t>MHR 2030</t>
  </si>
  <si>
    <t>Portable microphone &amp; AV equipment for tours</t>
  </si>
  <si>
    <t>D1STORE.COM.AU</t>
  </si>
  <si>
    <t>Canada Grains Tour - Mackie Portable PA Speaker System</t>
  </si>
  <si>
    <t>eBay O*18-11755-93978</t>
  </si>
  <si>
    <t>Canada Grains Tour - Mackie Speaker Case</t>
  </si>
  <si>
    <t>AMZN Mktp CA/701-8237633-12058/FV7KuX5n5qGRCBG8bluC</t>
  </si>
  <si>
    <t>Canada Grains Tour - Mic for Portable PA System</t>
  </si>
  <si>
    <t>Amazon.ca*R70D57L02/701-8489625-25682/13Zt2CYsBJXQFBho8oRv</t>
  </si>
  <si>
    <t>1877-APARA00</t>
  </si>
  <si>
    <t>EDP25M2_GraphicDesign</t>
  </si>
  <si>
    <t>1877</t>
  </si>
  <si>
    <t>1882-APARA00</t>
  </si>
  <si>
    <t>BrazilCottonTour2025_GraphicDe</t>
  </si>
  <si>
    <t>1882</t>
  </si>
  <si>
    <t>2094816-AKWIK03</t>
  </si>
  <si>
    <t>KwikKopy Printing_Participant</t>
  </si>
  <si>
    <t>2094816</t>
  </si>
  <si>
    <t>2094996-AKWIK03</t>
  </si>
  <si>
    <t>KwikKopy_EDP25M2_PartnerFolder</t>
  </si>
  <si>
    <t>2094996</t>
  </si>
  <si>
    <t>2095335-AKWIK03</t>
  </si>
  <si>
    <t>KwikKopy_EDP25M2_Profile Bookl</t>
  </si>
  <si>
    <t>2095335</t>
  </si>
  <si>
    <t>2095338-AKWIK03</t>
  </si>
  <si>
    <t>KwikKopy_EDP25M2_NameTagsTents</t>
  </si>
  <si>
    <t>2095338</t>
  </si>
  <si>
    <t>2095341-AKWIK03</t>
  </si>
  <si>
    <t>KwikKopy_EDP25M2_Inserts</t>
  </si>
  <si>
    <t>2095341</t>
  </si>
  <si>
    <t>2095367-AKWIK03</t>
  </si>
  <si>
    <t>KwikKopy_Printing_Posters</t>
  </si>
  <si>
    <t>2095367</t>
  </si>
  <si>
    <t>2095415-AKWIK03</t>
  </si>
  <si>
    <t>KwikKopy_EDP25M2_TableNo.s</t>
  </si>
  <si>
    <t>2095415</t>
  </si>
  <si>
    <t>2095542-AKWIK03</t>
  </si>
  <si>
    <t>KwikKopy_EDP25M2_Grad Dinner I</t>
  </si>
  <si>
    <t>2095542</t>
  </si>
  <si>
    <t>2506-ATURN01</t>
  </si>
  <si>
    <t>TurnKey_EDP25M2_Participant Mu</t>
  </si>
  <si>
    <t>2506</t>
  </si>
  <si>
    <t>64462-APETE30</t>
  </si>
  <si>
    <t>EDP25.2 Partner Program Hogan</t>
  </si>
  <si>
    <t>64462</t>
  </si>
  <si>
    <t>PETER BERRY CONSULTANCY</t>
  </si>
  <si>
    <t>INV-0518-ANORT001</t>
  </si>
  <si>
    <t>Monthly Retainers</t>
  </si>
  <si>
    <t>INV-0518</t>
  </si>
  <si>
    <t>030776-AMGSM01</t>
  </si>
  <si>
    <t>EDP25M2_MGSM -_Conference &amp; Ac</t>
  </si>
  <si>
    <t>030776</t>
  </si>
  <si>
    <t>MGSM LIMITED</t>
  </si>
  <si>
    <t>0648-AMURP01</t>
  </si>
  <si>
    <t>EDP25M2_GraphicDesignWork</t>
  </si>
  <si>
    <t>0648</t>
  </si>
  <si>
    <t>1013368001-AAUST02</t>
  </si>
  <si>
    <t>Monthly Invoice period ending</t>
  </si>
  <si>
    <t>1013368001</t>
  </si>
  <si>
    <t>WhitesideM-Office Supplies</t>
  </si>
  <si>
    <t>All FEC Ops team meeting catering</t>
  </si>
  <si>
    <t>CHRISTOPHER'S SURRY HI</t>
  </si>
  <si>
    <t>Marty Wilson EDP25M2 presenter - flight cost Egencia Fee</t>
  </si>
  <si>
    <t>EGEN*AUSI142389009/AUBI2024166304891/AUBI2024166304891080</t>
  </si>
  <si>
    <t>QANTAS AIR_ABN16009661901/LQJM9KHQLVQDRP72/LQJM9KHQLVQDRP72</t>
  </si>
  <si>
    <t>SiceS-Contributions &amp; Club Mem</t>
  </si>
  <si>
    <t>Ag in Motion tickets</t>
  </si>
  <si>
    <t>AG IN MOTION TICKETS</t>
  </si>
  <si>
    <t>Purchase of luggage to freight merchandise</t>
  </si>
  <si>
    <t>BIG W/HIGH STREET</t>
  </si>
  <si>
    <t>Tour thank yous</t>
  </si>
  <si>
    <t>-THE-ICONIC-721000000</t>
  </si>
  <si>
    <t>SiceS-Ground Travel</t>
  </si>
  <si>
    <t>Courier</t>
  </si>
  <si>
    <t>UBER   *TRIP/5c85h07x</t>
  </si>
  <si>
    <t>UBER   *TRIP/q3s66c9y</t>
  </si>
  <si>
    <t>Host thank you</t>
  </si>
  <si>
    <t>SiceS-Software</t>
  </si>
  <si>
    <t>LOVE THY FARMER</t>
  </si>
  <si>
    <t>00002418-AAURO02</t>
  </si>
  <si>
    <t>EDP25.2 Managing Meetings Pres</t>
  </si>
  <si>
    <t>00002418</t>
  </si>
  <si>
    <t>AURORA PEOPLE</t>
  </si>
  <si>
    <t>1883-APARA00</t>
  </si>
  <si>
    <t>HortTour_GraphicDesignWork</t>
  </si>
  <si>
    <t>1883</t>
  </si>
  <si>
    <t>2024-3-ASTON08</t>
  </si>
  <si>
    <t>EDP25.2 Director &amp; Presenter F</t>
  </si>
  <si>
    <t>2024-3</t>
  </si>
  <si>
    <t>INV-008/24-ABRIN01</t>
  </si>
  <si>
    <t>EDP25.2 Whats Holding You Back</t>
  </si>
  <si>
    <t>INV-008/24</t>
  </si>
  <si>
    <t>BRINDEIS PTY LTD</t>
  </si>
  <si>
    <t>RABO-06/08/24-ASTUA05</t>
  </si>
  <si>
    <t>Executive Development Program</t>
  </si>
  <si>
    <t>RABO-06/08/24</t>
  </si>
  <si>
    <t>STUART TAIT</t>
  </si>
  <si>
    <t>plants for new office</t>
  </si>
  <si>
    <t>kitchen stock - milk &amp; client snacks</t>
  </si>
  <si>
    <t>148829-WTAVE00</t>
  </si>
  <si>
    <t>FMP19 Succession Presenter Fee</t>
  </si>
  <si>
    <t>148829</t>
  </si>
  <si>
    <t>TAVENDALE AND PARTNERS</t>
  </si>
  <si>
    <t>2023139-AMIND03</t>
  </si>
  <si>
    <t>EDP25.2 Innovation Presenter a</t>
  </si>
  <si>
    <t>2023139</t>
  </si>
  <si>
    <t>MINDS AT WORK</t>
  </si>
  <si>
    <t>INV-1271-ATRAN10</t>
  </si>
  <si>
    <t>EDP25.2 Succession Presenter a</t>
  </si>
  <si>
    <t>INV-1271</t>
  </si>
  <si>
    <t>subscription</t>
  </si>
  <si>
    <t>Canva* 04213-14457377</t>
  </si>
  <si>
    <t>Speaker Stand for Mackie Thump Go8 Speaker</t>
  </si>
  <si>
    <t>JB Hi-Fi Online</t>
  </si>
  <si>
    <t>ShepherdD-Other Personnel Expe</t>
  </si>
  <si>
    <t>EDP25.2 Flowers from participants for Program Director</t>
  </si>
  <si>
    <t>PETALS NETWORK PTY LTD</t>
  </si>
  <si>
    <t>2556-ATURN01</t>
  </si>
  <si>
    <t>EDP26M1_TurnKey_Coffee Mugs</t>
  </si>
  <si>
    <t>2556</t>
  </si>
  <si>
    <t>EDP25M2 Guest Presenter - Dane Martin AirFare - flight change difference</t>
  </si>
  <si>
    <t>QANTAS AIR_ABN16009661901/FTP4LSVZGTJX7TF6/FTP4LSVZGTJX7TF6</t>
  </si>
  <si>
    <t>EDP25M2 Guest Presenter - Dane Martin AirFare - flight change fee</t>
  </si>
  <si>
    <t>QANTAS AIR_ABN16009661901/RWBSPKP5Q8WSPWD3/RWBSPKP5Q8WSPWD3</t>
  </si>
  <si>
    <t>EDP25M2 Guest presenter Gift Bag - Dane Martin</t>
  </si>
  <si>
    <t>MYER  MACQUARIE</t>
  </si>
  <si>
    <t>EDP25.2 Coach Transfers</t>
  </si>
  <si>
    <t>EDP25M2 Graduation Dinner - Public Dining Room final payment</t>
  </si>
  <si>
    <t>PUBLIC DINING ROOM</t>
  </si>
  <si>
    <t>EDP25M2 Guest presenter Gift - Dane Martin</t>
  </si>
  <si>
    <t>LS The Hive Berambing</t>
  </si>
  <si>
    <t>Excess baggage</t>
  </si>
  <si>
    <t>AIR CAN*/0144270320989</t>
  </si>
  <si>
    <t>excess storage</t>
  </si>
  <si>
    <t>AIR CAN*/0144270320988</t>
  </si>
  <si>
    <t>Additional hat required</t>
  </si>
  <si>
    <t>STORE 10 BMO CENTRE</t>
  </si>
  <si>
    <t>audio equipment</t>
  </si>
  <si>
    <t>LONG &amp; MCQUADE/041276</t>
  </si>
  <si>
    <t>tour supplies</t>
  </si>
  <si>
    <t>CANADIAN TIRE #313</t>
  </si>
  <si>
    <t>GOLDEN THREADS EMBRO</t>
  </si>
  <si>
    <t>SPOTLIGHT 019</t>
  </si>
  <si>
    <t>THE HOME DEPOT #7170/RABO/RABO</t>
  </si>
  <si>
    <t>THINK SYDNEY</t>
  </si>
  <si>
    <t>WAL-MART SUPERCENTER#1089</t>
  </si>
  <si>
    <t>PALLISER HOTEL</t>
  </si>
  <si>
    <t>CALG CO-OP WINES &amp; SPIRIT</t>
  </si>
  <si>
    <t>UBER   *TRIP/5eerkxdd</t>
  </si>
  <si>
    <t>SiceS-Office Supplies</t>
  </si>
  <si>
    <t>tour lunch</t>
  </si>
  <si>
    <t>BORYSKI'S BUTCHER BLOCK</t>
  </si>
  <si>
    <t>COLES 7556</t>
  </si>
  <si>
    <t>OFFICEWORKS 0210</t>
  </si>
  <si>
    <t>SAFEWAY #8854</t>
  </si>
  <si>
    <t>SiceS-Offshore Meals &amp; Lodging</t>
  </si>
  <si>
    <t>CLUBHOUSE</t>
  </si>
  <si>
    <t>INV-1741-AAGRI01</t>
  </si>
  <si>
    <t>EDP25.2 Managing Risk presente</t>
  </si>
  <si>
    <t>INV-1741</t>
  </si>
  <si>
    <t>AGRISTA PTY LTD</t>
  </si>
  <si>
    <t>DunhillE-Other Personnel Expen</t>
  </si>
  <si>
    <t>CGT24 Host Gifts - Beechworth Honey</t>
  </si>
  <si>
    <t>MULLERTA-Literature (Books, Ne</t>
  </si>
  <si>
    <t>Stationary Financial Skills Workshop</t>
  </si>
  <si>
    <t>BARKERS NEWS</t>
  </si>
  <si>
    <t>MULLERTA-Office Supplies</t>
  </si>
  <si>
    <t>Longreach Branch Bin Bags</t>
  </si>
  <si>
    <t>CORNETTS SUPERMARKET</t>
  </si>
  <si>
    <t>232657-AZIPH00</t>
  </si>
  <si>
    <t>For Record only</t>
  </si>
  <si>
    <t>232657</t>
  </si>
  <si>
    <t>ZIP HEATERS (AUST) PTY LTD</t>
  </si>
  <si>
    <t>4293870-AZIPH00</t>
  </si>
  <si>
    <t>4293870</t>
  </si>
  <si>
    <t>EEC-537-EDENN02</t>
  </si>
  <si>
    <t>Gift for client - Barclay Fami</t>
  </si>
  <si>
    <t>EEC-537</t>
  </si>
  <si>
    <t>GEMMA DENNIS</t>
  </si>
  <si>
    <t>pots for indoor plants in branch refurbishment</t>
  </si>
  <si>
    <t>IKEA RICHMOND</t>
  </si>
  <si>
    <t>FTF00019265-ACANO00</t>
  </si>
  <si>
    <t>FTF00019265</t>
  </si>
  <si>
    <t>MOB24001-AOBRI02</t>
  </si>
  <si>
    <t>EDP25.2 Financing Growth prese</t>
  </si>
  <si>
    <t>MOB24001</t>
  </si>
  <si>
    <t>OBRIEN SENTINEL PL</t>
  </si>
  <si>
    <t>97547-AGREE05</t>
  </si>
  <si>
    <t>Digipass Carbon Offset</t>
  </si>
  <si>
    <t>97547</t>
  </si>
  <si>
    <t>GREENFLEET TRUST</t>
  </si>
  <si>
    <t>EDP25M2 egencia fee</t>
  </si>
  <si>
    <t>EGEN*AUSI142412021/AUBI2024186328415/AUBI2024186328415560</t>
  </si>
  <si>
    <t>DunhillE-Costs own Car Fleet</t>
  </si>
  <si>
    <t>EDP25M2 Travel Cost from Sydney - E Dunhill</t>
  </si>
  <si>
    <t>BP RAGLAN 7308</t>
  </si>
  <si>
    <t>EDP25M2 Travel Cost to Sydney - E Dunhill</t>
  </si>
  <si>
    <t>7 ELEVEN BATHURST 23</t>
  </si>
  <si>
    <t>EDP25M2 AV for Graduation Dinner</t>
  </si>
  <si>
    <t>SCENE CHANGE SYDNEY</t>
  </si>
  <si>
    <t>EDP25M2 Dane Martin flight from Sydney - Albury</t>
  </si>
  <si>
    <t>QANTAS AIR_ABN16009661901/DJFZV7B96GMHRPF6/DJFZV7B96GMHRPF6</t>
  </si>
  <si>
    <t>EDP26M1 - Photographery Cost</t>
  </si>
  <si>
    <t>DunhillE-Domestic &amp; Overseas l</t>
  </si>
  <si>
    <t>EDP25M2 MGSM - Water cost</t>
  </si>
  <si>
    <t>EDP25M2 Gifts for Peoples Choice &amp; Highly Commended</t>
  </si>
  <si>
    <t>BWS LIQUOR/MACQUARIE S/C</t>
  </si>
  <si>
    <t>EDP25M2 Taxi for Grad Dinner Set Up</t>
  </si>
  <si>
    <t>EDP26M1 - All Coach Transfers</t>
  </si>
  <si>
    <t>EDP25M2 Breakfast Cost - Sunday 20 July - E Dunhill</t>
  </si>
  <si>
    <t>UBER* EATS</t>
  </si>
  <si>
    <t>EDP25M2 PDR Grad Dinner Final Payment</t>
  </si>
  <si>
    <t>EDP25M2 pre-program Meal Cost - Shepherd &amp; Dunhill</t>
  </si>
  <si>
    <t>Misc Expenses for 25 Year Event - Batteries/plates ect</t>
  </si>
  <si>
    <t>THE REJECT SHOP 4441</t>
  </si>
  <si>
    <t>EDP25.2 Gift for Robin Stonecash / for stepping into leading Elio's session at late notice when he c</t>
  </si>
  <si>
    <t>V/CELLARS 3858</t>
  </si>
  <si>
    <t>extended accommodaitn for Ben Allen whilst sick</t>
  </si>
  <si>
    <t>HOLIDAY INN LETHBRIDGE/003184         40/003184         40</t>
  </si>
  <si>
    <t>catering dinner</t>
  </si>
  <si>
    <t>SASKTEL CENTRE/20201717188535825/018122</t>
  </si>
  <si>
    <t>Clearing old Balances</t>
  </si>
  <si>
    <t>AU010070</t>
  </si>
  <si>
    <t>AU025099</t>
  </si>
  <si>
    <t>BURTONN-Default Licensee Merch</t>
  </si>
  <si>
    <t>CLEMENTSP-Offshore Meals &amp; Lod</t>
  </si>
  <si>
    <t>FrizzellT-Domestic &amp; Overseas</t>
  </si>
  <si>
    <t>Rumanati Workshop</t>
  </si>
  <si>
    <t>THE STONES RESTAURANT</t>
  </si>
  <si>
    <t>FLETCHERM-Office Supplies</t>
  </si>
  <si>
    <t>Supplies for the Taroom Client Carbon Workshop 10-11 July 24</t>
  </si>
  <si>
    <t>IGA TAROOM</t>
  </si>
  <si>
    <t>Catering, group dinner &amp; drinks for Taroom Client Carbon Wshop</t>
  </si>
  <si>
    <t>Leichhardt Hotel Taro</t>
  </si>
  <si>
    <t>Bulk order M8 Bolts for 55" TV install</t>
  </si>
  <si>
    <t>eBay O*02-11689-26764</t>
  </si>
  <si>
    <t>Bulk order of Washers for 55" TV install</t>
  </si>
  <si>
    <t>BUNNINGS GROUP LTD</t>
  </si>
  <si>
    <t>Washers and Bolts for Dealing Room TV"s</t>
  </si>
  <si>
    <t>YOUNGF-Entertainment Expense</t>
  </si>
  <si>
    <t>Gift for Birthday client Viv Oldfield</t>
  </si>
  <si>
    <t>BWS LIQUOR/80-88 RUNDLE S</t>
  </si>
  <si>
    <t>15627454-AVEDA00</t>
  </si>
  <si>
    <t>Equifax invoice for July</t>
  </si>
  <si>
    <t>15627454</t>
  </si>
  <si>
    <t>15644098-AVEDA00</t>
  </si>
  <si>
    <t>Equifax invoice for August</t>
  </si>
  <si>
    <t>15644098</t>
  </si>
  <si>
    <t>1895-APARA00</t>
  </si>
  <si>
    <t>GraphicDesignProfileBooklet_ED</t>
  </si>
  <si>
    <t>1895</t>
  </si>
  <si>
    <t>2095423-AKWIK03</t>
  </si>
  <si>
    <t>KwikKopy_EDP26M1_ParticipantFo</t>
  </si>
  <si>
    <t>2095423</t>
  </si>
  <si>
    <t>2096422-AKWIK03</t>
  </si>
  <si>
    <t>KwikKopy_EDP26M1_Content</t>
  </si>
  <si>
    <t>2096422</t>
  </si>
  <si>
    <t>2096425-AKWIK03</t>
  </si>
  <si>
    <t>KwikKopy_EDP26M1_HoganAssessme</t>
  </si>
  <si>
    <t>2096425</t>
  </si>
  <si>
    <t>2096608-AKWIK03</t>
  </si>
  <si>
    <t>KwikKopy_DinnerItems_EDP26M1</t>
  </si>
  <si>
    <t>2096608</t>
  </si>
  <si>
    <t>64477-APETE30</t>
  </si>
  <si>
    <t>EDP26.1 Hogan presenter and as</t>
  </si>
  <si>
    <t>64477</t>
  </si>
  <si>
    <t>INV-0022-ALEAD01</t>
  </si>
  <si>
    <t>EDP26.1 Wellbeing Presenter fe</t>
  </si>
  <si>
    <t>EDP26.1 Wellbeing Presenter tr</t>
  </si>
  <si>
    <t>2401-AMINI01</t>
  </si>
  <si>
    <t>EDP25.2 Entrepreneurship prese</t>
  </si>
  <si>
    <t>MINIMAL FOOTPRINT COMPANY</t>
  </si>
  <si>
    <t>0125-ANAOM00</t>
  </si>
  <si>
    <t>EDP25.2 Leadership presenter a</t>
  </si>
  <si>
    <t>0125</t>
  </si>
  <si>
    <t>NAOMI FOX CONSULTING</t>
  </si>
  <si>
    <t>473-ANATA00</t>
  </si>
  <si>
    <t>EDP26.1 Communications Present</t>
  </si>
  <si>
    <t>473</t>
  </si>
  <si>
    <t>Cake for August Birthdays</t>
  </si>
  <si>
    <t>17 LG PTY LTD</t>
  </si>
  <si>
    <t>030834-AMGSM01</t>
  </si>
  <si>
    <t>EDP26M1_VenueConferenceCost_MG</t>
  </si>
  <si>
    <t>030834</t>
  </si>
  <si>
    <t>0654-AMURP01</t>
  </si>
  <si>
    <t>GraphicDesignWork_EDP26&gt;1</t>
  </si>
  <si>
    <t>0654</t>
  </si>
  <si>
    <t>0655-AMURP01</t>
  </si>
  <si>
    <t>GraphicDesignWork_FMP19</t>
  </si>
  <si>
    <t>0655</t>
  </si>
  <si>
    <t>240006-AJONA01</t>
  </si>
  <si>
    <t>240006</t>
  </si>
  <si>
    <t>INV-0520-ANORT001</t>
  </si>
  <si>
    <t>INV-0520</t>
  </si>
  <si>
    <t>INV-1278-ATRAN10</t>
  </si>
  <si>
    <t>EDP26.1 Succession Presenter a</t>
  </si>
  <si>
    <t>INV-1278</t>
  </si>
  <si>
    <t>RB-240985-WWEST05</t>
  </si>
  <si>
    <t>EDP26.1 Governance - GST on NZ</t>
  </si>
  <si>
    <t>RB-240985</t>
  </si>
  <si>
    <t>WESTLAKE GOVERNANCE LIMITED</t>
  </si>
  <si>
    <t>EDP26.1 Governance Presenter a</t>
  </si>
  <si>
    <t>BradyC1-Default Licensee Merch</t>
  </si>
  <si>
    <t>WHS staff burn gel</t>
  </si>
  <si>
    <t>PLINE PH TOWN HALL SQ</t>
  </si>
  <si>
    <t>HodgeM-Other Personnel Expense</t>
  </si>
  <si>
    <t>client gift flowers</t>
  </si>
  <si>
    <t>RENATOS FLORIST</t>
  </si>
  <si>
    <t>WilliamsK-Software</t>
  </si>
  <si>
    <t>DRI*</t>
  </si>
  <si>
    <t>6686404-ACSIR03</t>
  </si>
  <si>
    <t>EDP26.1 CSIRO Megatrends Prese</t>
  </si>
  <si>
    <t>6686404</t>
  </si>
  <si>
    <t>RABO1/24-APOCO00</t>
  </si>
  <si>
    <t>EDP26.1 Financing Growth Prese</t>
  </si>
  <si>
    <t>RABO1/24</t>
  </si>
  <si>
    <t>POCO LOCO INVESTMENTS PTY LTD</t>
  </si>
  <si>
    <t>INV-0033-ASAMV01</t>
  </si>
  <si>
    <t>EDP26.1 Value Add presenter fe</t>
  </si>
  <si>
    <t>INV-0033</t>
  </si>
  <si>
    <t>SAMVINNA PTY LTD</t>
  </si>
  <si>
    <t>EDP26.1 Value Add travel reimb</t>
  </si>
  <si>
    <t>Refund re Canada Grain tour</t>
  </si>
  <si>
    <t>2024-022-WRURA07</t>
  </si>
  <si>
    <t>EDP26.1 Finance Presenter Fee</t>
  </si>
  <si>
    <t>2024-022</t>
  </si>
  <si>
    <t>EDP26.1 Finance Presenter trav</t>
  </si>
  <si>
    <t>2024-4-ASTON08</t>
  </si>
  <si>
    <t>EDP26.1 Facilitator and Presen</t>
  </si>
  <si>
    <t>2024-4</t>
  </si>
  <si>
    <t>2094945-AKWIK03</t>
  </si>
  <si>
    <t>tour collateral</t>
  </si>
  <si>
    <t>2094945</t>
  </si>
  <si>
    <t>2094946-AKWIK03</t>
  </si>
  <si>
    <t>2094946</t>
  </si>
  <si>
    <t>2095085-AKWIK03</t>
  </si>
  <si>
    <t>2095085</t>
  </si>
  <si>
    <t>2095088-AKWIK03</t>
  </si>
  <si>
    <t>2095088</t>
  </si>
  <si>
    <t>Carl Letter thank you gift - Council member for 6 years</t>
  </si>
  <si>
    <t>Gift Bag for Carl Letter thank you present</t>
  </si>
  <si>
    <t>EVANSP-Contributions &amp; Club Me</t>
  </si>
  <si>
    <t>Ag in motion ticket</t>
  </si>
  <si>
    <t>AG IN MOTION</t>
  </si>
  <si>
    <t>Gifts on the Canadian Grains Tour</t>
  </si>
  <si>
    <t>0831-VAN PACIFIC COAST/20034/20034</t>
  </si>
  <si>
    <t>Miscellaneous expense at the Canadian Grains Tour</t>
  </si>
  <si>
    <t>SHOPPERS DRUG MART 362</t>
  </si>
  <si>
    <t>EVANSP-Domestic &amp; Overseas lod</t>
  </si>
  <si>
    <t>Dinner at Grant Hall for the Canadian Grains Tour</t>
  </si>
  <si>
    <t>GRANT HALL HOTEL</t>
  </si>
  <si>
    <t>Entry to the Calgary Exhibition for the Canadian Grains Tour</t>
  </si>
  <si>
    <t>NASHVILLE NORTH-CALGARY S</t>
  </si>
  <si>
    <t>Entry to the Calgary Stampede for the Canadian Grains Tour</t>
  </si>
  <si>
    <t>Two tickets to the Wildhorse on the Canadidan Grains tour</t>
  </si>
  <si>
    <t>SQ *WILDHORSE SALOON</t>
  </si>
  <si>
    <t>EVANSP-Ground Travel</t>
  </si>
  <si>
    <t>Taxi in Canada for the Canadian Grains Tour</t>
  </si>
  <si>
    <t>BLACK TOP &amp; CHECKER CABS</t>
  </si>
  <si>
    <t>CALGARY UNITED CABS</t>
  </si>
  <si>
    <t>CHECKER CAB</t>
  </si>
  <si>
    <t>EVANSP-Literature (Books, News</t>
  </si>
  <si>
    <t>Canada road atlas for the Canadian Grains Tour</t>
  </si>
  <si>
    <t>INDIGOSPIRIT 079</t>
  </si>
  <si>
    <t>EVANSP-Offshore Meals &amp; Lodgin</t>
  </si>
  <si>
    <t>Dinner on the Canadian Grains Tour</t>
  </si>
  <si>
    <t>CATHEDRAL SOCIAL HALL (SA</t>
  </si>
  <si>
    <t>Drinks on the Canadian Grains Tour</t>
  </si>
  <si>
    <t>SUNTERRA KEYNOTE MARKE</t>
  </si>
  <si>
    <t>TONY ROMA'S LETHBRIDGE</t>
  </si>
  <si>
    <t>YVR WHISTLER BREWING 7301</t>
  </si>
  <si>
    <t>Drinks on the Candian Grains Tour</t>
  </si>
  <si>
    <t>SQ *LOCAL 8TH AVE</t>
  </si>
  <si>
    <t>CALGARY STAMPEDE - NUTRIE</t>
  </si>
  <si>
    <t>Lunch on the Canadian Grains Tour</t>
  </si>
  <si>
    <t>CARDERO'S RESTAURANT</t>
  </si>
  <si>
    <t>Prizes for local RIV&amp;NVIC staff Olympic competition</t>
  </si>
  <si>
    <t>Laundry in the Candian Grains Tour</t>
  </si>
  <si>
    <t>INV-1800-AAGRI01</t>
  </si>
  <si>
    <t>EDP26.1 Benchmarking presenter</t>
  </si>
  <si>
    <t>INV-1800</t>
  </si>
  <si>
    <t>EDP26.1 Head office parking to return EDP materials to storeroom</t>
  </si>
  <si>
    <t>EDP26.1 Parking at head office to collect materials from storeroom</t>
  </si>
  <si>
    <t>EDP26.1 Gift from cohort to Program Director</t>
  </si>
  <si>
    <t>EDP26.1 Water for participant - Wellbeing session</t>
  </si>
  <si>
    <t>Coca Cola Amatil</t>
  </si>
  <si>
    <t>CocaColaEPP/74564724239210589266127</t>
  </si>
  <si>
    <t>Additional luggage</t>
  </si>
  <si>
    <t>AIR CANADA</t>
  </si>
  <si>
    <t>Misc</t>
  </si>
  <si>
    <t>AIR CAN*/0144270657187</t>
  </si>
  <si>
    <t>Stefan Vogel Milestone Gift</t>
  </si>
  <si>
    <t>MYER  SYDNEY CITY</t>
  </si>
  <si>
    <t>BULLS-Default Licensee Merchan</t>
  </si>
  <si>
    <t>Canvas pictures for the Albury branch</t>
  </si>
  <si>
    <t>Canvas Factory Pty Ltd</t>
  </si>
  <si>
    <t>Canvas prints for the Shepparton branch</t>
  </si>
  <si>
    <t>icloud storage Jul 2024 Work Mobile</t>
  </si>
  <si>
    <t>icloud storage June 2024</t>
  </si>
  <si>
    <t>EDP26.1 Materials - Sticky Notes, Blu Tack, Speaker AU charging cable</t>
  </si>
  <si>
    <t>COO Socialites Trivia decorations / Table Clothes</t>
  </si>
  <si>
    <t>COO Socialites Trivia equipment for event</t>
  </si>
  <si>
    <t>Retirement eCard for Peter Townsend</t>
  </si>
  <si>
    <t>GROUPGREETING</t>
  </si>
  <si>
    <t>Thank you flowers for Ellie Edmonds prior to leaving the bank.</t>
  </si>
  <si>
    <t>SQ *TOWNSVILLE FLOWER MAR</t>
  </si>
  <si>
    <t>McCallumA-Literature (Books, N</t>
  </si>
  <si>
    <t>Retirement Card to go with gift for Peter Townsend</t>
  </si>
  <si>
    <t>ALLENSTOWN NEWS</t>
  </si>
  <si>
    <t>McCallumA-Other Personnel Expe</t>
  </si>
  <si>
    <t>Flowers from QLD Team to Gen McAulay following the passing of Gen's Mother</t>
  </si>
  <si>
    <t>THE LUSH LILY</t>
  </si>
  <si>
    <t>INV-1755-AAGRI01</t>
  </si>
  <si>
    <t>EDP26.1 Sustainability Panel -</t>
  </si>
  <si>
    <t>INV-1755</t>
  </si>
  <si>
    <t>RABO-20/09/24-WSHER03</t>
  </si>
  <si>
    <t>Refund in full for EDP 26 Modu</t>
  </si>
  <si>
    <t>RABO-20/09/24</t>
  </si>
  <si>
    <t>SHERWOOD AGRICULTURE LTD</t>
  </si>
  <si>
    <t>240605-ATURN01</t>
  </si>
  <si>
    <t>FMP19_Lanyards_TurnKey</t>
  </si>
  <si>
    <t>240605</t>
  </si>
  <si>
    <t>65775-APETE30</t>
  </si>
  <si>
    <t>EDP26.1 Hogan assessment fees</t>
  </si>
  <si>
    <t>65775</t>
  </si>
  <si>
    <t>15661213-AVEDA00</t>
  </si>
  <si>
    <t>Equifax invoice September</t>
  </si>
  <si>
    <t>15661213</t>
  </si>
  <si>
    <t>FTF00019708-ACANO00</t>
  </si>
  <si>
    <t>RSA token invoice for Aug 2024</t>
  </si>
  <si>
    <t>FTF00019708</t>
  </si>
  <si>
    <t>EEC-752-ENIXO00</t>
  </si>
  <si>
    <t>Consultation for vaccinations</t>
  </si>
  <si>
    <t>EEC-752</t>
  </si>
  <si>
    <t>BEN NIXON</t>
  </si>
  <si>
    <t>EEC-751-ENIXO00</t>
  </si>
  <si>
    <t>Vaccinations for travel to Bra</t>
  </si>
  <si>
    <t>EEC-751</t>
  </si>
  <si>
    <t>EllisT-Entertainment Expense</t>
  </si>
  <si>
    <t>Thankyou/Farewell Gifts | CNNSW Departing Members (Ian/Gabe)</t>
  </si>
  <si>
    <t>LS 1883 INVESTMENTS P</t>
  </si>
  <si>
    <t>223-020-ACOHU01</t>
  </si>
  <si>
    <t>Pavilion hire for a RaboResear</t>
  </si>
  <si>
    <t>223-020</t>
  </si>
  <si>
    <t>COHUNA AP&amp;H SHOW SOCIETY</t>
  </si>
  <si>
    <t>1909-APARA00</t>
  </si>
  <si>
    <t>BCT25_GraphicDesign_LaunchCont</t>
  </si>
  <si>
    <t>1909</t>
  </si>
  <si>
    <t>INV-0522-ANORT001</t>
  </si>
  <si>
    <t>INV-0522</t>
  </si>
  <si>
    <t>WoTL Crop walk tickets - for Kylie and Myself</t>
  </si>
  <si>
    <t>TICKETS*WOMENS CRO/axskegpm</t>
  </si>
  <si>
    <t>industry event ticket - Gippsdairy AGM Service Provider Ticket</t>
  </si>
  <si>
    <t>plants</t>
  </si>
  <si>
    <t>BUNNINGS 340000</t>
  </si>
  <si>
    <t>Cable covers</t>
  </si>
  <si>
    <t>DCMS TECH PTY LTD</t>
  </si>
  <si>
    <t>wipes, duster, boardroom plant</t>
  </si>
  <si>
    <t>Branch Fruit - Refund</t>
  </si>
  <si>
    <t>Office Expenses - Coffee</t>
  </si>
  <si>
    <t>Work place coffee</t>
  </si>
  <si>
    <t>International Grains Tour Purchase of adaptors in Calgary - 8 July - 16 July</t>
  </si>
  <si>
    <t>WINNERS 267/0000000000000000100865</t>
  </si>
  <si>
    <t>MvD storage apple commenced subscription 24/07</t>
  </si>
  <si>
    <t>APPLE.COM/BILL/MS2MH622HLA0   9999999999</t>
  </si>
  <si>
    <t>DoremaeleMLM1-Telecommunicatio</t>
  </si>
  <si>
    <t>Canadian Grains Tour 9 July -  16 July - Adaptors for tech device</t>
  </si>
  <si>
    <t>MOBILE CARE</t>
  </si>
  <si>
    <t>Egencia Fee - EDP26.1 Guest presenter Sam Conway</t>
  </si>
  <si>
    <t>EGEN*AUSI142461386/AUBI2024229377190/AUBI2024229377190380</t>
  </si>
  <si>
    <t>DunhillE-Clearing &amp; Bank (tran</t>
  </si>
  <si>
    <t>Egencia Flight Credit - CCE Team Meeting October 2023</t>
  </si>
  <si>
    <t>QANTAS AIR  0812930525 NSW</t>
  </si>
  <si>
    <t>EDP26.1 Guest Presenter Gift Bags</t>
  </si>
  <si>
    <t>Flights - EDP26.1 Guest Presenter Sam Conway</t>
  </si>
  <si>
    <t>QANTAS AIR_ABN16009661901/FG6KDWLQ52P27QX3/FG6KDWLQ52P27QX3</t>
  </si>
  <si>
    <t>EDP26.1 Guest Presenter Gifts</t>
  </si>
  <si>
    <t>EDP26.1 - Welcome Dinner - Third payment_View by Sydney</t>
  </si>
  <si>
    <t>EDP26M1 - Welcome Dinner - Beverage Balance 29 August 2024</t>
  </si>
  <si>
    <t>VIEW BY SYDNEY/223602003252</t>
  </si>
  <si>
    <t>BradyC1-Office Supplies</t>
  </si>
  <si>
    <t>CBM Go-Live</t>
  </si>
  <si>
    <t>fairliel-Literature (Books, Ne</t>
  </si>
  <si>
    <t>FOSTERS NEWSAGENCY</t>
  </si>
  <si>
    <t>COO Socialites Decorations &amp; props</t>
  </si>
  <si>
    <t>818 ENTERPRISE PTY</t>
  </si>
  <si>
    <t>HareK-Other Personnel Expense</t>
  </si>
  <si>
    <t>Sonia Diamadis Thank you</t>
  </si>
  <si>
    <t>CARD.GIFT</t>
  </si>
  <si>
    <t>EDP 25.2 Nicky Hand</t>
  </si>
  <si>
    <t>Howzat Award | Q3 Winner (Rob De Gruchy)</t>
  </si>
  <si>
    <t>PREZZEE/AU1A34BA5C</t>
  </si>
  <si>
    <t>Farewell Gift Sam Orr</t>
  </si>
  <si>
    <t>PREZZEE/AUF394B339</t>
  </si>
  <si>
    <t>FTF00020305-ACANO00</t>
  </si>
  <si>
    <t>FTF00020305</t>
  </si>
  <si>
    <t>1013564137-AAUST02</t>
  </si>
  <si>
    <t>1013564137</t>
  </si>
  <si>
    <t>SandersWA-Other Personnel Expe</t>
  </si>
  <si>
    <t>105.00 Flowers for Tracy Muller baby arrival from Rabo Qld</t>
  </si>
  <si>
    <t>FLOWERS FROM LISA'S/122829008285</t>
  </si>
  <si>
    <t>15677630-AVEDA00</t>
  </si>
  <si>
    <t>Equifax invoice for October 20</t>
  </si>
  <si>
    <t>15677630</t>
  </si>
  <si>
    <t>All site merchandise  RUOK Day</t>
  </si>
  <si>
    <t>R U OK LIMITED</t>
  </si>
  <si>
    <t>INV-0524-ANORT001</t>
  </si>
  <si>
    <t>INV-0524</t>
  </si>
  <si>
    <t>Sympathy flowers for Gary Renshaw family</t>
  </si>
  <si>
    <t>SQ *MAIN ST BLOOMS</t>
  </si>
  <si>
    <t>BCT25 - 4 Simmons</t>
  </si>
  <si>
    <t>Icloud storage Jul 2024</t>
  </si>
  <si>
    <t>Iphone cloud storage fee Jun 24</t>
  </si>
  <si>
    <t>Iphone storage Aug 2024</t>
  </si>
  <si>
    <t>APPLE.COM/BILL/MT8X6KHMV9A0   9999999999</t>
  </si>
  <si>
    <t>Iphone storage Sep 2024</t>
  </si>
  <si>
    <t>EEC-894-ECLEM00</t>
  </si>
  <si>
    <t>Whiteboards for the FC Townhal</t>
  </si>
  <si>
    <t>EEC-894</t>
  </si>
  <si>
    <t>PATRICIA CLEMENTS</t>
  </si>
  <si>
    <t>BCT25 - 5 Clift</t>
  </si>
  <si>
    <t>Seafood Directions Conference Registration</t>
  </si>
  <si>
    <t>PROPSTINGRL-Software</t>
  </si>
  <si>
    <t>Alisa Fox SVT Thank you Gift</t>
  </si>
  <si>
    <t>SP GATHERED GOODS AU</t>
  </si>
  <si>
    <t>Chris Griffin SVT Thank you Gift</t>
  </si>
  <si>
    <t>BCT25-3 Austin</t>
  </si>
  <si>
    <t>0676-AMURP01</t>
  </si>
  <si>
    <t>ClientCouncilChairsMeeting_Can</t>
  </si>
  <si>
    <t>0676</t>
  </si>
  <si>
    <t>FLETCHERM-Company Car Parking</t>
  </si>
  <si>
    <t>Parking Airport Macadamia conference</t>
  </si>
  <si>
    <t>FTF00020665-ACANO00</t>
  </si>
  <si>
    <t>RSA token invoice period Octob</t>
  </si>
  <si>
    <t>FTF00020665</t>
  </si>
  <si>
    <t>INV-409-ATIMO03</t>
  </si>
  <si>
    <t>EDP26.1 Fitness presenter fee</t>
  </si>
  <si>
    <t>INV-409</t>
  </si>
  <si>
    <t>Macadamia Conference Registration Fletcher &amp; Treasure</t>
  </si>
  <si>
    <t>FLETCHERM-Other Personnel Expe</t>
  </si>
  <si>
    <t>Flowers from Region after Brads father passing</t>
  </si>
  <si>
    <t>THE LAKES CREEK FLOR</t>
  </si>
  <si>
    <t>BCT25-6 Ramsay</t>
  </si>
  <si>
    <t>CLEMENTSP-Office Supplies</t>
  </si>
  <si>
    <t>Birthday Cake for October Town Hall</t>
  </si>
  <si>
    <t>BREADTOP TOWNHALL PTY</t>
  </si>
  <si>
    <t>Client Council Chairs Meeting</t>
  </si>
  <si>
    <t>DEANES COACHES GROUP</t>
  </si>
  <si>
    <t>HOTEL KURRAJONG</t>
  </si>
  <si>
    <t>SiceS-Rental - Office Equipmen</t>
  </si>
  <si>
    <t>ELITE EVENT TECHNOLO</t>
  </si>
  <si>
    <t>15693564-AVEDA00</t>
  </si>
  <si>
    <t>Equifax invoice for November 2</t>
  </si>
  <si>
    <t>15693564</t>
  </si>
  <si>
    <t>NixonB-Default Licensee Mercha</t>
  </si>
  <si>
    <t>Brazil travel adaptor - Brazil MAC Program</t>
  </si>
  <si>
    <t>DUFRY LOJAS FRANCAS LT</t>
  </si>
  <si>
    <t>67623-APETE30</t>
  </si>
  <si>
    <t>EDP26.1 Hogan assessment coach</t>
  </si>
  <si>
    <t>67623</t>
  </si>
  <si>
    <t>EDP26.2 Grad Dinner_Public Dining Room Deposit</t>
  </si>
  <si>
    <t>FMP20 Deposit Grad Dinner - Hubert Estate</t>
  </si>
  <si>
    <t>BCT25 -2 Stump</t>
  </si>
  <si>
    <t>BursacD-Default Licensee Merch</t>
  </si>
  <si>
    <t>apple charger for iphone</t>
  </si>
  <si>
    <t>SQ *GET IT FIXT - PREMIUM</t>
  </si>
  <si>
    <t>Storage for phone - Draganas work phone as latest IOS 18.01 could not load</t>
  </si>
  <si>
    <t>APPLE.COM/BILL/MNY3Y0Y2LMA0   9999999999</t>
  </si>
  <si>
    <t>BursacD-Offshore Meals &amp; Lodgi</t>
  </si>
  <si>
    <t>Dinners for Tim Felan / Nicky - Birth of Baby Jack</t>
  </si>
  <si>
    <t>SP THE DINNER LADIES</t>
  </si>
  <si>
    <t>BursacD-Other Personnel Expens</t>
  </si>
  <si>
    <t>Flowers for Kylie Freke</t>
  </si>
  <si>
    <t>SIENNA* SIENNA BLOOM</t>
  </si>
  <si>
    <t>Flowers ordered Bryan Hunt last day</t>
  </si>
  <si>
    <t>Lima and Co</t>
  </si>
  <si>
    <t>Payment for Venue, Catering, Audio etc. for SQLD Regional All Staff Offsite &amp; Bank Update held in Br</t>
  </si>
  <si>
    <t>WarrenL-Other Personnel Expens</t>
  </si>
  <si>
    <t>Flowers delivered to Clients  - Prouds - Condulences</t>
  </si>
  <si>
    <t>WWW.BLOOMEX.COM.AU</t>
  </si>
  <si>
    <t>Flowers delivered to Graham Coulter / condulences on the dealth of his mother in law</t>
  </si>
  <si>
    <t>1947-APARA00</t>
  </si>
  <si>
    <t>2025 BMP Brochure</t>
  </si>
  <si>
    <t>1947</t>
  </si>
  <si>
    <t>BCT25 -9 Watson</t>
  </si>
  <si>
    <t>Flowers - Judy Sgarbossa</t>
  </si>
  <si>
    <t>SQ *THE FLOWER EFFECT</t>
  </si>
  <si>
    <t>Ambulance Transfer - Team Member (Workers Compensation)</t>
  </si>
  <si>
    <t>ZLR*Medical Edge Austra</t>
  </si>
  <si>
    <t>Fitness for Duty - Medical Report</t>
  </si>
  <si>
    <t>Kirrawee Family Medic</t>
  </si>
  <si>
    <t>FMP20 - Yarra Valley Lodge - Deposit 1</t>
  </si>
  <si>
    <t>YARRA VALLEY LODGE/5142.9080.2521</t>
  </si>
  <si>
    <t>Transport</t>
  </si>
  <si>
    <t>DEPT. OF PARLIAMENTA</t>
  </si>
  <si>
    <t>SiceS-Literature (Books, Newsp</t>
  </si>
  <si>
    <t>QBD THE BOOKSHOP</t>
  </si>
  <si>
    <t>BELTANA FARM DINING</t>
  </si>
  <si>
    <t>SiceS-Tuition (study) Reimburs</t>
  </si>
  <si>
    <t>OLDS COLLEGE</t>
  </si>
  <si>
    <t>Full team offsite items</t>
  </si>
  <si>
    <t>Etsy.com*FestiveFiestaFin</t>
  </si>
  <si>
    <t>SkountzosR-Other Personnel Exp</t>
  </si>
  <si>
    <t>Etsy.com*LeylaPet</t>
  </si>
  <si>
    <t>SkountzosR-Software</t>
  </si>
  <si>
    <t>Condolences - Kerri</t>
  </si>
  <si>
    <t>SP RETREAT YOURSELF</t>
  </si>
  <si>
    <t>INV-0526-ANORT001</t>
  </si>
  <si>
    <t>Video production equipment</t>
  </si>
  <si>
    <t>DIGITAL IMAGING EXPRES</t>
  </si>
  <si>
    <t>SiceS-Company Car Parking</t>
  </si>
  <si>
    <t>Parking</t>
  </si>
  <si>
    <t>CITYOFSYDNEY PARKING</t>
  </si>
  <si>
    <t>Parking EDP Dinner Jaimie Turnbull</t>
  </si>
  <si>
    <t>SlackS-Default Licensee Mercha</t>
  </si>
  <si>
    <t>FLRS Community Leave event</t>
  </si>
  <si>
    <t>CLEAN UP AUSTRALIA LTD</t>
  </si>
  <si>
    <t>BCT25 -7  Evans</t>
  </si>
  <si>
    <t>Thank you card for Gerard Hines (Delta Ag)</t>
  </si>
  <si>
    <t>BIG W/ANSON &amp; KITE STREET</t>
  </si>
  <si>
    <t>Thank you gift for Gerard Hines (Delta Ag)</t>
  </si>
  <si>
    <t>Field Days - Double Sided Tape - Projector screen securing use</t>
  </si>
  <si>
    <t>BUNNINGS 567000</t>
  </si>
  <si>
    <t>3m hooks for internal branch signage</t>
  </si>
  <si>
    <t>BUNNINGS 568000</t>
  </si>
  <si>
    <t>kitchen storage containers</t>
  </si>
  <si>
    <t>KMART 1284</t>
  </si>
  <si>
    <t>kitchen supplies Warragul branch</t>
  </si>
  <si>
    <t>DEW - Water Mortgage Seacrh Online</t>
  </si>
  <si>
    <t>DEW - WATER LICENSING</t>
  </si>
  <si>
    <t>WarrenL-Default Licensee Merch</t>
  </si>
  <si>
    <t>Cockroache Bait for Renmark Branch</t>
  </si>
  <si>
    <t>Daves Work N Safet</t>
  </si>
  <si>
    <t>WiessingMH1-Default Licensee M</t>
  </si>
  <si>
    <t>Writing off small bal</t>
  </si>
  <si>
    <t>Video production equipment - Microphone</t>
  </si>
  <si>
    <t>SP GEORGES CAMERAS AU</t>
  </si>
  <si>
    <t>LT Offsite shirts</t>
  </si>
  <si>
    <t>TEEJUNCTION.COM.AU</t>
  </si>
  <si>
    <t>HareK-Domestic &amp; Overseas lodg</t>
  </si>
  <si>
    <t>Voucher for Alexa Glynn</t>
  </si>
  <si>
    <t>VEDATHAIMASSAGE</t>
  </si>
  <si>
    <t>HareK-Office Supplies</t>
  </si>
  <si>
    <t>COO Domain Values Award and Cheers for peers</t>
  </si>
  <si>
    <t>COLES 7689</t>
  </si>
  <si>
    <t>Thank you Kylie Freke &amp; Alina Jacob</t>
  </si>
  <si>
    <t>JODIE MCGREGOR FLOWERS</t>
  </si>
  <si>
    <t>DoremaeleMLM1-Costs own Car Fl</t>
  </si>
  <si>
    <t>Dalby Trip 30-31 Oct - Cable for sat nav in car hire</t>
  </si>
  <si>
    <t>BP BLACKSOIL 1463</t>
  </si>
  <si>
    <t>General Expense Accrual</t>
  </si>
  <si>
    <t>Tour - not for staff - no ME</t>
  </si>
  <si>
    <t>Capital</t>
  </si>
  <si>
    <t>Under $100 ea = accept</t>
  </si>
  <si>
    <t>Alumni tour - accept client centric and travel expense for any staff. No fbt</t>
  </si>
  <si>
    <t>Tour - accept client centric and treated as business travel expense for any staff. No fbt</t>
  </si>
  <si>
    <t>AU030210</t>
  </si>
  <si>
    <t>FRAUD CS-3004917</t>
  </si>
  <si>
    <t>FRAUD CS-3013802</t>
  </si>
  <si>
    <t>FRAUD CS-3027467</t>
  </si>
  <si>
    <t>FRAUD CS-3028786</t>
  </si>
  <si>
    <t>FRAUD (CS-3037949)</t>
  </si>
  <si>
    <t>FRAUD CS-3043568</t>
  </si>
  <si>
    <t>FRAUD CS-3043648</t>
  </si>
  <si>
    <t>FRAUD CS-3041015</t>
  </si>
  <si>
    <t>FRAUD CS-3043590</t>
  </si>
  <si>
    <t>FRAUD(CS-3059468&amp;CS-3059555)</t>
  </si>
  <si>
    <t>FRAUD  CS-3068108</t>
  </si>
  <si>
    <t>FRAUD CS-3073731</t>
  </si>
  <si>
    <t>GT700000</t>
  </si>
  <si>
    <t>corr cash acct</t>
  </si>
  <si>
    <t>corr rounding</t>
  </si>
  <si>
    <t>FRAUD CS-3052376 &amp;3088857</t>
  </si>
  <si>
    <t>FRAUD (CS-3097799)</t>
  </si>
  <si>
    <t>rev batch 272168</t>
  </si>
  <si>
    <t>corr roundings</t>
  </si>
  <si>
    <t>FRAUD CS-3119332</t>
  </si>
  <si>
    <t>FRAUD CS-3128114</t>
  </si>
  <si>
    <t>AU010012</t>
  </si>
  <si>
    <t>Rvrsl of PY GST charges</t>
  </si>
  <si>
    <t>Misc. Expense Accrual</t>
  </si>
  <si>
    <t>Rvrsl of PY staff accruals</t>
  </si>
  <si>
    <t>Rvrsl of PY audit accruals</t>
  </si>
  <si>
    <t>Rvrsl of PY CLR FBT accruals</t>
  </si>
  <si>
    <t>Rvrsl of PY Options Desk Rchrg</t>
  </si>
  <si>
    <t>FRAUD CS-3217348</t>
  </si>
  <si>
    <t>AU060001</t>
  </si>
  <si>
    <t>rounding cash and funding</t>
  </si>
  <si>
    <t>FRAUD CS-3234229</t>
  </si>
  <si>
    <t>FRAUD CS-3258186)</t>
  </si>
  <si>
    <t>FRAUD CS-3273837</t>
  </si>
  <si>
    <t>FRAUD CS-3215674</t>
  </si>
  <si>
    <t>IFRS 16 Allocation Jul 24</t>
  </si>
  <si>
    <t>IFRS 16 Allocation Jun 24 YTD</t>
  </si>
  <si>
    <t>FRAUD CS-3353465</t>
  </si>
  <si>
    <t>FRAUD CS-3364245</t>
  </si>
  <si>
    <t>FRAUD JAY Turner</t>
  </si>
  <si>
    <t>FRAUD CS-CS-3383304</t>
  </si>
  <si>
    <t>FRAUD CS-3402156</t>
  </si>
  <si>
    <t>corr Affiliates</t>
  </si>
  <si>
    <t>FRAUD CS-CS-3416378</t>
  </si>
  <si>
    <t>FRAUD CS-3426844</t>
  </si>
  <si>
    <t>IFRS 16 Allocation Jul-Sep 24</t>
  </si>
  <si>
    <t>rounding</t>
  </si>
  <si>
    <t>FRAUD CS-3445286</t>
  </si>
  <si>
    <t>FRAUD CS-3467672</t>
  </si>
  <si>
    <t>corr Aff and Traderef</t>
  </si>
  <si>
    <t>AU010027</t>
  </si>
  <si>
    <t>cleanup roundings RetEarn</t>
  </si>
  <si>
    <t>AU060141</t>
  </si>
  <si>
    <t>AU025053</t>
  </si>
  <si>
    <t>AU025060</t>
  </si>
  <si>
    <t>AU025069</t>
  </si>
  <si>
    <t>AU025075</t>
  </si>
  <si>
    <t>AU025076</t>
  </si>
  <si>
    <t>AU025087</t>
  </si>
  <si>
    <t>AU025093</t>
  </si>
  <si>
    <t>AU032047</t>
  </si>
  <si>
    <t>AU036741</t>
  </si>
  <si>
    <t>AU036748</t>
  </si>
  <si>
    <t>AU060140</t>
  </si>
  <si>
    <t>AU074252</t>
  </si>
  <si>
    <t>AU074258</t>
  </si>
  <si>
    <t>AU075254</t>
  </si>
  <si>
    <t>AU076176</t>
  </si>
  <si>
    <t>AU076951</t>
  </si>
  <si>
    <t>AU095012</t>
  </si>
  <si>
    <t>FRAUD CS-3507134</t>
  </si>
  <si>
    <t>FRAUD CS-3507234</t>
  </si>
  <si>
    <t>FRAUD CS-3522944</t>
  </si>
  <si>
    <t>FRAUD CS-3523001</t>
  </si>
  <si>
    <t>IFRS 16 Allocation Jul-Oct 24</t>
  </si>
  <si>
    <t>FRAUD CS-3522960</t>
  </si>
  <si>
    <t>FRAUD CS-3522970</t>
  </si>
  <si>
    <t>FRAUD CS-3525535</t>
  </si>
  <si>
    <t>FRAUD CS-3527908</t>
  </si>
  <si>
    <t>FRAUD CS-3537914</t>
  </si>
  <si>
    <t>FRAUD CS-3537919</t>
  </si>
  <si>
    <t>FRAUD CS-CS-3552900</t>
  </si>
  <si>
    <t>FRAUD CS-3552977</t>
  </si>
  <si>
    <t>FRAUD CS-3558112</t>
  </si>
  <si>
    <t>FRAUD CS-3573222</t>
  </si>
  <si>
    <t>IFRS 16 Allocation Jul-Nov 24</t>
  </si>
  <si>
    <t>FRAUD CS-3585377</t>
  </si>
  <si>
    <t>FRAUD CS-3637799</t>
  </si>
  <si>
    <t>IFRS 16 Allocation Jul-Dec 24</t>
  </si>
  <si>
    <t>FRAUD CK &amp; AL CLELAND</t>
  </si>
  <si>
    <t>FRAUD CS-3643420</t>
  </si>
  <si>
    <t>FRAUD CS-3643455</t>
  </si>
  <si>
    <t>FRAUD CS-3659757</t>
  </si>
  <si>
    <t>FRAUD (CS-3669372</t>
  </si>
  <si>
    <t>FRAUD CS-3669361</t>
  </si>
  <si>
    <t>1065776-AJASO00</t>
  </si>
  <si>
    <t>Office Furniture to DP3</t>
  </si>
  <si>
    <t>1065776</t>
  </si>
  <si>
    <t>JASONL OFFICE FURNITURE</t>
  </si>
  <si>
    <t>SI-00129629-ACLEA08</t>
  </si>
  <si>
    <t>50 canisters of the V Wipe (1</t>
  </si>
  <si>
    <t>SI-00129629</t>
  </si>
  <si>
    <t>CLEARCHOICE PRODUCTS PTY LTD</t>
  </si>
  <si>
    <t>04/03/2024-07/03/20-ELIU000</t>
  </si>
  <si>
    <t>04/03/2024-07/03/2024</t>
  </si>
  <si>
    <t>FRANKIE LIU</t>
  </si>
  <si>
    <t>07/03/2024-07/03/20-ELAU000</t>
  </si>
  <si>
    <t>Aprons for Games-Offsite Booth</t>
  </si>
  <si>
    <t>ANGEL LAU</t>
  </si>
  <si>
    <t>FrizzellT-Offshore Meals &amp; Lod</t>
  </si>
  <si>
    <t>Drinks for the Branch to farewell Kaitlyn McDonald on her 12mth Career Break</t>
  </si>
  <si>
    <t>Country Club Hotel</t>
  </si>
  <si>
    <t>Port Lincoln Branch Refreshments</t>
  </si>
  <si>
    <t>Office kitchen supplies</t>
  </si>
  <si>
    <t>Branch Kettle</t>
  </si>
  <si>
    <t>KMART 1126</t>
  </si>
  <si>
    <t>office goods</t>
  </si>
  <si>
    <t>Water for office</t>
  </si>
  <si>
    <t>00000892-ARENT01</t>
  </si>
  <si>
    <t>Office Plant Maintenance</t>
  </si>
  <si>
    <t>00000892</t>
  </si>
  <si>
    <t>373758-ACOUN27</t>
  </si>
  <si>
    <t>373758</t>
  </si>
  <si>
    <t>ChincariniSM-Office Supplies</t>
  </si>
  <si>
    <t>COLES 7749</t>
  </si>
  <si>
    <t>Orange Office - Kitchen Supplies / Fruit</t>
  </si>
  <si>
    <t>supplies for office</t>
  </si>
  <si>
    <t>COLES 0219</t>
  </si>
  <si>
    <t>50801155-02/04/24-AMICH24</t>
  </si>
  <si>
    <t>general office supplies</t>
  </si>
  <si>
    <t>50801155-02/04/24</t>
  </si>
  <si>
    <t>50801155-03/04/24-AMICH24</t>
  </si>
  <si>
    <t>50801155-03/04/24</t>
  </si>
  <si>
    <t>50801155-18/03/24-AMICH24</t>
  </si>
  <si>
    <t>General Office expenses</t>
  </si>
  <si>
    <t>50801155-18/03/24</t>
  </si>
  <si>
    <t>Mat Tilley - Flowers</t>
  </si>
  <si>
    <t>SQ *FARMHOUSE FLORAE</t>
  </si>
  <si>
    <t>Office morning tea supplies coffee</t>
  </si>
  <si>
    <t>CareyL-Office Supplies</t>
  </si>
  <si>
    <t>tea room supplies</t>
  </si>
  <si>
    <t>CareyL-Other Personnel Expense</t>
  </si>
  <si>
    <t>Stakeholder Engagement</t>
  </si>
  <si>
    <t>SMP*Fiori with love</t>
  </si>
  <si>
    <t>McfarlaneT-Office Supplies</t>
  </si>
  <si>
    <t>Woolworths - Perth Branch</t>
  </si>
  <si>
    <t>20-29/02/24-AVAND00</t>
  </si>
  <si>
    <t>Moree Cleaner Invoice</t>
  </si>
  <si>
    <t>20-29/02/24</t>
  </si>
  <si>
    <t>V AND A KUMAR</t>
  </si>
  <si>
    <t>AUD459705-AIRON01</t>
  </si>
  <si>
    <t>Iron Mountain - Mar 24</t>
  </si>
  <si>
    <t>AUD459705</t>
  </si>
  <si>
    <t>AU030714</t>
  </si>
  <si>
    <t>AU031755</t>
  </si>
  <si>
    <t>373907-ACOUN27</t>
  </si>
  <si>
    <t>373907</t>
  </si>
  <si>
    <t>CSYD2077923-AALSC00</t>
  </si>
  <si>
    <t>CSYD2077923</t>
  </si>
  <si>
    <t>INV-7180-AFARM26</t>
  </si>
  <si>
    <t>Fruit Delivery to DP3</t>
  </si>
  <si>
    <t>INV-7180</t>
  </si>
  <si>
    <t>10 Packing boxes at $9/box for packing up of office no listed receipt provided</t>
  </si>
  <si>
    <t>R J &amp; P J TOMBLESON</t>
  </si>
  <si>
    <t>office plant fertiliser</t>
  </si>
  <si>
    <t>Office milk supplies x 2</t>
  </si>
  <si>
    <t>Police Clearance for Brooke Lange to apply for RSA for Woolorama</t>
  </si>
  <si>
    <t>CampbellT-Offshore Meals &amp; Lod</t>
  </si>
  <si>
    <t>Stefan Vogel Function - Milk for Morning Tea</t>
  </si>
  <si>
    <t>Munglinup Roadhouse</t>
  </si>
  <si>
    <t>AUD449699-AIRON01</t>
  </si>
  <si>
    <t>AUD449699</t>
  </si>
  <si>
    <t>AU030057</t>
  </si>
  <si>
    <t>AU030610</t>
  </si>
  <si>
    <t>AU030620</t>
  </si>
  <si>
    <t>AU050116</t>
  </si>
  <si>
    <t>DRIVER FOODWORKS</t>
  </si>
  <si>
    <t>WOOLWORTHS/2-12 BURRELL P</t>
  </si>
  <si>
    <t>Payment of Digital Subscription - Stock &amp; Land</t>
  </si>
  <si>
    <t>web*stockandland</t>
  </si>
  <si>
    <t>Weekly Times - Digital Subscription</t>
  </si>
  <si>
    <t>50801155-10/04/24-AMICH24</t>
  </si>
  <si>
    <t>50801155-10/04/24</t>
  </si>
  <si>
    <t>50801155-11/04/24-AMICH24</t>
  </si>
  <si>
    <t>50801155-11/04/24</t>
  </si>
  <si>
    <t>47512-ANEXT00</t>
  </si>
  <si>
    <t>Office expenses - newspapers</t>
  </si>
  <si>
    <t>47512</t>
  </si>
  <si>
    <t>NEXTRA LEONGATHA NEWSAGENCY AND EXPRESS</t>
  </si>
  <si>
    <t>54038-ANEXT00</t>
  </si>
  <si>
    <t>Newspapers - office expenses</t>
  </si>
  <si>
    <t>54038</t>
  </si>
  <si>
    <t>office milk</t>
  </si>
  <si>
    <t>FTF00017541-ACANO00</t>
  </si>
  <si>
    <t>ROS PAM letters (Mar)</t>
  </si>
  <si>
    <t>FTF00017541</t>
  </si>
  <si>
    <t>FTF00017543-ACANO00</t>
  </si>
  <si>
    <t>FTF00017543</t>
  </si>
  <si>
    <t>INV-001585908-ANEVE09</t>
  </si>
  <si>
    <t>Bunbury: Replacement water bot</t>
  </si>
  <si>
    <t>INV-001585908</t>
  </si>
  <si>
    <t>49333592-ANESP01</t>
  </si>
  <si>
    <t>Nespresso Pods for Mount Gambi</t>
  </si>
  <si>
    <t>49333592</t>
  </si>
  <si>
    <t>INV-36941-AWEST71</t>
  </si>
  <si>
    <t>INV-36941</t>
  </si>
  <si>
    <t>SN00 1332 0204 2024-ATHES05</t>
  </si>
  <si>
    <t>SN00 1332 0204 2024</t>
  </si>
  <si>
    <t>ThomasJ1-Offshore Meals &amp; Lodg</t>
  </si>
  <si>
    <t>Catering - woolorama</t>
  </si>
  <si>
    <t>NARROGIN FRUIT MARKET</t>
  </si>
  <si>
    <t>Land sale search</t>
  </si>
  <si>
    <t>LAND SERVICES GROUP</t>
  </si>
  <si>
    <t>RenyardL1-Buildings Repairs/Ma</t>
  </si>
  <si>
    <t>Mobile Phone Cover</t>
  </si>
  <si>
    <t>SWITCHED ON ELECTRONIC</t>
  </si>
  <si>
    <t>374057-ACOUN27</t>
  </si>
  <si>
    <t>Office Fuit Supply</t>
  </si>
  <si>
    <t>374057</t>
  </si>
  <si>
    <t>Board Wednesday Lunch - Coles order</t>
  </si>
  <si>
    <t>COLES 0839</t>
  </si>
  <si>
    <t>Drinking water for Clare office- staff consumption</t>
  </si>
  <si>
    <t>Morning tea client visits</t>
  </si>
  <si>
    <t>Thursday Fun Day - Catering supplies</t>
  </si>
  <si>
    <t>WOOLWORTHS/PARK ST &amp; KEEN</t>
  </si>
  <si>
    <t>49478424-ANESP01</t>
  </si>
  <si>
    <t>49478424</t>
  </si>
  <si>
    <t>49501849-ANESP01</t>
  </si>
  <si>
    <t>49501849</t>
  </si>
  <si>
    <t>Smith Bros</t>
  </si>
  <si>
    <t>SMITH BROS PTY LTD</t>
  </si>
  <si>
    <t>Kitchen</t>
  </si>
  <si>
    <t>mtea emerald</t>
  </si>
  <si>
    <t>MERINO BAKERY</t>
  </si>
  <si>
    <t>GrahamMJ-Office Supplies</t>
  </si>
  <si>
    <t>Wagga Branch office kitchen supplies</t>
  </si>
  <si>
    <t>Fruit for Office</t>
  </si>
  <si>
    <t>DELWP water searches</t>
  </si>
  <si>
    <t>DEWLP water searches</t>
  </si>
  <si>
    <t>ThomasJ2-Ground Travel</t>
  </si>
  <si>
    <t>Cab - Rabobank Melbourne to Pentarch - Sth Melbourne</t>
  </si>
  <si>
    <t>managers meeting catering</t>
  </si>
  <si>
    <t>Dunkeld Old Bakery an</t>
  </si>
  <si>
    <t>Coffee beans</t>
  </si>
  <si>
    <t>Office supplies for staff - drinks &amp; snacks</t>
  </si>
  <si>
    <t>RobertsonS-Default Licensee Me</t>
  </si>
  <si>
    <t>Pintpot Draft Saddlecloth</t>
  </si>
  <si>
    <t>AUSTRALIAN STOCKMANS SADD</t>
  </si>
  <si>
    <t>Branch kitchen supplies coffee pods</t>
  </si>
  <si>
    <t>CoxJ-Default Licensee Merchant</t>
  </si>
  <si>
    <t>CoxJ-Offshore Meals &amp; Lodging</t>
  </si>
  <si>
    <t>Kitchen supplies milk</t>
  </si>
  <si>
    <t>DavisM2-Entertainment Expense</t>
  </si>
  <si>
    <t>LIQUORLAND 3536</t>
  </si>
  <si>
    <t>FAIRFAX SUBSCRIPTIONS/74564724102353104391659</t>
  </si>
  <si>
    <t>Thursday Fun Day - Prizes for recycling game</t>
  </si>
  <si>
    <t>Mints and Jols for boardrooms</t>
  </si>
  <si>
    <t>OFFICEWORKS 0204</t>
  </si>
  <si>
    <t>FOODWORKS CLONCURRY</t>
  </si>
  <si>
    <t>732554-ABIGS00</t>
  </si>
  <si>
    <t>732554</t>
  </si>
  <si>
    <t>374221-ACOUN27</t>
  </si>
  <si>
    <t>374221</t>
  </si>
  <si>
    <t>CAMP GROUNDS</t>
  </si>
  <si>
    <t>Client visit - Taylor</t>
  </si>
  <si>
    <t>branch morning tea</t>
  </si>
  <si>
    <t>SQ *MOXON'S BAKERY</t>
  </si>
  <si>
    <t>$57.70 Woolworths office snacks 18.4.2024</t>
  </si>
  <si>
    <t>Aldi milk &amp; fruit 15-4-24</t>
  </si>
  <si>
    <t>Tuson Family Trust TA</t>
  </si>
  <si>
    <t>Biscuits for the Branch</t>
  </si>
  <si>
    <t>New hand towels for the Branch</t>
  </si>
  <si>
    <t>KMART 3319</t>
  </si>
  <si>
    <t>INV-001614975-ANEVE07</t>
  </si>
  <si>
    <t>Bunbury: Rental of water coole</t>
  </si>
  <si>
    <t>INV-001614975</t>
  </si>
  <si>
    <t>Fruit &amp; Biscuits</t>
  </si>
  <si>
    <t>00000917-ARENT01</t>
  </si>
  <si>
    <t>00000917</t>
  </si>
  <si>
    <t>374357-ACOUN27</t>
  </si>
  <si>
    <t>374357</t>
  </si>
  <si>
    <t>49613840-ANESP01</t>
  </si>
  <si>
    <t>49613840</t>
  </si>
  <si>
    <t>CSYD2083042-AALSC00</t>
  </si>
  <si>
    <t>CSYD2083042</t>
  </si>
  <si>
    <t>374506-ACOUN27</t>
  </si>
  <si>
    <t>374506</t>
  </si>
  <si>
    <t>Office supplies branch kitchen</t>
  </si>
  <si>
    <t>40181455-ASWIN03</t>
  </si>
  <si>
    <t>40181455</t>
  </si>
  <si>
    <t>374660-ACOUN27</t>
  </si>
  <si>
    <t>374660</t>
  </si>
  <si>
    <t>Milk etc.</t>
  </si>
  <si>
    <t>Milk - Financial Skills WS - munglinup</t>
  </si>
  <si>
    <t>DONALDSONI2-Default Licensee M</t>
  </si>
  <si>
    <t>Farm Weekly Annual Subscription - WA CRT Team</t>
  </si>
  <si>
    <t>web*farmweekly/STANDING AUTHORITY</t>
  </si>
  <si>
    <t>CALTEX KIALLA</t>
  </si>
  <si>
    <t>Fourways IGA Supermark</t>
  </si>
  <si>
    <t>SN00 1332 0105 2024-ATHES05</t>
  </si>
  <si>
    <t>SN00 1332 0105 2024</t>
  </si>
  <si>
    <t>Aldi fruit etc 6-5-24</t>
  </si>
  <si>
    <t>Monthly staff birthday cake</t>
  </si>
  <si>
    <t>Vaccari's Bakery</t>
  </si>
  <si>
    <t>WOOLWORTHS/DALBY CENTRAL</t>
  </si>
  <si>
    <t>OReillyMR-Office Supplies</t>
  </si>
  <si>
    <t>Wagga Branch - Milk etc</t>
  </si>
  <si>
    <t>INV-37105-AWEST71</t>
  </si>
  <si>
    <t>Monthly fruit boxes and milk f</t>
  </si>
  <si>
    <t>INV-37105</t>
  </si>
  <si>
    <t>RIGHETTIM-Default Licensee Mer</t>
  </si>
  <si>
    <t>Client water search</t>
  </si>
  <si>
    <t>Purchase of Kitchen Supplies</t>
  </si>
  <si>
    <t>thelarderinvestments</t>
  </si>
  <si>
    <t>FAIRFAX SUBSCRIPTIONS/74564724134353115246167</t>
  </si>
  <si>
    <t>10113787-ASWIN03</t>
  </si>
  <si>
    <t>kitchen &amp;amp; office supplies</t>
  </si>
  <si>
    <t>10113787</t>
  </si>
  <si>
    <t>AUD465430-AIRON01</t>
  </si>
  <si>
    <t>Iron Mountain - April 24</t>
  </si>
  <si>
    <t>AUD465430</t>
  </si>
  <si>
    <t>AUD477130-AIRON01</t>
  </si>
  <si>
    <t>AUD477130</t>
  </si>
  <si>
    <t>FTF00017953-ACANO00</t>
  </si>
  <si>
    <t>ROS PAM Letters Apr</t>
  </si>
  <si>
    <t>FTF00017953</t>
  </si>
  <si>
    <t>FTF00017955-ACANO00</t>
  </si>
  <si>
    <t>FTF00017955</t>
  </si>
  <si>
    <t>DPIRD Fishing Licence - Matt Hudson</t>
  </si>
  <si>
    <t>HudsonM1-Office Supplies</t>
  </si>
  <si>
    <t>Foodworks - Moora Branch</t>
  </si>
  <si>
    <t>FARMER JACKS FOODWORKS</t>
  </si>
  <si>
    <t>Branch Drinks</t>
  </si>
  <si>
    <t>office expenses - branch coffees</t>
  </si>
  <si>
    <t>Recycling bin and signage for Sydney office</t>
  </si>
  <si>
    <t>PAYPAL/CPF64GHW5NMU</t>
  </si>
  <si>
    <t>VosR5-Other Personnel Expense</t>
  </si>
  <si>
    <t>Thursday Fun Day - NAIDOC week basket weaving workshop</t>
  </si>
  <si>
    <t>D5DF96</t>
  </si>
  <si>
    <t>VosR5-Tuition (study) Reimburs</t>
  </si>
  <si>
    <t>CPR First Aid Course for Sydney First Aid officers</t>
  </si>
  <si>
    <t>FIRST AID COACH SYDNEY</t>
  </si>
  <si>
    <t>Office Kitchen &amp; Stationary Supplies (ordered by Liv)</t>
  </si>
  <si>
    <t>Sales search fee</t>
  </si>
  <si>
    <t>INV-001635007-ANEVE09</t>
  </si>
  <si>
    <t>INV-001635007</t>
  </si>
  <si>
    <t>374816-ACOUN27</t>
  </si>
  <si>
    <t>Fruit for the Dubbo Office</t>
  </si>
  <si>
    <t>374816</t>
  </si>
  <si>
    <t>SN00 4046 1905 2024-ATALB00</t>
  </si>
  <si>
    <t>Newspapers for Dubbo Branch</t>
  </si>
  <si>
    <t>SN00 4046 1905 2024</t>
  </si>
  <si>
    <t>TALBRAGAR STREET NEWSAGENCY</t>
  </si>
  <si>
    <t>Office supplies for office - drinks &amp; snacks</t>
  </si>
  <si>
    <t>MaharD-Office Supplies</t>
  </si>
  <si>
    <t>TestaS-Courier Service</t>
  </si>
  <si>
    <t>Removal of Narrogin equipment from branch</t>
  </si>
  <si>
    <t>P S RANA PTY LTD</t>
  </si>
  <si>
    <t>349945-ATIMO00</t>
  </si>
  <si>
    <t>Kitchen Supplies</t>
  </si>
  <si>
    <t>349945</t>
  </si>
  <si>
    <t>ANDERSONM-Office Supplies</t>
  </si>
  <si>
    <t>WOOLWORTHS/12 FORREST AVE</t>
  </si>
  <si>
    <t>CoxJ-Other Personnel Expense</t>
  </si>
  <si>
    <t>Flowers for Steph</t>
  </si>
  <si>
    <t>MM BAIVUCAGO AND S BAIVUC</t>
  </si>
  <si>
    <t>KelleyM-Office Supplies</t>
  </si>
  <si>
    <t>LS SHELFIELD COFFEE BR</t>
  </si>
  <si>
    <t>BRENNANS-Domestic &amp; Overseas l</t>
  </si>
  <si>
    <t>Drinks for the Branch - celebrating success</t>
  </si>
  <si>
    <t>ROYAL HOTEL GOONDIWIND/145818035407</t>
  </si>
  <si>
    <t>Tea and Biscuits for the Branch</t>
  </si>
  <si>
    <t>Groceries/Office Supplies for the Branch</t>
  </si>
  <si>
    <t>50801155-10/05/24-AMICH24</t>
  </si>
  <si>
    <t>50801155-10/05/24</t>
  </si>
  <si>
    <t>50801155-22/05/24-AMICH24</t>
  </si>
  <si>
    <t>50801155-22/05/24</t>
  </si>
  <si>
    <t>374977-ACOUN27</t>
  </si>
  <si>
    <t>374977</t>
  </si>
  <si>
    <t>49773805-ANESP01</t>
  </si>
  <si>
    <t>49773805</t>
  </si>
  <si>
    <t>90085565Duplicate-AMOUN01</t>
  </si>
  <si>
    <t>90085565Duplicate</t>
  </si>
  <si>
    <t>Coles - Kitchen Supplies $71.25</t>
  </si>
  <si>
    <t>Goulburn Office - Office Supplies</t>
  </si>
  <si>
    <t>TATTERSALLS HOTEL GOUL</t>
  </si>
  <si>
    <t>Knives for the Wagga branch office</t>
  </si>
  <si>
    <t>Kitchen Antics</t>
  </si>
  <si>
    <t>BULLS-Other Personnel Expense</t>
  </si>
  <si>
    <t>Cutlery knives for the Griffith branch office</t>
  </si>
  <si>
    <t>M/I/A CASA</t>
  </si>
  <si>
    <t>PhillipsMA-Office Supplies</t>
  </si>
  <si>
    <t>Cloncurry branch supplies</t>
  </si>
  <si>
    <t>Leongatha Project - Ice cube trays</t>
  </si>
  <si>
    <t>KMART 3309</t>
  </si>
  <si>
    <t>Leongatha Project - Plants</t>
  </si>
  <si>
    <t>Leongatha Project - Kitchen Set Up</t>
  </si>
  <si>
    <t>WOOLWORTHS/SMITH ST &amp; PEA</t>
  </si>
  <si>
    <t>INV-37316-AWEST71</t>
  </si>
  <si>
    <t>INV-37316</t>
  </si>
  <si>
    <t>BakerSJ-Office Supplies</t>
  </si>
  <si>
    <t>COLES 0695</t>
  </si>
  <si>
    <t>Coffee beans and milk</t>
  </si>
  <si>
    <t>WOOLWORTHS/91-101 MCLENNA</t>
  </si>
  <si>
    <t>Ink for printer</t>
  </si>
  <si>
    <t>GLB Office Supplies</t>
  </si>
  <si>
    <t>Dishwashing tables</t>
  </si>
  <si>
    <t>Name tag holders - Holbrook</t>
  </si>
  <si>
    <t>50801155-29/05/24-AMICH24</t>
  </si>
  <si>
    <t>50801155-29/05/24</t>
  </si>
  <si>
    <t>746737-ABIGS00</t>
  </si>
  <si>
    <t>746737</t>
  </si>
  <si>
    <t>375135-ACOUN27</t>
  </si>
  <si>
    <t>375135</t>
  </si>
  <si>
    <t>ANDERSONM-Default Licensee Mer</t>
  </si>
  <si>
    <t>Steel pegs for advertising banner</t>
  </si>
  <si>
    <t>BUNNINGS 531000</t>
  </si>
  <si>
    <t>20134936-ASWIN03</t>
  </si>
  <si>
    <t>20134936</t>
  </si>
  <si>
    <t>20149467-ASWIN03</t>
  </si>
  <si>
    <t>20149467</t>
  </si>
  <si>
    <t>30153443-ASWIN03</t>
  </si>
  <si>
    <t>30153443</t>
  </si>
  <si>
    <t>60167650-ASWIN03</t>
  </si>
  <si>
    <t>60167650</t>
  </si>
  <si>
    <t>WOOLWORTHS/150 CONDON STR</t>
  </si>
  <si>
    <t>NichollsJ-Other Personnel Expe</t>
  </si>
  <si>
    <t>Flowers - Glenys Snell</t>
  </si>
  <si>
    <t>Interflora Australia Unit</t>
  </si>
  <si>
    <t>SN00 1332 3105 2024-ATHES05</t>
  </si>
  <si>
    <t>SN00 1332 3105 2024</t>
  </si>
  <si>
    <t>Back Door Guard &amp; Towels - Storm Water Damage</t>
  </si>
  <si>
    <t>THE REJECT SHOP LTD</t>
  </si>
  <si>
    <t>111041003-AIRON01</t>
  </si>
  <si>
    <t>111041003</t>
  </si>
  <si>
    <t>111041424-AIRON01</t>
  </si>
  <si>
    <t>111041424</t>
  </si>
  <si>
    <t>AUD481513-AIRON01</t>
  </si>
  <si>
    <t>Iron Mountain - June 24</t>
  </si>
  <si>
    <t>AUD481513</t>
  </si>
  <si>
    <t>AUD491527-AIRON01</t>
  </si>
  <si>
    <t>AUD491527</t>
  </si>
  <si>
    <t>0267-AGOOD00</t>
  </si>
  <si>
    <t>Delivery Service</t>
  </si>
  <si>
    <t>0267</t>
  </si>
  <si>
    <t>GOOD AND FUGLY PTY LTD</t>
  </si>
  <si>
    <t>Fruits for DP3</t>
  </si>
  <si>
    <t>49304750-ANESP01</t>
  </si>
  <si>
    <t>Nepresso Pods</t>
  </si>
  <si>
    <t>49304750</t>
  </si>
  <si>
    <t>CSYD2088117-AALSC00</t>
  </si>
  <si>
    <t>CSYD2088117</t>
  </si>
  <si>
    <t>INV1176429-AMAIL04</t>
  </si>
  <si>
    <t>INV1176429</t>
  </si>
  <si>
    <t>MAIL PLUS SYDNEY - 2N3</t>
  </si>
  <si>
    <t>BockR-Offshore Meals &amp; Lodging</t>
  </si>
  <si>
    <t>Beef Week - Water and Bin Bags for Marquee</t>
  </si>
  <si>
    <t>ThomasJ2-Company Car Parking</t>
  </si>
  <si>
    <t>Car Parking - AP Wines meeting Bendigo</t>
  </si>
  <si>
    <t>GREATER BENDIGO COUNCIL</t>
  </si>
  <si>
    <t>59221-ANEXT00</t>
  </si>
  <si>
    <t>59221</t>
  </si>
  <si>
    <t>65248-ANEXT00</t>
  </si>
  <si>
    <t>65248</t>
  </si>
  <si>
    <t>375311-ACOUN27</t>
  </si>
  <si>
    <t>375311</t>
  </si>
  <si>
    <t>TabererC1-Default Licensee Mer</t>
  </si>
  <si>
    <t>Swan Hill Appliances</t>
  </si>
  <si>
    <t>SWAN HILL BETTA HOME L</t>
  </si>
  <si>
    <t>Swan Hill Office Plants</t>
  </si>
  <si>
    <t>KMART 3352</t>
  </si>
  <si>
    <t>TabererC1-Office Supplies</t>
  </si>
  <si>
    <t>HdMI Cable for Meeting Room</t>
  </si>
  <si>
    <t>MURRAY VALLEY TECH</t>
  </si>
  <si>
    <t>69282827-AFEDE00</t>
  </si>
  <si>
    <t>TNT Services - May 24</t>
  </si>
  <si>
    <t>69282827</t>
  </si>
  <si>
    <t>FEDEX EXPRESS AUSTRALIA PTY LIMITED</t>
  </si>
  <si>
    <t>Water Licence Search</t>
  </si>
  <si>
    <t>ThomasJ2-Offshore Meals &amp; Lodg</t>
  </si>
  <si>
    <t>Office Supplies - Milk</t>
  </si>
  <si>
    <t>WhiteB-Default Licensee Mercha</t>
  </si>
  <si>
    <t>00422839-AMOUN01</t>
  </si>
  <si>
    <t>Water cooler supply 6 bottles</t>
  </si>
  <si>
    <t>00422839</t>
  </si>
  <si>
    <t>375448-ACOUN27</t>
  </si>
  <si>
    <t>375448</t>
  </si>
  <si>
    <t>CONNOLLYB-Default Licensee Mer</t>
  </si>
  <si>
    <t>Door Stops</t>
  </si>
  <si>
    <t>BUNNINGS 447000</t>
  </si>
  <si>
    <t>Monthly Staff Birthday Cake - Janet Harrington 60</t>
  </si>
  <si>
    <t>Orange Office Fruit &amp; Milk</t>
  </si>
  <si>
    <t>Q1 2024 Howzat Award: Culture CLub | Monica Wren</t>
  </si>
  <si>
    <t>PREZZEE/AU36EAC50C</t>
  </si>
  <si>
    <t>JP Stamp - Jack Priest (CA Team)</t>
  </si>
  <si>
    <t>JPSTAMPSONLINE.COM.AU</t>
  </si>
  <si>
    <t>GoochLL-Entertainment Expense</t>
  </si>
  <si>
    <t>CA Team Offsite - Client Visit Hickmans - thank you gift</t>
  </si>
  <si>
    <t>BWS LIQUOR/CNR MINORE &amp; B</t>
  </si>
  <si>
    <t>GoochLL-Office Supplies</t>
  </si>
  <si>
    <t>Elizabeth Mulligan - 10 Year Anniversary - Flowers</t>
  </si>
  <si>
    <t>A TASTY SURPRISE</t>
  </si>
  <si>
    <t>Flowers (Get Well) | Jon Cooke</t>
  </si>
  <si>
    <t>FIG N BLOOM</t>
  </si>
  <si>
    <t>Orange Office | Kitchen Supplies (Milk/Fruit/Coffee/Biscuits)</t>
  </si>
  <si>
    <t>Morning Tea | Staff Birthday (Orange Branch)</t>
  </si>
  <si>
    <t>The Sugar Mill Cafe</t>
  </si>
  <si>
    <t>FTF00018336-ACANO00</t>
  </si>
  <si>
    <t>FTF00018336</t>
  </si>
  <si>
    <t>DennissA-Office Supplies</t>
  </si>
  <si>
    <t>Milk for the office</t>
  </si>
  <si>
    <t>WallaceMA-Default Licensee Mer</t>
  </si>
  <si>
    <t>Client Meetining coffee - Colin Geddes</t>
  </si>
  <si>
    <t>SQ *THE REAL FLORIST ALBU</t>
  </si>
  <si>
    <t>SN00 4046 1606 2024-ATALB00</t>
  </si>
  <si>
    <t>SN00 4046 1606 2024</t>
  </si>
  <si>
    <t>Aldi fruit 13-6-24</t>
  </si>
  <si>
    <t>Aldi milk &amp; fruit 3-6-24</t>
  </si>
  <si>
    <t>Coles fruit, milk &amp; snacks for BD day</t>
  </si>
  <si>
    <t>Office supplies - Door bell and storage</t>
  </si>
  <si>
    <t>BUNNINGS 503000</t>
  </si>
  <si>
    <t>50801155-04/06/24-AMICH24</t>
  </si>
  <si>
    <t>IGA Invoice 04/06/2024</t>
  </si>
  <si>
    <t>50801155-04/06/24</t>
  </si>
  <si>
    <t>50801155-17/06/24-AMICH24</t>
  </si>
  <si>
    <t>50801155-17/06/24</t>
  </si>
  <si>
    <t>50801155-24/06/24-AMICH24</t>
  </si>
  <si>
    <t>50801155-24/06/24</t>
  </si>
  <si>
    <t>INV-001676284-ANEVE09</t>
  </si>
  <si>
    <t>INV-001676284</t>
  </si>
  <si>
    <t>375608-ACOUN27</t>
  </si>
  <si>
    <t>375608</t>
  </si>
  <si>
    <t>50082860-ANESP01</t>
  </si>
  <si>
    <t>Nespresso Pods for DP3</t>
  </si>
  <si>
    <t>50082860</t>
  </si>
  <si>
    <t>HooperP-Other Personnel Expens</t>
  </si>
  <si>
    <t>Sympathy gesture P&amp;P</t>
  </si>
  <si>
    <t>Tamworth office waste removal</t>
  </si>
  <si>
    <t>TAMWORTH REGIONAL CO</t>
  </si>
  <si>
    <t>Milk Perth Office</t>
  </si>
  <si>
    <t>DP3 Kitchen biscuit consumables</t>
  </si>
  <si>
    <t>Milk for DP3 Kitchens</t>
  </si>
  <si>
    <t>Office supplies branch kitchen - milk</t>
  </si>
  <si>
    <t>Staff &amp; Client Refreshments</t>
  </si>
  <si>
    <t>BaulchD-Default Licensee Merch</t>
  </si>
  <si>
    <t>Hooks &amp; Pull/Push Stickers- Swan Hill Refit</t>
  </si>
  <si>
    <t>BUNNINGS 524000</t>
  </si>
  <si>
    <t>Narrogin Branch Kitchenware</t>
  </si>
  <si>
    <t>KMART 1278</t>
  </si>
  <si>
    <t>Office Hooks</t>
  </si>
  <si>
    <t>60175684-ASWIN03</t>
  </si>
  <si>
    <t>60175684</t>
  </si>
  <si>
    <t>Milk and biscuts</t>
  </si>
  <si>
    <t>Branch Coffee Machine pods</t>
  </si>
  <si>
    <t>HegdeR-Default Licensee Mercha</t>
  </si>
  <si>
    <t>Rabobank Badminton Tournament - ITS/ITI</t>
  </si>
  <si>
    <t>SQ *THE TROPHY CORNER</t>
  </si>
  <si>
    <t>HegdeR-Offshore Meals &amp; Lodgin</t>
  </si>
  <si>
    <t>Shaokar chicken &amp; Gri</t>
  </si>
  <si>
    <t>KumarA1-Default Licensee Merch</t>
  </si>
  <si>
    <t>Badminton Tournament - ITS/ITI</t>
  </si>
  <si>
    <t>CHEMIST WAREHOUSE CAMPBEL</t>
  </si>
  <si>
    <t>FTF00018334-ACANO00</t>
  </si>
  <si>
    <t>ROS PAM letters May</t>
  </si>
  <si>
    <t>FTF00018334</t>
  </si>
  <si>
    <t>375760-ACOUN27</t>
  </si>
  <si>
    <t>375760</t>
  </si>
  <si>
    <t>60174805-ASWIN03</t>
  </si>
  <si>
    <t>60174805</t>
  </si>
  <si>
    <t>704966-ASCHI05</t>
  </si>
  <si>
    <t>Coffee Machine Hire March 2024</t>
  </si>
  <si>
    <t>704966</t>
  </si>
  <si>
    <t>SCHIBELLO COFFEE PTY LTD</t>
  </si>
  <si>
    <t>704967-ASCHI05</t>
  </si>
  <si>
    <t>Coffee Machine Hire April 2024</t>
  </si>
  <si>
    <t>704967</t>
  </si>
  <si>
    <t>704968-ASCHI05</t>
  </si>
  <si>
    <t>Coffee Machine Hire May 2024</t>
  </si>
  <si>
    <t>704968</t>
  </si>
  <si>
    <t>705015-ASCHI05</t>
  </si>
  <si>
    <t>Coffee Machine Hire June 2024</t>
  </si>
  <si>
    <t>705015</t>
  </si>
  <si>
    <t>INV-37526-AWEST71</t>
  </si>
  <si>
    <t>INV-37526</t>
  </si>
  <si>
    <t>paper towels and milk</t>
  </si>
  <si>
    <t>Board dinner</t>
  </si>
  <si>
    <t>BUNNINGS 691000</t>
  </si>
  <si>
    <t>Office Plants</t>
  </si>
  <si>
    <t>ROMA HOME IMPROVEMENT</t>
  </si>
  <si>
    <t>Orange Office | Kitchen Supplies</t>
  </si>
  <si>
    <t>Coles milk &amp; fruit 18-6-24</t>
  </si>
  <si>
    <t>Water jugs - Board breakfast</t>
  </si>
  <si>
    <t>McMahonTP-Office Supplies</t>
  </si>
  <si>
    <t>SWINTONS IGA SUPERMAR</t>
  </si>
  <si>
    <t>70772-ANEXT00</t>
  </si>
  <si>
    <t>70772</t>
  </si>
  <si>
    <t>Narrogin Project - Branch Set up Hardware supplies</t>
  </si>
  <si>
    <t>NARROGIN HARDWARE &amp;</t>
  </si>
  <si>
    <t>Narrogin Project - Indoor Plants</t>
  </si>
  <si>
    <t>BUNNINGS 304000</t>
  </si>
  <si>
    <t>Narrogin Project - Kitchen and Office set up items</t>
  </si>
  <si>
    <t>Narrogin Project - Plants etc. for branch Set Up</t>
  </si>
  <si>
    <t>BUNNINGS 392000</t>
  </si>
  <si>
    <t>Narrogin Project - Branch Set up Cleaning products</t>
  </si>
  <si>
    <t>Narrogin Project - Cleaning product</t>
  </si>
  <si>
    <t>Narrogin Project - Kitchen set up</t>
  </si>
  <si>
    <t>375910-ACOUN27</t>
  </si>
  <si>
    <t>375910</t>
  </si>
  <si>
    <t>20162960-ASWIN03</t>
  </si>
  <si>
    <t>20162960</t>
  </si>
  <si>
    <t>WOOLWORTHS/PALM AVE &amp; WAM</t>
  </si>
  <si>
    <t>Birthday Cake</t>
  </si>
  <si>
    <t>BEECHWORTH BAKERY ECHU</t>
  </si>
  <si>
    <t>AUD497224-AIRON01</t>
  </si>
  <si>
    <t>Iron Mountain - July 24</t>
  </si>
  <si>
    <t>AUD497224</t>
  </si>
  <si>
    <t>0298-AGOOD00</t>
  </si>
  <si>
    <t>Fruit for DP3</t>
  </si>
  <si>
    <t>0298</t>
  </si>
  <si>
    <t>Fruit for DP3 Delivery Fee</t>
  </si>
  <si>
    <t>3247372-ATHEF03</t>
  </si>
  <si>
    <t>3247372</t>
  </si>
  <si>
    <t>50212246-ANESP01</t>
  </si>
  <si>
    <t>50212246</t>
  </si>
  <si>
    <t>CSYD2092989 DUPLICA-AALSC00</t>
  </si>
  <si>
    <t>CSYD2092989 DUPLICATE</t>
  </si>
  <si>
    <t>INV1181530-AMAIL04</t>
  </si>
  <si>
    <t>INV1181530</t>
  </si>
  <si>
    <t>SI-00133177-ACLEA08</t>
  </si>
  <si>
    <t>Disinfectant Wipes</t>
  </si>
  <si>
    <t>SI-00133177</t>
  </si>
  <si>
    <t>Adelaide office / Kitchen supplies for staff</t>
  </si>
  <si>
    <t>Adelaide office / office kitchen supplies</t>
  </si>
  <si>
    <t>milk - office</t>
  </si>
  <si>
    <t>376067-ACOUN27</t>
  </si>
  <si>
    <t>376067</t>
  </si>
  <si>
    <t>Pandian's Farewell</t>
  </si>
  <si>
    <t>GAZAB</t>
  </si>
  <si>
    <t>HegdeR-Software</t>
  </si>
  <si>
    <t>SendGrid Non Prod charges</t>
  </si>
  <si>
    <t>TWILIO SENDGRID</t>
  </si>
  <si>
    <t>KumarA1-Contributions &amp; Club M</t>
  </si>
  <si>
    <t>IWC - Food - Anil Kumar</t>
  </si>
  <si>
    <t>EZI*Sydney Sports Clb/776667718</t>
  </si>
  <si>
    <t>Tea Bags</t>
  </si>
  <si>
    <t>SN00 1332 2806 2024-ATHES05</t>
  </si>
  <si>
    <t>Delivery fees for the Milk for</t>
  </si>
  <si>
    <t>SN00 1332 2806 2024</t>
  </si>
  <si>
    <t>Secure straps for DP3 Bins</t>
  </si>
  <si>
    <t>BUNNINGS 594000</t>
  </si>
  <si>
    <t>Biscuits for DP3 Kitchens</t>
  </si>
  <si>
    <t>DP3 Milk for kitchens</t>
  </si>
  <si>
    <t>Milk for DP3</t>
  </si>
  <si>
    <t>MILKRUN/24IJVZLERLVV</t>
  </si>
  <si>
    <t>Thursday Fun Day - Food for morning tea platters</t>
  </si>
  <si>
    <t>COLES 0884</t>
  </si>
  <si>
    <t>NAIDOC week weaving class - Art installation</t>
  </si>
  <si>
    <t>Sydney First Aid CPR Training</t>
  </si>
  <si>
    <t>50801155-04/07/24-AMICH24</t>
  </si>
  <si>
    <t>50801155-04/07/24</t>
  </si>
  <si>
    <t>Wagga Branch Milk and Hot Chocolate etc 08072024</t>
  </si>
  <si>
    <t>50801155-22/07/24-AMICH24</t>
  </si>
  <si>
    <t>General offcie expenses</t>
  </si>
  <si>
    <t>50801155-22/07/24</t>
  </si>
  <si>
    <t>AUD512555-AIRON01</t>
  </si>
  <si>
    <t>Iron Mountain June 24</t>
  </si>
  <si>
    <t>AUD512555</t>
  </si>
  <si>
    <t>INV-001719955-ANEVE09</t>
  </si>
  <si>
    <t>INV-001719955</t>
  </si>
  <si>
    <t>376235-ACOUN27</t>
  </si>
  <si>
    <t>376235</t>
  </si>
  <si>
    <t>7AADE587-0004-ARECY02</t>
  </si>
  <si>
    <t>Collection of soft plastics f</t>
  </si>
  <si>
    <t>7AADE587-0004</t>
  </si>
  <si>
    <t>RECYCLESMART PTY LTD</t>
  </si>
  <si>
    <t>SN00 4046 2107 2024-ATALB00</t>
  </si>
  <si>
    <t>SN00 4046 2107 2024</t>
  </si>
  <si>
    <t>CowanA-Default Licensee Mercha</t>
  </si>
  <si>
    <t>Bin &amp; rubber door mat for office</t>
  </si>
  <si>
    <t>BUNNINGS 745000</t>
  </si>
  <si>
    <t>Bin for office</t>
  </si>
  <si>
    <t>HemphillK-Domestic &amp; Overseas</t>
  </si>
  <si>
    <t>Accomodation dairy conference</t>
  </si>
  <si>
    <t>Crown Promenade Melbourne</t>
  </si>
  <si>
    <t>Atherton Branch refreshments Coffee tea milk</t>
  </si>
  <si>
    <t>Tea for branch</t>
  </si>
  <si>
    <t>The Land annual subscription</t>
  </si>
  <si>
    <t>Purchase - Kitchen Supplies</t>
  </si>
  <si>
    <t>Purchase of Morning Tea</t>
  </si>
  <si>
    <t>LIME DISCO PTY LTD</t>
  </si>
  <si>
    <t>SvanosioG-Offshore Meals &amp; Lod</t>
  </si>
  <si>
    <t>MCDONALDS DT 0630</t>
  </si>
  <si>
    <t>Coles Kitchen Supplies $84.30</t>
  </si>
  <si>
    <t>Port Lincoln Hotel – Refreshments for Fridge $49.99</t>
  </si>
  <si>
    <t>Adelaide Office - kitchen supplies incl fruit , milk and beverages</t>
  </si>
  <si>
    <t>First Aid Kit for vehicle</t>
  </si>
  <si>
    <t>OFFICEWORKS 0623</t>
  </si>
  <si>
    <t>New Kettle for office</t>
  </si>
  <si>
    <t>ChristianCM-Office Supplies</t>
  </si>
  <si>
    <t>Milk for Adelaide Office - 13th June 2024</t>
  </si>
  <si>
    <t>CICCHELLIM-Office Supplies</t>
  </si>
  <si>
    <t>Q2 CA Team award</t>
  </si>
  <si>
    <t>Dans Gifting Hub/7176333046586604303968</t>
  </si>
  <si>
    <t>Morning Tea | CA Team, Dubbo Branch and HR x 2 (Margaret &amp; Belinda)</t>
  </si>
  <si>
    <t>Women in Farming Annual Seminar Ticket</t>
  </si>
  <si>
    <t>TICKETS*WOMEN IN F/64we4gwr</t>
  </si>
  <si>
    <t>GrayC-Office Supplies</t>
  </si>
  <si>
    <t>Branch Supplies - T/Roll, Tissues and Newspaper</t>
  </si>
  <si>
    <t>LAKE GRACE PLAZA</t>
  </si>
  <si>
    <t>Branch Morning Tea - Mark Bday</t>
  </si>
  <si>
    <t>Office Supplies - Kiychen Bin</t>
  </si>
  <si>
    <t>Office Supplies Narrogin</t>
  </si>
  <si>
    <t>THE REJECT SHOP 6643</t>
  </si>
  <si>
    <t>Master Key Cut x 2</t>
  </si>
  <si>
    <t>ACTIVE LOCK AND KEY</t>
  </si>
  <si>
    <t>Narrogin Project - Branch kitchen set up</t>
  </si>
  <si>
    <t>Security card pouches and lanyards</t>
  </si>
  <si>
    <t>138101-AFARM03</t>
  </si>
  <si>
    <t>Weekly Fruit order</t>
  </si>
  <si>
    <t>138101</t>
  </si>
  <si>
    <t>FARMER BOBS FRUIT MARKET</t>
  </si>
  <si>
    <t>138293-AFARM03</t>
  </si>
  <si>
    <t>138293</t>
  </si>
  <si>
    <t>34653-ADESE01</t>
  </si>
  <si>
    <t>Cloncurry Branch water, July 2</t>
  </si>
  <si>
    <t>34653</t>
  </si>
  <si>
    <t>DESERT ICE PTY LTD</t>
  </si>
  <si>
    <t>AUD507221-AIRON01</t>
  </si>
  <si>
    <t>AUD507221</t>
  </si>
  <si>
    <t>FTF00018840-ACANO00</t>
  </si>
  <si>
    <t>ROS PAM letters Soft Tokens</t>
  </si>
  <si>
    <t>FTF00018840</t>
  </si>
  <si>
    <t>FTF00018842-ACANO00</t>
  </si>
  <si>
    <t>ROS digipass welcome &amp; replace</t>
  </si>
  <si>
    <t>FTF00018842</t>
  </si>
  <si>
    <t>20168409-ASWIN03</t>
  </si>
  <si>
    <t>20168409</t>
  </si>
  <si>
    <t>4018614-ASWIN03</t>
  </si>
  <si>
    <t>4018614</t>
  </si>
  <si>
    <t>50076248-ANESP01</t>
  </si>
  <si>
    <t>50076248</t>
  </si>
  <si>
    <t>INV-37715-AWEST71</t>
  </si>
  <si>
    <t>Delivery fee for monthly milk</t>
  </si>
  <si>
    <t>INV-37715</t>
  </si>
  <si>
    <t>Monthly Milk &amp; Fruit for the B</t>
  </si>
  <si>
    <t>3260697-ATHEF03</t>
  </si>
  <si>
    <t>Milk and Fruit Delivery to DP3</t>
  </si>
  <si>
    <t>3260697</t>
  </si>
  <si>
    <t>CSYD2097940-AALSC00</t>
  </si>
  <si>
    <t>CSYD2097940</t>
  </si>
  <si>
    <t>76438-ANEXT00</t>
  </si>
  <si>
    <t>76438</t>
  </si>
  <si>
    <t>Aldi Fruit &amp; Milk 1-7-24</t>
  </si>
  <si>
    <t>Coles Fruit &amp; Milk 17-7-24</t>
  </si>
  <si>
    <t>Woolworths Fruit etc 25-7-24</t>
  </si>
  <si>
    <t>Tags for filing cabinet and office keys</t>
  </si>
  <si>
    <t>TriplettT-Buildings Repairs/Ma</t>
  </si>
  <si>
    <t>Swan Hill Tip Fees - Trailer Load Rubbish From Branch Renovations</t>
  </si>
  <si>
    <t>ENVIROXSOLUTIONS</t>
  </si>
  <si>
    <t>50801155-29/07/24-AMICH24</t>
  </si>
  <si>
    <t>50801155-29/07/24</t>
  </si>
  <si>
    <t>50801i55-29/07/24-AMICH24</t>
  </si>
  <si>
    <t>50801i55-29/07/24</t>
  </si>
  <si>
    <t>376401-ACOUN27</t>
  </si>
  <si>
    <t>376401</t>
  </si>
  <si>
    <t>RENMARK FOODLAND IGA</t>
  </si>
  <si>
    <t>Adelaide office / kitchen supplies</t>
  </si>
  <si>
    <t>138622-AFARM03</t>
  </si>
  <si>
    <t>138622</t>
  </si>
  <si>
    <t>SI273219-AWAGG18</t>
  </si>
  <si>
    <t>Coffee for the Wagga office</t>
  </si>
  <si>
    <t>SI273219</t>
  </si>
  <si>
    <t>Branch Supplies - Coffee Beans</t>
  </si>
  <si>
    <t>SHELFIELD COFFEE PTY LTD</t>
  </si>
  <si>
    <t>Morning tea to welcome Moni</t>
  </si>
  <si>
    <t>brach plates / cutlery</t>
  </si>
  <si>
    <t>124417-AGIBS01</t>
  </si>
  <si>
    <t>124417</t>
  </si>
  <si>
    <t>50801155-05/08/24-AMICH24</t>
  </si>
  <si>
    <t>50801155-05/08/24</t>
  </si>
  <si>
    <t>Portable Tables x 3</t>
  </si>
  <si>
    <t>376561-ACOUN27</t>
  </si>
  <si>
    <t>376561</t>
  </si>
  <si>
    <t>138802-AFARM03</t>
  </si>
  <si>
    <t>138802</t>
  </si>
  <si>
    <t>Weekly fruit order Tax</t>
  </si>
  <si>
    <t>50192624-ASWIN03</t>
  </si>
  <si>
    <t>Account fee</t>
  </si>
  <si>
    <t>50192624</t>
  </si>
  <si>
    <t>SN00 1332 0208 2024-ATHES05</t>
  </si>
  <si>
    <t>Milk for the Brisbane Branch p</t>
  </si>
  <si>
    <t>SN00 1332 0208 2024</t>
  </si>
  <si>
    <t>GrahamMJ-Offshore Meals &amp; Lodg</t>
  </si>
  <si>
    <t>Office Expenses Wagga Branch</t>
  </si>
  <si>
    <t>THE UNION CLUB HOTEL/152616096466</t>
  </si>
  <si>
    <t>BWS LIQUOR/BENALLA RD</t>
  </si>
  <si>
    <t>1069804-ASWAN09</t>
  </si>
  <si>
    <t>Cards for clients eg. sympathy</t>
  </si>
  <si>
    <t>1069804</t>
  </si>
  <si>
    <t>AUD513645-AIRON01</t>
  </si>
  <si>
    <t>Iron Mountain - Aug 24</t>
  </si>
  <si>
    <t>AUD513645</t>
  </si>
  <si>
    <t>AUD523652-AIRON01</t>
  </si>
  <si>
    <t>AUD523652</t>
  </si>
  <si>
    <t>376727-ACOUN27</t>
  </si>
  <si>
    <t>376727</t>
  </si>
  <si>
    <t>Sea Lake &amp; Ouyen Newspapers Subscriptions</t>
  </si>
  <si>
    <t>MALLEE PRINTERS</t>
  </si>
  <si>
    <t>COUNTRY FRENCH HOTBREAD P</t>
  </si>
  <si>
    <t>WOOLWORTHS/BROWN ST</t>
  </si>
  <si>
    <t>Woolies Fruit &amp; Milk 31-7-24</t>
  </si>
  <si>
    <t>30167198-ASWIN03</t>
  </si>
  <si>
    <t>30167198</t>
  </si>
  <si>
    <t>50801155-14/08/24-AMICH24</t>
  </si>
  <si>
    <t>50801155-14/08/24</t>
  </si>
  <si>
    <t>Cleaning supplies while on the Candian Grains Tour</t>
  </si>
  <si>
    <t>RONA HC  61740 NORTH V</t>
  </si>
  <si>
    <t>Medical Supplies - Canadian Grains Tour</t>
  </si>
  <si>
    <t>Staff Mid Year Catch Up Supplies</t>
  </si>
  <si>
    <t>BAKERS DELIGHT</t>
  </si>
  <si>
    <t>WOOLWORTHS/WILLIAM &amp; DENN</t>
  </si>
  <si>
    <t>SQ *LE PRUNEAU</t>
  </si>
  <si>
    <t>376881-ACOUN27</t>
  </si>
  <si>
    <t>376881</t>
  </si>
  <si>
    <t>Office expense</t>
  </si>
  <si>
    <t>Old/Broken Furniture to Tamworth Waste Facility</t>
  </si>
  <si>
    <t>TranN-Default Licensee Merchan</t>
  </si>
  <si>
    <t>Canva Annual Subscription</t>
  </si>
  <si>
    <t>Canva* 04230-1655221</t>
  </si>
  <si>
    <t>books/pens for client function</t>
  </si>
  <si>
    <t>THE REJECT SHOP 279</t>
  </si>
  <si>
    <t>Replacement front door bell</t>
  </si>
  <si>
    <t>BUNNINGS 393000</t>
  </si>
  <si>
    <t>40119636-ASWIN03</t>
  </si>
  <si>
    <t>40119636</t>
  </si>
  <si>
    <t>INV-37901-AWEST71</t>
  </si>
  <si>
    <t>Delivery fee</t>
  </si>
  <si>
    <t>INV-37901</t>
  </si>
  <si>
    <t>INV-001764535-ANEVE09</t>
  </si>
  <si>
    <t>INV-001764535</t>
  </si>
  <si>
    <t>3274204-ATHEF03</t>
  </si>
  <si>
    <t>Milk &amp; Fruit Delivery to DP3</t>
  </si>
  <si>
    <t>3274204</t>
  </si>
  <si>
    <t>377035-ACOUN27</t>
  </si>
  <si>
    <t>377035</t>
  </si>
  <si>
    <t>SN00 4046 2508 2024-ATALB00</t>
  </si>
  <si>
    <t>SN00 4046 2508 2024</t>
  </si>
  <si>
    <t>Better Beef day refreshments Tablelands</t>
  </si>
  <si>
    <t>Tools for Office</t>
  </si>
  <si>
    <t>BUNNINGS 579000</t>
  </si>
  <si>
    <t>McWhriters Evening - office supplies</t>
  </si>
  <si>
    <t>BriginshawZ-Other Personnel Ex</t>
  </si>
  <si>
    <t>FLOWERS IN THE VALLE</t>
  </si>
  <si>
    <t>WHITEBULL HTL PTY LT</t>
  </si>
  <si>
    <t>StevensonD1-Offshore Meals &amp; L</t>
  </si>
  <si>
    <t>Office Supplies| Milk</t>
  </si>
  <si>
    <t>SvanosioG-Company Car Parking</t>
  </si>
  <si>
    <t>Parking Fee -  Melbourne Office Visit</t>
  </si>
  <si>
    <t>FIRST PARKING PARKADE/701662328976</t>
  </si>
  <si>
    <t>Gift - Bottle Wine</t>
  </si>
  <si>
    <t>Coles milk &amp; fruit 20-8-24</t>
  </si>
  <si>
    <t>Woolies milk &amp; fruit 12-8-24</t>
  </si>
  <si>
    <t>WOOLWORTHS/COBB HWY &amp; PER</t>
  </si>
  <si>
    <t>BENDIGO FRE* RABO BANK</t>
  </si>
  <si>
    <t>TriplettT-Other Personnel Expe</t>
  </si>
  <si>
    <t>Flowers Client Pip Pippin Fathers Passing (Jack Pippin)</t>
  </si>
  <si>
    <t>MILDURA FLOWER STUDIO</t>
  </si>
  <si>
    <t>139321-AFARM03</t>
  </si>
  <si>
    <t>139321</t>
  </si>
  <si>
    <t>20175926-ASWIN03</t>
  </si>
  <si>
    <t>20175926</t>
  </si>
  <si>
    <t>20175927-ASWIN03</t>
  </si>
  <si>
    <t>20175927</t>
  </si>
  <si>
    <t>30170027-ASWIN03</t>
  </si>
  <si>
    <t>30170027</t>
  </si>
  <si>
    <t>377194-ACOUN27</t>
  </si>
  <si>
    <t>377194</t>
  </si>
  <si>
    <t>139845-AFARM03</t>
  </si>
  <si>
    <t>139845</t>
  </si>
  <si>
    <t>AUD539527-AIRON01</t>
  </si>
  <si>
    <t>AUD539527</t>
  </si>
  <si>
    <t>377355-ACOUN27</t>
  </si>
  <si>
    <t>377355</t>
  </si>
  <si>
    <t>50507810-ANESP01</t>
  </si>
  <si>
    <t>50507810</t>
  </si>
  <si>
    <t>705282-ASCHI05</t>
  </si>
  <si>
    <t>Hire of Coffee Machine</t>
  </si>
  <si>
    <t>705282</t>
  </si>
  <si>
    <t>INV1196459-AMAIL04</t>
  </si>
  <si>
    <t>Mail delivery service from PO</t>
  </si>
  <si>
    <t>INV1196459</t>
  </si>
  <si>
    <t>SN00 1332 3008 2024-ATHES05</t>
  </si>
  <si>
    <t>Adjustment to reflect invoice.</t>
  </si>
  <si>
    <t>SN00 1332 3008 2024</t>
  </si>
  <si>
    <t>Milk for the Brisbane Branch</t>
  </si>
  <si>
    <t>Orange Branch Kitchen Supplies</t>
  </si>
  <si>
    <t>EngelbrechtD1-Other Personnel</t>
  </si>
  <si>
    <t>Staff sympathy gift</t>
  </si>
  <si>
    <t>SQ *FLOWERS FOR EVERYONE</t>
  </si>
  <si>
    <t>WOOLWORTHS/BENALLA RD</t>
  </si>
  <si>
    <t>Coles - Perth Branch</t>
  </si>
  <si>
    <t>stationary</t>
  </si>
  <si>
    <t>5011130-ASWIN03</t>
  </si>
  <si>
    <t>5011130</t>
  </si>
  <si>
    <t>DanielH-Office Supplies</t>
  </si>
  <si>
    <t>Griffith Ruminati Workshop - Lunch</t>
  </si>
  <si>
    <t>BERTOLDOS BAKERY</t>
  </si>
  <si>
    <t>Griffith Ruminati Workshop- Morning Tea</t>
  </si>
  <si>
    <t>82692-ANEXT00</t>
  </si>
  <si>
    <t>82692</t>
  </si>
  <si>
    <t>AUD529517-AIRON01</t>
  </si>
  <si>
    <t>Iron Mountain - Sep 24</t>
  </si>
  <si>
    <t>AUD529517</t>
  </si>
  <si>
    <t>377517-ACOUN27</t>
  </si>
  <si>
    <t>377517</t>
  </si>
  <si>
    <t>50589863-ANESP01</t>
  </si>
  <si>
    <t>50589863</t>
  </si>
  <si>
    <t>50787734-ANESP01</t>
  </si>
  <si>
    <t>50787734</t>
  </si>
  <si>
    <t>SchmidtN-Costs own Car Fleet</t>
  </si>
  <si>
    <t>Supplies for kitchen</t>
  </si>
  <si>
    <t>50801155-09/09/24-AMICH24</t>
  </si>
  <si>
    <t>50801155-09/09/24</t>
  </si>
  <si>
    <t>50801155-17/09/24-AMICH24</t>
  </si>
  <si>
    <t>50801155-17/09/24</t>
  </si>
  <si>
    <t>50801155-20/08/24-AMICH24</t>
  </si>
  <si>
    <t>50801155-20/08/24</t>
  </si>
  <si>
    <t>50801155-28/08/24-AMICH24</t>
  </si>
  <si>
    <t>50801155-28/08/24</t>
  </si>
  <si>
    <t>Welcome Gift Basket | State Restruction (addition or Wagga &amp; Griffith Branches)</t>
  </si>
  <si>
    <t>CHARLESWORTH NUTS A</t>
  </si>
  <si>
    <t>Q2 2024 Howzat Award - Lainie Gooch</t>
  </si>
  <si>
    <t>PREZZEE/AUC5D6A5F8</t>
  </si>
  <si>
    <t>NARROGIN BETTA HOME LIVIN</t>
  </si>
  <si>
    <t>COO Trivia Cheese Platters &amp; Snacks</t>
  </si>
  <si>
    <t>140082-AFARM03</t>
  </si>
  <si>
    <t>140082</t>
  </si>
  <si>
    <t>INV-38083-AWEST71</t>
  </si>
  <si>
    <t>Delivery fee for monthly fruit</t>
  </si>
  <si>
    <t>INV-38083</t>
  </si>
  <si>
    <t>Monthly fruit box &amp; milk for t</t>
  </si>
  <si>
    <t>Coffee beans for branch - Mark  Northcott</t>
  </si>
  <si>
    <t>R U OK Morning Tea 12.09.24</t>
  </si>
  <si>
    <t>SMP*Brumbys Atherton</t>
  </si>
  <si>
    <t>R U OK Morning Tea 11.09.24</t>
  </si>
  <si>
    <t>SQ *VILLAGE KAHAWA PTY LT</t>
  </si>
  <si>
    <t>377686-ACOUN27</t>
  </si>
  <si>
    <t>377686</t>
  </si>
  <si>
    <t>50956572-ANESP01</t>
  </si>
  <si>
    <t>Nespresso Pods DP3</t>
  </si>
  <si>
    <t>50956572</t>
  </si>
  <si>
    <t>office milk and fruit</t>
  </si>
  <si>
    <t>MaharD-Entertainment Expense</t>
  </si>
  <si>
    <t>CBD IGA PLUS LIQUOR</t>
  </si>
  <si>
    <t>Stationary for Financial Skills Workshop</t>
  </si>
  <si>
    <t>KMART 1320</t>
  </si>
  <si>
    <t>Coffee pods for branch</t>
  </si>
  <si>
    <t>Milk. Staff Kitchen Supplies</t>
  </si>
  <si>
    <t>Teabags</t>
  </si>
  <si>
    <t>Nutribullet Purchase for Adelaide office kitchen</t>
  </si>
  <si>
    <t>MYER  ADELAIDE CITY</t>
  </si>
  <si>
    <t>Purchase of new sandwich press for the brisbane office</t>
  </si>
  <si>
    <t>Mitre 10 - $19.35 - new padlock for bin storage compartment</t>
  </si>
  <si>
    <t>PORT LINCOLN MITRE 10</t>
  </si>
  <si>
    <t>Branch bath room supplies</t>
  </si>
  <si>
    <t>140355-AFARM03</t>
  </si>
  <si>
    <t>140355</t>
  </si>
  <si>
    <t>140619-AFARM03</t>
  </si>
  <si>
    <t>140619</t>
  </si>
  <si>
    <t>50801155-01/10/24-AMICH24</t>
  </si>
  <si>
    <t>50801155-01/10/24</t>
  </si>
  <si>
    <t>794904-ABIGS01</t>
  </si>
  <si>
    <t>Water</t>
  </si>
  <si>
    <t>794904</t>
  </si>
  <si>
    <t>BIG SPRINGS WATER PTY LTD</t>
  </si>
  <si>
    <t>801121-ABIGS01</t>
  </si>
  <si>
    <t>801121</t>
  </si>
  <si>
    <t>INV-001801815-ANEVE09</t>
  </si>
  <si>
    <t>INV-001801815</t>
  </si>
  <si>
    <t>3289510-ATHEF03</t>
  </si>
  <si>
    <t>Fruit &amp; Milk Delivery to DP3</t>
  </si>
  <si>
    <t>3289510</t>
  </si>
  <si>
    <t>377850-ACOUN27</t>
  </si>
  <si>
    <t>377850</t>
  </si>
  <si>
    <t>5014898-ASWIN03</t>
  </si>
  <si>
    <t>5014898</t>
  </si>
  <si>
    <t>SN00 4046 2209 2024-ATALB00</t>
  </si>
  <si>
    <t>SN00 4046 2209 2024</t>
  </si>
  <si>
    <t>FrizzellT-Office Supplies</t>
  </si>
  <si>
    <t>RUOK Morning Tea - Dalby branch</t>
  </si>
  <si>
    <t>BRUMBYS DALBY</t>
  </si>
  <si>
    <t>Flowers for client Verna Paterson</t>
  </si>
  <si>
    <t>FLORAL PERFECTION</t>
  </si>
  <si>
    <t>MccullochB-Offshore Meals &amp; Lo</t>
  </si>
  <si>
    <t>Milk for office fridge</t>
  </si>
  <si>
    <t>ELM TREE LICNSD CAFE</t>
  </si>
  <si>
    <t>88293-ANEXT00</t>
  </si>
  <si>
    <t>gerneral office expenses</t>
  </si>
  <si>
    <t>88293</t>
  </si>
  <si>
    <t>Atherton Branch fresh milk and refreshments</t>
  </si>
  <si>
    <t>AUD545201-AIRON01</t>
  </si>
  <si>
    <t>Iron Mountain - Oct 24</t>
  </si>
  <si>
    <t>AUD545201</t>
  </si>
  <si>
    <t>AUD555212-AIRON01</t>
  </si>
  <si>
    <t>Iron Mountain - Aug &amp; Sep 24</t>
  </si>
  <si>
    <t>AUD555212</t>
  </si>
  <si>
    <t>51074484-ANESP01</t>
  </si>
  <si>
    <t>Nespresso Pods for PD3</t>
  </si>
  <si>
    <t>51074484</t>
  </si>
  <si>
    <t>CSYD2109946-AALSC00</t>
  </si>
  <si>
    <t>Monthly Linen Hire for L16 Ex</t>
  </si>
  <si>
    <t>CSYD2109946</t>
  </si>
  <si>
    <t>MELDRUMR-Telecommunication Equ</t>
  </si>
  <si>
    <t>power boards for office due to fault identified</t>
  </si>
  <si>
    <t>DICKS ELECTRONICS</t>
  </si>
  <si>
    <t>Speed Field Days - Coffee</t>
  </si>
  <si>
    <t>Aldi Fruit, Milk etc 2-9-24</t>
  </si>
  <si>
    <t>Fruit &amp; Tissues</t>
  </si>
  <si>
    <t>FTF00019709-ACANO00</t>
  </si>
  <si>
    <t>FTF00019709</t>
  </si>
  <si>
    <t>378018-ACOUN27</t>
  </si>
  <si>
    <t>378018</t>
  </si>
  <si>
    <t>BIGWOODSD-Default Licensee Mer</t>
  </si>
  <si>
    <t>Admission to Newdegate field days - Simon Bigwood</t>
  </si>
  <si>
    <t>NEWDEGATE MACHINERY F</t>
  </si>
  <si>
    <t>50801155-12/09/24-AMICH24</t>
  </si>
  <si>
    <t>50801155-12/09/24</t>
  </si>
  <si>
    <t>RUOK Day Morning Tea &amp; Orange Office Kitchen Supplies</t>
  </si>
  <si>
    <t>Relocation to Perth from melbourne - flight for Bec</t>
  </si>
  <si>
    <t>QANTAS AIR_ABN16009661901/PLNPS4M7XFQXKKG3/PLNPS4M7XFQXKKG3</t>
  </si>
  <si>
    <t>PPS Annual Conference &amp; Dinner</t>
  </si>
  <si>
    <t>SQ *PERENNIAL PASTURE SYS</t>
  </si>
  <si>
    <t>BennettA-Costs own Car Fleet</t>
  </si>
  <si>
    <t>Ice for Sth Gippy Dairy Expo</t>
  </si>
  <si>
    <t>EG GROUP/20-22 ANDERSON S</t>
  </si>
  <si>
    <t>Sth Gippy dairy expo supplies</t>
  </si>
  <si>
    <t>Name tag holders for Colbinabbin truck event</t>
  </si>
  <si>
    <t>PEATS OFFICE NATIO</t>
  </si>
  <si>
    <t>Aldi Fruit &amp; Milk 16-9-24</t>
  </si>
  <si>
    <t>50801155-10/10/24-AMICH24</t>
  </si>
  <si>
    <t>50801155-10/10/24</t>
  </si>
  <si>
    <t>Coffee beans and milk branch - Mark  Northcott</t>
  </si>
  <si>
    <t>378157-ACOUN27</t>
  </si>
  <si>
    <t>378157</t>
  </si>
  <si>
    <t>office coffee, milk</t>
  </si>
  <si>
    <t>makehamaj-Default Licensee Mer</t>
  </si>
  <si>
    <t>car phone holder</t>
  </si>
  <si>
    <t>SUPER CHEAP AUTO</t>
  </si>
  <si>
    <t>Toilet Paper for Horsham Branch</t>
  </si>
  <si>
    <t>TabererC1-Costs own Car Fleet</t>
  </si>
  <si>
    <t>Charger Laptop - Vic Loop</t>
  </si>
  <si>
    <t>AA OFFCR INBND7010</t>
  </si>
  <si>
    <t>Ear Phones</t>
  </si>
  <si>
    <t>JB HI FI SYDNEY DOME</t>
  </si>
  <si>
    <t>Poratble Speaker</t>
  </si>
  <si>
    <t>141103-AFARM03</t>
  </si>
  <si>
    <t>141103</t>
  </si>
  <si>
    <t>FTF00019264-ACANO00</t>
  </si>
  <si>
    <t>FTF00019264</t>
  </si>
  <si>
    <t>Registration for the Cleve Running Fest (Paul and Steph)</t>
  </si>
  <si>
    <t>APR*Sportitude/77zQZiK34egqy84j5/77zQZiK34egqy84j5w42</t>
  </si>
  <si>
    <t>Drinks for WoTL Crop Walk</t>
  </si>
  <si>
    <t>Meat for Uralba Suffolk Ram Sale</t>
  </si>
  <si>
    <t>CLEVE BUTCHER SHOP</t>
  </si>
  <si>
    <t>Milk for EP Field Days</t>
  </si>
  <si>
    <t>Runminati - client event</t>
  </si>
  <si>
    <t>Baordroom TV Power Lead - Sale</t>
  </si>
  <si>
    <t>Sale TV Bracket Interview Room</t>
  </si>
  <si>
    <t>141374-AFARM03</t>
  </si>
  <si>
    <t>141374</t>
  </si>
  <si>
    <t>807202-ABIGS01</t>
  </si>
  <si>
    <t>No GST on this TI</t>
  </si>
  <si>
    <t>807202</t>
  </si>
  <si>
    <t>378314-ACOUN27</t>
  </si>
  <si>
    <t>378314</t>
  </si>
  <si>
    <t>GRAND ARMIDALE PTY LTD</t>
  </si>
  <si>
    <t>Alpha Pink Ladies Day</t>
  </si>
  <si>
    <t>TRYBOOKING*QCWA ALPHA BRA/219432920814</t>
  </si>
  <si>
    <t>Branch Fruit</t>
  </si>
  <si>
    <t>HudsonM1-Literature (Books, Ne</t>
  </si>
  <si>
    <t>Newsagency - Moora Branch</t>
  </si>
  <si>
    <t>MOORA NEWSAGENCY</t>
  </si>
  <si>
    <t>Staff Amenities - Coffee</t>
  </si>
  <si>
    <t>Aldi fruit 15-10-24</t>
  </si>
  <si>
    <t>Aldi milk &amp; fruit 7-10-24</t>
  </si>
  <si>
    <t>Atherton Branch tearoom supplies</t>
  </si>
  <si>
    <t>KnowlesB-Offshore Meals &amp; Lodg</t>
  </si>
  <si>
    <t>SQ *HIGGINS HYGENIC BAKER</t>
  </si>
  <si>
    <t>Milk and cleaner for Branch</t>
  </si>
  <si>
    <t>StewartF-Company Car Parking</t>
  </si>
  <si>
    <t>Parking Perth office 15.10.24</t>
  </si>
  <si>
    <t>CPP TERRACE ROAD</t>
  </si>
  <si>
    <t>soap and catering for Sale branch</t>
  </si>
  <si>
    <t>Morning tea NPS</t>
  </si>
  <si>
    <t>WhiteS-Default Licensee Mercha</t>
  </si>
  <si>
    <t>Prints for boardroom &amp; interview room</t>
  </si>
  <si>
    <t>CrokerV-Offshore Meals &amp; Lodgi</t>
  </si>
  <si>
    <t>Coffee beans Office supplies</t>
  </si>
  <si>
    <t>SMP*The Park Cafe Goul</t>
  </si>
  <si>
    <t>141631-AFARM03</t>
  </si>
  <si>
    <t>141631</t>
  </si>
  <si>
    <t>20185733-ASWIN03</t>
  </si>
  <si>
    <t>20185733</t>
  </si>
  <si>
    <t>FTF00020306-ACANO00</t>
  </si>
  <si>
    <t>FTF00020306</t>
  </si>
  <si>
    <t>INV-001840634-ANEVE09</t>
  </si>
  <si>
    <t>Water bottle replacement for w</t>
  </si>
  <si>
    <t>INV-001840634</t>
  </si>
  <si>
    <t>3303768-ATHEF03</t>
  </si>
  <si>
    <t>3303768</t>
  </si>
  <si>
    <t>5018685-ASWIN03</t>
  </si>
  <si>
    <t>5018685</t>
  </si>
  <si>
    <t>51353104-ANESP01</t>
  </si>
  <si>
    <t>51353104</t>
  </si>
  <si>
    <t>INV-38289-AWEST71</t>
  </si>
  <si>
    <t>INV-38289</t>
  </si>
  <si>
    <t>Monthly fruit &amp; milk for the B</t>
  </si>
  <si>
    <t>SI276915-AWAGG18</t>
  </si>
  <si>
    <t>SI276915</t>
  </si>
  <si>
    <t>SN00 4046 2010 2024-ATALB00</t>
  </si>
  <si>
    <t>SN00 4046 2010 2024</t>
  </si>
  <si>
    <t>821357-ABIGS01</t>
  </si>
  <si>
    <t>Big Springs Water</t>
  </si>
  <si>
    <t>821357</t>
  </si>
  <si>
    <t>378650-ACOUN27</t>
  </si>
  <si>
    <t>378650</t>
  </si>
  <si>
    <t>HorriganAY-Offshore Meals &amp; Lo</t>
  </si>
  <si>
    <t>SQ *THE MIGHTY BEAN</t>
  </si>
  <si>
    <t>20189143-ASWIN03</t>
  </si>
  <si>
    <t>20189143</t>
  </si>
  <si>
    <t>50115088-ASWIN03</t>
  </si>
  <si>
    <t>50115088</t>
  </si>
  <si>
    <t>93566-ANEXT00</t>
  </si>
  <si>
    <t>93566</t>
  </si>
  <si>
    <t>378481-ACOUN27</t>
  </si>
  <si>
    <t>378481</t>
  </si>
  <si>
    <t>SN00 1332 0110 2024-ATHES05</t>
  </si>
  <si>
    <t>Delivery of Milk to the Brisba</t>
  </si>
  <si>
    <t>SN00 1332 0110 2024</t>
  </si>
  <si>
    <t>Milk for the Brisbane Branch -</t>
  </si>
  <si>
    <t>Gift for Jarrod Elston for the footy tipping comp</t>
  </si>
  <si>
    <t>489591-ASALE00</t>
  </si>
  <si>
    <t>489591</t>
  </si>
  <si>
    <t>SALE AUTHORISED NEWSAGENCY</t>
  </si>
  <si>
    <t>30183867-ASWIN03</t>
  </si>
  <si>
    <t>30183867</t>
  </si>
  <si>
    <t>40148723-ASWIN03</t>
  </si>
  <si>
    <t>40148723</t>
  </si>
  <si>
    <t>JonesS2-Other Personnel Expens</t>
  </si>
  <si>
    <t>Flowers for Jess</t>
  </si>
  <si>
    <t>PICK ME FLOWERS AND</t>
  </si>
  <si>
    <t>Thursday FunDay Hamper for STEPtember</t>
  </si>
  <si>
    <t>Bonds Warriewood Sq</t>
  </si>
  <si>
    <t>KMART 1055</t>
  </si>
  <si>
    <t>REBEL WARRIEWOOD</t>
  </si>
  <si>
    <t>Biscuits for DP3</t>
  </si>
  <si>
    <t>DP3 Bathroom consumable and lvl 16 kitchen supplies</t>
  </si>
  <si>
    <t>DP3 Kitchen biscuits and consumables</t>
  </si>
  <si>
    <t>DP3 Kitchen consumables</t>
  </si>
  <si>
    <t>WOOLWORTHS/WARRIEWOOD SQ</t>
  </si>
  <si>
    <t>DP3 Kitchen consumables / Biscuits</t>
  </si>
  <si>
    <t>MILKRUN/24JOSDQ3F3NJ</t>
  </si>
  <si>
    <t>Thursday Fun Day catering &amp; Level 16 Kitchen supplies</t>
  </si>
  <si>
    <t>Level 16 Commercial Coffee Machine Supplies</t>
  </si>
  <si>
    <t>BARISTA SUPPLIES</t>
  </si>
  <si>
    <t>Thursday Fun Day - NAIDOC Aboriginal Weaving Class</t>
  </si>
  <si>
    <t>Thursday Fun Day Hampers for Giveaway</t>
  </si>
  <si>
    <t>141904-AFARM03</t>
  </si>
  <si>
    <t>141904</t>
  </si>
  <si>
    <t>40149541-ASWIN03</t>
  </si>
  <si>
    <t>40149541</t>
  </si>
  <si>
    <t>Morning Tea for new Area Manager</t>
  </si>
  <si>
    <t>Orange Branch Morning Tea</t>
  </si>
  <si>
    <t>EngelbrechtD1-Entertainment Ex</t>
  </si>
  <si>
    <t>SUSSEX ST RED BOTTLE/124326116153</t>
  </si>
  <si>
    <t>EngelbrechtD1-Literature (Book</t>
  </si>
  <si>
    <t>ELZIE FLORIST</t>
  </si>
  <si>
    <t>Dalby - Lunch - Marcel van Doremaele Visit</t>
  </si>
  <si>
    <t>SUBWAY DALBY 40739</t>
  </si>
  <si>
    <t>HorriganAY-Other Computer Expe</t>
  </si>
  <si>
    <t>Dalby - International Rural Womens Day</t>
  </si>
  <si>
    <t>BIEDO</t>
  </si>
  <si>
    <t>MaharD-Default Licensee Mercha</t>
  </si>
  <si>
    <t>Security Release Fee (DPIRD)</t>
  </si>
  <si>
    <t>824444-ABIGS01</t>
  </si>
  <si>
    <t>Cooler Rent Standard 12mths</t>
  </si>
  <si>
    <t>824444</t>
  </si>
  <si>
    <t>CSYD2114982-AALSC00</t>
  </si>
  <si>
    <t>CSYD2114982</t>
  </si>
  <si>
    <t>FAVELLL-Office Supplies</t>
  </si>
  <si>
    <t>Hand Wash</t>
  </si>
  <si>
    <t>Hot Chocolate, Tea Coffee Sauces</t>
  </si>
  <si>
    <t>Milk Wagga Branch</t>
  </si>
  <si>
    <t>Paper Dinner Plates</t>
  </si>
  <si>
    <t>SIMMONSM-Default Licensee Merc</t>
  </si>
  <si>
    <t>Denevan Anniversary Flowers</t>
  </si>
  <si>
    <t>SQ *BOTANIQUE NEW ENGLAND</t>
  </si>
  <si>
    <t>Swan Hill Branch - Coffee Beans for Coffee Machine</t>
  </si>
  <si>
    <t>Arc Espresso</t>
  </si>
  <si>
    <t>water and suncreen , farm inspections Ross Tas</t>
  </si>
  <si>
    <t>A A I T SUPERMARKET PT</t>
  </si>
  <si>
    <t>WHAND-Office Supplies</t>
  </si>
  <si>
    <t>Branch - Food &amp; Beverage - Duncan Whan</t>
  </si>
  <si>
    <t>GreayC-Office Supplies</t>
  </si>
  <si>
    <t>378812-ACOUN27</t>
  </si>
  <si>
    <t>378812</t>
  </si>
  <si>
    <t>OtooleK-Default Licensee Merch</t>
  </si>
  <si>
    <t>Plants for the office</t>
  </si>
  <si>
    <t>BUNNINGS 684000</t>
  </si>
  <si>
    <t>SFS AgriFocus - Supplies</t>
  </si>
  <si>
    <t>EG GROUP/2 LILBURNE STREE</t>
  </si>
  <si>
    <t>142179-AFARM03</t>
  </si>
  <si>
    <t>142179</t>
  </si>
  <si>
    <t>AUD561095-AIRON01</t>
  </si>
  <si>
    <t>Iron Mountain - Nov 24</t>
  </si>
  <si>
    <t>AUD561095</t>
  </si>
  <si>
    <t>AUD571111-AIRON01</t>
  </si>
  <si>
    <t>AUD571111</t>
  </si>
  <si>
    <t>378980-ACOUN27</t>
  </si>
  <si>
    <t>378980</t>
  </si>
  <si>
    <t>EEC-883-EPAUL03</t>
  </si>
  <si>
    <t>Flowers for clients - wedding</t>
  </si>
  <si>
    <t>EEC-883</t>
  </si>
  <si>
    <t>ALISON PAULGER</t>
  </si>
  <si>
    <t>INV-38478-AWEST71</t>
  </si>
  <si>
    <t>Delivery of fruit boxes &amp; milk</t>
  </si>
  <si>
    <t>INV-38478</t>
  </si>
  <si>
    <t>Monthly fruit boxes &amp; milk for</t>
  </si>
  <si>
    <t>BIGWOODSD-Office Supplies</t>
  </si>
  <si>
    <t>Albany branch drinks/consumables</t>
  </si>
  <si>
    <t>WOOLWORTHS/DOG ROCK S/C L</t>
  </si>
  <si>
    <t>AXI-KEM PTY LTD</t>
  </si>
  <si>
    <t>SvanosioG-Costs own Car Fleet</t>
  </si>
  <si>
    <t>Purchase of Fuel - Work Vehicle</t>
  </si>
  <si>
    <t>NUV GRANTVILLE PTY L</t>
  </si>
  <si>
    <t>FTF00020666-ACANO00</t>
  </si>
  <si>
    <t>ROS digipass, secure code migr</t>
  </si>
  <si>
    <t>FTF00020666</t>
  </si>
  <si>
    <t>INV-001874698-ANEVE09</t>
  </si>
  <si>
    <t>INV-001874698</t>
  </si>
  <si>
    <t>SN00 1332 0611 2024-ATHES05</t>
  </si>
  <si>
    <t>SN00 1332 0611 2024</t>
  </si>
  <si>
    <t>Milk Coles</t>
  </si>
  <si>
    <t>Cloncurry Branch supplies - Office Milk for Smoko</t>
  </si>
  <si>
    <t>Cloncurry Branch supplies-Office Milk for smoko</t>
  </si>
  <si>
    <t>142512-AFARM03</t>
  </si>
  <si>
    <t>142512</t>
  </si>
  <si>
    <t>Water cleaner for coffee machine</t>
  </si>
  <si>
    <t>FRED COLE ELECTRICAL</t>
  </si>
  <si>
    <t>Gift to James &amp; Fiona Paterson - birth of son Jock</t>
  </si>
  <si>
    <t>LS BUZZI N MOO</t>
  </si>
  <si>
    <t>CONNOLLYB-Software</t>
  </si>
  <si>
    <t>phone cord</t>
  </si>
  <si>
    <t>LEC Griffith</t>
  </si>
  <si>
    <t>$19.20 milk for branch 24.10.2024</t>
  </si>
  <si>
    <t>30187456-ASWIN03</t>
  </si>
  <si>
    <t>30187456</t>
  </si>
  <si>
    <t>Computer adapter</t>
  </si>
  <si>
    <t>THE GOOD GUYS</t>
  </si>
  <si>
    <t>HETHERINGTONR-Telecommunicatio</t>
  </si>
  <si>
    <t>Keyboard and Mouse for Geraldton Boardroom</t>
  </si>
  <si>
    <t>MITCHELL AND BROWN</t>
  </si>
  <si>
    <t>379152-ACOUN27</t>
  </si>
  <si>
    <t>379152</t>
  </si>
  <si>
    <t>51585142-ANESP01</t>
  </si>
  <si>
    <t>Nespresso Pods order DP3</t>
  </si>
  <si>
    <t>51585142</t>
  </si>
  <si>
    <t>SN00 4046 2411 2024-ATALB00</t>
  </si>
  <si>
    <t>SN00 4046 2411 2024</t>
  </si>
  <si>
    <t>Stat Dec witness fee by UFS Pharmacies - client Michael Silke</t>
  </si>
  <si>
    <t>B.U.F.S.</t>
  </si>
  <si>
    <t>Ayr Branch - Spare Keys cut</t>
  </si>
  <si>
    <t>FPG INDUSTRIES PTY L</t>
  </si>
  <si>
    <t>SturgissH-Costs own Car Fleet</t>
  </si>
  <si>
    <t>Ice Rabo Research Service Provider Event 7/11/24</t>
  </si>
  <si>
    <t>CARMODY TYRE SEVICE</t>
  </si>
  <si>
    <t>board room &amp; stationary cupboard restock</t>
  </si>
  <si>
    <t>Warragul branch kitchen and reception restock</t>
  </si>
  <si>
    <t>Sale branch bathroom stock</t>
  </si>
  <si>
    <t>WHAND-Offshore Meals &amp; Lodging</t>
  </si>
  <si>
    <t>Branch - Food &amp; Beverage - Duncan Whan (milk x 2)</t>
  </si>
  <si>
    <t>BLADWELLN-Entertainment Expens</t>
  </si>
  <si>
    <t>Office Melbourne Cup Lunch</t>
  </si>
  <si>
    <t>DAN MURPHY'S/CNR WHEELERS</t>
  </si>
  <si>
    <t>BLADWELLN-Office Supplies</t>
  </si>
  <si>
    <t>WOOLWORTHS/MITCHELL HWY &amp;</t>
  </si>
  <si>
    <t>BLADWELLN-Offshore Meals &amp; Lod</t>
  </si>
  <si>
    <t>DMC MEAT AND SEAFOOD</t>
  </si>
  <si>
    <t>StewartF-Office Supplies</t>
  </si>
  <si>
    <t>BatemanM-Other Personnel Expen</t>
  </si>
  <si>
    <t>Office Lunchroom</t>
  </si>
  <si>
    <t>MITCHELL &amp; BROWN</t>
  </si>
  <si>
    <t>Office milk suplies</t>
  </si>
  <si>
    <t>Office Coffee Beans</t>
  </si>
  <si>
    <t>New Lock for back gate</t>
  </si>
  <si>
    <t>EMERALD MITRE 10</t>
  </si>
  <si>
    <t>Items for new Ingham Branch</t>
  </si>
  <si>
    <t>SQ *NQ MAKERS? COLLECTIVE</t>
  </si>
  <si>
    <t>Misc Items for New Branch set up</t>
  </si>
  <si>
    <t>KMART 3338</t>
  </si>
  <si>
    <t>Tea Room Supplies - Ingham Branch</t>
  </si>
  <si>
    <t>COLES 4442</t>
  </si>
  <si>
    <t>379328-ACOUN27</t>
  </si>
  <si>
    <t>379328</t>
  </si>
  <si>
    <t>51258239-ANESP01</t>
  </si>
  <si>
    <t>51258239</t>
  </si>
  <si>
    <t>51595575-ANESP01</t>
  </si>
  <si>
    <t>51595575</t>
  </si>
  <si>
    <t>SN00 1332 0110 2024-ASTOR00</t>
  </si>
  <si>
    <t>SN00 1332 0611 2024-ASTOR00</t>
  </si>
  <si>
    <t>ThomasJ1-Other Personnel Expen</t>
  </si>
  <si>
    <t>Brooke Staff present</t>
  </si>
  <si>
    <t>142734-AFARM03</t>
  </si>
  <si>
    <t>142734</t>
  </si>
  <si>
    <t>50801155-25/10/24-AMICH24</t>
  </si>
  <si>
    <t>general office expense</t>
  </si>
  <si>
    <t>50801155-25/10/24</t>
  </si>
  <si>
    <t>50801155-27/11/24-AMICH24</t>
  </si>
  <si>
    <t>50801155-27/11/24</t>
  </si>
  <si>
    <t>99917-ANEXT00</t>
  </si>
  <si>
    <t>99917</t>
  </si>
  <si>
    <t>Milk and Coffe Beans for Townsville Office - Brad Pozzi</t>
  </si>
  <si>
    <t>Staff Morning Tea - Melissa Simmons</t>
  </si>
  <si>
    <t>MARKERS CAKE SHOP</t>
  </si>
  <si>
    <t>BIG W/55 PATRICK STREET</t>
  </si>
  <si>
    <t>Office Morning tea - Jemima Bday</t>
  </si>
  <si>
    <t>Ingham Project - Branch Set Up Plants</t>
  </si>
  <si>
    <t>CANEGROWERS MITRE 10</t>
  </si>
  <si>
    <t>Ingham Branch - Office set up</t>
  </si>
  <si>
    <t>Ingham Project - Branch Set Up items</t>
  </si>
  <si>
    <t>50801155-26/11/24-AMICH24</t>
  </si>
  <si>
    <t>50801155-26/11/24</t>
  </si>
  <si>
    <t>40160869-ASWIN03</t>
  </si>
  <si>
    <t>40160869</t>
  </si>
  <si>
    <t>SN00 1332 0212 2024-ASTOR00</t>
  </si>
  <si>
    <t>SN00 1332 0212 2024</t>
  </si>
  <si>
    <t>CarisK1-Offshore Meals &amp; Lodgi</t>
  </si>
  <si>
    <t>Team Offsite Syd December - Katrina Caris</t>
  </si>
  <si>
    <t>Mobile ph charger replacement</t>
  </si>
  <si>
    <t>SQ *TALL TIMBERS ROADHOUS</t>
  </si>
  <si>
    <t>USB port extension</t>
  </si>
  <si>
    <t>JB HI FI HOBART</t>
  </si>
  <si>
    <t>50801155-07/11/24-AMICH24</t>
  </si>
  <si>
    <t>50801155-07/11/24</t>
  </si>
  <si>
    <t>50801155-19/11/24-AMICH24</t>
  </si>
  <si>
    <t>50801155-19/11/24</t>
  </si>
  <si>
    <t>50801155-21/10/24-AMICH24</t>
  </si>
  <si>
    <t>50801155-21/10/24</t>
  </si>
  <si>
    <t>KMART 1175</t>
  </si>
  <si>
    <t>FRESH &amp; SAVE ARMIDALE</t>
  </si>
  <si>
    <t>Dinner With Ease - Staff Voucher - Get Well Gift for Steph</t>
  </si>
  <si>
    <t>SQ *DINNER WITH EASE</t>
  </si>
  <si>
    <t>Car First Aid Kids</t>
  </si>
  <si>
    <t>ST JOHN AMBULANCE AUST</t>
  </si>
  <si>
    <t>Coffee beans for Office Coffee Machine</t>
  </si>
  <si>
    <t>143005-AFARM03</t>
  </si>
  <si>
    <t>143005</t>
  </si>
  <si>
    <t>AUD578873-AIRON01</t>
  </si>
  <si>
    <t>Iron Mountain - Dec 24</t>
  </si>
  <si>
    <t>AUD578873</t>
  </si>
  <si>
    <t>AUD587861-AIRON01</t>
  </si>
  <si>
    <t>AUD587861</t>
  </si>
  <si>
    <t>379488-ACOUN27</t>
  </si>
  <si>
    <t>379488</t>
  </si>
  <si>
    <t>51676589-ANESP01</t>
  </si>
  <si>
    <t>51676589</t>
  </si>
  <si>
    <t>EEC-1038-ERAUT00</t>
  </si>
  <si>
    <t>A4 frame for Tony's 10 yr serv</t>
  </si>
  <si>
    <t>EEC-1038</t>
  </si>
  <si>
    <t>PRAJAKTA RAUT</t>
  </si>
  <si>
    <t>Hand sanitiser, Sunscreen for</t>
  </si>
  <si>
    <t>branch supplies RM visit</t>
  </si>
  <si>
    <t>Fruit for the office</t>
  </si>
  <si>
    <t>Aldi bananas 18-11-24</t>
  </si>
  <si>
    <t>Office groceries - tea bags</t>
  </si>
  <si>
    <t>client morning tea</t>
  </si>
  <si>
    <t>SQ *NORTH END BAKEHOUSE M</t>
  </si>
  <si>
    <t>Supplies for Client Event Coonabarabran 27.11</t>
  </si>
  <si>
    <t>KMART 1072</t>
  </si>
  <si>
    <t>Tools for SYD Office</t>
  </si>
  <si>
    <t>SUNLITE MITRE 10 PITT</t>
  </si>
  <si>
    <t>Catering Kitchen plates and cutlery</t>
  </si>
  <si>
    <t>IKEA RHODES</t>
  </si>
  <si>
    <t>Cushions and Covers for Forum and Meeting spaces</t>
  </si>
  <si>
    <t>PILLOW TALK PTY LTD</t>
  </si>
  <si>
    <t>Gifts for GP3 cleaning team</t>
  </si>
  <si>
    <t>TOWN HALL CONVENIENCE/122053023698</t>
  </si>
  <si>
    <t>Level 16 drinks and Thursday Fun Day catering</t>
  </si>
  <si>
    <t>143281-AFARM03</t>
  </si>
  <si>
    <t>143281</t>
  </si>
  <si>
    <t>Tent Pegs - Emerald branch</t>
  </si>
  <si>
    <t>BCF AUSTRALIA</t>
  </si>
  <si>
    <t>Blank Covers for Office Unused Power Outlets</t>
  </si>
  <si>
    <t>SYD TOOLS BROOKVALE</t>
  </si>
  <si>
    <t>Car wash - prior to handover of new car to Tom Bear</t>
  </si>
  <si>
    <t>CAR WASH ON WATERDALE</t>
  </si>
  <si>
    <t>VosR5-Costs own Car Fleet</t>
  </si>
  <si>
    <t>Ice for Catering kitchen</t>
  </si>
  <si>
    <t>COLES EXPRESS 1605</t>
  </si>
  <si>
    <t>COLES EXPRESS 1609</t>
  </si>
  <si>
    <t>Level 16 Meeting Room consumables</t>
  </si>
  <si>
    <t>VosR5-Entertainment Expense</t>
  </si>
  <si>
    <t>Thursday Fun Day Alcohol Order</t>
  </si>
  <si>
    <t>DP3 Biscuit Consumables</t>
  </si>
  <si>
    <t>DP3 Catering kitchen consumables</t>
  </si>
  <si>
    <t>DP3 Kitchen Consumables Credit for Non Supply of Items</t>
  </si>
  <si>
    <t>DP3 Ktichen Consumables</t>
  </si>
  <si>
    <t>MILKRUN/24PZYORZY7WI</t>
  </si>
  <si>
    <t>VosR5-Offshore Meals &amp; Lodging</t>
  </si>
  <si>
    <t>Coffee Beans for Catering Kitchen</t>
  </si>
  <si>
    <t>SP BUN COFFEE AUSTRALI</t>
  </si>
  <si>
    <t>DP3 Coffee Beans for Lvl 16 Kitchen</t>
  </si>
  <si>
    <t>PAYPAL/1b74c5c63fed62</t>
  </si>
  <si>
    <t>Thursday Fun Day - Hampers for Xmas Giving Tree</t>
  </si>
  <si>
    <t>THE HAMPER EMPORIUM</t>
  </si>
  <si>
    <t>Thursday Fun Day White Ribbons</t>
  </si>
  <si>
    <t>SP WHITE RIBBON SHOP</t>
  </si>
  <si>
    <t>50801155-07/11/24A-AMICH24</t>
  </si>
  <si>
    <t>50801155-07/11/24A</t>
  </si>
  <si>
    <t>50801155-07/11/24B-AMICH24</t>
  </si>
  <si>
    <t>50801155-07/11/24B</t>
  </si>
  <si>
    <t>54202831-10/12/24-AMICH24</t>
  </si>
  <si>
    <t>54202831-10/12/24</t>
  </si>
  <si>
    <t>ALLENB-Default Licensee Mercha</t>
  </si>
  <si>
    <t>Longreach Christmas Function Decorations | Christmas Card</t>
  </si>
  <si>
    <t>PRICES PLUS</t>
  </si>
  <si>
    <t>ROBINSONPJ-Ground Travel</t>
  </si>
  <si>
    <t>INDEPENDENT 132211/000000041997</t>
  </si>
  <si>
    <t>ROBINSONPJ-Offshore Meals &amp; Lo</t>
  </si>
  <si>
    <t>Adelaide - all of office morning tea to celebrate results</t>
  </si>
  <si>
    <t>SMP*Balfours Cafe City</t>
  </si>
  <si>
    <t>EEC-1100-ELOOK00</t>
  </si>
  <si>
    <t>Flowers for Christine Hooper</t>
  </si>
  <si>
    <t>EEC-1100</t>
  </si>
  <si>
    <t>FIONA LOOKER</t>
  </si>
  <si>
    <t>EEC-1102-ELOOK00</t>
  </si>
  <si>
    <t>Replacement laptop charger</t>
  </si>
  <si>
    <t>EEC-1102</t>
  </si>
  <si>
    <t>VIC water title search - client Zandstra</t>
  </si>
  <si>
    <t>BWS - Staff Refreshments $112</t>
  </si>
  <si>
    <t>Fruit</t>
  </si>
  <si>
    <t>Office Kitchen Refreshments</t>
  </si>
  <si>
    <t>BWS LIQUOR/OLD NORTH RD &amp;</t>
  </si>
  <si>
    <t>Office kitchen restock</t>
  </si>
  <si>
    <t>ArnoldS-Postage</t>
  </si>
  <si>
    <t>Post to Kimba School and Christmas cards for clients</t>
  </si>
  <si>
    <t>POST PORT LINCOLN POST</t>
  </si>
  <si>
    <t>Branch planning meeting all staff</t>
  </si>
  <si>
    <t>Pho Plus Takeaway</t>
  </si>
  <si>
    <t>Atherton Branch tea room refreshments</t>
  </si>
  <si>
    <t>Office Milk, Sugar Ect</t>
  </si>
  <si>
    <t>SQ *COZY CAKE</t>
  </si>
  <si>
    <t>Aldi fruit 2-12-24</t>
  </si>
  <si>
    <t>Aldi milk &amp; fruit 25-11-24</t>
  </si>
  <si>
    <t>Segafredo Bakery</t>
  </si>
  <si>
    <t>Monthly Birthday Cake</t>
  </si>
  <si>
    <t>Flowers for Lees Family - Death of Richie Lees</t>
  </si>
  <si>
    <t>LS BLOSSOMS FLORIST G</t>
  </si>
  <si>
    <t>Post tune-up event drinks</t>
  </si>
  <si>
    <t>Aldi milk etc 6-11-24</t>
  </si>
  <si>
    <t>Coles milk &amp; fruit 30-10-24</t>
  </si>
  <si>
    <t>Birthday - Peter Irwin</t>
  </si>
  <si>
    <t>SUTTON S BAKERY PTY LTD</t>
  </si>
  <si>
    <t>7 BEANS COFFEE</t>
  </si>
  <si>
    <t>SFS AgriFocus consumables</t>
  </si>
  <si>
    <t>WOOLWORTHS/LUCAS TOWN CEN</t>
  </si>
  <si>
    <t>Reddy Express 6743</t>
  </si>
  <si>
    <t>DONALDSONI2-Office Supplies</t>
  </si>
  <si>
    <t>Office supplies - PIBA Cup function</t>
  </si>
  <si>
    <t>WOOLWORTHS/BAYONET HEAD R</t>
  </si>
  <si>
    <t>Agribalance workshop - NOTE delayed until Feb 2025 payment will be held through</t>
  </si>
  <si>
    <t>COO Townhall Xmas Treats</t>
  </si>
  <si>
    <t>Picture hanging inputs</t>
  </si>
  <si>
    <t>Gifts for CSU and Credit - Christmas</t>
  </si>
  <si>
    <t>Morning Tea - Office</t>
  </si>
  <si>
    <t>Office Snacks</t>
  </si>
  <si>
    <t>PIBA Cup snacks in branch</t>
  </si>
  <si>
    <t>Office Supplies - GLB SYD Office</t>
  </si>
  <si>
    <t>KMART 1064</t>
  </si>
  <si>
    <t>SQ *EVOLUTION TROPHIES PR</t>
  </si>
  <si>
    <t>Aldi bananas 9-12-24</t>
  </si>
  <si>
    <t>Christmas Cards for office christmas mail out</t>
  </si>
  <si>
    <t>Longreach Christmas Cards</t>
  </si>
  <si>
    <t>SvanosioG-Entertainment Expens</t>
  </si>
  <si>
    <t>Purchase of Wine</t>
  </si>
  <si>
    <t>BWS LIQUOR/EASTWOOD ST &amp;</t>
  </si>
  <si>
    <t>Purchase of Christmas Cards</t>
  </si>
  <si>
    <t>SvanosioG-Other Personnel Expe</t>
  </si>
  <si>
    <t>Purchase of Flowers (Pen Caldow)</t>
  </si>
  <si>
    <t>SARAHS FLOWERS PTY L</t>
  </si>
  <si>
    <t>Capital - to investigate</t>
  </si>
  <si>
    <t>Accept business expense - no fbt for first aid where connected to work - otherwise deductible</t>
  </si>
  <si>
    <t>business expense</t>
  </si>
  <si>
    <t>office consumables - OK</t>
  </si>
  <si>
    <t>office consumables -OK</t>
  </si>
  <si>
    <t>office consumables</t>
  </si>
  <si>
    <t>Alcohol - ME</t>
  </si>
  <si>
    <t>Accept - in house</t>
  </si>
  <si>
    <t>Under $100 - accept</t>
  </si>
  <si>
    <t>Accept under $100 ea - plants</t>
  </si>
  <si>
    <t>office consumables - ok</t>
  </si>
  <si>
    <t>recreational entertainment - part of weaving class</t>
  </si>
  <si>
    <t>travel - OK</t>
  </si>
  <si>
    <t>Under $100 ea - OK</t>
  </si>
  <si>
    <t>business expense - OK</t>
  </si>
  <si>
    <t>Business expense - OK</t>
  </si>
  <si>
    <t>business exoense - ok</t>
  </si>
  <si>
    <t>business travel - OK</t>
  </si>
  <si>
    <t>businss expense - OK</t>
  </si>
  <si>
    <t>not for employees - OK</t>
  </si>
  <si>
    <t>for staff - otherwise deductible if not s58P</t>
  </si>
  <si>
    <t>accept not for staff</t>
  </si>
  <si>
    <t>s58P</t>
  </si>
  <si>
    <t>Under $100 - OK</t>
  </si>
  <si>
    <t>Travel expense - OK</t>
  </si>
  <si>
    <t>sustenance</t>
  </si>
  <si>
    <t>car</t>
  </si>
  <si>
    <t>Under $300</t>
  </si>
  <si>
    <t>under $300</t>
  </si>
  <si>
    <t>Capital - to review</t>
  </si>
  <si>
    <t>OK - sustenance</t>
  </si>
  <si>
    <t>OK</t>
  </si>
  <si>
    <t>Picked up in Tuition expese analysis - NFA</t>
  </si>
  <si>
    <t>Picked up in Invoices WPE3 expese analysis - NFA</t>
  </si>
  <si>
    <t>Minor ME amounts</t>
  </si>
  <si>
    <t>No ME included.  Minor cap amounts</t>
  </si>
  <si>
    <t>Tfrred to "WPE1 ME Summary - GL analysis ent accounts"</t>
  </si>
  <si>
    <t>D J/P-0190648236</t>
  </si>
  <si>
    <t>SN00 4702 3003 2024-ANEWS12</t>
  </si>
  <si>
    <t>Carrs Newsxpress Mar invoice</t>
  </si>
  <si>
    <t>SN00 4702 3003 2024</t>
  </si>
  <si>
    <t>NEWSXPRESS CARRS ARMIDALE</t>
  </si>
  <si>
    <t>SN00 4702 2604 2024-ANEWS12</t>
  </si>
  <si>
    <t>Carrs Newsagency April invoice</t>
  </si>
  <si>
    <t>SN00 4702 2604 2024</t>
  </si>
  <si>
    <t>INV-5440-AKANG01</t>
  </si>
  <si>
    <t>KangaNews subscription for 5 a</t>
  </si>
  <si>
    <t>INV-5440</t>
  </si>
  <si>
    <t>KANGANEWS</t>
  </si>
  <si>
    <t>PictonBJ-Default Licensee Merc</t>
  </si>
  <si>
    <t>BusinessDesk Annual Sub</t>
  </si>
  <si>
    <t>NZME PUBLISHING</t>
  </si>
  <si>
    <t>SN00 4702 3005 2024-ANEWS12</t>
  </si>
  <si>
    <t>Carrs newsagency May invoice</t>
  </si>
  <si>
    <t>SN00 4702 3005 2024</t>
  </si>
  <si>
    <t>SN00 4702 2806 2024-ANEWS12</t>
  </si>
  <si>
    <t>Carrs June invoice</t>
  </si>
  <si>
    <t>SN00 4702 2806 2024</t>
  </si>
  <si>
    <t>Wall Street Journal Subscription</t>
  </si>
  <si>
    <t>D J/P-0202930279</t>
  </si>
  <si>
    <t>wsj subsciption</t>
  </si>
  <si>
    <t>D J/P-0214982784</t>
  </si>
  <si>
    <t>D J/P-0227486545</t>
  </si>
  <si>
    <t>SN00 4994 0307 2024-AFOST01</t>
  </si>
  <si>
    <t>SN00 4994 0307 2024</t>
  </si>
  <si>
    <t>SN00 4702 2907 2024-ANEWS12</t>
  </si>
  <si>
    <t>Carrs newsagency July invoice</t>
  </si>
  <si>
    <t>SN00 4702 2907 2024</t>
  </si>
  <si>
    <t>D J/P-0239389758</t>
  </si>
  <si>
    <t>ZankerL-Default Licensee Merch</t>
  </si>
  <si>
    <t>Licence - Valuations</t>
  </si>
  <si>
    <t>SN00 4702 3008 2024-ANEWS12</t>
  </si>
  <si>
    <t>Carrs newsagency August invoic</t>
  </si>
  <si>
    <t>SN00 4702 3008 2024</t>
  </si>
  <si>
    <t>SN00 4702 2709 2024-ANEWS12</t>
  </si>
  <si>
    <t>SN00 4702 2709 2024</t>
  </si>
  <si>
    <t>SN00 4702 2810 2024-ANEWS12</t>
  </si>
  <si>
    <t>October newsagency invoice</t>
  </si>
  <si>
    <t>SN00 4702 2810 2024</t>
  </si>
  <si>
    <t>D J/P-0264150756</t>
  </si>
  <si>
    <t>D J/P-0276218089</t>
  </si>
  <si>
    <t>Canegrower Magazine Subscription</t>
  </si>
  <si>
    <t>CANEGROWERS</t>
  </si>
  <si>
    <t>D J/P-0288567552</t>
  </si>
  <si>
    <t>INV2222-ABEEF07</t>
  </si>
  <si>
    <t>BeefBank_Donation_NQNTCC</t>
  </si>
  <si>
    <t>INV2222</t>
  </si>
  <si>
    <t>BEEFBANK LIMITED</t>
  </si>
  <si>
    <t>184-921-AROYA00</t>
  </si>
  <si>
    <t>SA.NWVIC_CC_Outbackcartrek</t>
  </si>
  <si>
    <t>184-921</t>
  </si>
  <si>
    <t>ROYAL FLYING DOCTOR SERVICE-OUTBACK TREK</t>
  </si>
  <si>
    <t>INV-10557-AOZHA00</t>
  </si>
  <si>
    <t>Oz Harvest Donation</t>
  </si>
  <si>
    <t>INV-10557</t>
  </si>
  <si>
    <t>OZ HARVEST LIMITED</t>
  </si>
  <si>
    <t>IN13273-AROYA05</t>
  </si>
  <si>
    <t>Donation to Charity</t>
  </si>
  <si>
    <t>IN13273</t>
  </si>
  <si>
    <t>00000707-AHEAR01</t>
  </si>
  <si>
    <t>HeartOfAustralia_LotusCreekEve</t>
  </si>
  <si>
    <t>00000707</t>
  </si>
  <si>
    <t>2RB-AHAYI00</t>
  </si>
  <si>
    <t>Hay Inc Education Program _ RI</t>
  </si>
  <si>
    <t>2RB</t>
  </si>
  <si>
    <t>HAY INC</t>
  </si>
  <si>
    <t>AU032071</t>
  </si>
  <si>
    <t>RABO-24/10/24-ACLAI00</t>
  </si>
  <si>
    <t>Balaklava for Fat Farmers</t>
  </si>
  <si>
    <t>RABO-24/10/24</t>
  </si>
  <si>
    <t>CLAIRE CATFORD</t>
  </si>
  <si>
    <t>9000362937-ANSWG01</t>
  </si>
  <si>
    <t>2024 Ag Vision Sponsorship - R</t>
  </si>
  <si>
    <t>9000362937</t>
  </si>
  <si>
    <t>NSW GOVERNMENT SCHOOLS</t>
  </si>
  <si>
    <t>INV-1816-ABACK01</t>
  </si>
  <si>
    <t>INV-1816</t>
  </si>
  <si>
    <t>BACKTRACK YOUTH WORKS</t>
  </si>
  <si>
    <t>INV2224-ABEEF07</t>
  </si>
  <si>
    <t>SQ Client Council donation  to</t>
  </si>
  <si>
    <t>INV2224</t>
  </si>
  <si>
    <t>00017757-ARURA00</t>
  </si>
  <si>
    <t>Rural Youth Org of TAS - Launc</t>
  </si>
  <si>
    <t>00017757</t>
  </si>
  <si>
    <t>RURAL YOUTH ORGANISATION OF TASMANIA INC</t>
  </si>
  <si>
    <t>INV-0809-ACOUN02</t>
  </si>
  <si>
    <t>CNNSW Client Council Donation</t>
  </si>
  <si>
    <t>COUNTRY EDUCATION FOUNDATION OF AUST</t>
  </si>
  <si>
    <t>IN13683-AROYA05</t>
  </si>
  <si>
    <t>Staff Xmas gift card donations</t>
  </si>
  <si>
    <t>IN13683</t>
  </si>
  <si>
    <t>INV-0017-AFATF00</t>
  </si>
  <si>
    <t>SANTNWV Client Council Local I</t>
  </si>
  <si>
    <t>INV-0017</t>
  </si>
  <si>
    <t>AU032072</t>
  </si>
  <si>
    <t>INV-0026-ALEAD01</t>
  </si>
  <si>
    <t>SANTNWV CC Fat Farmers event s</t>
  </si>
  <si>
    <t>INV-0026</t>
  </si>
  <si>
    <t>241211308705-ACOTT01</t>
  </si>
  <si>
    <t>Charity Payment WHT Phase 2</t>
  </si>
  <si>
    <t>241211308705</t>
  </si>
  <si>
    <t>COTTAGES 4 COUNTRY CARE</t>
  </si>
  <si>
    <t>RBAUS NET PAY Apr 24</t>
  </si>
  <si>
    <t>Cancer Council Apr 24</t>
  </si>
  <si>
    <t>Royal Flying Doctors Apr 24</t>
  </si>
  <si>
    <t>Salvos Apr 24</t>
  </si>
  <si>
    <t>Starlight Apr 24</t>
  </si>
  <si>
    <t>SpinksJ-Domestic &amp; Overseas lo</t>
  </si>
  <si>
    <t>Burdekin Road Runners - Prize</t>
  </si>
  <si>
    <t>IBIS MACKAY OPI</t>
  </si>
  <si>
    <t>Contribution Ilfracombe Anzac Day</t>
  </si>
  <si>
    <t>WELLSHOT HOTEL</t>
  </si>
  <si>
    <t>RBAUS NET PAY May 24</t>
  </si>
  <si>
    <t>Cancer Council May 24</t>
  </si>
  <si>
    <t>Royal Flying Doctors May 24</t>
  </si>
  <si>
    <t>Salvos May 24</t>
  </si>
  <si>
    <t>Starlight May 24</t>
  </si>
  <si>
    <t>RBAUS NET PAY June 24</t>
  </si>
  <si>
    <t>Cancer Council June 24</t>
  </si>
  <si>
    <t>Royal Flying Doctors June 24</t>
  </si>
  <si>
    <t>Salvos June 24</t>
  </si>
  <si>
    <t>Starlight June 24</t>
  </si>
  <si>
    <t>000093-AAUST06</t>
  </si>
  <si>
    <t>000093</t>
  </si>
  <si>
    <t>AUSTRALIAN AGRICULTURAL CENTRE</t>
  </si>
  <si>
    <t>FAR conractor accrual</t>
  </si>
  <si>
    <t>Donation accrual</t>
  </si>
  <si>
    <t>POWELLK-Default Licensee Merch</t>
  </si>
  <si>
    <t>Deposits team community day - Salvation Army Streetlevel in Surry Hills</t>
  </si>
  <si>
    <t>SYDNEY STREETLEVEL</t>
  </si>
  <si>
    <t>RBAUS NET PAY July 24</t>
  </si>
  <si>
    <t>Cancer Council July 24</t>
  </si>
  <si>
    <t>Royal Flying Doctors July 24</t>
  </si>
  <si>
    <t>Salvos July 24</t>
  </si>
  <si>
    <t>Starlight July 24</t>
  </si>
  <si>
    <t>RenshawGC-Entertainment Expens</t>
  </si>
  <si>
    <t>Produce for Gift basket for  local event donation - Variety Bash Laura community</t>
  </si>
  <si>
    <t>Mr Mick</t>
  </si>
  <si>
    <t>RenshawGC-Office Supplies</t>
  </si>
  <si>
    <t>WyllieDA-Default Licensee Merc</t>
  </si>
  <si>
    <t>Annual contribution (golf balls) to local golf club to provide networking opportunities with local f</t>
  </si>
  <si>
    <t>DRUMMOND GOLF CANNIN</t>
  </si>
  <si>
    <t>Muttaburra races pria</t>
  </si>
  <si>
    <t>LONGREACH TAVERN OP CO</t>
  </si>
  <si>
    <t>CransbergD-Office Supplies</t>
  </si>
  <si>
    <t>Beacon Golf Day</t>
  </si>
  <si>
    <t>AVON VALLEY FRENCH H</t>
  </si>
  <si>
    <t>McKayA1-Default Licensee Merch</t>
  </si>
  <si>
    <t>Food hamper donation Bill Crews charity day 31Jul24</t>
  </si>
  <si>
    <t>REV. BILL CREWS FNDTN.</t>
  </si>
  <si>
    <t>RBAUS NET PAY AUG 24</t>
  </si>
  <si>
    <t>Cancer Council AUG 24</t>
  </si>
  <si>
    <t>Royal Flying Doctors AUG 24</t>
  </si>
  <si>
    <t>Salvos AUG 24</t>
  </si>
  <si>
    <t>Starlight AUG 24</t>
  </si>
  <si>
    <t>LombardiniJ-Default Licensee M</t>
  </si>
  <si>
    <t>Daffodil Day raffle donation</t>
  </si>
  <si>
    <t>THE DUST MERCHANT</t>
  </si>
  <si>
    <t>RBAUS NET PAY SEP 24</t>
  </si>
  <si>
    <t>Cancer Council SEP 24</t>
  </si>
  <si>
    <t>Royal Flying Doctors SEP 24</t>
  </si>
  <si>
    <t>Salvos SEP 24</t>
  </si>
  <si>
    <t>Starlight SEP 24</t>
  </si>
  <si>
    <t>RBAUS NET PAY OCT 24</t>
  </si>
  <si>
    <t>Cancer Council OCT 24</t>
  </si>
  <si>
    <t>Royal Flying Doctors OCT 24</t>
  </si>
  <si>
    <t>Salvos OCT 24</t>
  </si>
  <si>
    <t>Starlight OCT 24</t>
  </si>
  <si>
    <t>HallidayA-Tuition (study) Reim</t>
  </si>
  <si>
    <t>Community Engagement day</t>
  </si>
  <si>
    <t>THE SALVATION ARMY</t>
  </si>
  <si>
    <t>RBAUS NET PAY NOV 24</t>
  </si>
  <si>
    <t>Cancer Council NOV 24</t>
  </si>
  <si>
    <t>Royal Flying Doctors NOV 24</t>
  </si>
  <si>
    <t>Salvos NOV 24</t>
  </si>
  <si>
    <t>Starlight NOV 24</t>
  </si>
  <si>
    <t>TestaS-Default Licensee Mercha</t>
  </si>
  <si>
    <t>community day</t>
  </si>
  <si>
    <t>INV-0011-ALUCE01</t>
  </si>
  <si>
    <t>Keith function support for con</t>
  </si>
  <si>
    <t>CransbergD-Offshore Meals &amp; Lo</t>
  </si>
  <si>
    <t>Lobster AMM</t>
  </si>
  <si>
    <t>SWAN YACHT CLUB</t>
  </si>
  <si>
    <t>RBAUS NET PAY DEC 24</t>
  </si>
  <si>
    <t>Cancer Council DEC 24</t>
  </si>
  <si>
    <t>Royal Flying Doctors DEC 24</t>
  </si>
  <si>
    <t>Salvos DEC 24</t>
  </si>
  <si>
    <t>Starlight DEC 24</t>
  </si>
  <si>
    <t>OK - donations made</t>
  </si>
  <si>
    <t>Recreational entertainment with more than 1 person</t>
  </si>
  <si>
    <t>No ME</t>
  </si>
  <si>
    <t>ME and cap</t>
  </si>
  <si>
    <t>Reviewer Queries</t>
  </si>
  <si>
    <t>Noted</t>
  </si>
  <si>
    <t>Mostly, No entertainment expenses included below - all relates to Rabotruck, marketing expences and items directly related to businss activities of Rabo</t>
  </si>
  <si>
    <t>Venue Booking - Carbon Workshop Bendigo 29 - 30/07/2025</t>
  </si>
  <si>
    <t>Q1</t>
  </si>
  <si>
    <t>Q2</t>
  </si>
  <si>
    <t xml:space="preserve">Totally agree, sounds capital and not on rev acct.  </t>
  </si>
  <si>
    <r>
      <rPr>
        <sz val="11"/>
        <color rgb="FF0000CC"/>
        <rFont val="Calibri"/>
        <family val="2"/>
        <scheme val="minor"/>
      </rPr>
      <t>Isn't it that under Div9A all meals provided to clients</t>
    </r>
    <r>
      <rPr>
        <sz val="12"/>
        <color rgb="FF0000CC"/>
        <rFont val="Times New Roman"/>
        <family val="1"/>
      </rPr>
      <t xml:space="preserve"> irrespective of amount, time or where is </t>
    </r>
    <r>
      <rPr>
        <b/>
        <u/>
        <sz val="12"/>
        <color rgb="FF0000CC"/>
        <rFont val="Times New Roman"/>
        <family val="1"/>
      </rPr>
      <t>not</t>
    </r>
    <r>
      <rPr>
        <b/>
        <sz val="12"/>
        <color rgb="FF0000CC"/>
        <rFont val="Times New Roman"/>
        <family val="1"/>
      </rPr>
      <t xml:space="preserve"> “sustenance”</t>
    </r>
    <r>
      <rPr>
        <sz val="12"/>
        <color rgb="FF0000CC"/>
        <rFont val="Times New Roman"/>
        <family val="1"/>
      </rPr>
      <t>, but entertaiment.</t>
    </r>
  </si>
  <si>
    <t xml:space="preserve"> I thought that under Div9A, all meals provided to clients irrespective of amount, time or where is not “sustenance”, but ME.</t>
  </si>
  <si>
    <t>Rev'rs Q:</t>
  </si>
  <si>
    <t xml:space="preserve">Can you have sustenance for clients - at field days, at Rabo conference, what abou client council meetings etc etc Does it make a difference? </t>
  </si>
  <si>
    <t>Q on Client sustenance?</t>
  </si>
  <si>
    <t>Miscellaneous expenses (2) - Tours</t>
  </si>
  <si>
    <t>BD Costs - Questions</t>
  </si>
  <si>
    <t>See 2 Qs above</t>
  </si>
  <si>
    <r>
      <t>Isn't it that under Div9A all meals provided to clients</t>
    </r>
    <r>
      <rPr>
        <sz val="12"/>
        <color rgb="FF0000CC"/>
        <rFont val="Times New Roman"/>
        <family val="1"/>
      </rPr>
      <t xml:space="preserve"> irrespective of amount, time or where is </t>
    </r>
    <r>
      <rPr>
        <b/>
        <u/>
        <sz val="12"/>
        <color rgb="FF0000CC"/>
        <rFont val="Times New Roman"/>
        <family val="1"/>
      </rPr>
      <t>not</t>
    </r>
    <r>
      <rPr>
        <b/>
        <sz val="12"/>
        <color rgb="FF0000CC"/>
        <rFont val="Times New Roman"/>
        <family val="1"/>
      </rPr>
      <t xml:space="preserve"> “sustenance”</t>
    </r>
    <r>
      <rPr>
        <sz val="12"/>
        <color rgb="FF0000CC"/>
        <rFont val="Times New Roman"/>
        <family val="1"/>
      </rPr>
      <t>, but entertaiment.</t>
    </r>
  </si>
  <si>
    <t>Client - ME still caught</t>
  </si>
  <si>
    <t>LF: Queries dealt with and responses at WPE1. Largely agreed with questions raises but have not made major changes given stage of process. Agreed we need a separate GL account or something for food whilst travelling</t>
  </si>
  <si>
    <r>
      <t xml:space="preserve">LF response to my queries noted and accept calc accordingly.  </t>
    </r>
    <r>
      <rPr>
        <i/>
        <sz val="10"/>
        <color rgb="FF0000FF"/>
        <rFont val="Script MT Bold"/>
        <family val="4"/>
      </rPr>
      <t>AJL16/5</t>
    </r>
  </si>
  <si>
    <t>AU001 Split</t>
  </si>
  <si>
    <t>AU052 split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</si>
</sst>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26" x14ac:knownFonts="1">
    <font>
      <sz val="11"/>
      <color theme="1"/>
      <name val="Calibri"/>
      <family val="2"/>
      <scheme val="minor"/>
    </font>
    <font>
      <sz val="11"/>
      <color theme="1"/>
      <name val="Calibri"/>
      <family val="2"/>
      <scheme val="minor"/>
    </font>
    <font>
      <b/>
      <sz val="11"/>
      <color theme="1"/>
      <name val="Calibri"/>
      <family val="2"/>
      <scheme val="minor"/>
    </font>
    <font>
      <b/>
      <i/>
      <sz val="11"/>
      <color theme="1"/>
      <name val="Calibri"/>
      <family val="2"/>
      <scheme val="minor"/>
    </font>
    <font>
      <b/>
      <sz val="11"/>
      <name val="Calibri"/>
      <family val="2"/>
    </font>
    <font>
      <b/>
      <sz val="11"/>
      <color theme="0"/>
      <name val="Calibri"/>
      <family val="2"/>
    </font>
    <font>
      <sz val="11"/>
      <name val="Calibri"/>
      <family val="2"/>
    </font>
    <font>
      <i/>
      <sz val="11"/>
      <color theme="1"/>
      <name val="Calibri"/>
      <family val="2"/>
      <scheme val="minor"/>
    </font>
    <font>
      <sz val="11"/>
      <name val="Aptos Narrow"/>
      <family val="2"/>
    </font>
    <font>
      <sz val="11"/>
      <color rgb="FFFF0000"/>
      <name val="Calibri"/>
      <family val="2"/>
      <scheme val="minor"/>
    </font>
    <font>
      <b/>
      <sz val="11"/>
      <color rgb="FFFF0000"/>
      <name val="Calibri"/>
      <family val="2"/>
    </font>
    <font>
      <sz val="8"/>
      <name val="Calibri"/>
      <family val="2"/>
      <scheme val="minor"/>
    </font>
    <font>
      <sz val="9"/>
      <color indexed="81"/>
      <name val="Tahoma"/>
      <family val="2"/>
    </font>
    <font>
      <b/>
      <sz val="9"/>
      <color indexed="81"/>
      <name val="Tahoma"/>
      <family val="2"/>
    </font>
    <font>
      <sz val="9"/>
      <color indexed="10"/>
      <name val="Tahoma"/>
      <family val="2"/>
    </font>
    <font>
      <sz val="11"/>
      <color rgb="FF0000CC"/>
      <name val="Calibri"/>
      <family val="2"/>
      <scheme val="minor"/>
    </font>
    <font>
      <b/>
      <sz val="9"/>
      <color indexed="12"/>
      <name val="Tahoma"/>
      <family val="2"/>
    </font>
    <font>
      <sz val="9"/>
      <color indexed="12"/>
      <name val="Tahoma"/>
      <family val="2"/>
    </font>
    <font>
      <sz val="12"/>
      <color rgb="FF0000CC"/>
      <name val="Times New Roman"/>
      <family val="1"/>
    </font>
    <font>
      <b/>
      <u/>
      <sz val="12"/>
      <color rgb="FF0000CC"/>
      <name val="Times New Roman"/>
      <family val="1"/>
    </font>
    <font>
      <b/>
      <sz val="12"/>
      <color rgb="FF0000CC"/>
      <name val="Times New Roman"/>
      <family val="1"/>
    </font>
    <font>
      <b/>
      <u/>
      <sz val="11"/>
      <color rgb="FF0000CC"/>
      <name val="Calibri"/>
      <family val="2"/>
      <scheme val="minor"/>
    </font>
    <font>
      <sz val="11"/>
      <color rgb="FF0000CC"/>
      <name val="Calibri"/>
      <family val="2"/>
    </font>
    <font>
      <i/>
      <sz val="10"/>
      <color theme="1"/>
      <name val="Times New Roman"/>
      <family val="1"/>
    </font>
    <font>
      <i/>
      <sz val="10"/>
      <color rgb="FF0000FF"/>
      <name val="Times New Roman"/>
      <family val="1"/>
    </font>
    <font>
      <i/>
      <sz val="10"/>
      <color rgb="FF0000FF"/>
      <name val="Script MT Bold"/>
      <family val="4"/>
    </font>
  </fonts>
  <fills count="10">
    <fill>
      <patternFill patternType="none"/>
    </fill>
    <fill>
      <patternFill patternType="gray125"/>
    </fill>
    <fill>
      <patternFill patternType="solid">
        <fgColor theme="1"/>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FFFF00"/>
        <bgColor indexed="64"/>
      </patternFill>
    </fill>
    <fill>
      <patternFill patternType="solid">
        <fgColor rgb="FF92D050"/>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7"/>
        <bgColor indexed="64"/>
      </patternFill>
    </fill>
  </fills>
  <borders count="29">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thick">
        <color auto="1"/>
      </right>
      <top style="medium">
        <color indexed="64"/>
      </top>
      <bottom style="medium">
        <color indexed="64"/>
      </bottom>
      <diagonal/>
    </border>
    <border>
      <left/>
      <right/>
      <top style="thin">
        <color indexed="64"/>
      </top>
      <bottom style="thin">
        <color indexed="64"/>
      </bottom>
      <diagonal/>
    </border>
    <border>
      <left/>
      <right/>
      <top/>
      <bottom style="thin">
        <color auto="1"/>
      </bottom>
      <diagonal/>
    </border>
    <border>
      <left/>
      <right style="thin">
        <color indexed="64"/>
      </right>
      <top style="medium">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medium">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ck">
        <color auto="1"/>
      </right>
      <top style="medium">
        <color indexed="64"/>
      </top>
      <bottom/>
      <diagonal/>
    </border>
    <border>
      <left style="medium">
        <color indexed="64"/>
      </left>
      <right style="medium">
        <color indexed="64"/>
      </right>
      <top style="medium">
        <color indexed="64"/>
      </top>
      <bottom/>
      <diagonal/>
    </border>
    <border>
      <left style="thick">
        <color auto="1"/>
      </left>
      <right/>
      <top style="thick">
        <color auto="1"/>
      </top>
      <bottom style="thick">
        <color auto="1"/>
      </bottom>
      <diagonal/>
    </border>
    <border>
      <left/>
      <right/>
      <top style="thin">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6">
    <xf numFmtId="0" fontId="0" fillId="0" borderId="0"/>
    <xf numFmtId="43" fontId="1" fillId="0" borderId="0" applyFont="0" applyFill="0" applyBorder="0" applyAlignment="0" applyProtection="0"/>
    <xf numFmtId="43" fontId="1" fillId="0" borderId="0" applyFont="0" applyFill="0" applyBorder="0" applyAlignment="0" applyProtection="0"/>
    <xf numFmtId="0" fontId="6" fillId="0" borderId="0"/>
    <xf numFmtId="9" fontId="1" fillId="0" borderId="0" applyFont="0" applyFill="0" applyBorder="0" applyAlignment="0" applyProtection="0"/>
    <xf numFmtId="0" fontId="8" fillId="0" borderId="0"/>
  </cellStyleXfs>
  <cellXfs count="202">
    <xf numFmtId="0" fontId="0" fillId="0" borderId="0" xfId="0"/>
    <xf numFmtId="0" fontId="2" fillId="0" borderId="1" xfId="0" applyFont="1" applyBorder="1"/>
    <xf numFmtId="0" fontId="2" fillId="0" borderId="2" xfId="0" applyFont="1" applyBorder="1"/>
    <xf numFmtId="43" fontId="0" fillId="0" borderId="0" xfId="1" applyFont="1"/>
    <xf numFmtId="0" fontId="3" fillId="0" borderId="0" xfId="0" applyFont="1"/>
    <xf numFmtId="0" fontId="0" fillId="2" borderId="0" xfId="0" applyFill="1"/>
    <xf numFmtId="0" fontId="4" fillId="4" borderId="10" xfId="0" applyFont="1" applyFill="1" applyBorder="1" applyAlignment="1">
      <alignment horizontal="center" vertical="center" wrapText="1"/>
    </xf>
    <xf numFmtId="0" fontId="4" fillId="4" borderId="2" xfId="0" applyFont="1" applyFill="1" applyBorder="1" applyAlignment="1">
      <alignment horizontal="center" wrapText="1"/>
    </xf>
    <xf numFmtId="0" fontId="4" fillId="4" borderId="2" xfId="0" applyFont="1" applyFill="1" applyBorder="1" applyAlignment="1">
      <alignment horizontal="center" vertical="center" wrapText="1"/>
    </xf>
    <xf numFmtId="0" fontId="4" fillId="4" borderId="11"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4" fillId="5" borderId="10"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4" fillId="7" borderId="10" xfId="0" applyFont="1" applyFill="1" applyBorder="1" applyAlignment="1">
      <alignment horizontal="center" vertical="center" wrapText="1"/>
    </xf>
    <xf numFmtId="0" fontId="4" fillId="0" borderId="0" xfId="0" applyFont="1"/>
    <xf numFmtId="164" fontId="0" fillId="0" borderId="0" xfId="1" applyNumberFormat="1" applyFont="1"/>
    <xf numFmtId="14" fontId="0" fillId="0" borderId="0" xfId="0" applyNumberFormat="1"/>
    <xf numFmtId="0" fontId="2" fillId="0" borderId="12" xfId="0" applyFont="1" applyBorder="1"/>
    <xf numFmtId="43" fontId="2" fillId="0" borderId="12" xfId="1" applyFont="1" applyBorder="1"/>
    <xf numFmtId="43" fontId="0" fillId="8" borderId="0" xfId="1" applyFont="1" applyFill="1"/>
    <xf numFmtId="0" fontId="0" fillId="8" borderId="0" xfId="0" applyFill="1"/>
    <xf numFmtId="0" fontId="2" fillId="0" borderId="0" xfId="0" applyFont="1"/>
    <xf numFmtId="0" fontId="4" fillId="4" borderId="1" xfId="0" applyFont="1" applyFill="1" applyBorder="1" applyAlignment="1">
      <alignment horizontal="center" vertical="center" wrapText="1"/>
    </xf>
    <xf numFmtId="43" fontId="0" fillId="0" borderId="0" xfId="0" applyNumberFormat="1"/>
    <xf numFmtId="0" fontId="0" fillId="0" borderId="12" xfId="0" applyBorder="1"/>
    <xf numFmtId="0" fontId="0" fillId="2" borderId="12" xfId="0" applyFill="1" applyBorder="1"/>
    <xf numFmtId="14" fontId="6" fillId="0" borderId="0" xfId="3" applyNumberFormat="1"/>
    <xf numFmtId="43" fontId="2" fillId="0" borderId="0" xfId="1" applyFont="1"/>
    <xf numFmtId="43" fontId="4" fillId="4" borderId="1" xfId="1" applyFont="1" applyFill="1" applyBorder="1" applyAlignment="1">
      <alignment horizontal="center" vertical="center" wrapText="1"/>
    </xf>
    <xf numFmtId="0" fontId="6" fillId="0" borderId="0" xfId="3"/>
    <xf numFmtId="0" fontId="6" fillId="0" borderId="0" xfId="3"/>
    <xf numFmtId="0" fontId="0" fillId="5" borderId="0" xfId="0" applyFill="1"/>
    <xf numFmtId="0" fontId="6" fillId="0" borderId="0" xfId="3"/>
    <xf numFmtId="0" fontId="0" fillId="0" borderId="13" xfId="0" applyBorder="1" applyAlignment="1">
      <alignment wrapText="1"/>
    </xf>
    <xf numFmtId="43" fontId="0" fillId="0" borderId="13" xfId="1" applyFont="1" applyBorder="1" applyAlignment="1">
      <alignment wrapText="1"/>
    </xf>
    <xf numFmtId="14" fontId="0" fillId="0" borderId="13" xfId="0" applyNumberFormat="1" applyBorder="1" applyAlignment="1">
      <alignment wrapText="1"/>
    </xf>
    <xf numFmtId="0" fontId="0" fillId="0" borderId="0" xfId="0" applyFill="1"/>
    <xf numFmtId="0" fontId="0" fillId="0" borderId="13" xfId="0" applyBorder="1" applyAlignment="1">
      <alignment vertical="top" wrapText="1"/>
    </xf>
    <xf numFmtId="43" fontId="0" fillId="0" borderId="13" xfId="1" applyFont="1" applyBorder="1" applyAlignment="1">
      <alignment vertical="top" wrapText="1"/>
    </xf>
    <xf numFmtId="14" fontId="0" fillId="0" borderId="13" xfId="0" applyNumberFormat="1" applyBorder="1" applyAlignment="1">
      <alignment vertical="top" wrapText="1"/>
    </xf>
    <xf numFmtId="0" fontId="0" fillId="2" borderId="0" xfId="0" applyFill="1" applyAlignment="1">
      <alignment vertical="top"/>
    </xf>
    <xf numFmtId="0" fontId="4" fillId="4" borderId="1" xfId="0" applyFont="1" applyFill="1" applyBorder="1" applyAlignment="1">
      <alignment horizontal="center" vertical="top" wrapText="1"/>
    </xf>
    <xf numFmtId="0" fontId="4" fillId="4" borderId="2" xfId="0" applyFont="1" applyFill="1" applyBorder="1" applyAlignment="1">
      <alignment horizontal="center" vertical="top" wrapText="1"/>
    </xf>
    <xf numFmtId="0" fontId="4" fillId="4" borderId="11" xfId="0" applyFont="1" applyFill="1" applyBorder="1" applyAlignment="1">
      <alignment horizontal="center" vertical="top" wrapText="1"/>
    </xf>
    <xf numFmtId="0" fontId="4" fillId="5" borderId="2" xfId="0" applyFont="1" applyFill="1" applyBorder="1" applyAlignment="1">
      <alignment horizontal="center" vertical="top" wrapText="1"/>
    </xf>
    <xf numFmtId="0" fontId="5" fillId="2" borderId="1" xfId="0" applyFont="1" applyFill="1" applyBorder="1" applyAlignment="1">
      <alignment horizontal="center" vertical="top" wrapText="1"/>
    </xf>
    <xf numFmtId="0" fontId="4" fillId="5" borderId="3" xfId="0" applyFont="1" applyFill="1" applyBorder="1" applyAlignment="1">
      <alignment horizontal="center" vertical="top" wrapText="1"/>
    </xf>
    <xf numFmtId="0" fontId="4" fillId="5" borderId="10" xfId="0" applyFont="1" applyFill="1" applyBorder="1" applyAlignment="1">
      <alignment horizontal="center" vertical="top" wrapText="1"/>
    </xf>
    <xf numFmtId="0" fontId="4" fillId="3" borderId="3" xfId="0" applyFont="1" applyFill="1" applyBorder="1" applyAlignment="1">
      <alignment horizontal="center" vertical="top" wrapText="1"/>
    </xf>
    <xf numFmtId="0" fontId="4" fillId="6" borderId="3" xfId="0" applyFont="1" applyFill="1" applyBorder="1" applyAlignment="1">
      <alignment horizontal="center" vertical="top" wrapText="1"/>
    </xf>
    <xf numFmtId="0" fontId="0" fillId="0" borderId="0" xfId="0" applyAlignment="1">
      <alignment vertical="top"/>
    </xf>
    <xf numFmtId="43" fontId="4" fillId="4" borderId="1" xfId="1" applyFont="1" applyFill="1" applyBorder="1" applyAlignment="1">
      <alignment horizontal="center" vertical="top" wrapText="1"/>
    </xf>
    <xf numFmtId="0" fontId="0" fillId="0" borderId="0" xfId="0" applyAlignment="1">
      <alignment wrapText="1"/>
    </xf>
    <xf numFmtId="0" fontId="0" fillId="0" borderId="0" xfId="0" applyAlignment="1"/>
    <xf numFmtId="0" fontId="2" fillId="0" borderId="0" xfId="0" applyFont="1" applyAlignment="1">
      <alignment wrapText="1"/>
    </xf>
    <xf numFmtId="43" fontId="6" fillId="0" borderId="0" xfId="1" applyFont="1"/>
    <xf numFmtId="0" fontId="6" fillId="0" borderId="0" xfId="3" applyAlignment="1">
      <alignment wrapText="1"/>
    </xf>
    <xf numFmtId="0" fontId="2" fillId="0" borderId="12" xfId="0" applyFont="1" applyBorder="1" applyAlignment="1">
      <alignment wrapText="1"/>
    </xf>
    <xf numFmtId="0" fontId="2" fillId="0" borderId="0" xfId="0" applyFont="1" applyAlignment="1">
      <alignment horizontal="left"/>
    </xf>
    <xf numFmtId="14" fontId="0" fillId="0" borderId="0" xfId="0" applyNumberFormat="1" applyAlignment="1">
      <alignment wrapText="1"/>
    </xf>
    <xf numFmtId="43" fontId="6" fillId="0" borderId="0" xfId="1" applyFont="1" applyFill="1"/>
    <xf numFmtId="43" fontId="2" fillId="0" borderId="0" xfId="1" applyFont="1" applyAlignment="1">
      <alignment horizontal="center"/>
    </xf>
    <xf numFmtId="43" fontId="4" fillId="4" borderId="2" xfId="1" applyFont="1" applyFill="1" applyBorder="1" applyAlignment="1">
      <alignment horizontal="center" vertical="center" wrapText="1"/>
    </xf>
    <xf numFmtId="43" fontId="4" fillId="4" borderId="2" xfId="1" applyFont="1" applyFill="1" applyBorder="1" applyAlignment="1">
      <alignment horizontal="center" vertical="top" wrapText="1"/>
    </xf>
    <xf numFmtId="9" fontId="4" fillId="4" borderId="1" xfId="4" applyFont="1" applyFill="1" applyBorder="1" applyAlignment="1">
      <alignment horizontal="center" vertical="top" wrapText="1"/>
    </xf>
    <xf numFmtId="9" fontId="4" fillId="4" borderId="2" xfId="4" applyFont="1" applyFill="1" applyBorder="1" applyAlignment="1">
      <alignment horizontal="center" vertical="top" wrapText="1"/>
    </xf>
    <xf numFmtId="9" fontId="0" fillId="0" borderId="0" xfId="4" applyFont="1" applyAlignment="1">
      <alignment wrapText="1"/>
    </xf>
    <xf numFmtId="9" fontId="2" fillId="0" borderId="0" xfId="4" applyFont="1" applyAlignment="1">
      <alignment wrapText="1"/>
    </xf>
    <xf numFmtId="9" fontId="0" fillId="0" borderId="12" xfId="4" applyFont="1" applyBorder="1" applyAlignment="1">
      <alignment wrapText="1"/>
    </xf>
    <xf numFmtId="0" fontId="7" fillId="0" borderId="0" xfId="0" applyFont="1"/>
    <xf numFmtId="43" fontId="4" fillId="4" borderId="10" xfId="1" applyFont="1" applyFill="1" applyBorder="1" applyAlignment="1">
      <alignment horizontal="center" vertical="top" wrapText="1"/>
    </xf>
    <xf numFmtId="43" fontId="4" fillId="0" borderId="0" xfId="1" applyFont="1" applyFill="1" applyBorder="1" applyAlignment="1">
      <alignment horizontal="center" vertical="top" wrapText="1"/>
    </xf>
    <xf numFmtId="0" fontId="0" fillId="0" borderId="14" xfId="0" applyBorder="1"/>
    <xf numFmtId="43" fontId="0" fillId="0" borderId="15" xfId="1" applyFont="1" applyBorder="1"/>
    <xf numFmtId="43" fontId="0" fillId="0" borderId="16" xfId="1" applyFont="1" applyBorder="1"/>
    <xf numFmtId="0" fontId="0" fillId="0" borderId="17" xfId="0" applyBorder="1"/>
    <xf numFmtId="43" fontId="0" fillId="0" borderId="18" xfId="1" applyFont="1" applyBorder="1"/>
    <xf numFmtId="43" fontId="0" fillId="0" borderId="19" xfId="1" applyFont="1" applyBorder="1"/>
    <xf numFmtId="43" fontId="2" fillId="0" borderId="20" xfId="1" applyFont="1" applyBorder="1"/>
    <xf numFmtId="0" fontId="4" fillId="4" borderId="21" xfId="0" applyFont="1" applyFill="1" applyBorder="1" applyAlignment="1">
      <alignment horizontal="center" vertical="center" wrapText="1"/>
    </xf>
    <xf numFmtId="0" fontId="4" fillId="4" borderId="22" xfId="0" applyFont="1" applyFill="1" applyBorder="1" applyAlignment="1">
      <alignment horizontal="center" vertical="center" wrapText="1"/>
    </xf>
    <xf numFmtId="0" fontId="4" fillId="4" borderId="2" xfId="0" applyFont="1" applyFill="1" applyBorder="1" applyAlignment="1">
      <alignment horizontal="center" vertical="top" wrapText="1"/>
    </xf>
    <xf numFmtId="0" fontId="0" fillId="0" borderId="0" xfId="0" applyBorder="1" applyAlignment="1">
      <alignment wrapText="1"/>
    </xf>
    <xf numFmtId="0" fontId="0" fillId="2" borderId="0" xfId="0" applyFill="1" applyBorder="1"/>
    <xf numFmtId="43" fontId="0" fillId="0" borderId="0" xfId="1" applyFont="1" applyBorder="1"/>
    <xf numFmtId="0" fontId="0" fillId="0" borderId="0" xfId="0" applyBorder="1"/>
    <xf numFmtId="0" fontId="0" fillId="0" borderId="0" xfId="0" applyFill="1" applyBorder="1" applyAlignment="1">
      <alignment wrapText="1"/>
    </xf>
    <xf numFmtId="0" fontId="0" fillId="0" borderId="0" xfId="0" applyFill="1" applyBorder="1"/>
    <xf numFmtId="0" fontId="4" fillId="4" borderId="4" xfId="0" applyFont="1" applyFill="1" applyBorder="1" applyAlignment="1">
      <alignment horizontal="center" vertical="top" wrapText="1"/>
    </xf>
    <xf numFmtId="0" fontId="4" fillId="4" borderId="5" xfId="0" applyFont="1" applyFill="1" applyBorder="1" applyAlignment="1">
      <alignment horizontal="center" vertical="top" wrapText="1"/>
    </xf>
    <xf numFmtId="0" fontId="6" fillId="0" borderId="0" xfId="3" applyBorder="1"/>
    <xf numFmtId="43" fontId="6" fillId="0" borderId="0" xfId="1" applyFont="1" applyBorder="1"/>
    <xf numFmtId="14" fontId="6" fillId="0" borderId="0" xfId="3" applyNumberFormat="1" applyBorder="1"/>
    <xf numFmtId="0" fontId="6" fillId="0" borderId="0" xfId="3" applyBorder="1" applyAlignment="1">
      <alignment wrapText="1"/>
    </xf>
    <xf numFmtId="14" fontId="0" fillId="0" borderId="0" xfId="0" applyNumberFormat="1" applyBorder="1"/>
    <xf numFmtId="14" fontId="0" fillId="0" borderId="0" xfId="0" applyNumberFormat="1" applyAlignment="1"/>
    <xf numFmtId="43" fontId="0" fillId="8" borderId="0" xfId="0" applyNumberFormat="1" applyFill="1"/>
    <xf numFmtId="0" fontId="0" fillId="0" borderId="13" xfId="0" applyBorder="1"/>
    <xf numFmtId="14" fontId="0" fillId="0" borderId="13" xfId="0" applyNumberFormat="1" applyBorder="1"/>
    <xf numFmtId="9" fontId="0" fillId="0" borderId="0" xfId="4" applyFont="1" applyBorder="1" applyAlignment="1">
      <alignment wrapText="1"/>
    </xf>
    <xf numFmtId="14" fontId="0" fillId="5" borderId="0" xfId="0" applyNumberFormat="1" applyFill="1"/>
    <xf numFmtId="2" fontId="6" fillId="0" borderId="0" xfId="3" applyNumberFormat="1"/>
    <xf numFmtId="2" fontId="0" fillId="0" borderId="0" xfId="0" applyNumberFormat="1"/>
    <xf numFmtId="14" fontId="6" fillId="0" borderId="0" xfId="3" applyNumberFormat="1" applyAlignment="1">
      <alignment wrapText="1"/>
    </xf>
    <xf numFmtId="14" fontId="8" fillId="0" borderId="13" xfId="5" applyNumberFormat="1" applyBorder="1"/>
    <xf numFmtId="14" fontId="8" fillId="0" borderId="0" xfId="5" applyNumberFormat="1"/>
    <xf numFmtId="0" fontId="0" fillId="0" borderId="0" xfId="0" applyNumberFormat="1"/>
    <xf numFmtId="43" fontId="4" fillId="4" borderId="4" xfId="1" applyFont="1" applyFill="1" applyBorder="1" applyAlignment="1">
      <alignment horizontal="center" vertical="top" wrapText="1"/>
    </xf>
    <xf numFmtId="43" fontId="4" fillId="4" borderId="5" xfId="1" applyFont="1" applyFill="1" applyBorder="1" applyAlignment="1">
      <alignment horizontal="center" vertical="top" wrapText="1"/>
    </xf>
    <xf numFmtId="0" fontId="4" fillId="4" borderId="23" xfId="0" applyFont="1" applyFill="1" applyBorder="1" applyAlignment="1">
      <alignment horizontal="center" vertical="top" wrapText="1"/>
    </xf>
    <xf numFmtId="0" fontId="4" fillId="5" borderId="5" xfId="0" applyFont="1" applyFill="1" applyBorder="1" applyAlignment="1">
      <alignment horizontal="center" vertical="top" wrapText="1"/>
    </xf>
    <xf numFmtId="0" fontId="5" fillId="2" borderId="4" xfId="0" applyFont="1" applyFill="1" applyBorder="1" applyAlignment="1">
      <alignment horizontal="center" vertical="top" wrapText="1"/>
    </xf>
    <xf numFmtId="0" fontId="4" fillId="5" borderId="6" xfId="0" applyFont="1" applyFill="1" applyBorder="1" applyAlignment="1">
      <alignment horizontal="center" vertical="top" wrapText="1"/>
    </xf>
    <xf numFmtId="0" fontId="4" fillId="5" borderId="24" xfId="0" applyFont="1" applyFill="1" applyBorder="1" applyAlignment="1">
      <alignment horizontal="center" vertical="top" wrapText="1"/>
    </xf>
    <xf numFmtId="0" fontId="4" fillId="3" borderId="6" xfId="0" applyFont="1" applyFill="1" applyBorder="1" applyAlignment="1">
      <alignment horizontal="center" vertical="top" wrapText="1"/>
    </xf>
    <xf numFmtId="0" fontId="4" fillId="6" borderId="6" xfId="0" applyFont="1" applyFill="1" applyBorder="1" applyAlignment="1">
      <alignment horizontal="center" vertical="top" wrapText="1"/>
    </xf>
    <xf numFmtId="43" fontId="0" fillId="0" borderId="0" xfId="1" applyFont="1" applyFill="1" applyBorder="1"/>
    <xf numFmtId="0" fontId="6" fillId="0" borderId="0" xfId="3" applyFill="1" applyBorder="1" applyAlignment="1">
      <alignment wrapText="1"/>
    </xf>
    <xf numFmtId="0" fontId="6" fillId="0" borderId="0" xfId="3" applyFill="1" applyBorder="1"/>
    <xf numFmtId="43" fontId="6" fillId="0" borderId="0" xfId="1" applyFont="1" applyFill="1" applyBorder="1"/>
    <xf numFmtId="0" fontId="6" fillId="0" borderId="0" xfId="3" applyNumberFormat="1" applyFill="1" applyBorder="1"/>
    <xf numFmtId="0" fontId="0" fillId="0" borderId="0" xfId="0" applyNumberFormat="1" applyFill="1" applyBorder="1"/>
    <xf numFmtId="14" fontId="0" fillId="9" borderId="0" xfId="0" applyNumberFormat="1" applyFill="1" applyAlignment="1"/>
    <xf numFmtId="0" fontId="8" fillId="0" borderId="0" xfId="5"/>
    <xf numFmtId="0" fontId="8" fillId="0" borderId="13" xfId="5" applyBorder="1"/>
    <xf numFmtId="0" fontId="8" fillId="0" borderId="0" xfId="5" applyBorder="1"/>
    <xf numFmtId="14" fontId="8" fillId="0" borderId="0" xfId="5" applyNumberFormat="1" applyBorder="1"/>
    <xf numFmtId="164" fontId="7" fillId="0" borderId="0" xfId="1" applyNumberFormat="1" applyFont="1"/>
    <xf numFmtId="0" fontId="7" fillId="0" borderId="0" xfId="0" applyFont="1" applyAlignment="1">
      <alignment wrapText="1"/>
    </xf>
    <xf numFmtId="43" fontId="7" fillId="0" borderId="0" xfId="1" applyFont="1"/>
    <xf numFmtId="43" fontId="7" fillId="0" borderId="18" xfId="1" applyFont="1" applyBorder="1"/>
    <xf numFmtId="43" fontId="7" fillId="0" borderId="15" xfId="1" applyFont="1" applyBorder="1"/>
    <xf numFmtId="0" fontId="7" fillId="0" borderId="0" xfId="0" applyFont="1" applyFill="1"/>
    <xf numFmtId="0" fontId="7" fillId="0" borderId="0" xfId="0" applyNumberFormat="1" applyFont="1" applyAlignment="1">
      <alignment horizontal="left"/>
    </xf>
    <xf numFmtId="0" fontId="0" fillId="0" borderId="0" xfId="0" applyNumberFormat="1" applyAlignment="1">
      <alignment horizontal="left"/>
    </xf>
    <xf numFmtId="0" fontId="0" fillId="0" borderId="0" xfId="0" applyAlignment="1">
      <alignment horizontal="left"/>
    </xf>
    <xf numFmtId="0" fontId="0" fillId="0" borderId="0" xfId="0" applyNumberFormat="1" applyFill="1" applyAlignment="1">
      <alignment horizontal="left"/>
    </xf>
    <xf numFmtId="0" fontId="0" fillId="0" borderId="0" xfId="0" applyNumberFormat="1" applyAlignment="1">
      <alignment horizontal="left" wrapText="1"/>
    </xf>
    <xf numFmtId="0" fontId="8" fillId="0" borderId="0" xfId="5"/>
    <xf numFmtId="0" fontId="8" fillId="0" borderId="13" xfId="5" applyBorder="1"/>
    <xf numFmtId="0" fontId="8" fillId="0" borderId="0" xfId="5"/>
    <xf numFmtId="0" fontId="8" fillId="0" borderId="13" xfId="5" applyBorder="1"/>
    <xf numFmtId="0" fontId="2" fillId="0" borderId="1" xfId="0" applyFont="1" applyBorder="1" applyAlignment="1">
      <alignment vertical="top" wrapText="1"/>
    </xf>
    <xf numFmtId="0" fontId="2" fillId="0" borderId="2" xfId="0" applyFont="1" applyBorder="1" applyAlignment="1">
      <alignment vertical="top" wrapText="1"/>
    </xf>
    <xf numFmtId="43" fontId="2" fillId="0" borderId="2" xfId="1" applyFont="1" applyBorder="1" applyAlignment="1">
      <alignment vertical="top" wrapText="1"/>
    </xf>
    <xf numFmtId="14" fontId="2" fillId="0" borderId="2" xfId="0" applyNumberFormat="1" applyFont="1" applyBorder="1" applyAlignment="1">
      <alignment vertical="top" wrapText="1"/>
    </xf>
    <xf numFmtId="0" fontId="2" fillId="0" borderId="3" xfId="0" applyFont="1" applyBorder="1" applyAlignment="1">
      <alignment vertical="top" wrapText="1"/>
    </xf>
    <xf numFmtId="0" fontId="2" fillId="0" borderId="2" xfId="0" applyFont="1" applyBorder="1" applyAlignment="1">
      <alignment vertical="top"/>
    </xf>
    <xf numFmtId="0" fontId="0" fillId="0" borderId="0" xfId="0" applyBorder="1" applyAlignment="1"/>
    <xf numFmtId="0" fontId="6" fillId="0" borderId="0" xfId="3" applyBorder="1" applyAlignment="1"/>
    <xf numFmtId="0" fontId="6" fillId="0" borderId="0" xfId="3" applyAlignment="1"/>
    <xf numFmtId="0" fontId="9" fillId="0" borderId="0" xfId="0" applyFont="1"/>
    <xf numFmtId="0" fontId="10" fillId="7" borderId="10" xfId="0" applyFont="1" applyFill="1" applyBorder="1" applyAlignment="1">
      <alignment horizontal="center" vertical="center" wrapText="1"/>
    </xf>
    <xf numFmtId="0" fontId="2" fillId="0" borderId="1" xfId="0" applyFont="1" applyBorder="1" applyAlignment="1">
      <alignment wrapText="1"/>
    </xf>
    <xf numFmtId="0" fontId="2" fillId="0" borderId="2" xfId="0" applyFont="1" applyBorder="1" applyAlignment="1">
      <alignment wrapText="1"/>
    </xf>
    <xf numFmtId="43" fontId="2" fillId="0" borderId="2" xfId="1" applyFont="1" applyBorder="1" applyAlignment="1">
      <alignment wrapText="1"/>
    </xf>
    <xf numFmtId="14" fontId="2" fillId="0" borderId="2" xfId="0" applyNumberFormat="1" applyFont="1" applyBorder="1" applyAlignment="1">
      <alignment wrapText="1"/>
    </xf>
    <xf numFmtId="0" fontId="2" fillId="0" borderId="3" xfId="0" applyFont="1" applyBorder="1" applyAlignment="1">
      <alignment wrapText="1"/>
    </xf>
    <xf numFmtId="0" fontId="4" fillId="4" borderId="2" xfId="0" applyFont="1" applyFill="1" applyBorder="1" applyAlignment="1">
      <alignment horizontal="center" vertical="center"/>
    </xf>
    <xf numFmtId="14" fontId="2" fillId="0" borderId="2" xfId="0" applyNumberFormat="1" applyFont="1" applyBorder="1"/>
    <xf numFmtId="0" fontId="2" fillId="0" borderId="3" xfId="0" applyFont="1" applyBorder="1"/>
    <xf numFmtId="0" fontId="0" fillId="0" borderId="25" xfId="0" applyBorder="1" applyAlignment="1">
      <alignment wrapText="1"/>
    </xf>
    <xf numFmtId="43" fontId="2" fillId="0" borderId="26" xfId="1" applyFont="1" applyBorder="1"/>
    <xf numFmtId="9" fontId="9" fillId="0" borderId="0" xfId="4" applyFont="1" applyAlignment="1">
      <alignment wrapText="1"/>
    </xf>
    <xf numFmtId="43" fontId="9" fillId="0" borderId="0" xfId="0" applyNumberFormat="1" applyFont="1"/>
    <xf numFmtId="43" fontId="9" fillId="0" borderId="0" xfId="1" applyFont="1"/>
    <xf numFmtId="14" fontId="2" fillId="0" borderId="0" xfId="0" applyNumberFormat="1" applyFont="1" applyAlignment="1"/>
    <xf numFmtId="9" fontId="0" fillId="0" borderId="0" xfId="4" applyFont="1" applyAlignment="1">
      <alignment horizontal="right" wrapText="1"/>
    </xf>
    <xf numFmtId="9" fontId="9" fillId="0" borderId="0" xfId="4" applyFont="1" applyAlignment="1"/>
    <xf numFmtId="9" fontId="15" fillId="0" borderId="0" xfId="4" applyFont="1" applyAlignment="1">
      <alignment wrapText="1"/>
    </xf>
    <xf numFmtId="9" fontId="15" fillId="0" borderId="0" xfId="4" applyFont="1" applyAlignment="1"/>
    <xf numFmtId="0" fontId="15" fillId="0" borderId="0" xfId="0" applyFont="1"/>
    <xf numFmtId="0" fontId="2" fillId="0" borderId="2" xfId="0" applyNumberFormat="1" applyFont="1" applyBorder="1" applyAlignment="1">
      <alignment vertical="top" wrapText="1"/>
    </xf>
    <xf numFmtId="0" fontId="15" fillId="0" borderId="0" xfId="0" applyFont="1" applyAlignment="1"/>
    <xf numFmtId="0" fontId="21" fillId="0" borderId="0" xfId="0" applyFont="1" applyAlignment="1">
      <alignment horizontal="right"/>
    </xf>
    <xf numFmtId="43" fontId="2" fillId="0" borderId="26" xfId="0" applyNumberFormat="1" applyFont="1" applyBorder="1"/>
    <xf numFmtId="0" fontId="15" fillId="0" borderId="0" xfId="0" applyFont="1" applyAlignment="1">
      <alignment wrapText="1"/>
    </xf>
    <xf numFmtId="0" fontId="22" fillId="0" borderId="0" xfId="3" applyFont="1" applyFill="1" applyBorder="1"/>
    <xf numFmtId="0" fontId="15" fillId="0" borderId="0" xfId="0" applyFont="1" applyFill="1" applyBorder="1"/>
    <xf numFmtId="0" fontId="2" fillId="0" borderId="0" xfId="0" applyFont="1" applyAlignment="1"/>
    <xf numFmtId="0" fontId="4" fillId="4" borderId="1" xfId="0" applyFont="1" applyFill="1" applyBorder="1" applyAlignment="1">
      <alignment horizontal="center" vertical="center"/>
    </xf>
    <xf numFmtId="0" fontId="8" fillId="0" borderId="13" xfId="5" applyBorder="1" applyAlignment="1">
      <alignment wrapText="1"/>
    </xf>
    <xf numFmtId="0" fontId="8" fillId="0" borderId="0" xfId="5" applyAlignment="1">
      <alignment wrapText="1"/>
    </xf>
    <xf numFmtId="0" fontId="21" fillId="0" borderId="0" xfId="0" applyFont="1"/>
    <xf numFmtId="43" fontId="4" fillId="3" borderId="3" xfId="1" applyFont="1" applyFill="1" applyBorder="1" applyAlignment="1">
      <alignment horizontal="center" vertical="center" wrapText="1"/>
    </xf>
    <xf numFmtId="43" fontId="24" fillId="0" borderId="24" xfId="1" applyFont="1" applyBorder="1" applyAlignment="1">
      <alignment horizontal="center" vertical="center" wrapText="1"/>
    </xf>
    <xf numFmtId="43" fontId="24" fillId="0" borderId="27" xfId="1" applyFont="1" applyBorder="1" applyAlignment="1">
      <alignment horizontal="center" vertical="center" wrapText="1"/>
    </xf>
    <xf numFmtId="43" fontId="24" fillId="0" borderId="28" xfId="1" applyFont="1" applyBorder="1" applyAlignment="1">
      <alignment horizontal="center" vertical="center" wrapText="1"/>
    </xf>
    <xf numFmtId="0" fontId="2" fillId="3" borderId="1" xfId="0" applyFont="1" applyFill="1" applyBorder="1" applyAlignment="1">
      <alignment horizontal="center"/>
    </xf>
    <xf numFmtId="0" fontId="2" fillId="3" borderId="3" xfId="0" applyFont="1" applyFill="1" applyBorder="1" applyAlignment="1">
      <alignment horizontal="center"/>
    </xf>
    <xf numFmtId="0" fontId="4" fillId="4" borderId="1" xfId="0" applyFont="1" applyFill="1" applyBorder="1" applyAlignment="1">
      <alignment horizontal="center" vertical="top" wrapText="1"/>
    </xf>
    <xf numFmtId="0" fontId="4" fillId="4" borderId="2" xfId="0" applyFont="1" applyFill="1" applyBorder="1" applyAlignment="1">
      <alignment horizontal="center" vertical="top" wrapText="1"/>
    </xf>
    <xf numFmtId="0" fontId="4" fillId="4" borderId="3" xfId="0" applyFont="1" applyFill="1" applyBorder="1" applyAlignment="1">
      <alignment horizontal="center" vertical="top" wrapText="1"/>
    </xf>
    <xf numFmtId="43" fontId="23" fillId="0" borderId="4" xfId="1" applyFont="1" applyBorder="1" applyAlignment="1">
      <alignment horizontal="center" vertical="center" wrapText="1"/>
    </xf>
    <xf numFmtId="43" fontId="23" fillId="0" borderId="7" xfId="1" applyFont="1" applyBorder="1" applyAlignment="1">
      <alignment horizontal="center" vertical="center" wrapText="1"/>
    </xf>
    <xf numFmtId="43" fontId="23" fillId="0" borderId="8" xfId="1" applyFont="1" applyBorder="1" applyAlignment="1">
      <alignment horizontal="center" vertical="center" wrapText="1"/>
    </xf>
    <xf numFmtId="14" fontId="0" fillId="0" borderId="0" xfId="0" applyNumberFormat="1" applyAlignment="1">
      <alignment horizontal="left" wrapText="1"/>
    </xf>
    <xf numFmtId="0" fontId="2" fillId="3" borderId="9" xfId="0" applyFont="1" applyFill="1" applyBorder="1" applyAlignment="1">
      <alignment horizontal="center"/>
    </xf>
    <xf numFmtId="0" fontId="0" fillId="0" borderId="0" xfId="0" applyAlignment="1">
      <alignment horizontal="left" vertical="top" wrapText="1"/>
    </xf>
  </cellXfs>
  <cellStyles count="6">
    <cellStyle name="Comma" xfId="1" builtinId="3"/>
    <cellStyle name="Comma 2" xfId="2" xr:uid="{3499EB58-B5B7-4FB5-BBA1-B674F2FDFDC1}"/>
    <cellStyle name="Normal" xfId="0" builtinId="0"/>
    <cellStyle name="Normal 2" xfId="5" xr:uid="{1D35DC15-4566-48A3-A0DC-3488EE6FF7C7}"/>
    <cellStyle name="Normal 4" xfId="3" xr:uid="{73A9D0A0-7ADC-4039-83FC-24F4957AD1E4}"/>
    <cellStyle name="Percent" xfId="4" builtinId="5"/>
  </cellStyles>
  <dxfs count="0"/>
  <tableStyles count="0" defaultTableStyle="TableStyleMedium2" defaultPivotStyle="PivotStyleLight16"/>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2A79B-8CC6-4589-89E8-32B2431EA8E5}">
  <sheetPr>
    <tabColor rgb="FFFFFF00"/>
  </sheetPr>
  <dimension ref="A1:V40"/>
  <sheetViews>
    <sheetView tabSelected="1" workbookViewId="0">
      <selection activeCell="C6" sqref="C6:C31"/>
    </sheetView>
  </sheetViews>
  <sheetFormatPr defaultRowHeight="14.5" x14ac:dyDescent="0.35"/>
  <cols>
    <col min="1" max="1" width="17.453125" customWidth="1"/>
    <col min="2" max="2" width="27.453125" customWidth="1"/>
    <col min="3" max="3" width="10.54296875" bestFit="1" customWidth="1"/>
    <col min="4" max="4" width="35.54296875" style="55" customWidth="1"/>
    <col min="6" max="6" width="12.1796875" bestFit="1" customWidth="1"/>
    <col min="7" max="8" width="10.54296875" customWidth="1"/>
    <col min="12" max="12" width="12" customWidth="1"/>
    <col min="16" max="16" width="11.7265625" customWidth="1"/>
    <col min="17" max="17" width="11.453125" customWidth="1"/>
    <col min="18" max="18" width="3.453125" style="5" customWidth="1"/>
    <col min="19" max="20" width="4.1796875" customWidth="1"/>
    <col min="21" max="21" width="17.453125" style="154" customWidth="1"/>
    <col min="22" max="22" width="15.7265625" customWidth="1"/>
  </cols>
  <sheetData>
    <row r="1" spans="1:22" x14ac:dyDescent="0.35">
      <c r="A1" s="4" t="s">
        <v>43</v>
      </c>
      <c r="T1" s="186" t="s">
        <v>9256</v>
      </c>
    </row>
    <row r="2" spans="1:22" ht="16" thickBot="1" x14ac:dyDescent="0.4">
      <c r="A2" s="4" t="s">
        <v>595</v>
      </c>
      <c r="T2" s="170" t="s">
        <v>9247</v>
      </c>
      <c r="U2" s="173" t="s">
        <v>9258</v>
      </c>
    </row>
    <row r="3" spans="1:22" ht="15" customHeight="1" thickBot="1" x14ac:dyDescent="0.4">
      <c r="A3" s="4" t="s">
        <v>596</v>
      </c>
      <c r="E3" s="193" t="s">
        <v>9047</v>
      </c>
      <c r="F3" s="194"/>
      <c r="G3" s="194"/>
      <c r="H3" s="194"/>
      <c r="I3" s="195"/>
      <c r="T3" s="170" t="s">
        <v>9248</v>
      </c>
      <c r="U3" s="171" t="s">
        <v>9249</v>
      </c>
    </row>
    <row r="4" spans="1:22" ht="15" thickBot="1" x14ac:dyDescent="0.4">
      <c r="F4" s="73">
        <f>F29</f>
        <v>143205.3899999999</v>
      </c>
      <c r="G4" s="74"/>
      <c r="H4" s="74"/>
      <c r="P4" s="26">
        <f>P29</f>
        <v>470911.70999999996</v>
      </c>
      <c r="Q4" s="26">
        <f>Q29</f>
        <v>8576.02</v>
      </c>
    </row>
    <row r="5" spans="1:22" ht="15" thickBot="1" x14ac:dyDescent="0.4">
      <c r="P5" s="191" t="s">
        <v>44</v>
      </c>
      <c r="Q5" s="192"/>
    </row>
    <row r="6" spans="1:22" ht="87.5" thickBot="1" x14ac:dyDescent="0.4">
      <c r="A6" s="17" t="s">
        <v>62</v>
      </c>
      <c r="B6" s="17" t="s">
        <v>63</v>
      </c>
      <c r="D6" s="6" t="s">
        <v>46</v>
      </c>
      <c r="E6" s="7" t="s">
        <v>47</v>
      </c>
      <c r="F6" s="8" t="s">
        <v>48</v>
      </c>
      <c r="G6" s="83" t="s">
        <v>594</v>
      </c>
      <c r="H6" s="82" t="s">
        <v>35</v>
      </c>
      <c r="I6" s="9" t="s">
        <v>49</v>
      </c>
      <c r="J6" s="10" t="s">
        <v>50</v>
      </c>
      <c r="K6" s="11" t="s">
        <v>51</v>
      </c>
      <c r="L6" s="12" t="s">
        <v>52</v>
      </c>
      <c r="M6" s="13" t="s">
        <v>53</v>
      </c>
      <c r="N6" s="13" t="s">
        <v>54</v>
      </c>
      <c r="O6" s="13" t="s">
        <v>55</v>
      </c>
      <c r="P6" s="14" t="s">
        <v>56</v>
      </c>
      <c r="Q6" s="14" t="s">
        <v>57</v>
      </c>
      <c r="S6" s="16" t="s">
        <v>59</v>
      </c>
      <c r="T6" s="16" t="s">
        <v>60</v>
      </c>
      <c r="U6" s="155" t="s">
        <v>9243</v>
      </c>
      <c r="V6" s="16" t="s">
        <v>61</v>
      </c>
    </row>
    <row r="7" spans="1:22" x14ac:dyDescent="0.35">
      <c r="C7" s="17"/>
      <c r="G7" s="78"/>
      <c r="H7" s="75"/>
    </row>
    <row r="8" spans="1:22" x14ac:dyDescent="0.35">
      <c r="A8" s="136">
        <v>5140001000</v>
      </c>
      <c r="B8" s="72" t="s">
        <v>5</v>
      </c>
      <c r="C8" s="18"/>
      <c r="D8" s="131" t="s">
        <v>9043</v>
      </c>
      <c r="E8" s="72"/>
      <c r="F8" s="132"/>
      <c r="G8" s="133"/>
      <c r="H8" s="134"/>
      <c r="I8" s="132"/>
      <c r="J8" s="132"/>
      <c r="K8" s="132"/>
      <c r="L8" s="132"/>
      <c r="M8" s="132"/>
      <c r="N8" s="132"/>
      <c r="O8" s="132"/>
      <c r="P8" s="132"/>
      <c r="Q8" s="132"/>
    </row>
    <row r="9" spans="1:22" x14ac:dyDescent="0.35">
      <c r="A9" s="137">
        <v>5140001010</v>
      </c>
      <c r="B9" t="s">
        <v>7</v>
      </c>
      <c r="C9" s="18"/>
      <c r="D9" s="55" t="s">
        <v>9045</v>
      </c>
      <c r="E9" t="s">
        <v>64</v>
      </c>
      <c r="F9" s="3">
        <f>'Ext Training'!V2+'Ext Training'!V3</f>
        <v>772.71999999999991</v>
      </c>
      <c r="G9" s="79">
        <f>'Ext Training'!V2</f>
        <v>0</v>
      </c>
      <c r="H9" s="76">
        <f>'Ext Training'!V3</f>
        <v>772.71999999999991</v>
      </c>
      <c r="I9" s="3">
        <f>'Ext Training'!W53</f>
        <v>0</v>
      </c>
      <c r="J9" s="3">
        <f>'Ext Training'!X53</f>
        <v>0</v>
      </c>
      <c r="K9" s="3">
        <f>'Ext Training'!Y53</f>
        <v>0</v>
      </c>
      <c r="L9" s="3">
        <f>'Ext Training'!Z53</f>
        <v>0</v>
      </c>
      <c r="M9" s="3">
        <f>'Ext Training'!AA53</f>
        <v>0</v>
      </c>
      <c r="N9" s="3">
        <f>'Ext Training'!AB53</f>
        <v>0</v>
      </c>
      <c r="O9" s="3">
        <f>'Ext Training'!AC53</f>
        <v>0</v>
      </c>
      <c r="P9" s="3">
        <f>'Ext Training'!AF53</f>
        <v>0</v>
      </c>
      <c r="Q9" s="3">
        <f>'Ext Training'!AG53</f>
        <v>0</v>
      </c>
      <c r="U9" s="154" t="s">
        <v>9042</v>
      </c>
    </row>
    <row r="10" spans="1:22" x14ac:dyDescent="0.35">
      <c r="A10" s="137">
        <v>5140001030</v>
      </c>
      <c r="B10" t="s">
        <v>37</v>
      </c>
      <c r="C10" s="18"/>
      <c r="D10" s="55" t="s">
        <v>9045</v>
      </c>
      <c r="E10" t="s">
        <v>64</v>
      </c>
      <c r="F10" s="3">
        <f>'Training Travel&amp;lodging'!V4+'Training Travel&amp;lodging'!V5</f>
        <v>35.880000000000003</v>
      </c>
      <c r="G10" s="79">
        <f>'Training Travel&amp;lodging'!V4</f>
        <v>0</v>
      </c>
      <c r="H10" s="76">
        <f>'Training Travel&amp;lodging'!V5</f>
        <v>35.880000000000003</v>
      </c>
      <c r="I10" s="3"/>
      <c r="J10" s="3"/>
      <c r="K10" s="3"/>
      <c r="L10" s="3"/>
      <c r="M10" s="3"/>
      <c r="N10" s="3"/>
      <c r="O10" s="3"/>
      <c r="P10" s="3"/>
      <c r="Q10" s="3"/>
      <c r="U10" s="154" t="s">
        <v>9042</v>
      </c>
    </row>
    <row r="11" spans="1:22" x14ac:dyDescent="0.35">
      <c r="A11" s="138">
        <v>5160001000</v>
      </c>
      <c r="B11" t="s">
        <v>9</v>
      </c>
      <c r="C11" s="18"/>
      <c r="D11" s="55" t="s">
        <v>9046</v>
      </c>
      <c r="E11" t="s">
        <v>65</v>
      </c>
      <c r="F11" s="3">
        <f>'Publicity&amp;Advertising'!U3+'Publicity&amp;Advertising'!U4</f>
        <v>1413.94</v>
      </c>
      <c r="G11" s="79">
        <f>'Publicity&amp;Advertising'!U3</f>
        <v>1413.94</v>
      </c>
      <c r="H11" s="76">
        <f>'Publicity&amp;Advertising'!U4</f>
        <v>0</v>
      </c>
      <c r="I11" s="3"/>
      <c r="J11" s="3"/>
      <c r="K11" s="3"/>
      <c r="L11" s="3"/>
      <c r="M11" s="3"/>
      <c r="N11" s="3"/>
      <c r="O11" s="3"/>
      <c r="P11" s="3">
        <f>'Publicity&amp;Advertising'!AC3+'Publicity&amp;Advertising'!AC4</f>
        <v>426.45</v>
      </c>
      <c r="Q11" s="3">
        <f>'Publicity&amp;Advertising'!AD3+'Publicity&amp;Advertising'!AD4</f>
        <v>0</v>
      </c>
      <c r="U11" s="154" t="s">
        <v>9244</v>
      </c>
    </row>
    <row r="12" spans="1:22" x14ac:dyDescent="0.35">
      <c r="A12" s="137">
        <v>5160006000</v>
      </c>
      <c r="B12" t="s">
        <v>40</v>
      </c>
      <c r="C12" s="18"/>
      <c r="D12" s="55" t="s">
        <v>145</v>
      </c>
      <c r="E12" t="s">
        <v>65</v>
      </c>
      <c r="F12" s="3">
        <f>'Opening Jubilees'!S4+'Opening Jubilees'!S5</f>
        <v>0</v>
      </c>
      <c r="G12" s="79">
        <f>'Opening Jubilees'!S4</f>
        <v>0</v>
      </c>
      <c r="H12" s="76">
        <f>'Opening Jubilees'!S5</f>
        <v>0</v>
      </c>
      <c r="U12" s="154" t="s">
        <v>9244</v>
      </c>
    </row>
    <row r="13" spans="1:22" x14ac:dyDescent="0.35">
      <c r="A13" s="137">
        <v>5160007000</v>
      </c>
      <c r="B13" t="s">
        <v>11</v>
      </c>
      <c r="C13" s="18"/>
      <c r="D13" s="55" t="s">
        <v>145</v>
      </c>
      <c r="E13" t="s">
        <v>65</v>
      </c>
      <c r="F13" s="3">
        <f>Sponsoring!U2+Sponsoring!U3</f>
        <v>0</v>
      </c>
      <c r="G13" s="79">
        <f>Sponsoring!U2</f>
        <v>0</v>
      </c>
      <c r="H13" s="76">
        <f>Sponsoring!U3</f>
        <v>0</v>
      </c>
      <c r="P13" s="26">
        <f>Sponsoring!AC2+Sponsoring!AC3</f>
        <v>0</v>
      </c>
      <c r="Q13" s="26">
        <f>Sponsoring!AD2+Sponsoring!AD3</f>
        <v>407.73</v>
      </c>
      <c r="U13" s="154" t="s">
        <v>9244</v>
      </c>
    </row>
    <row r="14" spans="1:22" ht="29" x14ac:dyDescent="0.35">
      <c r="A14" s="137">
        <v>5160008000</v>
      </c>
      <c r="B14" t="s">
        <v>13</v>
      </c>
      <c r="C14" s="18"/>
      <c r="D14" s="55" t="s">
        <v>258</v>
      </c>
      <c r="E14" t="s">
        <v>65</v>
      </c>
      <c r="F14" s="3">
        <f>'Promotional gifts'!U4+'Promotional gifts'!U5</f>
        <v>0</v>
      </c>
      <c r="G14" s="79">
        <f>'Promotional gifts'!U4</f>
        <v>0</v>
      </c>
      <c r="H14" s="76">
        <f>'Promotional gifts'!U5</f>
        <v>0</v>
      </c>
      <c r="I14" s="3"/>
      <c r="J14" s="3"/>
      <c r="K14" s="3"/>
      <c r="L14" s="3"/>
      <c r="M14" s="3"/>
      <c r="N14" s="3"/>
      <c r="O14" s="3"/>
      <c r="P14" s="3"/>
      <c r="Q14" s="3"/>
      <c r="U14" s="154" t="s">
        <v>9244</v>
      </c>
    </row>
    <row r="15" spans="1:22" ht="29" x14ac:dyDescent="0.35">
      <c r="A15" s="138">
        <v>5160010000</v>
      </c>
      <c r="B15" t="s">
        <v>15</v>
      </c>
      <c r="C15" s="18"/>
      <c r="D15" s="55" t="s">
        <v>66</v>
      </c>
      <c r="E15" t="s">
        <v>64</v>
      </c>
      <c r="F15" s="3">
        <f>'Marketing exp'!V2+'Marketing exp'!V3</f>
        <v>6742.2599999999984</v>
      </c>
      <c r="G15" s="79">
        <f>'Marketing exp'!V2</f>
        <v>2454.37</v>
      </c>
      <c r="H15" s="76">
        <f>'Marketing exp'!V3</f>
        <v>4287.8899999999985</v>
      </c>
      <c r="I15" s="3">
        <f>'Marketing exp'!W71</f>
        <v>0</v>
      </c>
      <c r="J15" s="3">
        <f>'Marketing exp'!X71</f>
        <v>0</v>
      </c>
      <c r="K15" s="3">
        <f>'Marketing exp'!Y71</f>
        <v>0</v>
      </c>
      <c r="L15" s="3">
        <f>'Marketing exp'!Z71</f>
        <v>0</v>
      </c>
      <c r="M15" s="3">
        <f>'Marketing exp'!AA71</f>
        <v>0</v>
      </c>
      <c r="N15" s="3">
        <f>'Marketing exp'!AB71</f>
        <v>0</v>
      </c>
      <c r="O15" s="3">
        <f>'Marketing exp'!AC71</f>
        <v>0</v>
      </c>
      <c r="P15" s="3">
        <f>'Marketing exp'!AF71</f>
        <v>0</v>
      </c>
      <c r="Q15" s="3">
        <f>'Marketing exp'!AG71</f>
        <v>0</v>
      </c>
      <c r="U15" s="154" t="s">
        <v>9042</v>
      </c>
    </row>
    <row r="16" spans="1:22" ht="29" x14ac:dyDescent="0.35">
      <c r="A16" s="139">
        <v>5160011000</v>
      </c>
      <c r="B16" s="39" t="s">
        <v>17</v>
      </c>
      <c r="C16" s="18"/>
      <c r="D16" s="55" t="s">
        <v>262</v>
      </c>
      <c r="E16" t="s">
        <v>64</v>
      </c>
      <c r="F16" s="3">
        <f>'Business Dev'!V3+'Business Dev'!V4</f>
        <v>111166.39999999988</v>
      </c>
      <c r="G16" s="79">
        <f>'Business Dev'!V3</f>
        <v>32145.579999999994</v>
      </c>
      <c r="H16" s="76">
        <f>'Business Dev'!V4</f>
        <v>79020.819999999891</v>
      </c>
      <c r="I16" s="3">
        <f>'Business Dev'!W187</f>
        <v>0</v>
      </c>
      <c r="J16" s="3">
        <f>'Business Dev'!X187</f>
        <v>0</v>
      </c>
      <c r="K16" s="3">
        <f>'Business Dev'!Y187</f>
        <v>0</v>
      </c>
      <c r="L16" s="3">
        <f>'Business Dev'!Z187</f>
        <v>0</v>
      </c>
      <c r="M16" s="3">
        <f>'Business Dev'!AA187</f>
        <v>0</v>
      </c>
      <c r="N16" s="3">
        <f>'Business Dev'!AB187</f>
        <v>0</v>
      </c>
      <c r="O16" s="3">
        <f>'Business Dev'!AC187</f>
        <v>0</v>
      </c>
      <c r="P16" s="3">
        <f>'Business Dev'!AD3+'Business Dev'!AD4</f>
        <v>464087.56999999995</v>
      </c>
      <c r="Q16" s="3">
        <f>'Business Dev'!AE3+'Business Dev'!AE4</f>
        <v>415.15</v>
      </c>
      <c r="U16" s="174" t="s">
        <v>9257</v>
      </c>
    </row>
    <row r="17" spans="1:22" x14ac:dyDescent="0.35">
      <c r="A17" s="139">
        <v>5160999000</v>
      </c>
      <c r="B17" s="39" t="s">
        <v>19</v>
      </c>
      <c r="C17" s="18"/>
      <c r="D17" s="55" t="s">
        <v>145</v>
      </c>
      <c r="E17" t="s">
        <v>65</v>
      </c>
      <c r="F17" s="3">
        <f>'Public relations'!V4+'Public relations'!V5</f>
        <v>240.10000000000002</v>
      </c>
      <c r="G17" s="79">
        <f>'Public relations'!V4</f>
        <v>230.77</v>
      </c>
      <c r="H17" s="76">
        <f>'Public relations'!V5</f>
        <v>9.33</v>
      </c>
      <c r="P17" s="26">
        <f>'Public relations'!AD3+'Public relations'!AD4</f>
        <v>0</v>
      </c>
      <c r="Q17" s="26">
        <f>'Public relations'!AE3+'Public relations'!AE4</f>
        <v>0</v>
      </c>
      <c r="U17" s="154" t="s">
        <v>9042</v>
      </c>
    </row>
    <row r="18" spans="1:22" ht="29" x14ac:dyDescent="0.35">
      <c r="A18" s="139">
        <v>5180003000</v>
      </c>
      <c r="B18" s="135" t="s">
        <v>20</v>
      </c>
      <c r="C18" s="130"/>
      <c r="D18" s="131" t="s">
        <v>9044</v>
      </c>
      <c r="E18" s="72" t="s">
        <v>65</v>
      </c>
      <c r="F18" s="3"/>
      <c r="G18" s="79"/>
      <c r="H18" s="76"/>
      <c r="U18" s="154" t="s">
        <v>9042</v>
      </c>
    </row>
    <row r="19" spans="1:22" x14ac:dyDescent="0.35">
      <c r="A19" s="139">
        <v>5190001000</v>
      </c>
      <c r="B19" s="39" t="s">
        <v>67</v>
      </c>
      <c r="C19" s="18"/>
      <c r="D19" s="55" t="s">
        <v>145</v>
      </c>
      <c r="E19" t="s">
        <v>65</v>
      </c>
      <c r="F19" s="3">
        <f>Membership!V3+Membership!V4</f>
        <v>0</v>
      </c>
      <c r="G19" s="79">
        <f>Membership!V3</f>
        <v>0</v>
      </c>
      <c r="H19" s="76">
        <f>Membership!V4</f>
        <v>0</v>
      </c>
      <c r="I19" s="3"/>
      <c r="J19" s="3"/>
      <c r="K19" s="3"/>
      <c r="L19" s="3"/>
      <c r="M19" s="3"/>
      <c r="N19" s="3"/>
      <c r="O19" s="3"/>
      <c r="P19" s="3">
        <f>Membership!AD3+Membership!AD4</f>
        <v>0</v>
      </c>
      <c r="Q19" s="3">
        <f>Membership!AE3+Membership!AE4</f>
        <v>352.15</v>
      </c>
      <c r="U19" s="154" t="s">
        <v>9042</v>
      </c>
    </row>
    <row r="20" spans="1:22" ht="29" x14ac:dyDescent="0.35">
      <c r="A20" s="139">
        <v>5200006000</v>
      </c>
      <c r="B20" s="39" t="s">
        <v>23</v>
      </c>
      <c r="C20" s="18"/>
      <c r="D20" s="55" t="s">
        <v>66</v>
      </c>
      <c r="E20" t="s">
        <v>64</v>
      </c>
      <c r="F20" s="3">
        <f>'Meeting costs'!V8</f>
        <v>16912.95</v>
      </c>
      <c r="G20" s="79">
        <f>'Meeting costs'!V6</f>
        <v>8362.5</v>
      </c>
      <c r="H20" s="76">
        <f>'Meeting costs'!V7</f>
        <v>8550.4499999999989</v>
      </c>
      <c r="I20" s="3"/>
      <c r="J20" s="3"/>
      <c r="K20" s="3"/>
      <c r="L20" s="3"/>
      <c r="M20" s="3"/>
      <c r="N20" s="3"/>
      <c r="O20" s="3"/>
      <c r="P20" s="3">
        <f>'Meeting costs'!AD6+'Meeting costs'!AD7</f>
        <v>0</v>
      </c>
      <c r="Q20" s="3">
        <f>'Meeting costs'!AE6+'Meeting costs'!AE7</f>
        <v>1268.18</v>
      </c>
      <c r="U20" s="174" t="s">
        <v>9254</v>
      </c>
    </row>
    <row r="21" spans="1:22" ht="29" x14ac:dyDescent="0.35">
      <c r="A21" s="139">
        <v>5200999000</v>
      </c>
      <c r="B21" s="39" t="s">
        <v>25</v>
      </c>
      <c r="C21" s="18"/>
      <c r="D21" s="55" t="s">
        <v>346</v>
      </c>
      <c r="E21" t="s">
        <v>65</v>
      </c>
      <c r="F21" s="3"/>
      <c r="G21" s="79">
        <f>'Misc exp'!U4</f>
        <v>0</v>
      </c>
      <c r="H21" s="76">
        <f>'Misc exp'!U5</f>
        <v>0</v>
      </c>
      <c r="U21" s="125" t="s">
        <v>345</v>
      </c>
    </row>
    <row r="22" spans="1:22" ht="29" x14ac:dyDescent="0.35">
      <c r="A22" s="137">
        <v>5200999010</v>
      </c>
      <c r="B22" t="s">
        <v>27</v>
      </c>
      <c r="C22" s="18"/>
      <c r="D22" s="55" t="s">
        <v>66</v>
      </c>
      <c r="E22" t="s">
        <v>64</v>
      </c>
      <c r="F22" s="3">
        <f>'Sundry exp'!V4+'Sundry exp'!V5</f>
        <v>239.17</v>
      </c>
      <c r="G22" s="79">
        <f>'Sundry exp'!V4</f>
        <v>0</v>
      </c>
      <c r="H22" s="76">
        <f>'Sundry exp'!V5</f>
        <v>239.17</v>
      </c>
      <c r="I22" s="3">
        <f>'Sundry exp'!W34</f>
        <v>0</v>
      </c>
      <c r="J22" s="3">
        <f>'Sundry exp'!X34</f>
        <v>0</v>
      </c>
      <c r="K22" s="3">
        <f>'Sundry exp'!Y34</f>
        <v>0</v>
      </c>
      <c r="L22" s="3">
        <f>'Sundry exp'!Z34</f>
        <v>0</v>
      </c>
      <c r="M22" s="3">
        <f>'Sundry exp'!AA34</f>
        <v>0</v>
      </c>
      <c r="N22" s="3">
        <f>'Sundry exp'!AB34</f>
        <v>0</v>
      </c>
      <c r="O22" s="3">
        <f>'Sundry exp'!AC34</f>
        <v>0</v>
      </c>
      <c r="P22" s="3">
        <f>'Sundry exp'!AD34</f>
        <v>0</v>
      </c>
      <c r="Q22" s="3">
        <f>'Sundry exp'!AE34</f>
        <v>0</v>
      </c>
      <c r="U22" s="154" t="s">
        <v>9042</v>
      </c>
    </row>
    <row r="23" spans="1:22" ht="29" x14ac:dyDescent="0.35">
      <c r="A23" s="137">
        <v>5200999020</v>
      </c>
      <c r="B23" s="55" t="s">
        <v>9255</v>
      </c>
      <c r="C23" s="18"/>
      <c r="D23" s="55" t="s">
        <v>589</v>
      </c>
      <c r="E23" t="s">
        <v>64</v>
      </c>
      <c r="F23" s="3">
        <f>'Misc exp (2)'!V173</f>
        <v>0</v>
      </c>
      <c r="G23" s="79">
        <f>'Misc exp (2)'!V6</f>
        <v>0</v>
      </c>
      <c r="H23" s="76">
        <f>'Misc exp (2)'!V7</f>
        <v>0</v>
      </c>
      <c r="I23" s="3">
        <f>'Misc exp (2)'!W173</f>
        <v>0</v>
      </c>
      <c r="J23" s="3">
        <f>'Misc exp (2)'!X173</f>
        <v>0</v>
      </c>
      <c r="K23" s="3">
        <f>'Misc exp (2)'!Y173</f>
        <v>0</v>
      </c>
      <c r="L23" s="3">
        <f>'Misc exp (2)'!Z173</f>
        <v>0</v>
      </c>
      <c r="M23" s="3">
        <f>'Misc exp (2)'!AA173</f>
        <v>0</v>
      </c>
      <c r="N23" s="3">
        <f>'Misc exp (2)'!AB173</f>
        <v>0</v>
      </c>
      <c r="O23" s="3">
        <f>'Misc exp (2)'!AC173</f>
        <v>0</v>
      </c>
      <c r="P23" s="3">
        <f>'Misc exp (2)'!AD4+'Misc exp (2)'!AD5</f>
        <v>1248.3700000000001</v>
      </c>
      <c r="Q23" s="3">
        <f>'Misc exp (2)'!AE4+'Misc exp (2)'!AE5</f>
        <v>275.56</v>
      </c>
      <c r="U23" s="154" t="s">
        <v>9042</v>
      </c>
    </row>
    <row r="24" spans="1:22" x14ac:dyDescent="0.35">
      <c r="A24" s="137">
        <v>5900050000</v>
      </c>
      <c r="B24" t="s">
        <v>30</v>
      </c>
      <c r="C24" s="18"/>
      <c r="D24" s="55" t="s">
        <v>145</v>
      </c>
      <c r="E24" t="s">
        <v>65</v>
      </c>
      <c r="F24" s="3">
        <f>'Other non-bank exp'!U4+'Other non-bank exp'!U5</f>
        <v>0</v>
      </c>
      <c r="G24" s="79">
        <f>'Other non-bank exp'!U4</f>
        <v>0</v>
      </c>
      <c r="H24" s="76">
        <f>'Other non-bank exp'!U5</f>
        <v>0</v>
      </c>
      <c r="I24" s="3"/>
      <c r="J24" s="3"/>
      <c r="K24" s="3"/>
      <c r="L24" s="3"/>
      <c r="M24" s="3"/>
      <c r="N24" s="3"/>
      <c r="O24" s="3"/>
      <c r="P24" s="3"/>
      <c r="Q24" s="3"/>
      <c r="T24" s="19"/>
      <c r="U24" s="154" t="s">
        <v>9042</v>
      </c>
    </row>
    <row r="25" spans="1:22" ht="29" x14ac:dyDescent="0.35">
      <c r="A25" s="137">
        <v>5100999000</v>
      </c>
      <c r="B25" t="s">
        <v>3</v>
      </c>
      <c r="C25" s="18"/>
      <c r="D25" s="55" t="s">
        <v>590</v>
      </c>
      <c r="E25" t="s">
        <v>64</v>
      </c>
      <c r="F25" s="3">
        <f>'Other exp'!U3+'Other exp'!U4</f>
        <v>5241.7899999999991</v>
      </c>
      <c r="G25" s="79">
        <f>'Other exp'!U3</f>
        <v>0</v>
      </c>
      <c r="H25" s="76">
        <f>'Other exp'!U4</f>
        <v>5241.7899999999991</v>
      </c>
      <c r="I25" s="3">
        <f>'Other exp'!V312</f>
        <v>0</v>
      </c>
      <c r="J25" s="3">
        <f>'Other exp'!W312</f>
        <v>0</v>
      </c>
      <c r="K25" s="3">
        <f>'Other exp'!X312</f>
        <v>0</v>
      </c>
      <c r="L25" s="3">
        <f>'Other exp'!Y312</f>
        <v>0</v>
      </c>
      <c r="M25" s="3">
        <f>'Other exp'!Z312</f>
        <v>0</v>
      </c>
      <c r="N25" s="3">
        <f>'Other exp'!AA312</f>
        <v>0</v>
      </c>
      <c r="O25" s="3">
        <f>'Other exp'!AB312</f>
        <v>0</v>
      </c>
      <c r="P25" s="3">
        <f>'Other exp'!AC3+'Other exp'!AC4</f>
        <v>5149.3200000000006</v>
      </c>
      <c r="Q25" s="3">
        <f>'Other exp'!AD3+'Other exp'!AD4</f>
        <v>5401.8300000000008</v>
      </c>
      <c r="T25" s="19"/>
      <c r="U25" s="154" t="s">
        <v>9042</v>
      </c>
    </row>
    <row r="26" spans="1:22" x14ac:dyDescent="0.35">
      <c r="A26" s="140">
        <v>5190002000</v>
      </c>
      <c r="B26" t="s">
        <v>42</v>
      </c>
      <c r="C26" s="18"/>
      <c r="D26" s="55" t="s">
        <v>9242</v>
      </c>
      <c r="E26" t="s">
        <v>64</v>
      </c>
      <c r="F26" s="3">
        <f>Donations!V3+Donations!V4</f>
        <v>440.18</v>
      </c>
      <c r="G26" s="79">
        <f>Donations!V3</f>
        <v>0</v>
      </c>
      <c r="H26" s="76">
        <f>Donations!V4</f>
        <v>440.18</v>
      </c>
      <c r="I26" s="3"/>
      <c r="J26" s="3"/>
      <c r="K26" s="3"/>
      <c r="L26" s="3"/>
      <c r="M26" s="3"/>
      <c r="N26" s="3"/>
      <c r="O26" s="3"/>
      <c r="P26" s="3">
        <f>Donations!AD4+Donations!AD3</f>
        <v>0</v>
      </c>
      <c r="Q26" s="3">
        <f>Donations!AE4+Donations!AE3</f>
        <v>455.42</v>
      </c>
      <c r="T26" s="19"/>
      <c r="U26" s="154" t="s">
        <v>9042</v>
      </c>
    </row>
    <row r="27" spans="1:22" x14ac:dyDescent="0.35">
      <c r="A27" s="140">
        <v>5160002000</v>
      </c>
      <c r="B27" t="s">
        <v>39</v>
      </c>
      <c r="C27" s="18"/>
      <c r="D27" s="55" t="s">
        <v>9241</v>
      </c>
      <c r="E27" t="s">
        <v>65</v>
      </c>
      <c r="F27" s="3"/>
      <c r="G27" s="79"/>
      <c r="H27" s="76"/>
      <c r="I27" s="3"/>
      <c r="J27" s="3"/>
      <c r="K27" s="3"/>
      <c r="L27" s="3"/>
      <c r="M27" s="3"/>
      <c r="N27" s="3"/>
      <c r="O27" s="3"/>
      <c r="P27" s="3"/>
      <c r="Q27" s="3"/>
      <c r="T27" s="19"/>
      <c r="U27" s="154" t="s">
        <v>9042</v>
      </c>
    </row>
    <row r="28" spans="1:22" x14ac:dyDescent="0.35">
      <c r="C28" s="18"/>
      <c r="F28" s="3"/>
      <c r="G28" s="80"/>
      <c r="H28" s="77"/>
      <c r="I28" s="3"/>
      <c r="J28" s="3"/>
      <c r="K28" s="3"/>
      <c r="L28" s="3"/>
      <c r="M28" s="3"/>
      <c r="N28" s="3"/>
      <c r="O28" s="3"/>
      <c r="P28" s="3"/>
      <c r="Q28" s="3"/>
    </row>
    <row r="29" spans="1:22" ht="15" thickBot="1" x14ac:dyDescent="0.4">
      <c r="C29" s="18"/>
      <c r="D29" s="60" t="s">
        <v>68</v>
      </c>
      <c r="E29" s="20"/>
      <c r="F29" s="21">
        <f>SUM(F7:F28)</f>
        <v>143205.3899999999</v>
      </c>
      <c r="G29" s="81">
        <f>SUM(G8:G25)</f>
        <v>44607.159999999989</v>
      </c>
      <c r="H29" s="81">
        <f>SUM(H8:H25)</f>
        <v>98158.049999999872</v>
      </c>
      <c r="I29" s="21">
        <f t="shared" ref="I29:Q29" si="0">SUM(I7:I28)</f>
        <v>0</v>
      </c>
      <c r="J29" s="21">
        <f t="shared" si="0"/>
        <v>0</v>
      </c>
      <c r="K29" s="21">
        <f t="shared" si="0"/>
        <v>0</v>
      </c>
      <c r="L29" s="21">
        <f t="shared" si="0"/>
        <v>0</v>
      </c>
      <c r="M29" s="21">
        <f t="shared" si="0"/>
        <v>0</v>
      </c>
      <c r="N29" s="21">
        <f t="shared" si="0"/>
        <v>0</v>
      </c>
      <c r="O29" s="21">
        <f t="shared" si="0"/>
        <v>0</v>
      </c>
      <c r="P29" s="21">
        <f t="shared" si="0"/>
        <v>470911.70999999996</v>
      </c>
      <c r="Q29" s="21">
        <f t="shared" si="0"/>
        <v>8576.02</v>
      </c>
    </row>
    <row r="30" spans="1:22" ht="14.5" customHeight="1" x14ac:dyDescent="0.35">
      <c r="U30" s="196" t="s">
        <v>9260</v>
      </c>
      <c r="V30" s="188" t="s">
        <v>9261</v>
      </c>
    </row>
    <row r="31" spans="1:22" ht="14.5" customHeight="1" x14ac:dyDescent="0.35">
      <c r="O31" s="24" t="s">
        <v>9262</v>
      </c>
      <c r="P31" s="3">
        <v>0</v>
      </c>
      <c r="Q31" s="26">
        <f>Sponsoring!AD2</f>
        <v>0</v>
      </c>
      <c r="U31" s="197"/>
      <c r="V31" s="189"/>
    </row>
    <row r="32" spans="1:22" ht="15" thickBot="1" x14ac:dyDescent="0.4">
      <c r="O32" s="24" t="s">
        <v>9263</v>
      </c>
      <c r="P32" s="3">
        <v>0</v>
      </c>
      <c r="Q32" s="26">
        <f>Sponsoring!AD3+'Business Dev'!AE4+Membership!AE4+'Meeting costs'!AE7+'Misc exp (2)'!AE5+'Other exp'!AD4+Donations!AE4</f>
        <v>8576.02</v>
      </c>
      <c r="U32" s="197"/>
      <c r="V32" s="189"/>
    </row>
    <row r="33" spans="17:22" ht="15" thickBot="1" x14ac:dyDescent="0.4">
      <c r="Q33" s="187">
        <f>SUM(Q31:Q32)</f>
        <v>8576.02</v>
      </c>
      <c r="U33" s="197"/>
      <c r="V33" s="189"/>
    </row>
    <row r="34" spans="17:22" x14ac:dyDescent="0.35">
      <c r="U34" s="197"/>
      <c r="V34" s="189"/>
    </row>
    <row r="35" spans="17:22" x14ac:dyDescent="0.35">
      <c r="U35" s="197"/>
      <c r="V35" s="189"/>
    </row>
    <row r="36" spans="17:22" x14ac:dyDescent="0.35">
      <c r="U36" s="197"/>
      <c r="V36" s="189"/>
    </row>
    <row r="37" spans="17:22" x14ac:dyDescent="0.35">
      <c r="U37" s="197"/>
      <c r="V37" s="189"/>
    </row>
    <row r="38" spans="17:22" x14ac:dyDescent="0.35">
      <c r="U38" s="197"/>
      <c r="V38" s="189"/>
    </row>
    <row r="39" spans="17:22" x14ac:dyDescent="0.35">
      <c r="U39" s="197"/>
      <c r="V39" s="189"/>
    </row>
    <row r="40" spans="17:22" ht="15" thickBot="1" x14ac:dyDescent="0.4">
      <c r="U40" s="198"/>
      <c r="V40" s="190"/>
    </row>
  </sheetData>
  <mergeCells count="4">
    <mergeCell ref="V30:V40"/>
    <mergeCell ref="P5:Q5"/>
    <mergeCell ref="E3:I3"/>
    <mergeCell ref="U30:U4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612A0-0207-4C0C-8CA7-D82E487A927A}">
  <sheetPr>
    <tabColor rgb="FF00B050"/>
  </sheetPr>
  <dimension ref="A1:AG303"/>
  <sheetViews>
    <sheetView workbookViewId="0">
      <selection activeCell="C3" sqref="C3"/>
    </sheetView>
  </sheetViews>
  <sheetFormatPr defaultRowHeight="14.5" x14ac:dyDescent="0.35"/>
  <cols>
    <col min="1" max="2" width="5.81640625" customWidth="1"/>
    <col min="3" max="3" width="10.81640625" customWidth="1"/>
    <col min="4" max="4" width="6" style="3" customWidth="1"/>
    <col min="5" max="5" width="6" customWidth="1"/>
    <col min="6" max="6" width="6" style="19" customWidth="1"/>
    <col min="7" max="7" width="10.453125" style="19" bestFit="1" customWidth="1"/>
    <col min="8" max="8" width="6" style="56" customWidth="1"/>
    <col min="9" max="9" width="25.54296875" style="55" customWidth="1"/>
    <col min="10" max="10" width="18.26953125" style="55" customWidth="1"/>
    <col min="11" max="11" width="30.81640625" bestFit="1" customWidth="1"/>
    <col min="12" max="12" width="13.54296875" style="55" customWidth="1"/>
    <col min="13" max="13" width="21.1796875" style="55" customWidth="1"/>
    <col min="14" max="14" width="10.1796875" style="55" customWidth="1"/>
    <col min="15" max="15" width="11.81640625" style="55" customWidth="1"/>
    <col min="16" max="16" width="3.453125" style="5" customWidth="1"/>
    <col min="17" max="17" width="10.1796875" style="3" bestFit="1" customWidth="1"/>
    <col min="18" max="18" width="2.1796875" style="55" customWidth="1"/>
    <col min="19" max="19" width="4.81640625" style="55" customWidth="1"/>
    <col min="21" max="21" width="3.81640625" customWidth="1"/>
    <col min="23" max="28" width="2" customWidth="1"/>
  </cols>
  <sheetData>
    <row r="1" spans="1:33" x14ac:dyDescent="0.35">
      <c r="A1" t="s">
        <v>69</v>
      </c>
      <c r="C1" s="24">
        <f>Summary!A9</f>
        <v>5140001010</v>
      </c>
    </row>
    <row r="2" spans="1:33" x14ac:dyDescent="0.35">
      <c r="A2" t="s">
        <v>70</v>
      </c>
      <c r="C2" s="24" t="str">
        <f>Summary!B9</f>
        <v>External Training and Seminars</v>
      </c>
      <c r="H2" s="56" t="s">
        <v>141</v>
      </c>
      <c r="T2" s="24" t="s">
        <v>0</v>
      </c>
      <c r="U2" s="24"/>
      <c r="V2" s="3">
        <f>SUMIF($A$10:$A$23974,"AU001",V9:V23973)</f>
        <v>0</v>
      </c>
      <c r="AC2" s="24" t="s">
        <v>0</v>
      </c>
      <c r="AD2" s="3">
        <f>SUMIF($A$10:$A$23974,"AU001",AD9:AD23973)</f>
        <v>0</v>
      </c>
    </row>
    <row r="3" spans="1:33" x14ac:dyDescent="0.35">
      <c r="A3" t="s">
        <v>71</v>
      </c>
      <c r="C3" s="22">
        <v>507940.78</v>
      </c>
      <c r="H3" s="56" t="s">
        <v>142</v>
      </c>
      <c r="T3" s="24" t="s">
        <v>35</v>
      </c>
      <c r="U3" s="24"/>
      <c r="V3" s="3">
        <f>SUMIF($A$10:$A$23975,"AU052",V9:V23974)</f>
        <v>772.71999999999991</v>
      </c>
      <c r="AC3" s="24" t="s">
        <v>35</v>
      </c>
      <c r="AD3" s="3">
        <f>SUMIF($A$10:$A$23975,"AU052",AD9:AD23974)</f>
        <v>0</v>
      </c>
    </row>
    <row r="4" spans="1:33" x14ac:dyDescent="0.35">
      <c r="A4" t="s">
        <v>45</v>
      </c>
      <c r="C4" s="22">
        <f>SUM(E:E)</f>
        <v>507940.77999999991</v>
      </c>
      <c r="H4" s="56" t="s">
        <v>143</v>
      </c>
      <c r="AE4" s="3">
        <f>SUMIF($A$10:$A$23974,"AU001",AE9:AE23973)</f>
        <v>0</v>
      </c>
    </row>
    <row r="5" spans="1:33" ht="15" thickBot="1" x14ac:dyDescent="0.4">
      <c r="A5" t="s">
        <v>72</v>
      </c>
      <c r="C5" s="3">
        <f>C3-C4</f>
        <v>0</v>
      </c>
      <c r="Q5" s="30"/>
      <c r="R5" s="57"/>
      <c r="AE5" s="3">
        <f>SUMIF($A$10:$A$23975,"AU052",AE9:AE23974)</f>
        <v>0</v>
      </c>
    </row>
    <row r="6" spans="1:33" ht="15" thickBot="1" x14ac:dyDescent="0.4">
      <c r="AD6" s="191" t="s">
        <v>44</v>
      </c>
      <c r="AE6" s="192"/>
    </row>
    <row r="7" spans="1:33" s="53" customFormat="1" ht="363" thickBot="1" x14ac:dyDescent="0.4">
      <c r="A7" s="145" t="s">
        <v>74</v>
      </c>
      <c r="B7" s="146" t="s">
        <v>597</v>
      </c>
      <c r="C7" s="146" t="s">
        <v>75</v>
      </c>
      <c r="D7" s="147" t="s">
        <v>76</v>
      </c>
      <c r="E7" s="146" t="s">
        <v>77</v>
      </c>
      <c r="F7" s="148" t="s">
        <v>78</v>
      </c>
      <c r="G7" s="148" t="s">
        <v>79</v>
      </c>
      <c r="H7" s="150" t="s">
        <v>80</v>
      </c>
      <c r="I7" s="146" t="s">
        <v>81</v>
      </c>
      <c r="J7" s="146" t="s">
        <v>82</v>
      </c>
      <c r="K7" s="146" t="s">
        <v>83</v>
      </c>
      <c r="L7" s="146" t="s">
        <v>84</v>
      </c>
      <c r="M7" s="146" t="s">
        <v>85</v>
      </c>
      <c r="N7" s="146" t="s">
        <v>86</v>
      </c>
      <c r="O7" s="149" t="s">
        <v>585</v>
      </c>
      <c r="P7" s="43"/>
      <c r="Q7" s="54" t="s">
        <v>136</v>
      </c>
      <c r="R7" s="44" t="s">
        <v>87</v>
      </c>
      <c r="S7" s="45" t="s">
        <v>46</v>
      </c>
      <c r="T7" s="45" t="s">
        <v>47</v>
      </c>
      <c r="U7" s="84" t="s">
        <v>1286</v>
      </c>
      <c r="V7" s="45" t="s">
        <v>48</v>
      </c>
      <c r="W7" s="46" t="s">
        <v>49</v>
      </c>
      <c r="X7" s="47" t="s">
        <v>50</v>
      </c>
      <c r="Y7" s="48" t="s">
        <v>51</v>
      </c>
      <c r="Z7" s="49" t="s">
        <v>52</v>
      </c>
      <c r="AA7" s="50" t="s">
        <v>53</v>
      </c>
      <c r="AB7" s="50" t="s">
        <v>54</v>
      </c>
      <c r="AC7" s="50" t="s">
        <v>55</v>
      </c>
      <c r="AD7" s="51" t="s">
        <v>56</v>
      </c>
      <c r="AE7" s="51" t="s">
        <v>57</v>
      </c>
      <c r="AF7" s="52" t="s">
        <v>58</v>
      </c>
    </row>
    <row r="8" spans="1:33" ht="29" x14ac:dyDescent="0.35">
      <c r="A8" s="88" t="s">
        <v>35</v>
      </c>
      <c r="B8" s="88" t="s">
        <v>1221</v>
      </c>
      <c r="C8" s="88" t="s">
        <v>6</v>
      </c>
      <c r="D8" s="87" t="s">
        <v>7</v>
      </c>
      <c r="E8" s="88">
        <v>55000</v>
      </c>
      <c r="F8" s="97" t="s">
        <v>88</v>
      </c>
      <c r="G8" s="97">
        <v>45638</v>
      </c>
      <c r="H8" s="151" t="s">
        <v>1250</v>
      </c>
      <c r="I8" s="85" t="s">
        <v>110</v>
      </c>
      <c r="J8" s="85"/>
      <c r="K8" s="88"/>
      <c r="L8" s="85"/>
      <c r="M8" s="85"/>
      <c r="N8" s="85"/>
      <c r="O8" s="85"/>
      <c r="P8" s="86"/>
      <c r="Q8" s="87">
        <f t="shared" ref="Q8:Q71" si="0">ABS(E8)</f>
        <v>55000</v>
      </c>
      <c r="R8" s="85"/>
      <c r="S8" s="85"/>
      <c r="T8" s="88"/>
      <c r="U8" s="88"/>
      <c r="V8" s="88"/>
      <c r="W8" s="88"/>
      <c r="X8" s="88"/>
      <c r="Y8" s="88"/>
      <c r="Z8" s="88"/>
      <c r="AA8" s="88"/>
      <c r="AB8" s="88"/>
      <c r="AC8" s="88"/>
      <c r="AD8" s="88"/>
      <c r="AE8" s="88"/>
      <c r="AF8" s="88"/>
      <c r="AG8" s="88"/>
    </row>
    <row r="9" spans="1:33" ht="29" x14ac:dyDescent="0.35">
      <c r="A9" s="88" t="s">
        <v>35</v>
      </c>
      <c r="B9" s="88" t="s">
        <v>664</v>
      </c>
      <c r="C9" s="88" t="s">
        <v>6</v>
      </c>
      <c r="D9" s="87" t="s">
        <v>7</v>
      </c>
      <c r="E9" s="88">
        <v>38303.230000000003</v>
      </c>
      <c r="F9" s="97" t="s">
        <v>88</v>
      </c>
      <c r="G9" s="97">
        <v>45642</v>
      </c>
      <c r="H9" s="151" t="s">
        <v>89</v>
      </c>
      <c r="I9" s="85" t="s">
        <v>1261</v>
      </c>
      <c r="J9" s="85"/>
      <c r="K9" s="88" t="s">
        <v>1262</v>
      </c>
      <c r="L9" s="85" t="s">
        <v>1263</v>
      </c>
      <c r="M9" s="85" t="s">
        <v>1264</v>
      </c>
      <c r="N9" s="85"/>
      <c r="O9" s="85"/>
      <c r="P9" s="86"/>
      <c r="Q9" s="87">
        <f t="shared" si="0"/>
        <v>38303.230000000003</v>
      </c>
      <c r="R9" s="85"/>
      <c r="S9" s="85"/>
      <c r="T9" s="88"/>
      <c r="U9" s="88"/>
      <c r="V9" s="88"/>
      <c r="W9" s="88"/>
      <c r="X9" s="88"/>
      <c r="Y9" s="88"/>
      <c r="Z9" s="88"/>
      <c r="AA9" s="88"/>
      <c r="AB9" s="88"/>
      <c r="AC9" s="88"/>
      <c r="AD9" s="88"/>
      <c r="AE9" s="88"/>
      <c r="AF9" s="88"/>
      <c r="AG9" s="88"/>
    </row>
    <row r="10" spans="1:33" x14ac:dyDescent="0.35">
      <c r="A10" s="88" t="s">
        <v>35</v>
      </c>
      <c r="B10" s="88" t="s">
        <v>598</v>
      </c>
      <c r="C10" s="88" t="s">
        <v>6</v>
      </c>
      <c r="D10" s="87" t="s">
        <v>7</v>
      </c>
      <c r="E10" s="88">
        <v>25031.11</v>
      </c>
      <c r="F10" s="97" t="s">
        <v>88</v>
      </c>
      <c r="G10" s="97">
        <v>45629</v>
      </c>
      <c r="H10" s="151" t="s">
        <v>89</v>
      </c>
      <c r="I10" s="85" t="s">
        <v>1202</v>
      </c>
      <c r="J10" s="85"/>
      <c r="K10" s="88" t="s">
        <v>1203</v>
      </c>
      <c r="L10" s="85" t="s">
        <v>1204</v>
      </c>
      <c r="M10" s="85" t="s">
        <v>1065</v>
      </c>
      <c r="N10" s="85"/>
      <c r="O10" s="85"/>
      <c r="P10" s="86"/>
      <c r="Q10" s="87">
        <f t="shared" si="0"/>
        <v>25031.11</v>
      </c>
      <c r="R10" s="85"/>
      <c r="S10" s="85"/>
      <c r="T10" s="88"/>
      <c r="U10" s="88"/>
      <c r="V10" s="88"/>
      <c r="W10" s="88"/>
      <c r="X10" s="88"/>
      <c r="Y10" s="88"/>
      <c r="Z10" s="88"/>
      <c r="AA10" s="88"/>
      <c r="AB10" s="88"/>
      <c r="AC10" s="88"/>
      <c r="AD10" s="88"/>
      <c r="AE10" s="88"/>
      <c r="AF10" s="88"/>
      <c r="AG10" s="88"/>
    </row>
    <row r="11" spans="1:33" x14ac:dyDescent="0.35">
      <c r="A11" s="88" t="s">
        <v>0</v>
      </c>
      <c r="B11" s="88" t="s">
        <v>934</v>
      </c>
      <c r="C11" s="88" t="s">
        <v>6</v>
      </c>
      <c r="D11" s="87" t="s">
        <v>7</v>
      </c>
      <c r="E11" s="88">
        <v>21682.78</v>
      </c>
      <c r="F11" s="97" t="s">
        <v>88</v>
      </c>
      <c r="G11" s="97">
        <v>45597</v>
      </c>
      <c r="H11" s="151" t="s">
        <v>89</v>
      </c>
      <c r="I11" s="85" t="s">
        <v>1133</v>
      </c>
      <c r="J11" s="85"/>
      <c r="K11" s="88" t="s">
        <v>1134</v>
      </c>
      <c r="L11" s="85" t="s">
        <v>1135</v>
      </c>
      <c r="M11" s="85" t="s">
        <v>1136</v>
      </c>
      <c r="N11" s="85"/>
      <c r="O11" s="85"/>
      <c r="P11" s="86"/>
      <c r="Q11" s="87">
        <f t="shared" si="0"/>
        <v>21682.78</v>
      </c>
      <c r="R11" s="85"/>
      <c r="S11" s="85"/>
      <c r="T11" s="88"/>
      <c r="U11" s="88"/>
      <c r="V11" s="88"/>
      <c r="W11" s="88"/>
      <c r="X11" s="88"/>
      <c r="Y11" s="88"/>
      <c r="Z11" s="88"/>
      <c r="AA11" s="88"/>
      <c r="AB11" s="88"/>
      <c r="AC11" s="88"/>
      <c r="AD11" s="88"/>
      <c r="AE11" s="88"/>
      <c r="AF11" s="88"/>
      <c r="AG11" s="88"/>
    </row>
    <row r="12" spans="1:33" ht="29" x14ac:dyDescent="0.35">
      <c r="A12" s="93" t="s">
        <v>0</v>
      </c>
      <c r="B12" s="93" t="s">
        <v>600</v>
      </c>
      <c r="C12" s="93" t="s">
        <v>6</v>
      </c>
      <c r="D12" s="94" t="s">
        <v>7</v>
      </c>
      <c r="E12" s="93">
        <v>21450</v>
      </c>
      <c r="F12" s="95" t="s">
        <v>88</v>
      </c>
      <c r="G12" s="95">
        <v>45413</v>
      </c>
      <c r="H12" s="152" t="s">
        <v>89</v>
      </c>
      <c r="I12" s="96" t="s">
        <v>657</v>
      </c>
      <c r="J12" s="96"/>
      <c r="K12" s="93" t="s">
        <v>658</v>
      </c>
      <c r="L12" s="96" t="s">
        <v>659</v>
      </c>
      <c r="M12" s="96" t="s">
        <v>660</v>
      </c>
      <c r="N12" s="96"/>
      <c r="O12" s="96"/>
      <c r="P12" s="86"/>
      <c r="Q12" s="87">
        <f t="shared" si="0"/>
        <v>21450</v>
      </c>
      <c r="R12" s="85"/>
      <c r="S12" s="85"/>
      <c r="T12" s="88"/>
      <c r="U12" s="88"/>
      <c r="V12" s="88"/>
      <c r="W12" s="88"/>
      <c r="X12" s="88"/>
      <c r="Y12" s="88"/>
      <c r="Z12" s="88"/>
      <c r="AA12" s="88"/>
      <c r="AB12" s="88"/>
      <c r="AC12" s="88"/>
      <c r="AD12" s="88"/>
      <c r="AE12" s="88"/>
      <c r="AF12" s="88"/>
      <c r="AG12" s="88"/>
    </row>
    <row r="13" spans="1:33" ht="29" x14ac:dyDescent="0.35">
      <c r="A13" s="88" t="s">
        <v>35</v>
      </c>
      <c r="B13" s="88" t="s">
        <v>610</v>
      </c>
      <c r="C13" s="88" t="s">
        <v>6</v>
      </c>
      <c r="D13" s="87" t="s">
        <v>7</v>
      </c>
      <c r="E13" s="88">
        <v>12155</v>
      </c>
      <c r="F13" s="97" t="s">
        <v>88</v>
      </c>
      <c r="G13" s="97">
        <v>45629</v>
      </c>
      <c r="H13" s="151" t="s">
        <v>89</v>
      </c>
      <c r="I13" s="85" t="s">
        <v>1205</v>
      </c>
      <c r="J13" s="85"/>
      <c r="K13" s="88" t="s">
        <v>720</v>
      </c>
      <c r="L13" s="85" t="s">
        <v>1207</v>
      </c>
      <c r="M13" s="85" t="s">
        <v>103</v>
      </c>
      <c r="N13" s="85"/>
      <c r="O13" s="85"/>
      <c r="P13" s="86"/>
      <c r="Q13" s="87">
        <f t="shared" si="0"/>
        <v>12155</v>
      </c>
      <c r="R13" s="85"/>
      <c r="S13" s="85"/>
      <c r="T13" s="88"/>
      <c r="U13" s="88"/>
      <c r="V13" s="88"/>
      <c r="W13" s="88"/>
      <c r="X13" s="88"/>
      <c r="Y13" s="88"/>
      <c r="Z13" s="88"/>
      <c r="AA13" s="88"/>
      <c r="AB13" s="88"/>
      <c r="AC13" s="88"/>
      <c r="AD13" s="88"/>
      <c r="AE13" s="88"/>
      <c r="AF13" s="88"/>
      <c r="AG13" s="88"/>
    </row>
    <row r="14" spans="1:33" ht="29" x14ac:dyDescent="0.35">
      <c r="A14" s="88" t="s">
        <v>0</v>
      </c>
      <c r="B14" s="88" t="s">
        <v>600</v>
      </c>
      <c r="C14" s="88" t="s">
        <v>6</v>
      </c>
      <c r="D14" s="87" t="s">
        <v>7</v>
      </c>
      <c r="E14" s="88">
        <v>11022.78</v>
      </c>
      <c r="F14" s="97" t="s">
        <v>88</v>
      </c>
      <c r="G14" s="97">
        <v>45467</v>
      </c>
      <c r="H14" s="151" t="s">
        <v>89</v>
      </c>
      <c r="I14" s="85" t="s">
        <v>776</v>
      </c>
      <c r="J14" s="85"/>
      <c r="K14" s="88" t="s">
        <v>101</v>
      </c>
      <c r="L14" s="85" t="s">
        <v>777</v>
      </c>
      <c r="M14" s="85" t="s">
        <v>660</v>
      </c>
      <c r="N14" s="85"/>
      <c r="O14" s="85"/>
      <c r="P14" s="86"/>
      <c r="Q14" s="87">
        <f t="shared" si="0"/>
        <v>11022.78</v>
      </c>
      <c r="R14" s="85"/>
      <c r="S14" s="85"/>
      <c r="T14" s="88"/>
      <c r="U14" s="88"/>
      <c r="V14" s="88"/>
      <c r="W14" s="88"/>
      <c r="X14" s="88"/>
      <c r="Y14" s="88"/>
      <c r="Z14" s="88"/>
      <c r="AA14" s="88"/>
      <c r="AB14" s="88"/>
      <c r="AC14" s="88"/>
      <c r="AD14" s="88"/>
      <c r="AE14" s="88"/>
      <c r="AF14" s="88"/>
      <c r="AG14" s="88"/>
    </row>
    <row r="15" spans="1:33" x14ac:dyDescent="0.35">
      <c r="A15" s="88" t="s">
        <v>35</v>
      </c>
      <c r="B15" s="88" t="s">
        <v>605</v>
      </c>
      <c r="C15" s="88" t="s">
        <v>6</v>
      </c>
      <c r="D15" s="87" t="s">
        <v>7</v>
      </c>
      <c r="E15" s="88">
        <v>10468.94</v>
      </c>
      <c r="F15" s="97" t="s">
        <v>88</v>
      </c>
      <c r="G15" s="97">
        <v>45488</v>
      </c>
      <c r="H15" s="151" t="s">
        <v>89</v>
      </c>
      <c r="I15" s="85" t="s">
        <v>835</v>
      </c>
      <c r="J15" s="85"/>
      <c r="K15" s="88" t="s">
        <v>836</v>
      </c>
      <c r="L15" s="85" t="s">
        <v>837</v>
      </c>
      <c r="M15" s="85" t="s">
        <v>112</v>
      </c>
      <c r="N15" s="85"/>
      <c r="O15" s="85"/>
      <c r="P15" s="86"/>
      <c r="Q15" s="87">
        <f t="shared" si="0"/>
        <v>10468.94</v>
      </c>
      <c r="R15" s="85"/>
      <c r="S15" s="85"/>
      <c r="T15" s="88"/>
      <c r="U15" s="88"/>
      <c r="V15" s="88"/>
      <c r="W15" s="88"/>
      <c r="X15" s="88"/>
      <c r="Y15" s="88"/>
      <c r="Z15" s="88"/>
      <c r="AA15" s="88"/>
      <c r="AB15" s="88"/>
      <c r="AC15" s="88"/>
      <c r="AD15" s="88"/>
      <c r="AE15" s="88"/>
      <c r="AF15" s="88"/>
      <c r="AG15" s="88"/>
    </row>
    <row r="16" spans="1:33" s="88" customFormat="1" x14ac:dyDescent="0.35">
      <c r="A16" s="88" t="s">
        <v>35</v>
      </c>
      <c r="B16" s="88" t="s">
        <v>655</v>
      </c>
      <c r="C16" s="88" t="s">
        <v>6</v>
      </c>
      <c r="D16" s="87" t="s">
        <v>7</v>
      </c>
      <c r="E16" s="88">
        <v>8250</v>
      </c>
      <c r="F16" s="97" t="s">
        <v>88</v>
      </c>
      <c r="G16" s="97">
        <v>45597</v>
      </c>
      <c r="H16" s="151" t="s">
        <v>89</v>
      </c>
      <c r="I16" s="85" t="s">
        <v>1139</v>
      </c>
      <c r="J16" s="85"/>
      <c r="K16" s="88" t="s">
        <v>1140</v>
      </c>
      <c r="L16" s="85" t="s">
        <v>1141</v>
      </c>
      <c r="M16" s="85" t="s">
        <v>111</v>
      </c>
      <c r="N16" s="85"/>
      <c r="O16" s="85"/>
      <c r="P16" s="86"/>
      <c r="Q16" s="87">
        <f t="shared" si="0"/>
        <v>8250</v>
      </c>
      <c r="R16" s="85"/>
      <c r="S16" s="85"/>
    </row>
    <row r="17" spans="1:19" s="88" customFormat="1" ht="29" x14ac:dyDescent="0.35">
      <c r="A17" s="93" t="s">
        <v>0</v>
      </c>
      <c r="B17" s="93" t="s">
        <v>623</v>
      </c>
      <c r="C17" s="93" t="s">
        <v>6</v>
      </c>
      <c r="D17" s="94" t="s">
        <v>7</v>
      </c>
      <c r="E17" s="93">
        <v>7983.47</v>
      </c>
      <c r="F17" s="95" t="s">
        <v>88</v>
      </c>
      <c r="G17" s="95">
        <v>45432</v>
      </c>
      <c r="H17" s="152" t="s">
        <v>89</v>
      </c>
      <c r="I17" s="96" t="s">
        <v>700</v>
      </c>
      <c r="J17" s="96"/>
      <c r="K17" s="93" t="s">
        <v>701</v>
      </c>
      <c r="L17" s="96" t="s">
        <v>702</v>
      </c>
      <c r="M17" s="96" t="s">
        <v>93</v>
      </c>
      <c r="N17" s="96"/>
      <c r="O17" s="96"/>
      <c r="P17" s="86"/>
      <c r="Q17" s="87">
        <f t="shared" si="0"/>
        <v>7983.47</v>
      </c>
      <c r="R17" s="85"/>
      <c r="S17" s="85"/>
    </row>
    <row r="18" spans="1:19" s="88" customFormat="1" ht="29" x14ac:dyDescent="0.35">
      <c r="A18" s="88" t="s">
        <v>35</v>
      </c>
      <c r="B18" s="88" t="s">
        <v>1092</v>
      </c>
      <c r="C18" s="88" t="s">
        <v>6</v>
      </c>
      <c r="D18" s="87" t="s">
        <v>7</v>
      </c>
      <c r="E18" s="88">
        <v>7630.15</v>
      </c>
      <c r="F18" s="97" t="s">
        <v>88</v>
      </c>
      <c r="G18" s="97">
        <v>45580</v>
      </c>
      <c r="H18" s="151" t="s">
        <v>89</v>
      </c>
      <c r="I18" s="85" t="s">
        <v>1093</v>
      </c>
      <c r="J18" s="85"/>
      <c r="K18" s="88" t="s">
        <v>1094</v>
      </c>
      <c r="L18" s="85" t="s">
        <v>1095</v>
      </c>
      <c r="M18" s="85" t="s">
        <v>1096</v>
      </c>
      <c r="N18" s="85"/>
      <c r="O18" s="85"/>
      <c r="P18" s="86"/>
      <c r="Q18" s="87">
        <f t="shared" si="0"/>
        <v>7630.15</v>
      </c>
      <c r="R18" s="85"/>
      <c r="S18" s="85"/>
    </row>
    <row r="19" spans="1:19" s="88" customFormat="1" x14ac:dyDescent="0.35">
      <c r="A19" s="88" t="s">
        <v>0</v>
      </c>
      <c r="B19" s="88" t="s">
        <v>797</v>
      </c>
      <c r="C19" s="88" t="s">
        <v>6</v>
      </c>
      <c r="D19" s="87" t="s">
        <v>7</v>
      </c>
      <c r="E19" s="88">
        <v>7559.11</v>
      </c>
      <c r="F19" s="97" t="s">
        <v>88</v>
      </c>
      <c r="G19" s="97">
        <v>45475</v>
      </c>
      <c r="H19" s="151" t="s">
        <v>89</v>
      </c>
      <c r="I19" s="85" t="s">
        <v>798</v>
      </c>
      <c r="J19" s="85"/>
      <c r="K19" s="88" t="s">
        <v>799</v>
      </c>
      <c r="L19" s="85" t="s">
        <v>800</v>
      </c>
      <c r="M19" s="85" t="s">
        <v>796</v>
      </c>
      <c r="N19" s="85"/>
      <c r="O19" s="85"/>
      <c r="P19" s="86"/>
      <c r="Q19" s="87">
        <f t="shared" si="0"/>
        <v>7559.11</v>
      </c>
      <c r="R19" s="85"/>
      <c r="S19" s="85"/>
    </row>
    <row r="20" spans="1:19" s="88" customFormat="1" x14ac:dyDescent="0.35">
      <c r="A20" s="88" t="s">
        <v>0</v>
      </c>
      <c r="B20" s="88" t="s">
        <v>599</v>
      </c>
      <c r="C20" s="88" t="s">
        <v>6</v>
      </c>
      <c r="D20" s="87" t="s">
        <v>7</v>
      </c>
      <c r="E20" s="88">
        <v>7557.53</v>
      </c>
      <c r="F20" s="97" t="s">
        <v>88</v>
      </c>
      <c r="G20" s="97">
        <v>45475</v>
      </c>
      <c r="H20" s="151" t="s">
        <v>89</v>
      </c>
      <c r="I20" s="85" t="s">
        <v>794</v>
      </c>
      <c r="J20" s="85"/>
      <c r="K20" s="88" t="s">
        <v>101</v>
      </c>
      <c r="L20" s="85" t="s">
        <v>795</v>
      </c>
      <c r="M20" s="85" t="s">
        <v>796</v>
      </c>
      <c r="N20" s="85"/>
      <c r="O20" s="85"/>
      <c r="P20" s="86"/>
      <c r="Q20" s="87">
        <f t="shared" si="0"/>
        <v>7557.53</v>
      </c>
      <c r="R20" s="85"/>
      <c r="S20" s="85"/>
    </row>
    <row r="21" spans="1:19" s="88" customFormat="1" x14ac:dyDescent="0.35">
      <c r="A21" s="88" t="s">
        <v>0</v>
      </c>
      <c r="B21" s="88" t="s">
        <v>677</v>
      </c>
      <c r="C21" s="88" t="s">
        <v>6</v>
      </c>
      <c r="D21" s="87" t="s">
        <v>7</v>
      </c>
      <c r="E21" s="88">
        <v>7523.24</v>
      </c>
      <c r="F21" s="97" t="s">
        <v>88</v>
      </c>
      <c r="G21" s="97">
        <v>45505</v>
      </c>
      <c r="H21" s="151" t="s">
        <v>89</v>
      </c>
      <c r="I21" s="85" t="s">
        <v>902</v>
      </c>
      <c r="J21" s="85"/>
      <c r="K21" s="88" t="s">
        <v>799</v>
      </c>
      <c r="L21" s="85" t="s">
        <v>903</v>
      </c>
      <c r="M21" s="85" t="s">
        <v>796</v>
      </c>
      <c r="N21" s="85"/>
      <c r="O21" s="85"/>
      <c r="P21" s="86"/>
      <c r="Q21" s="87">
        <f t="shared" si="0"/>
        <v>7523.24</v>
      </c>
      <c r="R21" s="85"/>
      <c r="S21" s="85"/>
    </row>
    <row r="22" spans="1:19" s="88" customFormat="1" ht="29" x14ac:dyDescent="0.35">
      <c r="A22" s="88" t="s">
        <v>35</v>
      </c>
      <c r="B22" s="88" t="s">
        <v>598</v>
      </c>
      <c r="C22" s="88" t="s">
        <v>6</v>
      </c>
      <c r="D22" s="87" t="s">
        <v>7</v>
      </c>
      <c r="E22" s="88">
        <v>7485.39</v>
      </c>
      <c r="F22" s="97" t="s">
        <v>88</v>
      </c>
      <c r="G22" s="97">
        <v>45566</v>
      </c>
      <c r="H22" s="151" t="s">
        <v>89</v>
      </c>
      <c r="I22" s="85" t="s">
        <v>1057</v>
      </c>
      <c r="J22" s="85"/>
      <c r="K22" s="88" t="s">
        <v>1058</v>
      </c>
      <c r="L22" s="85" t="s">
        <v>1059</v>
      </c>
      <c r="M22" s="85" t="s">
        <v>932</v>
      </c>
      <c r="N22" s="85"/>
      <c r="O22" s="85"/>
      <c r="P22" s="86"/>
      <c r="Q22" s="87">
        <f t="shared" si="0"/>
        <v>7485.39</v>
      </c>
      <c r="R22" s="85"/>
      <c r="S22" s="85"/>
    </row>
    <row r="23" spans="1:19" s="88" customFormat="1" x14ac:dyDescent="0.35">
      <c r="A23" s="88" t="s">
        <v>0</v>
      </c>
      <c r="B23" s="88" t="s">
        <v>728</v>
      </c>
      <c r="C23" s="88" t="s">
        <v>6</v>
      </c>
      <c r="D23" s="87" t="s">
        <v>7</v>
      </c>
      <c r="E23" s="88">
        <v>7368.74</v>
      </c>
      <c r="F23" s="97" t="s">
        <v>88</v>
      </c>
      <c r="G23" s="97">
        <v>45579</v>
      </c>
      <c r="H23" s="151" t="s">
        <v>89</v>
      </c>
      <c r="I23" s="85" t="s">
        <v>1085</v>
      </c>
      <c r="J23" s="85"/>
      <c r="K23" s="88" t="s">
        <v>1086</v>
      </c>
      <c r="L23" s="85" t="s">
        <v>1087</v>
      </c>
      <c r="M23" s="85" t="s">
        <v>796</v>
      </c>
      <c r="N23" s="85"/>
      <c r="O23" s="85"/>
      <c r="P23" s="86"/>
      <c r="Q23" s="87">
        <f t="shared" si="0"/>
        <v>7368.74</v>
      </c>
      <c r="R23" s="85"/>
      <c r="S23" s="85"/>
    </row>
    <row r="24" spans="1:19" s="88" customFormat="1" ht="29" x14ac:dyDescent="0.35">
      <c r="A24" s="93" t="s">
        <v>0</v>
      </c>
      <c r="B24" s="93" t="s">
        <v>623</v>
      </c>
      <c r="C24" s="93" t="s">
        <v>6</v>
      </c>
      <c r="D24" s="94" t="s">
        <v>7</v>
      </c>
      <c r="E24" s="93">
        <v>6541.32</v>
      </c>
      <c r="F24" s="95" t="s">
        <v>88</v>
      </c>
      <c r="G24" s="95">
        <v>45425</v>
      </c>
      <c r="H24" s="152" t="s">
        <v>89</v>
      </c>
      <c r="I24" s="96" t="s">
        <v>685</v>
      </c>
      <c r="J24" s="96"/>
      <c r="K24" s="93" t="s">
        <v>686</v>
      </c>
      <c r="L24" s="96" t="s">
        <v>687</v>
      </c>
      <c r="M24" s="96" t="s">
        <v>93</v>
      </c>
      <c r="N24" s="96"/>
      <c r="O24" s="96"/>
      <c r="P24" s="86"/>
      <c r="Q24" s="87">
        <f t="shared" si="0"/>
        <v>6541.32</v>
      </c>
      <c r="R24" s="85"/>
      <c r="S24" s="85"/>
    </row>
    <row r="25" spans="1:19" s="88" customFormat="1" ht="29" x14ac:dyDescent="0.35">
      <c r="A25" s="88" t="s">
        <v>35</v>
      </c>
      <c r="B25" s="88" t="s">
        <v>728</v>
      </c>
      <c r="C25" s="88" t="s">
        <v>6</v>
      </c>
      <c r="D25" s="87" t="s">
        <v>7</v>
      </c>
      <c r="E25" s="88">
        <v>6520.8</v>
      </c>
      <c r="F25" s="97" t="s">
        <v>88</v>
      </c>
      <c r="G25" s="97">
        <v>45537</v>
      </c>
      <c r="H25" s="151" t="s">
        <v>89</v>
      </c>
      <c r="I25" s="85" t="s">
        <v>980</v>
      </c>
      <c r="J25" s="85"/>
      <c r="K25" s="88" t="s">
        <v>981</v>
      </c>
      <c r="L25" s="85" t="s">
        <v>982</v>
      </c>
      <c r="M25" s="85" t="s">
        <v>127</v>
      </c>
      <c r="N25" s="85"/>
      <c r="O25" s="85"/>
      <c r="P25" s="86"/>
      <c r="Q25" s="87">
        <f t="shared" si="0"/>
        <v>6520.8</v>
      </c>
      <c r="R25" s="85"/>
      <c r="S25" s="85"/>
    </row>
    <row r="26" spans="1:19" s="88" customFormat="1" x14ac:dyDescent="0.35">
      <c r="A26" s="88" t="s">
        <v>35</v>
      </c>
      <c r="B26" s="88" t="s">
        <v>703</v>
      </c>
      <c r="C26" s="88" t="s">
        <v>6</v>
      </c>
      <c r="D26" s="87" t="s">
        <v>7</v>
      </c>
      <c r="E26" s="88">
        <v>5933.98</v>
      </c>
      <c r="F26" s="97" t="s">
        <v>88</v>
      </c>
      <c r="G26" s="97">
        <v>45579</v>
      </c>
      <c r="H26" s="151" t="s">
        <v>89</v>
      </c>
      <c r="I26" s="85" t="s">
        <v>1088</v>
      </c>
      <c r="J26" s="85"/>
      <c r="K26" s="88" t="s">
        <v>1089</v>
      </c>
      <c r="L26" s="85" t="s">
        <v>1090</v>
      </c>
      <c r="M26" s="85" t="s">
        <v>1091</v>
      </c>
      <c r="N26" s="85"/>
      <c r="O26" s="85"/>
      <c r="P26" s="86"/>
      <c r="Q26" s="87">
        <f t="shared" si="0"/>
        <v>5933.98</v>
      </c>
      <c r="R26" s="85"/>
      <c r="S26" s="85"/>
    </row>
    <row r="27" spans="1:19" s="88" customFormat="1" ht="29" x14ac:dyDescent="0.35">
      <c r="A27" s="88" t="s">
        <v>35</v>
      </c>
      <c r="B27" s="88" t="s">
        <v>664</v>
      </c>
      <c r="C27" s="88" t="s">
        <v>6</v>
      </c>
      <c r="D27" s="87" t="s">
        <v>7</v>
      </c>
      <c r="E27" s="88">
        <v>5657.3</v>
      </c>
      <c r="F27" s="97" t="s">
        <v>88</v>
      </c>
      <c r="G27" s="97">
        <v>45524</v>
      </c>
      <c r="H27" s="151" t="s">
        <v>94</v>
      </c>
      <c r="I27" s="85" t="s">
        <v>961</v>
      </c>
      <c r="J27" s="85" t="s">
        <v>96</v>
      </c>
      <c r="L27" s="85"/>
      <c r="M27" s="85" t="s">
        <v>962</v>
      </c>
      <c r="N27" s="85"/>
      <c r="P27" s="86"/>
      <c r="Q27" s="87">
        <f t="shared" si="0"/>
        <v>5657.3</v>
      </c>
      <c r="R27" s="85"/>
      <c r="S27" s="85"/>
    </row>
    <row r="28" spans="1:19" s="88" customFormat="1" ht="43.5" x14ac:dyDescent="0.35">
      <c r="A28" s="93" t="s">
        <v>35</v>
      </c>
      <c r="B28" s="93" t="s">
        <v>638</v>
      </c>
      <c r="C28" s="93" t="s">
        <v>6</v>
      </c>
      <c r="D28" s="94" t="s">
        <v>7</v>
      </c>
      <c r="E28" s="93">
        <v>5517.56</v>
      </c>
      <c r="F28" s="95" t="s">
        <v>88</v>
      </c>
      <c r="G28" s="95">
        <v>45404</v>
      </c>
      <c r="H28" s="152" t="s">
        <v>94</v>
      </c>
      <c r="I28" s="96" t="s">
        <v>639</v>
      </c>
      <c r="K28" s="96" t="s">
        <v>640</v>
      </c>
      <c r="L28" s="96"/>
      <c r="M28" s="96" t="s">
        <v>641</v>
      </c>
      <c r="N28" s="96"/>
      <c r="P28" s="86"/>
      <c r="Q28" s="87">
        <f t="shared" si="0"/>
        <v>5517.56</v>
      </c>
      <c r="R28" s="85"/>
      <c r="S28" s="85"/>
    </row>
    <row r="29" spans="1:19" s="88" customFormat="1" ht="29" x14ac:dyDescent="0.35">
      <c r="A29" s="88" t="s">
        <v>35</v>
      </c>
      <c r="B29" s="88" t="s">
        <v>605</v>
      </c>
      <c r="C29" s="88" t="s">
        <v>6</v>
      </c>
      <c r="D29" s="87" t="s">
        <v>7</v>
      </c>
      <c r="E29" s="88">
        <v>5505.26</v>
      </c>
      <c r="F29" s="97" t="s">
        <v>88</v>
      </c>
      <c r="G29" s="97">
        <v>45519</v>
      </c>
      <c r="H29" s="151" t="s">
        <v>89</v>
      </c>
      <c r="I29" s="85" t="s">
        <v>939</v>
      </c>
      <c r="J29" s="85"/>
      <c r="K29" s="88" t="s">
        <v>940</v>
      </c>
      <c r="L29" s="85" t="s">
        <v>941</v>
      </c>
      <c r="M29" s="85" t="s">
        <v>942</v>
      </c>
      <c r="N29" s="85"/>
      <c r="O29" s="85"/>
      <c r="P29" s="86"/>
      <c r="Q29" s="87">
        <f t="shared" si="0"/>
        <v>5505.26</v>
      </c>
      <c r="R29" s="85"/>
      <c r="S29" s="85"/>
    </row>
    <row r="30" spans="1:19" s="88" customFormat="1" ht="29" x14ac:dyDescent="0.35">
      <c r="A30" s="88" t="s">
        <v>35</v>
      </c>
      <c r="B30" s="88" t="s">
        <v>618</v>
      </c>
      <c r="C30" s="88" t="s">
        <v>6</v>
      </c>
      <c r="D30" s="87" t="s">
        <v>7</v>
      </c>
      <c r="E30" s="88">
        <v>5241.82</v>
      </c>
      <c r="F30" s="97" t="s">
        <v>88</v>
      </c>
      <c r="G30" s="97">
        <v>45538</v>
      </c>
      <c r="H30" s="151" t="s">
        <v>89</v>
      </c>
      <c r="I30" s="85" t="s">
        <v>994</v>
      </c>
      <c r="J30" s="85"/>
      <c r="K30" s="88" t="s">
        <v>995</v>
      </c>
      <c r="L30" s="85" t="s">
        <v>996</v>
      </c>
      <c r="M30" s="85" t="s">
        <v>109</v>
      </c>
      <c r="N30" s="85"/>
      <c r="O30" s="85"/>
      <c r="P30" s="86"/>
      <c r="Q30" s="87">
        <f t="shared" si="0"/>
        <v>5241.82</v>
      </c>
      <c r="R30" s="85"/>
      <c r="S30" s="85"/>
    </row>
    <row r="31" spans="1:19" s="88" customFormat="1" x14ac:dyDescent="0.35">
      <c r="A31" s="88" t="s">
        <v>0</v>
      </c>
      <c r="B31" s="88" t="s">
        <v>623</v>
      </c>
      <c r="C31" s="88" t="s">
        <v>6</v>
      </c>
      <c r="D31" s="87" t="s">
        <v>7</v>
      </c>
      <c r="E31" s="88">
        <v>5231.0200000000004</v>
      </c>
      <c r="F31" s="97" t="s">
        <v>88</v>
      </c>
      <c r="G31" s="97">
        <v>45602</v>
      </c>
      <c r="H31" s="151" t="s">
        <v>89</v>
      </c>
      <c r="I31" s="85" t="s">
        <v>1146</v>
      </c>
      <c r="J31" s="85"/>
      <c r="K31" s="88" t="s">
        <v>1147</v>
      </c>
      <c r="L31" s="85" t="s">
        <v>1148</v>
      </c>
      <c r="M31" s="85" t="s">
        <v>731</v>
      </c>
      <c r="N31" s="85"/>
      <c r="O31" s="85"/>
      <c r="P31" s="86"/>
      <c r="Q31" s="87">
        <f t="shared" si="0"/>
        <v>5231.0200000000004</v>
      </c>
      <c r="R31" s="85"/>
      <c r="S31" s="85"/>
    </row>
    <row r="32" spans="1:19" s="88" customFormat="1" ht="29" x14ac:dyDescent="0.35">
      <c r="A32" s="88" t="s">
        <v>35</v>
      </c>
      <c r="B32" s="88" t="s">
        <v>598</v>
      </c>
      <c r="C32" s="88" t="s">
        <v>6</v>
      </c>
      <c r="D32" s="87" t="s">
        <v>7</v>
      </c>
      <c r="E32" s="88">
        <v>4948.2</v>
      </c>
      <c r="F32" s="97" t="s">
        <v>88</v>
      </c>
      <c r="G32" s="97">
        <v>45554</v>
      </c>
      <c r="H32" s="151" t="s">
        <v>89</v>
      </c>
      <c r="I32" s="85" t="s">
        <v>1026</v>
      </c>
      <c r="J32" s="85"/>
      <c r="K32" s="88" t="s">
        <v>1027</v>
      </c>
      <c r="L32" s="85" t="s">
        <v>1028</v>
      </c>
      <c r="M32" s="85" t="s">
        <v>1029</v>
      </c>
      <c r="N32" s="85"/>
      <c r="O32" s="85"/>
      <c r="P32" s="86"/>
      <c r="Q32" s="87">
        <f t="shared" si="0"/>
        <v>4948.2</v>
      </c>
      <c r="R32" s="85"/>
      <c r="S32" s="85"/>
    </row>
    <row r="33" spans="1:33" s="88" customFormat="1" x14ac:dyDescent="0.35">
      <c r="A33" s="88" t="s">
        <v>35</v>
      </c>
      <c r="B33" s="88" t="s">
        <v>628</v>
      </c>
      <c r="C33" s="88" t="s">
        <v>6</v>
      </c>
      <c r="D33" s="87" t="s">
        <v>7</v>
      </c>
      <c r="E33" s="88">
        <v>4183.7</v>
      </c>
      <c r="F33" s="97" t="s">
        <v>88</v>
      </c>
      <c r="G33" s="97">
        <v>45546</v>
      </c>
      <c r="H33" s="151" t="s">
        <v>89</v>
      </c>
      <c r="I33" s="85" t="s">
        <v>1007</v>
      </c>
      <c r="J33" s="85"/>
      <c r="K33" s="88" t="s">
        <v>705</v>
      </c>
      <c r="L33" s="85" t="s">
        <v>1008</v>
      </c>
      <c r="M33" s="85" t="s">
        <v>632</v>
      </c>
      <c r="N33" s="85"/>
      <c r="O33" s="85"/>
      <c r="P33" s="86"/>
      <c r="Q33" s="87">
        <f t="shared" si="0"/>
        <v>4183.7</v>
      </c>
      <c r="R33" s="85"/>
      <c r="S33" s="85"/>
    </row>
    <row r="34" spans="1:33" s="88" customFormat="1" x14ac:dyDescent="0.35">
      <c r="A34" s="88" t="s">
        <v>35</v>
      </c>
      <c r="B34" s="88" t="s">
        <v>628</v>
      </c>
      <c r="C34" s="88" t="s">
        <v>6</v>
      </c>
      <c r="D34" s="87" t="s">
        <v>7</v>
      </c>
      <c r="E34" s="88">
        <v>4098.3900000000003</v>
      </c>
      <c r="F34" s="97" t="s">
        <v>88</v>
      </c>
      <c r="G34" s="97">
        <v>45497</v>
      </c>
      <c r="H34" s="151" t="s">
        <v>89</v>
      </c>
      <c r="I34" s="85" t="s">
        <v>877</v>
      </c>
      <c r="J34" s="85"/>
      <c r="K34" s="88" t="s">
        <v>878</v>
      </c>
      <c r="L34" s="85" t="s">
        <v>879</v>
      </c>
      <c r="M34" s="85" t="s">
        <v>632</v>
      </c>
      <c r="N34" s="85"/>
      <c r="O34" s="85"/>
      <c r="P34" s="86"/>
      <c r="Q34" s="87">
        <f t="shared" si="0"/>
        <v>4098.3900000000003</v>
      </c>
      <c r="R34" s="85"/>
      <c r="S34" s="85"/>
    </row>
    <row r="35" spans="1:33" s="88" customFormat="1" ht="43.5" x14ac:dyDescent="0.35">
      <c r="A35" s="88" t="s">
        <v>35</v>
      </c>
      <c r="B35" s="88" t="s">
        <v>1043</v>
      </c>
      <c r="C35" s="88" t="s">
        <v>6</v>
      </c>
      <c r="D35" s="87" t="s">
        <v>7</v>
      </c>
      <c r="E35" s="88">
        <v>4036.36</v>
      </c>
      <c r="F35" s="97" t="s">
        <v>88</v>
      </c>
      <c r="G35" s="97">
        <v>45555</v>
      </c>
      <c r="H35" s="151" t="s">
        <v>94</v>
      </c>
      <c r="I35" s="85" t="s">
        <v>1044</v>
      </c>
      <c r="J35" s="85" t="s">
        <v>1045</v>
      </c>
      <c r="L35" s="85"/>
      <c r="M35" s="85"/>
      <c r="N35" s="85"/>
      <c r="O35" s="85" t="s">
        <v>1046</v>
      </c>
      <c r="P35" s="86"/>
      <c r="Q35" s="87">
        <f t="shared" si="0"/>
        <v>4036.36</v>
      </c>
      <c r="R35" s="85"/>
      <c r="S35" s="85"/>
    </row>
    <row r="36" spans="1:33" s="88" customFormat="1" ht="29" x14ac:dyDescent="0.35">
      <c r="A36" s="88" t="s">
        <v>35</v>
      </c>
      <c r="B36" s="88" t="s">
        <v>805</v>
      </c>
      <c r="C36" s="88" t="s">
        <v>6</v>
      </c>
      <c r="D36" s="87" t="s">
        <v>7</v>
      </c>
      <c r="E36" s="88">
        <v>3929.85</v>
      </c>
      <c r="F36" s="97" t="s">
        <v>88</v>
      </c>
      <c r="G36" s="97">
        <v>45475</v>
      </c>
      <c r="H36" s="151" t="s">
        <v>89</v>
      </c>
      <c r="I36" s="85" t="s">
        <v>806</v>
      </c>
      <c r="J36" s="85"/>
      <c r="K36" s="88" t="s">
        <v>807</v>
      </c>
      <c r="L36" s="85" t="s">
        <v>808</v>
      </c>
      <c r="M36" s="85" t="s">
        <v>809</v>
      </c>
      <c r="N36" s="85"/>
      <c r="O36" s="85"/>
      <c r="P36" s="86"/>
      <c r="Q36" s="87">
        <f t="shared" si="0"/>
        <v>3929.85</v>
      </c>
      <c r="R36" s="85"/>
      <c r="S36" s="85"/>
    </row>
    <row r="37" spans="1:33" s="88" customFormat="1" ht="29" x14ac:dyDescent="0.35">
      <c r="A37" s="88" t="s">
        <v>0</v>
      </c>
      <c r="B37" s="88" t="s">
        <v>805</v>
      </c>
      <c r="C37" s="88" t="s">
        <v>6</v>
      </c>
      <c r="D37" s="87" t="s">
        <v>7</v>
      </c>
      <c r="E37" s="88">
        <v>3843.1</v>
      </c>
      <c r="F37" s="97" t="s">
        <v>88</v>
      </c>
      <c r="G37" s="97">
        <v>45631</v>
      </c>
      <c r="H37" s="151" t="s">
        <v>89</v>
      </c>
      <c r="I37" s="85" t="s">
        <v>1213</v>
      </c>
      <c r="J37" s="85"/>
      <c r="K37" s="88" t="s">
        <v>1214</v>
      </c>
      <c r="L37" s="85" t="s">
        <v>1215</v>
      </c>
      <c r="M37" s="85" t="s">
        <v>809</v>
      </c>
      <c r="N37" s="85"/>
      <c r="O37" s="85"/>
      <c r="P37" s="86"/>
      <c r="Q37" s="87">
        <f t="shared" si="0"/>
        <v>3843.1</v>
      </c>
      <c r="R37" s="85"/>
      <c r="S37" s="85"/>
    </row>
    <row r="38" spans="1:33" s="88" customFormat="1" x14ac:dyDescent="0.35">
      <c r="A38" s="93" t="s">
        <v>0</v>
      </c>
      <c r="B38" s="93" t="s">
        <v>623</v>
      </c>
      <c r="C38" s="93" t="s">
        <v>6</v>
      </c>
      <c r="D38" s="94" t="s">
        <v>7</v>
      </c>
      <c r="E38" s="93">
        <v>3797.49</v>
      </c>
      <c r="F38" s="95" t="s">
        <v>88</v>
      </c>
      <c r="G38" s="95">
        <v>45448</v>
      </c>
      <c r="H38" s="152" t="s">
        <v>89</v>
      </c>
      <c r="I38" s="96" t="s">
        <v>729</v>
      </c>
      <c r="J38" s="96"/>
      <c r="K38" s="93" t="s">
        <v>101</v>
      </c>
      <c r="L38" s="96" t="s">
        <v>730</v>
      </c>
      <c r="M38" s="96" t="s">
        <v>731</v>
      </c>
      <c r="N38" s="96"/>
      <c r="O38" s="96"/>
      <c r="P38" s="86"/>
      <c r="Q38" s="87">
        <f t="shared" si="0"/>
        <v>3797.49</v>
      </c>
      <c r="R38" s="85"/>
      <c r="S38" s="85"/>
    </row>
    <row r="39" spans="1:33" s="88" customFormat="1" x14ac:dyDescent="0.35">
      <c r="A39" s="35" t="s">
        <v>35</v>
      </c>
      <c r="B39" s="35" t="s">
        <v>628</v>
      </c>
      <c r="C39" s="35" t="s">
        <v>6</v>
      </c>
      <c r="D39" s="58" t="s">
        <v>7</v>
      </c>
      <c r="E39" s="35">
        <v>3583.64</v>
      </c>
      <c r="F39" s="29" t="s">
        <v>88</v>
      </c>
      <c r="G39" s="29">
        <v>45400</v>
      </c>
      <c r="H39" s="153" t="s">
        <v>89</v>
      </c>
      <c r="I39" s="59" t="s">
        <v>629</v>
      </c>
      <c r="J39" s="59"/>
      <c r="K39" s="35" t="s">
        <v>630</v>
      </c>
      <c r="L39" s="59" t="s">
        <v>631</v>
      </c>
      <c r="M39" s="59" t="s">
        <v>632</v>
      </c>
      <c r="N39" s="59"/>
      <c r="O39" s="59"/>
      <c r="P39" s="5"/>
      <c r="Q39" s="3">
        <f t="shared" si="0"/>
        <v>3583.64</v>
      </c>
      <c r="R39" s="55"/>
      <c r="S39" s="55"/>
      <c r="T39"/>
      <c r="U39"/>
      <c r="V39"/>
      <c r="W39"/>
      <c r="X39"/>
      <c r="Y39"/>
      <c r="Z39"/>
      <c r="AA39"/>
      <c r="AB39"/>
      <c r="AC39"/>
      <c r="AD39"/>
      <c r="AE39"/>
      <c r="AF39"/>
      <c r="AG39"/>
    </row>
    <row r="40" spans="1:33" s="88" customFormat="1" x14ac:dyDescent="0.35">
      <c r="A40" s="88" t="s">
        <v>0</v>
      </c>
      <c r="B40" s="88" t="s">
        <v>642</v>
      </c>
      <c r="C40" s="88" t="s">
        <v>6</v>
      </c>
      <c r="D40" s="87" t="s">
        <v>7</v>
      </c>
      <c r="E40" s="88">
        <v>3575</v>
      </c>
      <c r="F40" s="97" t="s">
        <v>88</v>
      </c>
      <c r="G40" s="97">
        <v>45450</v>
      </c>
      <c r="H40" s="151" t="s">
        <v>89</v>
      </c>
      <c r="I40" s="85" t="s">
        <v>738</v>
      </c>
      <c r="J40" s="85"/>
      <c r="K40" s="88" t="s">
        <v>101</v>
      </c>
      <c r="L40" s="85" t="s">
        <v>739</v>
      </c>
      <c r="M40" s="85" t="s">
        <v>91</v>
      </c>
      <c r="N40" s="85"/>
      <c r="O40" s="85"/>
      <c r="P40" s="86"/>
      <c r="Q40" s="87">
        <f t="shared" si="0"/>
        <v>3575</v>
      </c>
      <c r="R40" s="85"/>
      <c r="S40" s="85"/>
    </row>
    <row r="41" spans="1:33" s="88" customFormat="1" x14ac:dyDescent="0.35">
      <c r="A41" s="93" t="s">
        <v>35</v>
      </c>
      <c r="B41" s="93" t="s">
        <v>628</v>
      </c>
      <c r="C41" s="93" t="s">
        <v>6</v>
      </c>
      <c r="D41" s="94" t="s">
        <v>7</v>
      </c>
      <c r="E41" s="93">
        <v>3537.39</v>
      </c>
      <c r="F41" s="95" t="s">
        <v>88</v>
      </c>
      <c r="G41" s="95">
        <v>45435</v>
      </c>
      <c r="H41" s="152" t="s">
        <v>89</v>
      </c>
      <c r="I41" s="96" t="s">
        <v>704</v>
      </c>
      <c r="J41" s="96"/>
      <c r="K41" s="93" t="s">
        <v>705</v>
      </c>
      <c r="L41" s="96" t="s">
        <v>706</v>
      </c>
      <c r="M41" s="96" t="s">
        <v>632</v>
      </c>
      <c r="N41" s="96"/>
      <c r="O41" s="96"/>
      <c r="P41" s="86"/>
      <c r="Q41" s="87">
        <f t="shared" si="0"/>
        <v>3537.39</v>
      </c>
      <c r="R41" s="85"/>
      <c r="S41" s="85"/>
    </row>
    <row r="42" spans="1:33" s="88" customFormat="1" x14ac:dyDescent="0.35">
      <c r="A42" s="88" t="s">
        <v>35</v>
      </c>
      <c r="B42" s="88" t="s">
        <v>628</v>
      </c>
      <c r="C42" s="88" t="s">
        <v>6</v>
      </c>
      <c r="D42" s="87" t="s">
        <v>7</v>
      </c>
      <c r="E42" s="88">
        <v>3512.91</v>
      </c>
      <c r="F42" s="97" t="s">
        <v>88</v>
      </c>
      <c r="G42" s="97">
        <v>45497</v>
      </c>
      <c r="H42" s="151" t="s">
        <v>89</v>
      </c>
      <c r="I42" s="85" t="s">
        <v>875</v>
      </c>
      <c r="J42" s="85"/>
      <c r="K42" s="88" t="s">
        <v>705</v>
      </c>
      <c r="L42" s="85" t="s">
        <v>876</v>
      </c>
      <c r="M42" s="85" t="s">
        <v>632</v>
      </c>
      <c r="N42" s="85"/>
      <c r="O42" s="85"/>
      <c r="P42" s="86"/>
      <c r="Q42" s="87">
        <f t="shared" si="0"/>
        <v>3512.91</v>
      </c>
      <c r="R42" s="85"/>
      <c r="S42" s="85"/>
    </row>
    <row r="43" spans="1:33" s="88" customFormat="1" ht="43.5" x14ac:dyDescent="0.35">
      <c r="A43" s="88" t="s">
        <v>35</v>
      </c>
      <c r="B43" s="88" t="s">
        <v>744</v>
      </c>
      <c r="C43" s="88" t="s">
        <v>6</v>
      </c>
      <c r="D43" s="87" t="s">
        <v>7</v>
      </c>
      <c r="E43" s="88">
        <v>3506.58</v>
      </c>
      <c r="F43" s="97" t="s">
        <v>88</v>
      </c>
      <c r="G43" s="97">
        <v>45455</v>
      </c>
      <c r="H43" s="151" t="s">
        <v>94</v>
      </c>
      <c r="I43" s="85" t="s">
        <v>745</v>
      </c>
      <c r="K43" s="85" t="s">
        <v>746</v>
      </c>
      <c r="L43" s="85"/>
      <c r="M43" s="85" t="s">
        <v>747</v>
      </c>
      <c r="N43" s="85"/>
      <c r="P43" s="86"/>
      <c r="Q43" s="87">
        <f t="shared" si="0"/>
        <v>3506.58</v>
      </c>
      <c r="R43" s="85"/>
      <c r="S43" s="85"/>
    </row>
    <row r="44" spans="1:33" s="88" customFormat="1" ht="29" x14ac:dyDescent="0.35">
      <c r="A44" s="93" t="s">
        <v>0</v>
      </c>
      <c r="B44" s="93" t="s">
        <v>664</v>
      </c>
      <c r="C44" s="93" t="s">
        <v>6</v>
      </c>
      <c r="D44" s="94" t="s">
        <v>7</v>
      </c>
      <c r="E44" s="93">
        <v>3460.7</v>
      </c>
      <c r="F44" s="95" t="s">
        <v>88</v>
      </c>
      <c r="G44" s="95">
        <v>45413</v>
      </c>
      <c r="H44" s="152" t="s">
        <v>89</v>
      </c>
      <c r="I44" s="96" t="s">
        <v>665</v>
      </c>
      <c r="J44" s="96"/>
      <c r="K44" s="93" t="s">
        <v>666</v>
      </c>
      <c r="L44" s="96" t="s">
        <v>667</v>
      </c>
      <c r="M44" s="96" t="s">
        <v>668</v>
      </c>
      <c r="N44" s="96"/>
      <c r="O44" s="96"/>
      <c r="P44" s="86"/>
      <c r="Q44" s="87">
        <f t="shared" si="0"/>
        <v>3460.7</v>
      </c>
      <c r="R44" s="85"/>
      <c r="S44" s="85"/>
    </row>
    <row r="45" spans="1:33" s="88" customFormat="1" ht="29" x14ac:dyDescent="0.35">
      <c r="A45" s="88" t="s">
        <v>35</v>
      </c>
      <c r="B45" s="88" t="s">
        <v>598</v>
      </c>
      <c r="C45" s="88" t="s">
        <v>6</v>
      </c>
      <c r="D45" s="87" t="s">
        <v>7</v>
      </c>
      <c r="E45" s="88">
        <v>3293.16</v>
      </c>
      <c r="F45" s="97" t="s">
        <v>88</v>
      </c>
      <c r="G45" s="97">
        <v>45538</v>
      </c>
      <c r="H45" s="151" t="s">
        <v>89</v>
      </c>
      <c r="I45" s="85" t="s">
        <v>992</v>
      </c>
      <c r="J45" s="85"/>
      <c r="K45" s="88" t="s">
        <v>930</v>
      </c>
      <c r="L45" s="85" t="s">
        <v>993</v>
      </c>
      <c r="M45" s="85" t="s">
        <v>932</v>
      </c>
      <c r="N45" s="85"/>
      <c r="O45" s="85"/>
      <c r="P45" s="86"/>
      <c r="Q45" s="87">
        <f t="shared" si="0"/>
        <v>3293.16</v>
      </c>
      <c r="R45" s="85"/>
      <c r="S45" s="85"/>
    </row>
    <row r="46" spans="1:33" s="88" customFormat="1" ht="29" x14ac:dyDescent="0.35">
      <c r="A46" s="93" t="s">
        <v>0</v>
      </c>
      <c r="B46" s="93" t="s">
        <v>623</v>
      </c>
      <c r="C46" s="93" t="s">
        <v>6</v>
      </c>
      <c r="D46" s="94" t="s">
        <v>7</v>
      </c>
      <c r="E46" s="93">
        <v>3270.66</v>
      </c>
      <c r="F46" s="95" t="s">
        <v>88</v>
      </c>
      <c r="G46" s="95">
        <v>45415</v>
      </c>
      <c r="H46" s="152" t="s">
        <v>89</v>
      </c>
      <c r="I46" s="96" t="s">
        <v>674</v>
      </c>
      <c r="J46" s="96"/>
      <c r="K46" s="93" t="s">
        <v>675</v>
      </c>
      <c r="L46" s="96" t="s">
        <v>676</v>
      </c>
      <c r="M46" s="96" t="s">
        <v>93</v>
      </c>
      <c r="N46" s="96"/>
      <c r="O46" s="96"/>
      <c r="P46" s="86"/>
      <c r="Q46" s="87">
        <f t="shared" si="0"/>
        <v>3270.66</v>
      </c>
      <c r="R46" s="85"/>
      <c r="S46" s="85"/>
    </row>
    <row r="47" spans="1:33" s="88" customFormat="1" ht="29" x14ac:dyDescent="0.35">
      <c r="A47" s="88" t="s">
        <v>35</v>
      </c>
      <c r="B47" s="88" t="s">
        <v>642</v>
      </c>
      <c r="C47" s="88" t="s">
        <v>6</v>
      </c>
      <c r="D47" s="87" t="s">
        <v>7</v>
      </c>
      <c r="E47" s="88">
        <v>3150</v>
      </c>
      <c r="F47" s="97" t="s">
        <v>88</v>
      </c>
      <c r="G47" s="97">
        <v>45644</v>
      </c>
      <c r="H47" s="151" t="s">
        <v>94</v>
      </c>
      <c r="I47" s="85" t="s">
        <v>1273</v>
      </c>
      <c r="J47" s="85" t="s">
        <v>1274</v>
      </c>
      <c r="L47" s="85"/>
      <c r="M47" s="85" t="s">
        <v>680</v>
      </c>
      <c r="N47" s="85"/>
      <c r="P47" s="86"/>
      <c r="Q47" s="87">
        <f t="shared" si="0"/>
        <v>3150</v>
      </c>
      <c r="R47" s="85"/>
      <c r="S47" s="85"/>
    </row>
    <row r="48" spans="1:33" s="88" customFormat="1" ht="29" x14ac:dyDescent="0.35">
      <c r="A48" s="93" t="s">
        <v>0</v>
      </c>
      <c r="B48" s="93" t="s">
        <v>600</v>
      </c>
      <c r="C48" s="93" t="s">
        <v>6</v>
      </c>
      <c r="D48" s="94" t="s">
        <v>7</v>
      </c>
      <c r="E48" s="93">
        <v>3015.5</v>
      </c>
      <c r="F48" s="95" t="s">
        <v>88</v>
      </c>
      <c r="G48" s="95">
        <v>45413</v>
      </c>
      <c r="H48" s="152" t="s">
        <v>89</v>
      </c>
      <c r="I48" s="96" t="s">
        <v>661</v>
      </c>
      <c r="J48" s="96"/>
      <c r="K48" s="93" t="s">
        <v>662</v>
      </c>
      <c r="L48" s="96" t="s">
        <v>663</v>
      </c>
      <c r="M48" s="96" t="s">
        <v>660</v>
      </c>
      <c r="N48" s="96"/>
      <c r="O48" s="96"/>
      <c r="P48" s="86"/>
      <c r="Q48" s="87">
        <f t="shared" si="0"/>
        <v>3015.5</v>
      </c>
      <c r="R48" s="85"/>
      <c r="S48" s="85"/>
    </row>
    <row r="49" spans="1:19" s="88" customFormat="1" ht="43.5" x14ac:dyDescent="0.35">
      <c r="A49" s="88" t="s">
        <v>35</v>
      </c>
      <c r="B49" s="88" t="s">
        <v>1092</v>
      </c>
      <c r="C49" s="88" t="s">
        <v>6</v>
      </c>
      <c r="D49" s="87" t="s">
        <v>7</v>
      </c>
      <c r="E49" s="88">
        <v>3000</v>
      </c>
      <c r="F49" s="97" t="s">
        <v>88</v>
      </c>
      <c r="G49" s="97">
        <v>45610</v>
      </c>
      <c r="H49" s="151" t="s">
        <v>94</v>
      </c>
      <c r="I49" s="85" t="s">
        <v>1163</v>
      </c>
      <c r="J49" s="85" t="s">
        <v>1164</v>
      </c>
      <c r="L49" s="85"/>
      <c r="M49" s="85" t="s">
        <v>1165</v>
      </c>
      <c r="N49" s="85"/>
      <c r="P49" s="86"/>
      <c r="Q49" s="87">
        <f t="shared" si="0"/>
        <v>3000</v>
      </c>
      <c r="R49" s="85"/>
      <c r="S49" s="85"/>
    </row>
    <row r="50" spans="1:19" s="88" customFormat="1" x14ac:dyDescent="0.35">
      <c r="A50" s="88" t="s">
        <v>35</v>
      </c>
      <c r="B50" s="88" t="s">
        <v>628</v>
      </c>
      <c r="C50" s="88" t="s">
        <v>6</v>
      </c>
      <c r="D50" s="87" t="s">
        <v>7</v>
      </c>
      <c r="E50" s="88">
        <v>2926.22</v>
      </c>
      <c r="F50" s="97" t="s">
        <v>88</v>
      </c>
      <c r="G50" s="97">
        <v>45593</v>
      </c>
      <c r="H50" s="151" t="s">
        <v>89</v>
      </c>
      <c r="I50" s="85" t="s">
        <v>1117</v>
      </c>
      <c r="J50" s="85"/>
      <c r="K50" s="88" t="s">
        <v>705</v>
      </c>
      <c r="L50" s="85" t="s">
        <v>1118</v>
      </c>
      <c r="M50" s="85" t="s">
        <v>632</v>
      </c>
      <c r="N50" s="85"/>
      <c r="O50" s="85"/>
      <c r="P50" s="86"/>
      <c r="Q50" s="87">
        <f t="shared" si="0"/>
        <v>2926.22</v>
      </c>
      <c r="R50" s="85"/>
      <c r="S50" s="85"/>
    </row>
    <row r="51" spans="1:19" s="88" customFormat="1" ht="29" x14ac:dyDescent="0.35">
      <c r="A51" s="88" t="s">
        <v>35</v>
      </c>
      <c r="B51" s="88" t="s">
        <v>934</v>
      </c>
      <c r="C51" s="88" t="s">
        <v>6</v>
      </c>
      <c r="D51" s="87" t="s">
        <v>7</v>
      </c>
      <c r="E51" s="88">
        <v>2868.18</v>
      </c>
      <c r="F51" s="97" t="s">
        <v>88</v>
      </c>
      <c r="G51" s="97">
        <v>45547</v>
      </c>
      <c r="H51" s="151" t="s">
        <v>94</v>
      </c>
      <c r="I51" s="85" t="s">
        <v>121</v>
      </c>
      <c r="K51" s="85" t="s">
        <v>1012</v>
      </c>
      <c r="L51" s="85"/>
      <c r="M51" s="85" t="s">
        <v>1013</v>
      </c>
      <c r="N51" s="85"/>
      <c r="P51" s="86"/>
      <c r="Q51" s="87">
        <f t="shared" si="0"/>
        <v>2868.18</v>
      </c>
      <c r="R51" s="85"/>
      <c r="S51" s="85"/>
    </row>
    <row r="52" spans="1:19" s="88" customFormat="1" ht="29" x14ac:dyDescent="0.35">
      <c r="A52" s="88" t="s">
        <v>35</v>
      </c>
      <c r="B52" s="88" t="s">
        <v>623</v>
      </c>
      <c r="C52" s="88" t="s">
        <v>6</v>
      </c>
      <c r="D52" s="87" t="s">
        <v>7</v>
      </c>
      <c r="E52" s="88">
        <v>2636.36</v>
      </c>
      <c r="F52" s="97" t="s">
        <v>88</v>
      </c>
      <c r="G52" s="97">
        <v>45566</v>
      </c>
      <c r="H52" s="151" t="s">
        <v>94</v>
      </c>
      <c r="I52" s="85" t="s">
        <v>121</v>
      </c>
      <c r="K52" s="85" t="s">
        <v>1062</v>
      </c>
      <c r="L52" s="85"/>
      <c r="M52" s="85" t="s">
        <v>1013</v>
      </c>
      <c r="N52" s="85"/>
      <c r="P52" s="86"/>
      <c r="Q52" s="87">
        <f t="shared" si="0"/>
        <v>2636.36</v>
      </c>
      <c r="R52" s="85"/>
      <c r="S52" s="85"/>
    </row>
    <row r="53" spans="1:19" s="88" customFormat="1" x14ac:dyDescent="0.35">
      <c r="A53" s="93" t="s">
        <v>35</v>
      </c>
      <c r="B53" s="93" t="s">
        <v>653</v>
      </c>
      <c r="C53" s="93" t="s">
        <v>6</v>
      </c>
      <c r="D53" s="94" t="s">
        <v>7</v>
      </c>
      <c r="E53" s="93">
        <v>-2599.96</v>
      </c>
      <c r="F53" s="95" t="s">
        <v>88</v>
      </c>
      <c r="G53" s="95">
        <v>45412</v>
      </c>
      <c r="H53" s="152" t="s">
        <v>654</v>
      </c>
      <c r="I53" s="96" t="s">
        <v>118</v>
      </c>
      <c r="J53" s="96"/>
      <c r="K53" s="93"/>
      <c r="L53" s="96"/>
      <c r="M53" s="96"/>
      <c r="N53" s="96"/>
      <c r="O53" s="96"/>
      <c r="P53" s="86"/>
      <c r="Q53" s="87">
        <f t="shared" si="0"/>
        <v>2599.96</v>
      </c>
      <c r="R53" s="85"/>
      <c r="S53" s="85"/>
    </row>
    <row r="54" spans="1:19" s="88" customFormat="1" x14ac:dyDescent="0.35">
      <c r="A54" s="93" t="s">
        <v>35</v>
      </c>
      <c r="B54" s="93" t="s">
        <v>655</v>
      </c>
      <c r="C54" s="93" t="s">
        <v>6</v>
      </c>
      <c r="D54" s="94" t="s">
        <v>7</v>
      </c>
      <c r="E54" s="93">
        <v>2599.96</v>
      </c>
      <c r="F54" s="95" t="s">
        <v>88</v>
      </c>
      <c r="G54" s="95">
        <v>45412</v>
      </c>
      <c r="H54" s="152" t="s">
        <v>654</v>
      </c>
      <c r="I54" s="96" t="s">
        <v>118</v>
      </c>
      <c r="J54" s="96"/>
      <c r="K54" s="93"/>
      <c r="L54" s="96"/>
      <c r="M54" s="96"/>
      <c r="N54" s="96"/>
      <c r="O54" s="96"/>
      <c r="P54" s="86"/>
      <c r="Q54" s="87">
        <f t="shared" si="0"/>
        <v>2599.96</v>
      </c>
      <c r="R54" s="85"/>
      <c r="S54" s="85"/>
    </row>
    <row r="55" spans="1:19" s="88" customFormat="1" ht="43.5" x14ac:dyDescent="0.35">
      <c r="A55" s="88" t="s">
        <v>35</v>
      </c>
      <c r="B55" s="88" t="s">
        <v>614</v>
      </c>
      <c r="C55" s="88" t="s">
        <v>6</v>
      </c>
      <c r="D55" s="87" t="s">
        <v>7</v>
      </c>
      <c r="E55" s="88">
        <v>2545.4499999999998</v>
      </c>
      <c r="F55" s="97" t="s">
        <v>88</v>
      </c>
      <c r="G55" s="97">
        <v>45464</v>
      </c>
      <c r="H55" s="151" t="s">
        <v>94</v>
      </c>
      <c r="I55" s="85" t="s">
        <v>245</v>
      </c>
      <c r="K55" s="85" t="s">
        <v>757</v>
      </c>
      <c r="L55" s="85"/>
      <c r="M55" s="85" t="s">
        <v>758</v>
      </c>
      <c r="N55" s="85"/>
      <c r="P55" s="86"/>
      <c r="Q55" s="87">
        <f t="shared" si="0"/>
        <v>2545.4499999999998</v>
      </c>
      <c r="R55" s="85"/>
      <c r="S55" s="85"/>
    </row>
    <row r="56" spans="1:19" s="88" customFormat="1" x14ac:dyDescent="0.35">
      <c r="A56" s="88" t="s">
        <v>35</v>
      </c>
      <c r="B56" s="88" t="s">
        <v>598</v>
      </c>
      <c r="C56" s="88" t="s">
        <v>6</v>
      </c>
      <c r="D56" s="87" t="s">
        <v>7</v>
      </c>
      <c r="E56" s="88">
        <v>2430.0100000000002</v>
      </c>
      <c r="F56" s="97" t="s">
        <v>88</v>
      </c>
      <c r="G56" s="97">
        <v>45537</v>
      </c>
      <c r="H56" s="151" t="s">
        <v>89</v>
      </c>
      <c r="I56" s="85" t="s">
        <v>983</v>
      </c>
      <c r="J56" s="85"/>
      <c r="K56" s="88" t="s">
        <v>984</v>
      </c>
      <c r="L56" s="85" t="s">
        <v>985</v>
      </c>
      <c r="M56" s="85" t="s">
        <v>946</v>
      </c>
      <c r="N56" s="85"/>
      <c r="O56" s="85"/>
      <c r="P56" s="86"/>
      <c r="Q56" s="87">
        <f t="shared" si="0"/>
        <v>2430.0100000000002</v>
      </c>
      <c r="R56" s="85"/>
      <c r="S56" s="85"/>
    </row>
    <row r="57" spans="1:19" s="88" customFormat="1" x14ac:dyDescent="0.35">
      <c r="A57" s="88" t="s">
        <v>35</v>
      </c>
      <c r="B57" s="88" t="s">
        <v>598</v>
      </c>
      <c r="C57" s="88" t="s">
        <v>6</v>
      </c>
      <c r="D57" s="87" t="s">
        <v>7</v>
      </c>
      <c r="E57" s="88">
        <v>2398.33</v>
      </c>
      <c r="F57" s="97" t="s">
        <v>88</v>
      </c>
      <c r="G57" s="97">
        <v>45519</v>
      </c>
      <c r="H57" s="151" t="s">
        <v>89</v>
      </c>
      <c r="I57" s="85" t="s">
        <v>943</v>
      </c>
      <c r="J57" s="85"/>
      <c r="K57" s="88" t="s">
        <v>944</v>
      </c>
      <c r="L57" s="85" t="s">
        <v>945</v>
      </c>
      <c r="M57" s="85" t="s">
        <v>946</v>
      </c>
      <c r="N57" s="85"/>
      <c r="O57" s="85"/>
      <c r="P57" s="86"/>
      <c r="Q57" s="87">
        <f t="shared" si="0"/>
        <v>2398.33</v>
      </c>
      <c r="R57" s="85"/>
      <c r="S57" s="85"/>
    </row>
    <row r="58" spans="1:19" s="88" customFormat="1" x14ac:dyDescent="0.35">
      <c r="A58" s="88" t="s">
        <v>0</v>
      </c>
      <c r="B58" s="88" t="s">
        <v>934</v>
      </c>
      <c r="C58" s="88" t="s">
        <v>6</v>
      </c>
      <c r="D58" s="87" t="s">
        <v>7</v>
      </c>
      <c r="E58" s="88">
        <v>2372.69</v>
      </c>
      <c r="F58" s="97" t="s">
        <v>88</v>
      </c>
      <c r="G58" s="97">
        <v>45518</v>
      </c>
      <c r="H58" s="151" t="s">
        <v>89</v>
      </c>
      <c r="I58" s="85" t="s">
        <v>935</v>
      </c>
      <c r="J58" s="85"/>
      <c r="K58" s="88" t="s">
        <v>936</v>
      </c>
      <c r="L58" s="85" t="s">
        <v>937</v>
      </c>
      <c r="M58" s="85" t="s">
        <v>91</v>
      </c>
      <c r="N58" s="85"/>
      <c r="O58" s="85"/>
      <c r="P58" s="86"/>
      <c r="Q58" s="87">
        <f t="shared" si="0"/>
        <v>2372.69</v>
      </c>
      <c r="R58" s="85"/>
      <c r="S58" s="85"/>
    </row>
    <row r="59" spans="1:19" s="88" customFormat="1" ht="29" x14ac:dyDescent="0.35">
      <c r="A59" s="88" t="s">
        <v>35</v>
      </c>
      <c r="B59" s="88" t="s">
        <v>883</v>
      </c>
      <c r="C59" s="88" t="s">
        <v>6</v>
      </c>
      <c r="D59" s="87" t="s">
        <v>7</v>
      </c>
      <c r="E59" s="88">
        <v>2354.54</v>
      </c>
      <c r="F59" s="97" t="s">
        <v>88</v>
      </c>
      <c r="G59" s="97">
        <v>45600</v>
      </c>
      <c r="H59" s="151" t="s">
        <v>94</v>
      </c>
      <c r="I59" s="85" t="s">
        <v>126</v>
      </c>
      <c r="K59" s="85" t="s">
        <v>1144</v>
      </c>
      <c r="L59" s="85"/>
      <c r="M59" s="85" t="s">
        <v>1145</v>
      </c>
      <c r="N59" s="85"/>
      <c r="P59" s="86"/>
      <c r="Q59" s="87">
        <f t="shared" si="0"/>
        <v>2354.54</v>
      </c>
      <c r="R59" s="85"/>
      <c r="S59" s="85"/>
    </row>
    <row r="60" spans="1:19" s="88" customFormat="1" ht="29" x14ac:dyDescent="0.35">
      <c r="A60" s="88" t="s">
        <v>35</v>
      </c>
      <c r="B60" s="88" t="s">
        <v>642</v>
      </c>
      <c r="C60" s="88" t="s">
        <v>6</v>
      </c>
      <c r="D60" s="87" t="s">
        <v>7</v>
      </c>
      <c r="E60" s="88">
        <v>2301.42</v>
      </c>
      <c r="F60" s="97" t="s">
        <v>88</v>
      </c>
      <c r="G60" s="97">
        <v>45504</v>
      </c>
      <c r="H60" s="151" t="s">
        <v>94</v>
      </c>
      <c r="I60" s="85" t="s">
        <v>889</v>
      </c>
      <c r="K60" s="85" t="s">
        <v>890</v>
      </c>
      <c r="L60" s="85"/>
      <c r="M60" s="85" t="s">
        <v>891</v>
      </c>
      <c r="N60" s="85"/>
      <c r="P60" s="86"/>
      <c r="Q60" s="87">
        <f t="shared" si="0"/>
        <v>2301.42</v>
      </c>
      <c r="R60" s="85"/>
      <c r="S60" s="85"/>
    </row>
    <row r="61" spans="1:19" s="88" customFormat="1" ht="43.5" x14ac:dyDescent="0.35">
      <c r="A61" s="88" t="s">
        <v>35</v>
      </c>
      <c r="B61" s="88" t="s">
        <v>598</v>
      </c>
      <c r="C61" s="88" t="s">
        <v>6</v>
      </c>
      <c r="D61" s="87" t="s">
        <v>7</v>
      </c>
      <c r="E61" s="88">
        <v>2254.5500000000002</v>
      </c>
      <c r="F61" s="97" t="s">
        <v>88</v>
      </c>
      <c r="G61" s="97">
        <v>45637</v>
      </c>
      <c r="H61" s="151" t="s">
        <v>94</v>
      </c>
      <c r="I61" s="85" t="s">
        <v>1103</v>
      </c>
      <c r="K61" s="85" t="s">
        <v>1245</v>
      </c>
      <c r="L61" s="85"/>
      <c r="M61" s="85" t="s">
        <v>1246</v>
      </c>
      <c r="N61" s="85"/>
      <c r="P61" s="86"/>
      <c r="Q61" s="87">
        <f t="shared" si="0"/>
        <v>2254.5500000000002</v>
      </c>
      <c r="R61" s="85"/>
      <c r="S61" s="85"/>
    </row>
    <row r="62" spans="1:19" s="88" customFormat="1" ht="29" x14ac:dyDescent="0.35">
      <c r="A62" s="88" t="s">
        <v>35</v>
      </c>
      <c r="B62" s="88" t="s">
        <v>599</v>
      </c>
      <c r="C62" s="88" t="s">
        <v>6</v>
      </c>
      <c r="D62" s="87" t="s">
        <v>7</v>
      </c>
      <c r="E62" s="88">
        <v>2216.1099999999997</v>
      </c>
      <c r="F62" s="97" t="s">
        <v>88</v>
      </c>
      <c r="G62" s="97">
        <v>45541</v>
      </c>
      <c r="H62" s="151" t="s">
        <v>89</v>
      </c>
      <c r="I62" s="85" t="s">
        <v>1000</v>
      </c>
      <c r="J62" s="85"/>
      <c r="K62" s="88" t="s">
        <v>720</v>
      </c>
      <c r="L62" s="85" t="s">
        <v>1002</v>
      </c>
      <c r="M62" s="85" t="s">
        <v>103</v>
      </c>
      <c r="N62" s="85"/>
      <c r="O62" s="85"/>
      <c r="P62" s="86"/>
      <c r="Q62" s="87">
        <f t="shared" si="0"/>
        <v>2216.1099999999997</v>
      </c>
      <c r="R62" s="85"/>
      <c r="S62" s="85"/>
    </row>
    <row r="63" spans="1:19" s="88" customFormat="1" ht="29" x14ac:dyDescent="0.35">
      <c r="A63" s="88" t="s">
        <v>35</v>
      </c>
      <c r="B63" s="88" t="s">
        <v>623</v>
      </c>
      <c r="C63" s="88" t="s">
        <v>6</v>
      </c>
      <c r="D63" s="87" t="s">
        <v>7</v>
      </c>
      <c r="E63" s="88">
        <v>2190.4499999999998</v>
      </c>
      <c r="F63" s="97" t="s">
        <v>88</v>
      </c>
      <c r="G63" s="97">
        <v>45629</v>
      </c>
      <c r="H63" s="151" t="s">
        <v>94</v>
      </c>
      <c r="I63" s="85" t="s">
        <v>216</v>
      </c>
      <c r="J63" s="85" t="s">
        <v>1209</v>
      </c>
      <c r="L63" s="85"/>
      <c r="M63" s="85" t="s">
        <v>1199</v>
      </c>
      <c r="N63" s="85"/>
      <c r="P63" s="86"/>
      <c r="Q63" s="87">
        <f t="shared" si="0"/>
        <v>2190.4499999999998</v>
      </c>
      <c r="R63" s="85"/>
      <c r="S63" s="85"/>
    </row>
    <row r="64" spans="1:19" s="88" customFormat="1" ht="29" x14ac:dyDescent="0.35">
      <c r="A64" s="88" t="s">
        <v>35</v>
      </c>
      <c r="B64" s="88" t="s">
        <v>642</v>
      </c>
      <c r="C64" s="88" t="s">
        <v>6</v>
      </c>
      <c r="D64" s="87" t="s">
        <v>7</v>
      </c>
      <c r="E64" s="88">
        <v>2097.36</v>
      </c>
      <c r="F64" s="97" t="s">
        <v>88</v>
      </c>
      <c r="G64" s="97">
        <v>45554</v>
      </c>
      <c r="H64" s="151" t="s">
        <v>94</v>
      </c>
      <c r="I64" s="85" t="s">
        <v>889</v>
      </c>
      <c r="J64" s="85" t="s">
        <v>1030</v>
      </c>
      <c r="L64" s="85"/>
      <c r="M64" s="85" t="s">
        <v>1031</v>
      </c>
      <c r="N64" s="85"/>
      <c r="P64" s="86"/>
      <c r="Q64" s="87">
        <f t="shared" si="0"/>
        <v>2097.36</v>
      </c>
      <c r="R64" s="85"/>
      <c r="S64" s="85"/>
    </row>
    <row r="65" spans="1:33" s="88" customFormat="1" x14ac:dyDescent="0.35">
      <c r="A65" s="35" t="s">
        <v>0</v>
      </c>
      <c r="B65" s="35" t="s">
        <v>606</v>
      </c>
      <c r="C65" s="35" t="s">
        <v>6</v>
      </c>
      <c r="D65" s="58" t="s">
        <v>7</v>
      </c>
      <c r="E65" s="35">
        <v>2048.98</v>
      </c>
      <c r="F65" s="29" t="s">
        <v>88</v>
      </c>
      <c r="G65" s="29">
        <v>45387</v>
      </c>
      <c r="H65" s="153" t="s">
        <v>89</v>
      </c>
      <c r="I65" s="59" t="s">
        <v>607</v>
      </c>
      <c r="J65" s="59"/>
      <c r="K65" s="35" t="s">
        <v>608</v>
      </c>
      <c r="L65" s="59" t="s">
        <v>609</v>
      </c>
      <c r="M65" s="59" t="s">
        <v>91</v>
      </c>
      <c r="N65" s="59"/>
      <c r="O65" s="59"/>
      <c r="P65" s="5"/>
      <c r="Q65" s="3">
        <f t="shared" si="0"/>
        <v>2048.98</v>
      </c>
      <c r="R65" s="55"/>
      <c r="S65" s="55"/>
      <c r="T65"/>
      <c r="U65"/>
      <c r="V65"/>
      <c r="W65"/>
      <c r="X65"/>
      <c r="Y65"/>
      <c r="Z65"/>
      <c r="AA65"/>
      <c r="AB65"/>
      <c r="AC65"/>
      <c r="AD65"/>
      <c r="AE65"/>
      <c r="AF65"/>
      <c r="AG65"/>
    </row>
    <row r="66" spans="1:33" s="88" customFormat="1" ht="29" x14ac:dyDescent="0.35">
      <c r="A66" s="93" t="s">
        <v>35</v>
      </c>
      <c r="B66" s="93" t="s">
        <v>610</v>
      </c>
      <c r="C66" s="93" t="s">
        <v>6</v>
      </c>
      <c r="D66" s="94" t="s">
        <v>7</v>
      </c>
      <c r="E66" s="93">
        <v>2030</v>
      </c>
      <c r="F66" s="95" t="s">
        <v>88</v>
      </c>
      <c r="G66" s="95">
        <v>45446</v>
      </c>
      <c r="H66" s="152" t="s">
        <v>89</v>
      </c>
      <c r="I66" s="96" t="s">
        <v>719</v>
      </c>
      <c r="J66" s="96"/>
      <c r="K66" s="93" t="s">
        <v>720</v>
      </c>
      <c r="L66" s="96" t="s">
        <v>721</v>
      </c>
      <c r="M66" s="96" t="s">
        <v>103</v>
      </c>
      <c r="N66" s="96"/>
      <c r="O66" s="96"/>
      <c r="P66" s="86"/>
      <c r="Q66" s="87">
        <f t="shared" si="0"/>
        <v>2030</v>
      </c>
      <c r="R66" s="85"/>
      <c r="S66" s="85"/>
    </row>
    <row r="67" spans="1:33" s="88" customFormat="1" ht="29" x14ac:dyDescent="0.35">
      <c r="A67" s="88" t="s">
        <v>35</v>
      </c>
      <c r="B67" s="88" t="s">
        <v>642</v>
      </c>
      <c r="C67" s="88" t="s">
        <v>6</v>
      </c>
      <c r="D67" s="87" t="s">
        <v>7</v>
      </c>
      <c r="E67" s="88">
        <v>2000</v>
      </c>
      <c r="F67" s="97" t="s">
        <v>88</v>
      </c>
      <c r="G67" s="97">
        <v>45530</v>
      </c>
      <c r="H67" s="151" t="s">
        <v>94</v>
      </c>
      <c r="I67" s="85" t="s">
        <v>679</v>
      </c>
      <c r="J67" s="85" t="s">
        <v>968</v>
      </c>
      <c r="L67" s="85"/>
      <c r="M67" s="85" t="s">
        <v>718</v>
      </c>
      <c r="N67" s="85"/>
      <c r="P67" s="86"/>
      <c r="Q67" s="87">
        <f t="shared" si="0"/>
        <v>2000</v>
      </c>
      <c r="R67" s="85"/>
      <c r="S67" s="85"/>
    </row>
    <row r="68" spans="1:33" s="88" customFormat="1" ht="29" x14ac:dyDescent="0.35">
      <c r="A68" s="88" t="s">
        <v>0</v>
      </c>
      <c r="B68" s="88" t="s">
        <v>628</v>
      </c>
      <c r="C68" s="88" t="s">
        <v>6</v>
      </c>
      <c r="D68" s="87" t="s">
        <v>7</v>
      </c>
      <c r="E68" s="88">
        <v>1986.87</v>
      </c>
      <c r="F68" s="97" t="s">
        <v>88</v>
      </c>
      <c r="G68" s="97">
        <v>45475</v>
      </c>
      <c r="H68" s="151" t="s">
        <v>89</v>
      </c>
      <c r="I68" s="85" t="s">
        <v>801</v>
      </c>
      <c r="J68" s="85"/>
      <c r="K68" s="88" t="s">
        <v>802</v>
      </c>
      <c r="L68" s="85" t="s">
        <v>803</v>
      </c>
      <c r="M68" s="85" t="s">
        <v>804</v>
      </c>
      <c r="N68" s="85"/>
      <c r="O68" s="85"/>
      <c r="P68" s="86"/>
      <c r="Q68" s="87">
        <f t="shared" si="0"/>
        <v>1986.87</v>
      </c>
      <c r="R68" s="85"/>
      <c r="S68" s="85"/>
    </row>
    <row r="69" spans="1:33" s="88" customFormat="1" ht="29" x14ac:dyDescent="0.35">
      <c r="A69" s="88" t="s">
        <v>35</v>
      </c>
      <c r="B69" s="88" t="s">
        <v>1081</v>
      </c>
      <c r="C69" s="88" t="s">
        <v>6</v>
      </c>
      <c r="D69" s="87" t="s">
        <v>7</v>
      </c>
      <c r="E69" s="88">
        <v>1909.09</v>
      </c>
      <c r="F69" s="97" t="s">
        <v>88</v>
      </c>
      <c r="G69" s="97">
        <v>45576</v>
      </c>
      <c r="H69" s="151" t="s">
        <v>94</v>
      </c>
      <c r="I69" s="85" t="s">
        <v>1082</v>
      </c>
      <c r="J69" s="85" t="s">
        <v>1083</v>
      </c>
      <c r="L69" s="85"/>
      <c r="M69" s="85" t="s">
        <v>1084</v>
      </c>
      <c r="N69" s="85"/>
      <c r="P69" s="86"/>
      <c r="Q69" s="87">
        <f t="shared" si="0"/>
        <v>1909.09</v>
      </c>
      <c r="R69" s="85"/>
      <c r="S69" s="85"/>
    </row>
    <row r="70" spans="1:33" s="88" customFormat="1" ht="29" x14ac:dyDescent="0.35">
      <c r="A70" s="88" t="s">
        <v>35</v>
      </c>
      <c r="B70" s="88" t="s">
        <v>655</v>
      </c>
      <c r="C70" s="88" t="s">
        <v>6</v>
      </c>
      <c r="D70" s="87" t="s">
        <v>7</v>
      </c>
      <c r="E70" s="88">
        <v>1900</v>
      </c>
      <c r="F70" s="97" t="s">
        <v>88</v>
      </c>
      <c r="G70" s="97">
        <v>45474</v>
      </c>
      <c r="H70" s="151" t="s">
        <v>94</v>
      </c>
      <c r="I70" s="85" t="s">
        <v>791</v>
      </c>
      <c r="J70" s="85" t="s">
        <v>792</v>
      </c>
      <c r="L70" s="85"/>
      <c r="M70" s="85"/>
      <c r="N70" s="85"/>
      <c r="O70" s="85" t="s">
        <v>793</v>
      </c>
      <c r="P70" s="86"/>
      <c r="Q70" s="87">
        <f t="shared" si="0"/>
        <v>1900</v>
      </c>
      <c r="R70" s="85"/>
      <c r="S70" s="85"/>
    </row>
    <row r="71" spans="1:33" s="88" customFormat="1" x14ac:dyDescent="0.35">
      <c r="A71" s="88" t="s">
        <v>35</v>
      </c>
      <c r="B71" s="88" t="s">
        <v>598</v>
      </c>
      <c r="C71" s="88" t="s">
        <v>6</v>
      </c>
      <c r="D71" s="87" t="s">
        <v>7</v>
      </c>
      <c r="E71" s="88">
        <v>1883.11</v>
      </c>
      <c r="F71" s="97" t="s">
        <v>88</v>
      </c>
      <c r="G71" s="97">
        <v>45573</v>
      </c>
      <c r="H71" s="151" t="s">
        <v>89</v>
      </c>
      <c r="I71" s="85" t="s">
        <v>1066</v>
      </c>
      <c r="J71" s="85"/>
      <c r="K71" s="88" t="s">
        <v>1067</v>
      </c>
      <c r="L71" s="85" t="s">
        <v>1068</v>
      </c>
      <c r="M71" s="85" t="s">
        <v>946</v>
      </c>
      <c r="N71" s="85"/>
      <c r="O71" s="85"/>
      <c r="P71" s="86"/>
      <c r="Q71" s="87">
        <f t="shared" si="0"/>
        <v>1883.11</v>
      </c>
      <c r="R71" s="85"/>
      <c r="S71" s="85"/>
    </row>
    <row r="72" spans="1:33" s="88" customFormat="1" ht="29" x14ac:dyDescent="0.35">
      <c r="A72" s="88" t="s">
        <v>35</v>
      </c>
      <c r="B72" s="88" t="s">
        <v>610</v>
      </c>
      <c r="C72" s="88" t="s">
        <v>6</v>
      </c>
      <c r="D72" s="87" t="s">
        <v>7</v>
      </c>
      <c r="E72" s="88">
        <v>1860</v>
      </c>
      <c r="F72" s="97" t="s">
        <v>88</v>
      </c>
      <c r="G72" s="97">
        <v>45510</v>
      </c>
      <c r="H72" s="151" t="s">
        <v>89</v>
      </c>
      <c r="I72" s="85" t="s">
        <v>913</v>
      </c>
      <c r="J72" s="85"/>
      <c r="K72" s="88" t="s">
        <v>720</v>
      </c>
      <c r="L72" s="85" t="s">
        <v>914</v>
      </c>
      <c r="M72" s="85" t="s">
        <v>103</v>
      </c>
      <c r="N72" s="85"/>
      <c r="O72" s="85"/>
      <c r="P72" s="86"/>
      <c r="Q72" s="87">
        <f t="shared" ref="Q72:Q135" si="1">ABS(E72)</f>
        <v>1860</v>
      </c>
      <c r="R72" s="85"/>
      <c r="S72" s="85"/>
    </row>
    <row r="73" spans="1:33" s="88" customFormat="1" ht="29" x14ac:dyDescent="0.35">
      <c r="A73" s="88" t="s">
        <v>35</v>
      </c>
      <c r="B73" s="88" t="s">
        <v>864</v>
      </c>
      <c r="C73" s="88" t="s">
        <v>6</v>
      </c>
      <c r="D73" s="87" t="s">
        <v>7</v>
      </c>
      <c r="E73" s="88">
        <v>1843.64</v>
      </c>
      <c r="F73" s="97" t="s">
        <v>88</v>
      </c>
      <c r="G73" s="97">
        <v>45636</v>
      </c>
      <c r="H73" s="151" t="s">
        <v>94</v>
      </c>
      <c r="I73" s="85" t="s">
        <v>1236</v>
      </c>
      <c r="J73" s="85" t="s">
        <v>1237</v>
      </c>
      <c r="L73" s="85"/>
      <c r="M73" s="85" t="s">
        <v>1238</v>
      </c>
      <c r="N73" s="85"/>
      <c r="P73" s="86"/>
      <c r="Q73" s="87">
        <f t="shared" si="1"/>
        <v>1843.64</v>
      </c>
      <c r="R73" s="85"/>
      <c r="S73" s="85"/>
    </row>
    <row r="74" spans="1:33" s="88" customFormat="1" ht="29" x14ac:dyDescent="0.35">
      <c r="A74" s="88" t="s">
        <v>35</v>
      </c>
      <c r="B74" s="88" t="s">
        <v>883</v>
      </c>
      <c r="C74" s="88" t="s">
        <v>6</v>
      </c>
      <c r="D74" s="87" t="s">
        <v>7</v>
      </c>
      <c r="E74" s="88">
        <v>1800</v>
      </c>
      <c r="F74" s="97" t="s">
        <v>88</v>
      </c>
      <c r="G74" s="97">
        <v>45503</v>
      </c>
      <c r="H74" s="151" t="s">
        <v>94</v>
      </c>
      <c r="I74" s="85" t="s">
        <v>884</v>
      </c>
      <c r="J74" s="85" t="s">
        <v>885</v>
      </c>
      <c r="L74" s="85"/>
      <c r="M74" s="85" t="s">
        <v>886</v>
      </c>
      <c r="N74" s="85"/>
      <c r="P74" s="86"/>
      <c r="Q74" s="87">
        <f t="shared" si="1"/>
        <v>1800</v>
      </c>
      <c r="R74" s="85"/>
      <c r="S74" s="85"/>
    </row>
    <row r="75" spans="1:33" s="88" customFormat="1" ht="29" x14ac:dyDescent="0.35">
      <c r="A75" s="35" t="s">
        <v>35</v>
      </c>
      <c r="B75" s="35" t="s">
        <v>599</v>
      </c>
      <c r="C75" s="35" t="s">
        <v>6</v>
      </c>
      <c r="D75" s="58" t="s">
        <v>7</v>
      </c>
      <c r="E75" s="35">
        <v>1788.31</v>
      </c>
      <c r="F75" s="29" t="s">
        <v>88</v>
      </c>
      <c r="G75" s="29">
        <v>45387</v>
      </c>
      <c r="H75" s="153" t="s">
        <v>89</v>
      </c>
      <c r="I75" s="59" t="s">
        <v>611</v>
      </c>
      <c r="J75" s="59"/>
      <c r="K75" s="35" t="s">
        <v>119</v>
      </c>
      <c r="L75" s="59" t="s">
        <v>612</v>
      </c>
      <c r="M75" s="59" t="s">
        <v>103</v>
      </c>
      <c r="N75" s="59"/>
      <c r="O75" s="59"/>
      <c r="P75" s="5"/>
      <c r="Q75" s="3">
        <f t="shared" si="1"/>
        <v>1788.31</v>
      </c>
      <c r="R75" s="55"/>
      <c r="S75" s="55"/>
      <c r="T75"/>
      <c r="U75"/>
      <c r="V75"/>
      <c r="W75"/>
      <c r="X75"/>
      <c r="Y75"/>
      <c r="Z75"/>
      <c r="AA75"/>
      <c r="AB75"/>
      <c r="AC75"/>
      <c r="AD75"/>
      <c r="AE75"/>
      <c r="AF75"/>
      <c r="AG75"/>
    </row>
    <row r="76" spans="1:33" s="88" customFormat="1" ht="58" x14ac:dyDescent="0.35">
      <c r="A76" s="88" t="s">
        <v>35</v>
      </c>
      <c r="B76" s="88" t="s">
        <v>623</v>
      </c>
      <c r="C76" s="88" t="s">
        <v>6</v>
      </c>
      <c r="D76" s="87" t="s">
        <v>7</v>
      </c>
      <c r="E76" s="88">
        <v>1750</v>
      </c>
      <c r="F76" s="97" t="s">
        <v>88</v>
      </c>
      <c r="G76" s="97">
        <v>45614</v>
      </c>
      <c r="H76" s="151" t="s">
        <v>94</v>
      </c>
      <c r="I76" s="85" t="s">
        <v>1170</v>
      </c>
      <c r="J76" s="85" t="s">
        <v>1173</v>
      </c>
      <c r="L76" s="85"/>
      <c r="M76" s="85" t="s">
        <v>1019</v>
      </c>
      <c r="N76" s="85"/>
      <c r="P76" s="86"/>
      <c r="Q76" s="87">
        <f t="shared" si="1"/>
        <v>1750</v>
      </c>
      <c r="R76" s="85"/>
      <c r="S76" s="85"/>
    </row>
    <row r="77" spans="1:33" s="88" customFormat="1" ht="29" x14ac:dyDescent="0.35">
      <c r="A77" s="88" t="s">
        <v>35</v>
      </c>
      <c r="B77" s="88" t="s">
        <v>614</v>
      </c>
      <c r="C77" s="88" t="s">
        <v>6</v>
      </c>
      <c r="D77" s="87" t="s">
        <v>7</v>
      </c>
      <c r="E77" s="88">
        <v>1727.82</v>
      </c>
      <c r="F77" s="97" t="s">
        <v>88</v>
      </c>
      <c r="G77" s="97">
        <v>45464</v>
      </c>
      <c r="H77" s="151" t="s">
        <v>94</v>
      </c>
      <c r="I77" s="85" t="s">
        <v>759</v>
      </c>
      <c r="J77" s="85" t="s">
        <v>760</v>
      </c>
      <c r="L77" s="85"/>
      <c r="M77" s="85" t="s">
        <v>761</v>
      </c>
      <c r="N77" s="85"/>
      <c r="P77" s="86"/>
      <c r="Q77" s="87">
        <f t="shared" si="1"/>
        <v>1727.82</v>
      </c>
      <c r="R77" s="85"/>
      <c r="S77" s="85"/>
    </row>
    <row r="78" spans="1:33" s="88" customFormat="1" ht="29" x14ac:dyDescent="0.35">
      <c r="A78" s="88" t="s">
        <v>0</v>
      </c>
      <c r="B78" s="88" t="s">
        <v>1221</v>
      </c>
      <c r="C78" s="88" t="s">
        <v>6</v>
      </c>
      <c r="D78" s="87" t="s">
        <v>7</v>
      </c>
      <c r="E78" s="88">
        <v>1646.86</v>
      </c>
      <c r="F78" s="97" t="s">
        <v>88</v>
      </c>
      <c r="G78" s="97">
        <v>45637</v>
      </c>
      <c r="H78" s="151" t="s">
        <v>89</v>
      </c>
      <c r="I78" s="85" t="s">
        <v>1240</v>
      </c>
      <c r="J78" s="85"/>
      <c r="K78" s="88" t="s">
        <v>1241</v>
      </c>
      <c r="L78" s="85" t="s">
        <v>1242</v>
      </c>
      <c r="M78" s="85" t="s">
        <v>1243</v>
      </c>
      <c r="N78" s="85"/>
      <c r="O78" s="85"/>
      <c r="P78" s="86"/>
      <c r="Q78" s="87">
        <f t="shared" si="1"/>
        <v>1646.86</v>
      </c>
      <c r="R78" s="85"/>
      <c r="S78" s="85"/>
    </row>
    <row r="79" spans="1:33" s="88" customFormat="1" ht="29" x14ac:dyDescent="0.35">
      <c r="A79" s="88" t="s">
        <v>35</v>
      </c>
      <c r="B79" s="88" t="s">
        <v>642</v>
      </c>
      <c r="C79" s="88" t="s">
        <v>6</v>
      </c>
      <c r="D79" s="87" t="s">
        <v>7</v>
      </c>
      <c r="E79" s="88">
        <v>1609.09</v>
      </c>
      <c r="F79" s="97" t="s">
        <v>88</v>
      </c>
      <c r="G79" s="97">
        <v>45504</v>
      </c>
      <c r="H79" s="151" t="s">
        <v>94</v>
      </c>
      <c r="I79" s="85" t="s">
        <v>887</v>
      </c>
      <c r="J79" s="85" t="s">
        <v>888</v>
      </c>
      <c r="L79" s="85"/>
      <c r="M79" s="85" t="s">
        <v>871</v>
      </c>
      <c r="N79" s="85"/>
      <c r="P79" s="86"/>
      <c r="Q79" s="87">
        <f t="shared" si="1"/>
        <v>1609.09</v>
      </c>
      <c r="R79" s="85"/>
      <c r="S79" s="85"/>
    </row>
    <row r="80" spans="1:33" s="88" customFormat="1" ht="29" x14ac:dyDescent="0.35">
      <c r="A80" s="88" t="s">
        <v>35</v>
      </c>
      <c r="B80" s="88" t="s">
        <v>598</v>
      </c>
      <c r="C80" s="88" t="s">
        <v>6</v>
      </c>
      <c r="D80" s="87" t="s">
        <v>7</v>
      </c>
      <c r="E80" s="88">
        <v>1529.68</v>
      </c>
      <c r="F80" s="97" t="s">
        <v>88</v>
      </c>
      <c r="G80" s="97">
        <v>45517</v>
      </c>
      <c r="H80" s="151" t="s">
        <v>89</v>
      </c>
      <c r="I80" s="85" t="s">
        <v>929</v>
      </c>
      <c r="J80" s="85"/>
      <c r="K80" s="88" t="s">
        <v>930</v>
      </c>
      <c r="L80" s="85" t="s">
        <v>931</v>
      </c>
      <c r="M80" s="85" t="s">
        <v>932</v>
      </c>
      <c r="N80" s="85"/>
      <c r="O80" s="85"/>
      <c r="P80" s="86"/>
      <c r="Q80" s="87">
        <f t="shared" si="1"/>
        <v>1529.68</v>
      </c>
      <c r="R80" s="85"/>
      <c r="S80" s="85"/>
    </row>
    <row r="81" spans="1:19" s="88" customFormat="1" ht="29" x14ac:dyDescent="0.35">
      <c r="A81" s="88" t="s">
        <v>35</v>
      </c>
      <c r="B81" s="88" t="s">
        <v>655</v>
      </c>
      <c r="C81" s="88" t="s">
        <v>6</v>
      </c>
      <c r="D81" s="87" t="s">
        <v>7</v>
      </c>
      <c r="E81" s="88">
        <v>1500</v>
      </c>
      <c r="F81" s="97" t="s">
        <v>88</v>
      </c>
      <c r="G81" s="97">
        <v>45643</v>
      </c>
      <c r="H81" s="151" t="s">
        <v>94</v>
      </c>
      <c r="I81" s="85" t="s">
        <v>1270</v>
      </c>
      <c r="J81" s="85" t="s">
        <v>1271</v>
      </c>
      <c r="L81" s="85"/>
      <c r="M81" s="85" t="s">
        <v>1272</v>
      </c>
      <c r="N81" s="85"/>
      <c r="P81" s="86"/>
      <c r="Q81" s="87">
        <f t="shared" si="1"/>
        <v>1500</v>
      </c>
      <c r="R81" s="85"/>
      <c r="S81" s="85"/>
    </row>
    <row r="82" spans="1:19" s="88" customFormat="1" ht="29" x14ac:dyDescent="0.35">
      <c r="A82" s="88" t="s">
        <v>35</v>
      </c>
      <c r="B82" s="88" t="s">
        <v>610</v>
      </c>
      <c r="C82" s="88" t="s">
        <v>6</v>
      </c>
      <c r="D82" s="87" t="s">
        <v>7</v>
      </c>
      <c r="E82" s="88">
        <v>1498.83</v>
      </c>
      <c r="F82" s="97" t="s">
        <v>88</v>
      </c>
      <c r="G82" s="97">
        <v>45629</v>
      </c>
      <c r="H82" s="151" t="s">
        <v>89</v>
      </c>
      <c r="I82" s="85" t="s">
        <v>1205</v>
      </c>
      <c r="J82" s="85"/>
      <c r="K82" s="88" t="s">
        <v>1206</v>
      </c>
      <c r="L82" s="85" t="s">
        <v>1207</v>
      </c>
      <c r="M82" s="85" t="s">
        <v>103</v>
      </c>
      <c r="N82" s="85"/>
      <c r="O82" s="85"/>
      <c r="P82" s="86"/>
      <c r="Q82" s="87">
        <f t="shared" si="1"/>
        <v>1498.83</v>
      </c>
      <c r="R82" s="85"/>
      <c r="S82" s="85"/>
    </row>
    <row r="83" spans="1:19" s="88" customFormat="1" ht="38.5" customHeight="1" x14ac:dyDescent="0.35">
      <c r="A83" s="88" t="s">
        <v>35</v>
      </c>
      <c r="B83" s="88" t="s">
        <v>599</v>
      </c>
      <c r="C83" s="88" t="s">
        <v>6</v>
      </c>
      <c r="D83" s="87" t="s">
        <v>7</v>
      </c>
      <c r="E83" s="88">
        <v>1496.85</v>
      </c>
      <c r="F83" s="97" t="s">
        <v>88</v>
      </c>
      <c r="G83" s="97">
        <v>45541</v>
      </c>
      <c r="H83" s="151" t="s">
        <v>89</v>
      </c>
      <c r="I83" s="85" t="s">
        <v>1000</v>
      </c>
      <c r="J83" s="85"/>
      <c r="K83" s="88" t="s">
        <v>1001</v>
      </c>
      <c r="L83" s="85" t="s">
        <v>1002</v>
      </c>
      <c r="M83" s="85" t="s">
        <v>103</v>
      </c>
      <c r="N83" s="85"/>
      <c r="O83" s="85"/>
      <c r="P83" s="86"/>
      <c r="Q83" s="87">
        <f t="shared" si="1"/>
        <v>1496.85</v>
      </c>
      <c r="R83" s="85"/>
      <c r="S83" s="85"/>
    </row>
    <row r="84" spans="1:19" s="88" customFormat="1" ht="30" customHeight="1" x14ac:dyDescent="0.35">
      <c r="A84" s="88" t="s">
        <v>35</v>
      </c>
      <c r="B84" s="88" t="s">
        <v>599</v>
      </c>
      <c r="C84" s="88" t="s">
        <v>6</v>
      </c>
      <c r="D84" s="87" t="s">
        <v>7</v>
      </c>
      <c r="E84" s="88">
        <v>1477.28</v>
      </c>
      <c r="F84" s="97" t="s">
        <v>88</v>
      </c>
      <c r="G84" s="97">
        <v>45566</v>
      </c>
      <c r="H84" s="151" t="s">
        <v>89</v>
      </c>
      <c r="I84" s="85" t="s">
        <v>1060</v>
      </c>
      <c r="J84" s="85"/>
      <c r="K84" s="88" t="s">
        <v>720</v>
      </c>
      <c r="L84" s="85" t="s">
        <v>1061</v>
      </c>
      <c r="M84" s="85" t="s">
        <v>103</v>
      </c>
      <c r="N84" s="85"/>
      <c r="O84" s="85"/>
      <c r="P84" s="86"/>
      <c r="Q84" s="87">
        <f t="shared" si="1"/>
        <v>1477.28</v>
      </c>
      <c r="R84" s="85"/>
      <c r="S84" s="85"/>
    </row>
    <row r="85" spans="1:19" s="88" customFormat="1" ht="28.5" customHeight="1" x14ac:dyDescent="0.35">
      <c r="A85" s="93" t="s">
        <v>35</v>
      </c>
      <c r="B85" s="93" t="s">
        <v>599</v>
      </c>
      <c r="C85" s="93" t="s">
        <v>6</v>
      </c>
      <c r="D85" s="94" t="s">
        <v>7</v>
      </c>
      <c r="E85" s="93">
        <v>1457.38</v>
      </c>
      <c r="F85" s="95" t="s">
        <v>88</v>
      </c>
      <c r="G85" s="95">
        <v>45414</v>
      </c>
      <c r="H85" s="152" t="s">
        <v>89</v>
      </c>
      <c r="I85" s="96" t="s">
        <v>669</v>
      </c>
      <c r="J85" s="96"/>
      <c r="K85" s="93" t="s">
        <v>670</v>
      </c>
      <c r="L85" s="96" t="s">
        <v>671</v>
      </c>
      <c r="M85" s="96" t="s">
        <v>103</v>
      </c>
      <c r="N85" s="96"/>
      <c r="O85" s="96"/>
      <c r="P85" s="86"/>
      <c r="Q85" s="87">
        <f t="shared" si="1"/>
        <v>1457.38</v>
      </c>
      <c r="R85" s="85"/>
      <c r="S85" s="85"/>
    </row>
    <row r="86" spans="1:19" s="88" customFormat="1" ht="43.5" x14ac:dyDescent="0.35">
      <c r="A86" s="93" t="s">
        <v>35</v>
      </c>
      <c r="B86" s="93" t="s">
        <v>732</v>
      </c>
      <c r="C86" s="93" t="s">
        <v>6</v>
      </c>
      <c r="D86" s="94" t="s">
        <v>7</v>
      </c>
      <c r="E86" s="93">
        <v>1405</v>
      </c>
      <c r="F86" s="95" t="s">
        <v>88</v>
      </c>
      <c r="G86" s="95">
        <v>45449</v>
      </c>
      <c r="H86" s="152" t="s">
        <v>94</v>
      </c>
      <c r="I86" s="96" t="s">
        <v>463</v>
      </c>
      <c r="J86" s="96" t="s">
        <v>733</v>
      </c>
      <c r="K86" s="93"/>
      <c r="L86" s="96"/>
      <c r="M86" s="96" t="s">
        <v>734</v>
      </c>
      <c r="N86" s="96"/>
      <c r="P86" s="86"/>
      <c r="Q86" s="87">
        <f t="shared" si="1"/>
        <v>1405</v>
      </c>
      <c r="R86" s="85"/>
      <c r="S86" s="85"/>
    </row>
    <row r="87" spans="1:19" s="88" customFormat="1" ht="43.5" x14ac:dyDescent="0.35">
      <c r="A87" s="88" t="s">
        <v>35</v>
      </c>
      <c r="B87" s="88" t="s">
        <v>770</v>
      </c>
      <c r="C87" s="88" t="s">
        <v>6</v>
      </c>
      <c r="D87" s="87" t="s">
        <v>7</v>
      </c>
      <c r="E87" s="88">
        <v>1345.45</v>
      </c>
      <c r="F87" s="97" t="s">
        <v>88</v>
      </c>
      <c r="G87" s="97">
        <v>45495</v>
      </c>
      <c r="H87" s="151" t="s">
        <v>94</v>
      </c>
      <c r="I87" s="85" t="s">
        <v>856</v>
      </c>
      <c r="J87" s="85" t="s">
        <v>870</v>
      </c>
      <c r="L87" s="85"/>
      <c r="M87" s="85" t="s">
        <v>871</v>
      </c>
      <c r="N87" s="85"/>
      <c r="P87" s="86"/>
      <c r="Q87" s="87">
        <f t="shared" si="1"/>
        <v>1345.45</v>
      </c>
      <c r="R87" s="85"/>
      <c r="S87" s="85"/>
    </row>
    <row r="88" spans="1:19" s="88" customFormat="1" ht="29" x14ac:dyDescent="0.35">
      <c r="A88" s="88" t="s">
        <v>35</v>
      </c>
      <c r="B88" s="88" t="s">
        <v>623</v>
      </c>
      <c r="C88" s="88" t="s">
        <v>6</v>
      </c>
      <c r="D88" s="87" t="s">
        <v>7</v>
      </c>
      <c r="E88" s="88">
        <v>1341.38</v>
      </c>
      <c r="F88" s="97" t="s">
        <v>88</v>
      </c>
      <c r="G88" s="97">
        <v>45513</v>
      </c>
      <c r="H88" s="151" t="s">
        <v>94</v>
      </c>
      <c r="I88" s="85" t="s">
        <v>919</v>
      </c>
      <c r="J88" s="85" t="s">
        <v>920</v>
      </c>
      <c r="L88" s="85"/>
      <c r="M88" s="85" t="s">
        <v>921</v>
      </c>
      <c r="N88" s="85"/>
      <c r="P88" s="86"/>
      <c r="Q88" s="87">
        <f t="shared" si="1"/>
        <v>1341.38</v>
      </c>
      <c r="R88" s="85"/>
      <c r="S88" s="85"/>
    </row>
    <row r="89" spans="1:19" s="88" customFormat="1" ht="29" x14ac:dyDescent="0.35">
      <c r="A89" s="88" t="s">
        <v>35</v>
      </c>
      <c r="B89" s="88" t="s">
        <v>624</v>
      </c>
      <c r="C89" s="88" t="s">
        <v>6</v>
      </c>
      <c r="D89" s="87" t="s">
        <v>7</v>
      </c>
      <c r="E89" s="88">
        <v>1282.5899999999999</v>
      </c>
      <c r="F89" s="97" t="s">
        <v>88</v>
      </c>
      <c r="G89" s="97">
        <v>45524</v>
      </c>
      <c r="H89" s="151" t="s">
        <v>94</v>
      </c>
      <c r="I89" s="85" t="s">
        <v>958</v>
      </c>
      <c r="J89" s="85" t="s">
        <v>959</v>
      </c>
      <c r="L89" s="85"/>
      <c r="M89" s="85" t="s">
        <v>960</v>
      </c>
      <c r="N89" s="85"/>
      <c r="P89" s="86"/>
      <c r="Q89" s="87">
        <f t="shared" si="1"/>
        <v>1282.5899999999999</v>
      </c>
      <c r="R89" s="85"/>
      <c r="S89" s="85"/>
    </row>
    <row r="90" spans="1:19" s="88" customFormat="1" ht="29" x14ac:dyDescent="0.35">
      <c r="A90" s="88" t="s">
        <v>35</v>
      </c>
      <c r="B90" s="88" t="s">
        <v>624</v>
      </c>
      <c r="C90" s="88" t="s">
        <v>6</v>
      </c>
      <c r="D90" s="87" t="s">
        <v>7</v>
      </c>
      <c r="E90" s="88">
        <v>1282.5899999999999</v>
      </c>
      <c r="F90" s="97" t="s">
        <v>88</v>
      </c>
      <c r="G90" s="97">
        <v>45537</v>
      </c>
      <c r="H90" s="151" t="s">
        <v>94</v>
      </c>
      <c r="I90" s="85" t="s">
        <v>987</v>
      </c>
      <c r="J90" s="85" t="s">
        <v>989</v>
      </c>
      <c r="L90" s="85"/>
      <c r="M90" s="85" t="s">
        <v>960</v>
      </c>
      <c r="N90" s="85"/>
      <c r="P90" s="86"/>
      <c r="Q90" s="87">
        <f t="shared" si="1"/>
        <v>1282.5899999999999</v>
      </c>
      <c r="R90" s="85"/>
      <c r="S90" s="85"/>
    </row>
    <row r="91" spans="1:19" s="88" customFormat="1" ht="43.5" x14ac:dyDescent="0.35">
      <c r="A91" s="88" t="s">
        <v>35</v>
      </c>
      <c r="B91" s="88" t="s">
        <v>623</v>
      </c>
      <c r="C91" s="88" t="s">
        <v>6</v>
      </c>
      <c r="D91" s="87" t="s">
        <v>7</v>
      </c>
      <c r="E91" s="88">
        <v>1280.8599999999999</v>
      </c>
      <c r="F91" s="97" t="s">
        <v>88</v>
      </c>
      <c r="G91" s="97">
        <v>45595</v>
      </c>
      <c r="H91" s="151" t="s">
        <v>94</v>
      </c>
      <c r="I91" s="85" t="s">
        <v>1129</v>
      </c>
      <c r="J91" s="85" t="s">
        <v>1130</v>
      </c>
      <c r="L91" s="85"/>
      <c r="M91" s="85" t="s">
        <v>1131</v>
      </c>
      <c r="N91" s="85"/>
      <c r="P91" s="86"/>
      <c r="Q91" s="87">
        <f t="shared" si="1"/>
        <v>1280.8599999999999</v>
      </c>
      <c r="R91" s="85"/>
      <c r="S91" s="85"/>
    </row>
    <row r="92" spans="1:19" s="88" customFormat="1" ht="29" x14ac:dyDescent="0.35">
      <c r="A92" s="88" t="s">
        <v>35</v>
      </c>
      <c r="B92" s="88" t="s">
        <v>1221</v>
      </c>
      <c r="C92" s="88" t="s">
        <v>6</v>
      </c>
      <c r="D92" s="87" t="s">
        <v>7</v>
      </c>
      <c r="E92" s="88">
        <v>1250</v>
      </c>
      <c r="F92" s="97" t="s">
        <v>88</v>
      </c>
      <c r="G92" s="97">
        <v>45637</v>
      </c>
      <c r="H92" s="151" t="s">
        <v>94</v>
      </c>
      <c r="I92" s="85" t="s">
        <v>1247</v>
      </c>
      <c r="J92" s="85" t="s">
        <v>1248</v>
      </c>
      <c r="L92" s="85"/>
      <c r="M92" s="85" t="s">
        <v>1249</v>
      </c>
      <c r="N92" s="85"/>
      <c r="P92" s="86"/>
      <c r="Q92" s="87">
        <f t="shared" si="1"/>
        <v>1250</v>
      </c>
      <c r="R92" s="85"/>
      <c r="S92" s="85"/>
    </row>
    <row r="93" spans="1:19" s="88" customFormat="1" x14ac:dyDescent="0.35">
      <c r="A93" s="88" t="s">
        <v>0</v>
      </c>
      <c r="B93" s="88" t="s">
        <v>805</v>
      </c>
      <c r="C93" s="88" t="s">
        <v>6</v>
      </c>
      <c r="D93" s="87" t="s">
        <v>7</v>
      </c>
      <c r="E93" s="88">
        <v>1189.54</v>
      </c>
      <c r="F93" s="97" t="s">
        <v>88</v>
      </c>
      <c r="G93" s="97">
        <v>45518</v>
      </c>
      <c r="H93" s="151" t="s">
        <v>89</v>
      </c>
      <c r="I93" s="85" t="s">
        <v>935</v>
      </c>
      <c r="J93" s="85"/>
      <c r="K93" s="88" t="s">
        <v>938</v>
      </c>
      <c r="L93" s="85" t="s">
        <v>937</v>
      </c>
      <c r="M93" s="85" t="s">
        <v>91</v>
      </c>
      <c r="N93" s="85"/>
      <c r="O93" s="85"/>
      <c r="P93" s="86"/>
      <c r="Q93" s="87">
        <f t="shared" si="1"/>
        <v>1189.54</v>
      </c>
      <c r="R93" s="85"/>
      <c r="S93" s="85"/>
    </row>
    <row r="94" spans="1:19" s="88" customFormat="1" ht="29" x14ac:dyDescent="0.35">
      <c r="A94" s="88" t="s">
        <v>35</v>
      </c>
      <c r="B94" s="88" t="s">
        <v>642</v>
      </c>
      <c r="C94" s="88" t="s">
        <v>6</v>
      </c>
      <c r="D94" s="87" t="s">
        <v>7</v>
      </c>
      <c r="E94" s="88">
        <v>1167.71</v>
      </c>
      <c r="F94" s="97" t="s">
        <v>88</v>
      </c>
      <c r="G94" s="97">
        <v>45516</v>
      </c>
      <c r="H94" s="151" t="s">
        <v>94</v>
      </c>
      <c r="I94" s="85" t="s">
        <v>643</v>
      </c>
      <c r="J94" s="85" t="s">
        <v>923</v>
      </c>
      <c r="L94" s="85"/>
      <c r="M94" s="85" t="s">
        <v>645</v>
      </c>
      <c r="N94" s="85"/>
      <c r="P94" s="86"/>
      <c r="Q94" s="87">
        <f t="shared" si="1"/>
        <v>1167.71</v>
      </c>
      <c r="R94" s="85"/>
      <c r="S94" s="85"/>
    </row>
    <row r="95" spans="1:19" s="88" customFormat="1" ht="87" x14ac:dyDescent="0.35">
      <c r="A95" s="88" t="s">
        <v>35</v>
      </c>
      <c r="B95" s="88" t="s">
        <v>623</v>
      </c>
      <c r="C95" s="88" t="s">
        <v>6</v>
      </c>
      <c r="D95" s="87" t="s">
        <v>7</v>
      </c>
      <c r="E95" s="88">
        <v>1139.0899999999999</v>
      </c>
      <c r="F95" s="97" t="s">
        <v>88</v>
      </c>
      <c r="G95" s="97">
        <v>45582</v>
      </c>
      <c r="H95" s="151" t="s">
        <v>94</v>
      </c>
      <c r="I95" s="85" t="s">
        <v>1097</v>
      </c>
      <c r="J95" s="85" t="s">
        <v>1098</v>
      </c>
      <c r="L95" s="85"/>
      <c r="M95" s="85" t="s">
        <v>1099</v>
      </c>
      <c r="N95" s="85"/>
      <c r="P95" s="86"/>
      <c r="Q95" s="87">
        <f t="shared" si="1"/>
        <v>1139.0899999999999</v>
      </c>
      <c r="R95" s="85"/>
      <c r="S95" s="85"/>
    </row>
    <row r="96" spans="1:19" s="88" customFormat="1" ht="43.5" x14ac:dyDescent="0.35">
      <c r="A96" s="88" t="s">
        <v>35</v>
      </c>
      <c r="B96" s="88" t="s">
        <v>623</v>
      </c>
      <c r="C96" s="88" t="s">
        <v>6</v>
      </c>
      <c r="D96" s="87" t="s">
        <v>7</v>
      </c>
      <c r="E96" s="88">
        <v>1099.1300000000001</v>
      </c>
      <c r="F96" s="97" t="s">
        <v>88</v>
      </c>
      <c r="G96" s="97">
        <v>45552</v>
      </c>
      <c r="H96" s="151" t="s">
        <v>94</v>
      </c>
      <c r="I96" s="85" t="s">
        <v>846</v>
      </c>
      <c r="J96" s="85" t="s">
        <v>1022</v>
      </c>
      <c r="L96" s="85"/>
      <c r="M96" s="85" t="s">
        <v>848</v>
      </c>
      <c r="N96" s="85"/>
      <c r="P96" s="86"/>
      <c r="Q96" s="87">
        <f t="shared" si="1"/>
        <v>1099.1300000000001</v>
      </c>
      <c r="R96" s="85"/>
      <c r="S96" s="85"/>
    </row>
    <row r="97" spans="1:33" s="88" customFormat="1" ht="29" x14ac:dyDescent="0.35">
      <c r="A97" s="93" t="s">
        <v>35</v>
      </c>
      <c r="B97" s="93" t="s">
        <v>681</v>
      </c>
      <c r="C97" s="93" t="s">
        <v>6</v>
      </c>
      <c r="D97" s="94" t="s">
        <v>7</v>
      </c>
      <c r="E97" s="93">
        <v>1090.9100000000001</v>
      </c>
      <c r="F97" s="95" t="s">
        <v>88</v>
      </c>
      <c r="G97" s="95">
        <v>45422</v>
      </c>
      <c r="H97" s="152" t="s">
        <v>94</v>
      </c>
      <c r="I97" s="96" t="s">
        <v>682</v>
      </c>
      <c r="J97" s="96" t="s">
        <v>683</v>
      </c>
      <c r="K97" s="93"/>
      <c r="L97" s="96"/>
      <c r="M97" s="96" t="s">
        <v>684</v>
      </c>
      <c r="N97" s="96"/>
      <c r="P97" s="86"/>
      <c r="Q97" s="87">
        <f t="shared" si="1"/>
        <v>1090.9100000000001</v>
      </c>
      <c r="R97" s="85"/>
      <c r="S97" s="85"/>
    </row>
    <row r="98" spans="1:33" s="88" customFormat="1" ht="29" x14ac:dyDescent="0.35">
      <c r="A98" s="88" t="s">
        <v>35</v>
      </c>
      <c r="B98" s="88" t="s">
        <v>642</v>
      </c>
      <c r="C98" s="88" t="s">
        <v>6</v>
      </c>
      <c r="D98" s="87" t="s">
        <v>7</v>
      </c>
      <c r="E98" s="88">
        <v>1090.9100000000001</v>
      </c>
      <c r="F98" s="97" t="s">
        <v>88</v>
      </c>
      <c r="G98" s="97">
        <v>45530</v>
      </c>
      <c r="H98" s="151" t="s">
        <v>94</v>
      </c>
      <c r="I98" s="85" t="s">
        <v>778</v>
      </c>
      <c r="J98" s="85" t="s">
        <v>966</v>
      </c>
      <c r="L98" s="85"/>
      <c r="M98" s="85" t="s">
        <v>967</v>
      </c>
      <c r="N98" s="85"/>
      <c r="P98" s="86"/>
      <c r="Q98" s="87">
        <f t="shared" si="1"/>
        <v>1090.9100000000001</v>
      </c>
      <c r="R98" s="85"/>
      <c r="S98" s="85"/>
    </row>
    <row r="99" spans="1:33" s="88" customFormat="1" ht="29" x14ac:dyDescent="0.35">
      <c r="A99" s="88" t="s">
        <v>35</v>
      </c>
      <c r="B99" s="88" t="s">
        <v>642</v>
      </c>
      <c r="C99" s="88" t="s">
        <v>6</v>
      </c>
      <c r="D99" s="87" t="s">
        <v>7</v>
      </c>
      <c r="E99" s="88">
        <v>1090.9100000000001</v>
      </c>
      <c r="F99" s="97" t="s">
        <v>88</v>
      </c>
      <c r="G99" s="97">
        <v>45544</v>
      </c>
      <c r="H99" s="151" t="s">
        <v>94</v>
      </c>
      <c r="I99" s="85" t="s">
        <v>887</v>
      </c>
      <c r="J99" s="85" t="s">
        <v>1003</v>
      </c>
      <c r="L99" s="85"/>
      <c r="M99" s="85" t="s">
        <v>967</v>
      </c>
      <c r="N99" s="85"/>
      <c r="P99" s="86"/>
      <c r="Q99" s="87">
        <f t="shared" si="1"/>
        <v>1090.9100000000001</v>
      </c>
      <c r="R99" s="85"/>
      <c r="S99" s="85"/>
    </row>
    <row r="100" spans="1:33" s="88" customFormat="1" ht="29" x14ac:dyDescent="0.35">
      <c r="A100" s="88" t="s">
        <v>35</v>
      </c>
      <c r="B100" s="88" t="s">
        <v>1265</v>
      </c>
      <c r="C100" s="88" t="s">
        <v>6</v>
      </c>
      <c r="D100" s="87" t="s">
        <v>7</v>
      </c>
      <c r="E100" s="88">
        <v>1070</v>
      </c>
      <c r="F100" s="97" t="s">
        <v>88</v>
      </c>
      <c r="G100" s="97">
        <v>45642</v>
      </c>
      <c r="H100" s="151" t="s">
        <v>94</v>
      </c>
      <c r="I100" s="85" t="s">
        <v>1266</v>
      </c>
      <c r="J100" s="85" t="s">
        <v>1267</v>
      </c>
      <c r="L100" s="85"/>
      <c r="M100" s="85" t="s">
        <v>1268</v>
      </c>
      <c r="N100" s="85"/>
      <c r="P100" s="86"/>
      <c r="Q100" s="87">
        <f t="shared" si="1"/>
        <v>1070</v>
      </c>
      <c r="R100" s="85"/>
      <c r="S100" s="85"/>
    </row>
    <row r="101" spans="1:33" s="88" customFormat="1" ht="29" x14ac:dyDescent="0.35">
      <c r="A101" s="35" t="s">
        <v>35</v>
      </c>
      <c r="B101" s="35" t="s">
        <v>613</v>
      </c>
      <c r="C101" s="35" t="s">
        <v>6</v>
      </c>
      <c r="D101" s="58" t="s">
        <v>7</v>
      </c>
      <c r="E101" s="35">
        <v>1063.24</v>
      </c>
      <c r="F101" s="29" t="s">
        <v>88</v>
      </c>
      <c r="G101" s="29">
        <v>45387</v>
      </c>
      <c r="H101" s="153" t="s">
        <v>89</v>
      </c>
      <c r="I101" s="59" t="s">
        <v>611</v>
      </c>
      <c r="J101" s="59"/>
      <c r="K101" s="35" t="s">
        <v>119</v>
      </c>
      <c r="L101" s="59" t="s">
        <v>612</v>
      </c>
      <c r="M101" s="59" t="s">
        <v>103</v>
      </c>
      <c r="N101" s="59"/>
      <c r="O101" s="59"/>
      <c r="P101" s="5"/>
      <c r="Q101" s="3">
        <f t="shared" si="1"/>
        <v>1063.24</v>
      </c>
      <c r="R101" s="55"/>
      <c r="S101" s="55"/>
      <c r="T101"/>
      <c r="U101"/>
      <c r="V101"/>
      <c r="W101"/>
      <c r="X101"/>
      <c r="Y101"/>
      <c r="Z101"/>
      <c r="AA101"/>
      <c r="AB101"/>
      <c r="AC101"/>
      <c r="AD101"/>
      <c r="AE101"/>
      <c r="AF101"/>
      <c r="AG101"/>
    </row>
    <row r="102" spans="1:33" s="88" customFormat="1" ht="72.5" x14ac:dyDescent="0.35">
      <c r="A102" s="88" t="s">
        <v>35</v>
      </c>
      <c r="B102" s="88" t="s">
        <v>708</v>
      </c>
      <c r="C102" s="88" t="s">
        <v>6</v>
      </c>
      <c r="D102" s="87" t="s">
        <v>7</v>
      </c>
      <c r="E102" s="88">
        <v>1050</v>
      </c>
      <c r="F102" s="97" t="s">
        <v>88</v>
      </c>
      <c r="G102" s="97">
        <v>45615</v>
      </c>
      <c r="H102" s="151" t="s">
        <v>94</v>
      </c>
      <c r="I102" s="85" t="s">
        <v>97</v>
      </c>
      <c r="J102" s="85" t="s">
        <v>1183</v>
      </c>
      <c r="L102" s="85"/>
      <c r="M102" s="85" t="s">
        <v>1184</v>
      </c>
      <c r="N102" s="85"/>
      <c r="P102" s="86"/>
      <c r="Q102" s="87">
        <f t="shared" si="1"/>
        <v>1050</v>
      </c>
      <c r="R102" s="85"/>
      <c r="S102" s="85"/>
    </row>
    <row r="103" spans="1:33" s="88" customFormat="1" ht="29" x14ac:dyDescent="0.35">
      <c r="A103" s="88" t="s">
        <v>35</v>
      </c>
      <c r="B103" s="88" t="s">
        <v>805</v>
      </c>
      <c r="C103" s="88" t="s">
        <v>6</v>
      </c>
      <c r="D103" s="87" t="s">
        <v>7</v>
      </c>
      <c r="E103" s="88">
        <v>1045.45</v>
      </c>
      <c r="F103" s="97" t="s">
        <v>88</v>
      </c>
      <c r="G103" s="97">
        <v>45534</v>
      </c>
      <c r="H103" s="151" t="s">
        <v>94</v>
      </c>
      <c r="I103" s="85" t="s">
        <v>301</v>
      </c>
      <c r="J103" s="85" t="s">
        <v>979</v>
      </c>
      <c r="L103" s="85"/>
      <c r="M103" s="85" t="s">
        <v>857</v>
      </c>
      <c r="N103" s="85"/>
      <c r="P103" s="86"/>
      <c r="Q103" s="87">
        <f t="shared" si="1"/>
        <v>1045.45</v>
      </c>
      <c r="R103" s="85"/>
      <c r="S103" s="85"/>
    </row>
    <row r="104" spans="1:33" s="88" customFormat="1" ht="43.5" x14ac:dyDescent="0.35">
      <c r="A104" s="88" t="s">
        <v>35</v>
      </c>
      <c r="B104" s="88" t="s">
        <v>623</v>
      </c>
      <c r="C104" s="88" t="s">
        <v>6</v>
      </c>
      <c r="D104" s="87" t="s">
        <v>7</v>
      </c>
      <c r="E104" s="88">
        <v>1031.82</v>
      </c>
      <c r="F104" s="97" t="s">
        <v>88</v>
      </c>
      <c r="G104" s="97">
        <v>45589</v>
      </c>
      <c r="H104" s="151" t="s">
        <v>94</v>
      </c>
      <c r="I104" s="85" t="s">
        <v>296</v>
      </c>
      <c r="J104" s="85" t="s">
        <v>1115</v>
      </c>
      <c r="L104" s="85"/>
      <c r="M104" s="85" t="s">
        <v>1116</v>
      </c>
      <c r="N104" s="85"/>
      <c r="P104" s="86"/>
      <c r="Q104" s="87">
        <f t="shared" si="1"/>
        <v>1031.82</v>
      </c>
      <c r="R104" s="85"/>
      <c r="S104" s="85"/>
    </row>
    <row r="105" spans="1:33" s="88" customFormat="1" ht="43.5" x14ac:dyDescent="0.35">
      <c r="A105" s="35" t="s">
        <v>35</v>
      </c>
      <c r="B105" s="35" t="s">
        <v>599</v>
      </c>
      <c r="C105" s="35" t="s">
        <v>6</v>
      </c>
      <c r="D105" s="58" t="s">
        <v>7</v>
      </c>
      <c r="E105" s="35">
        <v>1026.3499999999999</v>
      </c>
      <c r="F105" s="29" t="s">
        <v>88</v>
      </c>
      <c r="G105" s="29">
        <v>45394</v>
      </c>
      <c r="H105" s="153" t="s">
        <v>94</v>
      </c>
      <c r="I105" s="59" t="s">
        <v>619</v>
      </c>
      <c r="J105" s="59" t="s">
        <v>620</v>
      </c>
      <c r="K105" s="35"/>
      <c r="L105" s="59"/>
      <c r="M105" s="59" t="s">
        <v>621</v>
      </c>
      <c r="N105" s="59"/>
      <c r="P105" s="5"/>
      <c r="Q105" s="3">
        <f t="shared" si="1"/>
        <v>1026.3499999999999</v>
      </c>
      <c r="R105" s="55"/>
      <c r="S105" s="55"/>
      <c r="T105"/>
      <c r="U105"/>
      <c r="V105"/>
      <c r="W105"/>
      <c r="X105"/>
      <c r="Y105"/>
      <c r="Z105"/>
      <c r="AA105"/>
      <c r="AB105"/>
      <c r="AC105"/>
      <c r="AD105"/>
      <c r="AE105"/>
      <c r="AF105"/>
      <c r="AG105"/>
    </row>
    <row r="106" spans="1:33" s="88" customFormat="1" ht="29" x14ac:dyDescent="0.35">
      <c r="A106" s="88" t="s">
        <v>35</v>
      </c>
      <c r="B106" s="88" t="s">
        <v>642</v>
      </c>
      <c r="C106" s="88" t="s">
        <v>6</v>
      </c>
      <c r="D106" s="87" t="s">
        <v>7</v>
      </c>
      <c r="E106" s="88">
        <v>1009.09</v>
      </c>
      <c r="F106" s="97" t="s">
        <v>88</v>
      </c>
      <c r="G106" s="97">
        <v>45554</v>
      </c>
      <c r="H106" s="151" t="s">
        <v>94</v>
      </c>
      <c r="I106" s="85" t="s">
        <v>1036</v>
      </c>
      <c r="J106" s="85" t="s">
        <v>1037</v>
      </c>
      <c r="L106" s="85"/>
      <c r="M106" s="85" t="s">
        <v>1038</v>
      </c>
      <c r="N106" s="85"/>
      <c r="P106" s="86"/>
      <c r="Q106" s="87">
        <f t="shared" si="1"/>
        <v>1009.09</v>
      </c>
      <c r="R106" s="85"/>
      <c r="S106" s="85"/>
    </row>
    <row r="107" spans="1:33" s="88" customFormat="1" x14ac:dyDescent="0.35">
      <c r="A107" s="88" t="s">
        <v>35</v>
      </c>
      <c r="B107" s="88" t="s">
        <v>947</v>
      </c>
      <c r="C107" s="88" t="s">
        <v>6</v>
      </c>
      <c r="D107" s="87" t="s">
        <v>7</v>
      </c>
      <c r="E107" s="88">
        <v>990</v>
      </c>
      <c r="F107" s="97" t="s">
        <v>88</v>
      </c>
      <c r="G107" s="97">
        <v>45520</v>
      </c>
      <c r="H107" s="151" t="s">
        <v>89</v>
      </c>
      <c r="I107" s="85" t="s">
        <v>948</v>
      </c>
      <c r="J107" s="85"/>
      <c r="K107" s="88" t="s">
        <v>949</v>
      </c>
      <c r="L107" s="85" t="s">
        <v>950</v>
      </c>
      <c r="M107" s="85" t="s">
        <v>951</v>
      </c>
      <c r="N107" s="85"/>
      <c r="O107" s="85"/>
      <c r="P107" s="86"/>
      <c r="Q107" s="87">
        <f t="shared" si="1"/>
        <v>990</v>
      </c>
      <c r="R107" s="85"/>
      <c r="S107" s="85"/>
    </row>
    <row r="108" spans="1:33" s="88" customFormat="1" ht="43.5" x14ac:dyDescent="0.35">
      <c r="A108" s="88" t="s">
        <v>35</v>
      </c>
      <c r="B108" s="88" t="s">
        <v>623</v>
      </c>
      <c r="C108" s="88" t="s">
        <v>6</v>
      </c>
      <c r="D108" s="87" t="s">
        <v>7</v>
      </c>
      <c r="E108" s="88">
        <v>981.82</v>
      </c>
      <c r="F108" s="97" t="s">
        <v>88</v>
      </c>
      <c r="G108" s="97">
        <v>45552</v>
      </c>
      <c r="H108" s="151" t="s">
        <v>94</v>
      </c>
      <c r="I108" s="85" t="s">
        <v>1014</v>
      </c>
      <c r="J108" s="85" t="s">
        <v>1015</v>
      </c>
      <c r="L108" s="85"/>
      <c r="M108" s="85" t="s">
        <v>1016</v>
      </c>
      <c r="N108" s="85"/>
      <c r="P108" s="86"/>
      <c r="Q108" s="87">
        <f t="shared" si="1"/>
        <v>981.82</v>
      </c>
      <c r="R108" s="85"/>
      <c r="S108" s="85"/>
    </row>
    <row r="109" spans="1:33" s="88" customFormat="1" ht="87" x14ac:dyDescent="0.35">
      <c r="A109" s="88" t="s">
        <v>35</v>
      </c>
      <c r="B109" s="88" t="s">
        <v>605</v>
      </c>
      <c r="C109" s="88" t="s">
        <v>6</v>
      </c>
      <c r="D109" s="87" t="s">
        <v>7</v>
      </c>
      <c r="E109" s="88">
        <v>962.17</v>
      </c>
      <c r="F109" s="97" t="s">
        <v>88</v>
      </c>
      <c r="G109" s="97">
        <v>45635</v>
      </c>
      <c r="H109" s="151" t="s">
        <v>94</v>
      </c>
      <c r="I109" s="85" t="s">
        <v>106</v>
      </c>
      <c r="J109" s="85" t="s">
        <v>1226</v>
      </c>
      <c r="L109" s="85"/>
      <c r="M109" s="85" t="s">
        <v>1227</v>
      </c>
      <c r="N109" s="85"/>
      <c r="P109" s="86"/>
      <c r="Q109" s="87">
        <f t="shared" si="1"/>
        <v>962.17</v>
      </c>
      <c r="R109" s="85"/>
      <c r="S109" s="85"/>
    </row>
    <row r="110" spans="1:33" s="88" customFormat="1" ht="72.5" x14ac:dyDescent="0.35">
      <c r="A110" s="88" t="s">
        <v>35</v>
      </c>
      <c r="B110" s="88" t="s">
        <v>605</v>
      </c>
      <c r="C110" s="88" t="s">
        <v>6</v>
      </c>
      <c r="D110" s="87" t="s">
        <v>7</v>
      </c>
      <c r="E110" s="88">
        <v>959.19</v>
      </c>
      <c r="F110" s="97" t="s">
        <v>88</v>
      </c>
      <c r="G110" s="97">
        <v>45635</v>
      </c>
      <c r="H110" s="151" t="s">
        <v>94</v>
      </c>
      <c r="I110" s="85" t="s">
        <v>106</v>
      </c>
      <c r="J110" s="85" t="s">
        <v>1228</v>
      </c>
      <c r="L110" s="85"/>
      <c r="M110" s="85" t="s">
        <v>1227</v>
      </c>
      <c r="N110" s="85"/>
      <c r="P110" s="86"/>
      <c r="Q110" s="87">
        <f t="shared" si="1"/>
        <v>959.19</v>
      </c>
      <c r="R110" s="85"/>
      <c r="S110" s="85"/>
    </row>
    <row r="111" spans="1:33" s="88" customFormat="1" ht="29" x14ac:dyDescent="0.35">
      <c r="A111" s="88" t="s">
        <v>35</v>
      </c>
      <c r="B111" s="88" t="s">
        <v>605</v>
      </c>
      <c r="C111" s="88" t="s">
        <v>6</v>
      </c>
      <c r="D111" s="87" t="s">
        <v>7</v>
      </c>
      <c r="E111" s="88">
        <v>955.95</v>
      </c>
      <c r="F111" s="97" t="s">
        <v>88</v>
      </c>
      <c r="G111" s="97">
        <v>45547</v>
      </c>
      <c r="H111" s="151" t="s">
        <v>89</v>
      </c>
      <c r="I111" s="85" t="s">
        <v>1009</v>
      </c>
      <c r="J111" s="85"/>
      <c r="K111" s="88" t="s">
        <v>1010</v>
      </c>
      <c r="L111" s="85" t="s">
        <v>1011</v>
      </c>
      <c r="M111" s="85" t="s">
        <v>117</v>
      </c>
      <c r="N111" s="85"/>
      <c r="O111" s="85"/>
      <c r="P111" s="86"/>
      <c r="Q111" s="87">
        <f t="shared" si="1"/>
        <v>955.95</v>
      </c>
      <c r="R111" s="85"/>
      <c r="S111" s="85"/>
    </row>
    <row r="112" spans="1:33" s="88" customFormat="1" x14ac:dyDescent="0.35">
      <c r="A112" s="88" t="s">
        <v>35</v>
      </c>
      <c r="B112" s="88" t="s">
        <v>703</v>
      </c>
      <c r="C112" s="88" t="s">
        <v>6</v>
      </c>
      <c r="D112" s="87" t="s">
        <v>7</v>
      </c>
      <c r="E112" s="88">
        <v>948.44</v>
      </c>
      <c r="F112" s="97" t="s">
        <v>88</v>
      </c>
      <c r="G112" s="97">
        <v>45620</v>
      </c>
      <c r="H112" s="151" t="s">
        <v>880</v>
      </c>
      <c r="I112" s="85" t="s">
        <v>1195</v>
      </c>
      <c r="J112" s="85"/>
      <c r="L112" s="85"/>
      <c r="M112" s="85"/>
      <c r="N112" s="85"/>
      <c r="O112" s="85"/>
      <c r="P112" s="86"/>
      <c r="Q112" s="87">
        <f t="shared" si="1"/>
        <v>948.44</v>
      </c>
      <c r="R112" s="85"/>
      <c r="S112" s="85"/>
    </row>
    <row r="113" spans="1:19" s="88" customFormat="1" x14ac:dyDescent="0.35">
      <c r="A113" s="88" t="s">
        <v>35</v>
      </c>
      <c r="B113" s="88" t="s">
        <v>703</v>
      </c>
      <c r="C113" s="88" t="s">
        <v>6</v>
      </c>
      <c r="D113" s="87" t="s">
        <v>7</v>
      </c>
      <c r="E113" s="88">
        <v>948.44</v>
      </c>
      <c r="F113" s="97" t="s">
        <v>88</v>
      </c>
      <c r="G113" s="97">
        <v>45641</v>
      </c>
      <c r="H113" s="151" t="s">
        <v>1260</v>
      </c>
      <c r="I113" s="85" t="s">
        <v>1195</v>
      </c>
      <c r="J113" s="85"/>
      <c r="L113" s="85"/>
      <c r="M113" s="85"/>
      <c r="N113" s="85"/>
      <c r="O113" s="85"/>
      <c r="P113" s="86"/>
      <c r="Q113" s="87">
        <f t="shared" si="1"/>
        <v>948.44</v>
      </c>
      <c r="R113" s="85"/>
      <c r="S113" s="85"/>
    </row>
    <row r="114" spans="1:19" s="88" customFormat="1" ht="29" x14ac:dyDescent="0.35">
      <c r="A114" s="93" t="s">
        <v>35</v>
      </c>
      <c r="B114" s="93" t="s">
        <v>613</v>
      </c>
      <c r="C114" s="93" t="s">
        <v>6</v>
      </c>
      <c r="D114" s="94" t="s">
        <v>7</v>
      </c>
      <c r="E114" s="93">
        <v>929.94</v>
      </c>
      <c r="F114" s="95" t="s">
        <v>88</v>
      </c>
      <c r="G114" s="95">
        <v>45414</v>
      </c>
      <c r="H114" s="152" t="s">
        <v>89</v>
      </c>
      <c r="I114" s="96" t="s">
        <v>669</v>
      </c>
      <c r="J114" s="96"/>
      <c r="K114" s="93" t="s">
        <v>670</v>
      </c>
      <c r="L114" s="96" t="s">
        <v>671</v>
      </c>
      <c r="M114" s="96" t="s">
        <v>103</v>
      </c>
      <c r="N114" s="96"/>
      <c r="O114" s="96"/>
      <c r="P114" s="86"/>
      <c r="Q114" s="87">
        <f t="shared" si="1"/>
        <v>929.94</v>
      </c>
      <c r="R114" s="85"/>
      <c r="S114" s="85"/>
    </row>
    <row r="115" spans="1:19" s="88" customFormat="1" ht="43.5" x14ac:dyDescent="0.35">
      <c r="A115" s="88" t="s">
        <v>35</v>
      </c>
      <c r="B115" s="88" t="s">
        <v>842</v>
      </c>
      <c r="C115" s="88" t="s">
        <v>6</v>
      </c>
      <c r="D115" s="87" t="s">
        <v>7</v>
      </c>
      <c r="E115" s="88">
        <v>895.41</v>
      </c>
      <c r="F115" s="97" t="s">
        <v>88</v>
      </c>
      <c r="G115" s="97">
        <v>45490</v>
      </c>
      <c r="H115" s="151" t="s">
        <v>94</v>
      </c>
      <c r="I115" s="85" t="s">
        <v>843</v>
      </c>
      <c r="J115" s="85" t="s">
        <v>844</v>
      </c>
      <c r="L115" s="85"/>
      <c r="M115" s="85" t="s">
        <v>845</v>
      </c>
      <c r="N115" s="85"/>
      <c r="P115" s="86"/>
      <c r="Q115" s="87">
        <f t="shared" si="1"/>
        <v>895.41</v>
      </c>
      <c r="R115" s="85"/>
      <c r="S115" s="85"/>
    </row>
    <row r="116" spans="1:19" s="88" customFormat="1" ht="43.5" x14ac:dyDescent="0.35">
      <c r="A116" s="88" t="s">
        <v>35</v>
      </c>
      <c r="B116" s="88" t="s">
        <v>677</v>
      </c>
      <c r="C116" s="88" t="s">
        <v>6</v>
      </c>
      <c r="D116" s="87" t="s">
        <v>7</v>
      </c>
      <c r="E116" s="88">
        <v>879.18</v>
      </c>
      <c r="F116" s="97" t="s">
        <v>88</v>
      </c>
      <c r="G116" s="97">
        <v>45477</v>
      </c>
      <c r="H116" s="151" t="s">
        <v>94</v>
      </c>
      <c r="I116" s="85" t="s">
        <v>748</v>
      </c>
      <c r="J116" s="85" t="s">
        <v>817</v>
      </c>
      <c r="L116" s="85"/>
      <c r="M116" s="85" t="s">
        <v>818</v>
      </c>
      <c r="N116" s="85"/>
      <c r="P116" s="86"/>
      <c r="Q116" s="87">
        <f t="shared" si="1"/>
        <v>879.18</v>
      </c>
      <c r="R116" s="85"/>
      <c r="S116" s="85"/>
    </row>
    <row r="117" spans="1:19" s="88" customFormat="1" ht="29" x14ac:dyDescent="0.35">
      <c r="A117" s="88" t="s">
        <v>35</v>
      </c>
      <c r="B117" s="88" t="s">
        <v>819</v>
      </c>
      <c r="C117" s="88" t="s">
        <v>6</v>
      </c>
      <c r="D117" s="87" t="s">
        <v>7</v>
      </c>
      <c r="E117" s="88">
        <v>879.18</v>
      </c>
      <c r="F117" s="97" t="s">
        <v>88</v>
      </c>
      <c r="G117" s="97">
        <v>45509</v>
      </c>
      <c r="H117" s="151" t="s">
        <v>94</v>
      </c>
      <c r="I117" s="85" t="s">
        <v>820</v>
      </c>
      <c r="J117" s="85" t="s">
        <v>906</v>
      </c>
      <c r="L117" s="85"/>
      <c r="M117" s="85" t="s">
        <v>818</v>
      </c>
      <c r="N117" s="85"/>
      <c r="P117" s="86"/>
      <c r="Q117" s="87">
        <f t="shared" si="1"/>
        <v>879.18</v>
      </c>
      <c r="R117" s="85"/>
      <c r="S117" s="85"/>
    </row>
    <row r="118" spans="1:19" s="88" customFormat="1" ht="87" x14ac:dyDescent="0.35">
      <c r="A118" s="88" t="s">
        <v>35</v>
      </c>
      <c r="B118" s="88" t="s">
        <v>605</v>
      </c>
      <c r="C118" s="88" t="s">
        <v>6</v>
      </c>
      <c r="D118" s="87" t="s">
        <v>7</v>
      </c>
      <c r="E118" s="88">
        <v>854.51</v>
      </c>
      <c r="F118" s="97" t="s">
        <v>88</v>
      </c>
      <c r="G118" s="97">
        <v>45586</v>
      </c>
      <c r="H118" s="151" t="s">
        <v>94</v>
      </c>
      <c r="I118" s="85" t="s">
        <v>133</v>
      </c>
      <c r="J118" s="85" t="s">
        <v>1101</v>
      </c>
      <c r="L118" s="85"/>
      <c r="M118" s="85" t="s">
        <v>1102</v>
      </c>
      <c r="N118" s="85"/>
      <c r="P118" s="86"/>
      <c r="Q118" s="87">
        <f t="shared" si="1"/>
        <v>854.51</v>
      </c>
      <c r="R118" s="85"/>
      <c r="S118" s="85"/>
    </row>
    <row r="119" spans="1:19" s="88" customFormat="1" ht="29" x14ac:dyDescent="0.35">
      <c r="A119" s="88" t="s">
        <v>35</v>
      </c>
      <c r="B119" s="88" t="s">
        <v>770</v>
      </c>
      <c r="C119" s="88" t="s">
        <v>6</v>
      </c>
      <c r="D119" s="87" t="s">
        <v>7</v>
      </c>
      <c r="E119" s="88">
        <v>826.25</v>
      </c>
      <c r="F119" s="97" t="s">
        <v>88</v>
      </c>
      <c r="G119" s="97">
        <v>45541</v>
      </c>
      <c r="H119" s="151" t="s">
        <v>89</v>
      </c>
      <c r="I119" s="85" t="s">
        <v>1000</v>
      </c>
      <c r="J119" s="85"/>
      <c r="K119" s="88" t="s">
        <v>720</v>
      </c>
      <c r="L119" s="85" t="s">
        <v>1002</v>
      </c>
      <c r="M119" s="85" t="s">
        <v>103</v>
      </c>
      <c r="N119" s="85"/>
      <c r="O119" s="85"/>
      <c r="P119" s="86"/>
      <c r="Q119" s="87">
        <f t="shared" si="1"/>
        <v>826.25</v>
      </c>
      <c r="R119" s="85"/>
      <c r="S119" s="85"/>
    </row>
    <row r="120" spans="1:19" s="88" customFormat="1" ht="29" x14ac:dyDescent="0.35">
      <c r="A120" s="93" t="s">
        <v>35</v>
      </c>
      <c r="B120" s="93" t="s">
        <v>653</v>
      </c>
      <c r="C120" s="93" t="s">
        <v>6</v>
      </c>
      <c r="D120" s="94" t="s">
        <v>7</v>
      </c>
      <c r="E120" s="93">
        <v>826.24</v>
      </c>
      <c r="F120" s="95" t="s">
        <v>88</v>
      </c>
      <c r="G120" s="95">
        <v>45446</v>
      </c>
      <c r="H120" s="152" t="s">
        <v>89</v>
      </c>
      <c r="I120" s="96" t="s">
        <v>719</v>
      </c>
      <c r="J120" s="96"/>
      <c r="K120" s="93" t="s">
        <v>720</v>
      </c>
      <c r="L120" s="96" t="s">
        <v>721</v>
      </c>
      <c r="M120" s="96" t="s">
        <v>103</v>
      </c>
      <c r="N120" s="96"/>
      <c r="O120" s="96"/>
      <c r="P120" s="86"/>
      <c r="Q120" s="87">
        <f t="shared" si="1"/>
        <v>826.24</v>
      </c>
      <c r="R120" s="85"/>
      <c r="S120" s="85"/>
    </row>
    <row r="121" spans="1:19" s="88" customFormat="1" x14ac:dyDescent="0.35">
      <c r="A121" s="88" t="s">
        <v>35</v>
      </c>
      <c r="B121" s="88" t="s">
        <v>653</v>
      </c>
      <c r="C121" s="88" t="s">
        <v>6</v>
      </c>
      <c r="D121" s="87" t="s">
        <v>7</v>
      </c>
      <c r="E121" s="88">
        <v>-826.24</v>
      </c>
      <c r="F121" s="97" t="s">
        <v>88</v>
      </c>
      <c r="G121" s="97">
        <v>45504</v>
      </c>
      <c r="H121" s="151" t="s">
        <v>901</v>
      </c>
      <c r="I121" s="85" t="s">
        <v>901</v>
      </c>
      <c r="J121" s="85"/>
      <c r="L121" s="85"/>
      <c r="M121" s="85"/>
      <c r="N121" s="85"/>
      <c r="O121" s="85"/>
      <c r="P121" s="86"/>
      <c r="Q121" s="87">
        <f t="shared" si="1"/>
        <v>826.24</v>
      </c>
      <c r="R121" s="85"/>
      <c r="S121" s="85"/>
    </row>
    <row r="122" spans="1:19" s="88" customFormat="1" x14ac:dyDescent="0.35">
      <c r="A122" s="88" t="s">
        <v>35</v>
      </c>
      <c r="B122" s="88" t="s">
        <v>655</v>
      </c>
      <c r="C122" s="88" t="s">
        <v>6</v>
      </c>
      <c r="D122" s="87" t="s">
        <v>7</v>
      </c>
      <c r="E122" s="88">
        <v>826.24</v>
      </c>
      <c r="F122" s="97" t="s">
        <v>88</v>
      </c>
      <c r="G122" s="97">
        <v>45504</v>
      </c>
      <c r="H122" s="151" t="s">
        <v>901</v>
      </c>
      <c r="I122" s="85" t="s">
        <v>901</v>
      </c>
      <c r="J122" s="85"/>
      <c r="L122" s="85"/>
      <c r="M122" s="85"/>
      <c r="N122" s="85"/>
      <c r="O122" s="85"/>
      <c r="P122" s="86"/>
      <c r="Q122" s="87">
        <f t="shared" si="1"/>
        <v>826.24</v>
      </c>
      <c r="R122" s="85"/>
      <c r="S122" s="85"/>
    </row>
    <row r="123" spans="1:19" s="88" customFormat="1" ht="29" x14ac:dyDescent="0.35">
      <c r="A123" s="93" t="s">
        <v>35</v>
      </c>
      <c r="B123" s="93" t="s">
        <v>677</v>
      </c>
      <c r="C123" s="93" t="s">
        <v>6</v>
      </c>
      <c r="D123" s="94" t="s">
        <v>7</v>
      </c>
      <c r="E123" s="93">
        <v>824.71</v>
      </c>
      <c r="F123" s="95" t="s">
        <v>88</v>
      </c>
      <c r="G123" s="95">
        <v>45425</v>
      </c>
      <c r="H123" s="152" t="s">
        <v>94</v>
      </c>
      <c r="I123" s="96" t="s">
        <v>102</v>
      </c>
      <c r="J123" s="96" t="s">
        <v>691</v>
      </c>
      <c r="K123" s="93"/>
      <c r="L123" s="96"/>
      <c r="M123" s="96" t="s">
        <v>692</v>
      </c>
      <c r="N123" s="96"/>
      <c r="P123" s="86"/>
      <c r="Q123" s="87">
        <f t="shared" si="1"/>
        <v>824.71</v>
      </c>
      <c r="R123" s="85"/>
      <c r="S123" s="85"/>
    </row>
    <row r="124" spans="1:19" s="88" customFormat="1" ht="29" x14ac:dyDescent="0.35">
      <c r="A124" s="93" t="s">
        <v>35</v>
      </c>
      <c r="B124" s="93" t="s">
        <v>677</v>
      </c>
      <c r="C124" s="93" t="s">
        <v>6</v>
      </c>
      <c r="D124" s="94" t="s">
        <v>7</v>
      </c>
      <c r="E124" s="93">
        <v>815.44</v>
      </c>
      <c r="F124" s="95" t="s">
        <v>88</v>
      </c>
      <c r="G124" s="95">
        <v>45435</v>
      </c>
      <c r="H124" s="152" t="s">
        <v>94</v>
      </c>
      <c r="I124" s="96" t="s">
        <v>102</v>
      </c>
      <c r="J124" s="96" t="s">
        <v>691</v>
      </c>
      <c r="K124" s="93"/>
      <c r="L124" s="96"/>
      <c r="M124" s="96" t="s">
        <v>692</v>
      </c>
      <c r="N124" s="96"/>
      <c r="P124" s="86"/>
      <c r="Q124" s="87">
        <f t="shared" si="1"/>
        <v>815.44</v>
      </c>
      <c r="R124" s="85"/>
      <c r="S124" s="85"/>
    </row>
    <row r="125" spans="1:19" s="88" customFormat="1" ht="72.5" x14ac:dyDescent="0.35">
      <c r="A125" s="88" t="s">
        <v>35</v>
      </c>
      <c r="B125" s="88" t="s">
        <v>623</v>
      </c>
      <c r="C125" s="88" t="s">
        <v>6</v>
      </c>
      <c r="D125" s="87" t="s">
        <v>7</v>
      </c>
      <c r="E125" s="88">
        <v>736.36</v>
      </c>
      <c r="F125" s="97" t="s">
        <v>88</v>
      </c>
      <c r="G125" s="97">
        <v>45476</v>
      </c>
      <c r="H125" s="151" t="s">
        <v>94</v>
      </c>
      <c r="I125" s="85" t="s">
        <v>814</v>
      </c>
      <c r="J125" s="85" t="s">
        <v>815</v>
      </c>
      <c r="L125" s="85"/>
      <c r="M125" s="85" t="s">
        <v>816</v>
      </c>
      <c r="N125" s="85"/>
      <c r="P125" s="86"/>
      <c r="Q125" s="87">
        <f t="shared" si="1"/>
        <v>736.36</v>
      </c>
      <c r="R125" s="85"/>
      <c r="S125" s="85"/>
    </row>
    <row r="126" spans="1:19" s="88" customFormat="1" ht="29" x14ac:dyDescent="0.35">
      <c r="A126" s="88" t="s">
        <v>35</v>
      </c>
      <c r="B126" s="88" t="s">
        <v>624</v>
      </c>
      <c r="C126" s="88" t="s">
        <v>6</v>
      </c>
      <c r="D126" s="87" t="s">
        <v>7</v>
      </c>
      <c r="E126" s="88">
        <v>692.05</v>
      </c>
      <c r="F126" s="97" t="s">
        <v>88</v>
      </c>
      <c r="G126" s="97">
        <v>45537</v>
      </c>
      <c r="H126" s="151" t="s">
        <v>94</v>
      </c>
      <c r="I126" s="85" t="s">
        <v>987</v>
      </c>
      <c r="J126" s="85" t="s">
        <v>988</v>
      </c>
      <c r="L126" s="85"/>
      <c r="M126" s="85" t="s">
        <v>627</v>
      </c>
      <c r="N126" s="85"/>
      <c r="P126" s="86"/>
      <c r="Q126" s="87">
        <f t="shared" si="1"/>
        <v>692.05</v>
      </c>
      <c r="R126" s="85"/>
      <c r="S126" s="85"/>
    </row>
    <row r="127" spans="1:19" s="88" customFormat="1" ht="29" x14ac:dyDescent="0.35">
      <c r="A127" s="88" t="s">
        <v>35</v>
      </c>
      <c r="B127" s="88" t="s">
        <v>838</v>
      </c>
      <c r="C127" s="88" t="s">
        <v>6</v>
      </c>
      <c r="D127" s="87" t="s">
        <v>7</v>
      </c>
      <c r="E127" s="88">
        <v>681.82</v>
      </c>
      <c r="F127" s="97" t="s">
        <v>88</v>
      </c>
      <c r="G127" s="97">
        <v>45488</v>
      </c>
      <c r="H127" s="151" t="s">
        <v>94</v>
      </c>
      <c r="I127" s="85" t="s">
        <v>839</v>
      </c>
      <c r="J127" s="85" t="s">
        <v>840</v>
      </c>
      <c r="L127" s="85"/>
      <c r="M127" s="85" t="s">
        <v>841</v>
      </c>
      <c r="N127" s="85"/>
      <c r="P127" s="86"/>
      <c r="Q127" s="87">
        <f t="shared" si="1"/>
        <v>681.82</v>
      </c>
      <c r="R127" s="85"/>
      <c r="S127" s="85"/>
    </row>
    <row r="128" spans="1:19" s="88" customFormat="1" ht="29" x14ac:dyDescent="0.35">
      <c r="A128" s="88" t="s">
        <v>35</v>
      </c>
      <c r="B128" s="88" t="s">
        <v>852</v>
      </c>
      <c r="C128" s="88" t="s">
        <v>6</v>
      </c>
      <c r="D128" s="87" t="s">
        <v>7</v>
      </c>
      <c r="E128" s="88">
        <v>681.82</v>
      </c>
      <c r="F128" s="97" t="s">
        <v>88</v>
      </c>
      <c r="G128" s="97">
        <v>45587</v>
      </c>
      <c r="H128" s="151" t="s">
        <v>94</v>
      </c>
      <c r="I128" s="85" t="s">
        <v>1113</v>
      </c>
      <c r="J128" s="85" t="s">
        <v>1114</v>
      </c>
      <c r="L128" s="85"/>
      <c r="M128" s="85" t="s">
        <v>841</v>
      </c>
      <c r="N128" s="85"/>
      <c r="P128" s="86"/>
      <c r="Q128" s="87">
        <f t="shared" si="1"/>
        <v>681.82</v>
      </c>
      <c r="R128" s="85"/>
      <c r="S128" s="85"/>
    </row>
    <row r="129" spans="1:33" s="88" customFormat="1" ht="43.5" x14ac:dyDescent="0.35">
      <c r="A129" s="35" t="s">
        <v>35</v>
      </c>
      <c r="B129" s="35" t="s">
        <v>624</v>
      </c>
      <c r="C129" s="35" t="s">
        <v>6</v>
      </c>
      <c r="D129" s="58" t="s">
        <v>7</v>
      </c>
      <c r="E129" s="35">
        <v>668.98</v>
      </c>
      <c r="F129" s="29" t="s">
        <v>88</v>
      </c>
      <c r="G129" s="29">
        <v>45399</v>
      </c>
      <c r="H129" s="153" t="s">
        <v>94</v>
      </c>
      <c r="I129" s="59" t="s">
        <v>625</v>
      </c>
      <c r="J129" s="59" t="s">
        <v>626</v>
      </c>
      <c r="K129" s="35"/>
      <c r="L129" s="59"/>
      <c r="M129" s="59" t="s">
        <v>627</v>
      </c>
      <c r="N129" s="59"/>
      <c r="P129" s="5"/>
      <c r="Q129" s="3">
        <f t="shared" si="1"/>
        <v>668.98</v>
      </c>
      <c r="R129" s="55"/>
      <c r="S129" s="55"/>
      <c r="T129"/>
      <c r="U129"/>
      <c r="V129"/>
      <c r="W129"/>
      <c r="X129"/>
      <c r="Y129"/>
      <c r="Z129"/>
      <c r="AA129"/>
      <c r="AB129"/>
      <c r="AC129"/>
      <c r="AD129"/>
      <c r="AE129"/>
      <c r="AF129"/>
      <c r="AG129"/>
    </row>
    <row r="130" spans="1:33" s="88" customFormat="1" ht="29" x14ac:dyDescent="0.35">
      <c r="A130" s="88" t="s">
        <v>35</v>
      </c>
      <c r="B130" s="88" t="s">
        <v>613</v>
      </c>
      <c r="C130" s="88" t="s">
        <v>6</v>
      </c>
      <c r="D130" s="87" t="s">
        <v>7</v>
      </c>
      <c r="E130" s="88">
        <v>668.88</v>
      </c>
      <c r="F130" s="97" t="s">
        <v>88</v>
      </c>
      <c r="G130" s="97">
        <v>45541</v>
      </c>
      <c r="H130" s="151" t="s">
        <v>89</v>
      </c>
      <c r="I130" s="85" t="s">
        <v>1000</v>
      </c>
      <c r="J130" s="85"/>
      <c r="K130" s="88" t="s">
        <v>720</v>
      </c>
      <c r="L130" s="85" t="s">
        <v>1002</v>
      </c>
      <c r="M130" s="85" t="s">
        <v>103</v>
      </c>
      <c r="N130" s="85"/>
      <c r="O130" s="85"/>
      <c r="P130" s="86"/>
      <c r="Q130" s="87">
        <f t="shared" si="1"/>
        <v>668.88</v>
      </c>
      <c r="R130" s="85"/>
      <c r="S130" s="85"/>
    </row>
    <row r="131" spans="1:33" s="88" customFormat="1" ht="29" x14ac:dyDescent="0.35">
      <c r="A131" s="88" t="s">
        <v>35</v>
      </c>
      <c r="B131" s="88" t="s">
        <v>614</v>
      </c>
      <c r="C131" s="88" t="s">
        <v>6</v>
      </c>
      <c r="D131" s="87" t="s">
        <v>7</v>
      </c>
      <c r="E131" s="88">
        <v>-668.47</v>
      </c>
      <c r="F131" s="97" t="s">
        <v>88</v>
      </c>
      <c r="G131" s="97">
        <v>45534</v>
      </c>
      <c r="H131" s="151" t="s">
        <v>94</v>
      </c>
      <c r="I131" s="85" t="s">
        <v>759</v>
      </c>
      <c r="J131" s="85" t="s">
        <v>978</v>
      </c>
      <c r="L131" s="85"/>
      <c r="M131" s="85" t="s">
        <v>761</v>
      </c>
      <c r="N131" s="85"/>
      <c r="P131" s="86"/>
      <c r="Q131" s="87">
        <f t="shared" si="1"/>
        <v>668.47</v>
      </c>
      <c r="R131" s="85"/>
      <c r="S131" s="85"/>
    </row>
    <row r="132" spans="1:33" s="88" customFormat="1" ht="29" x14ac:dyDescent="0.35">
      <c r="A132" s="88" t="s">
        <v>35</v>
      </c>
      <c r="B132" s="88" t="s">
        <v>642</v>
      </c>
      <c r="C132" s="88" t="s">
        <v>6</v>
      </c>
      <c r="D132" s="87" t="s">
        <v>7</v>
      </c>
      <c r="E132" s="88">
        <v>663.53</v>
      </c>
      <c r="F132" s="97" t="s">
        <v>88</v>
      </c>
      <c r="G132" s="97">
        <v>45594</v>
      </c>
      <c r="H132" s="151" t="s">
        <v>94</v>
      </c>
      <c r="I132" s="85" t="s">
        <v>778</v>
      </c>
      <c r="J132" s="85" t="s">
        <v>1121</v>
      </c>
      <c r="L132" s="85"/>
      <c r="M132" s="85" t="s">
        <v>1122</v>
      </c>
      <c r="N132" s="85"/>
      <c r="P132" s="86"/>
      <c r="Q132" s="87">
        <f t="shared" si="1"/>
        <v>663.53</v>
      </c>
      <c r="R132" s="85"/>
      <c r="S132" s="85"/>
    </row>
    <row r="133" spans="1:33" s="88" customFormat="1" ht="29" x14ac:dyDescent="0.35">
      <c r="A133" s="93" t="s">
        <v>35</v>
      </c>
      <c r="B133" s="93" t="s">
        <v>633</v>
      </c>
      <c r="C133" s="93" t="s">
        <v>6</v>
      </c>
      <c r="D133" s="94" t="s">
        <v>7</v>
      </c>
      <c r="E133" s="93">
        <v>647.17999999999995</v>
      </c>
      <c r="F133" s="95" t="s">
        <v>88</v>
      </c>
      <c r="G133" s="95">
        <v>45401</v>
      </c>
      <c r="H133" s="152" t="s">
        <v>94</v>
      </c>
      <c r="I133" s="96" t="s">
        <v>116</v>
      </c>
      <c r="J133" s="96" t="s">
        <v>634</v>
      </c>
      <c r="K133" s="93"/>
      <c r="L133" s="96"/>
      <c r="M133" s="96" t="s">
        <v>635</v>
      </c>
      <c r="N133" s="96"/>
      <c r="P133" s="86"/>
      <c r="Q133" s="87">
        <f t="shared" si="1"/>
        <v>647.17999999999995</v>
      </c>
      <c r="R133" s="85"/>
      <c r="S133" s="85"/>
    </row>
    <row r="134" spans="1:33" s="88" customFormat="1" ht="58" x14ac:dyDescent="0.35">
      <c r="A134" s="88" t="s">
        <v>35</v>
      </c>
      <c r="B134" s="88" t="s">
        <v>1041</v>
      </c>
      <c r="C134" s="88" t="s">
        <v>6</v>
      </c>
      <c r="D134" s="87" t="s">
        <v>7</v>
      </c>
      <c r="E134" s="88">
        <v>636.36</v>
      </c>
      <c r="F134" s="97" t="s">
        <v>88</v>
      </c>
      <c r="G134" s="97">
        <v>45600</v>
      </c>
      <c r="H134" s="151" t="s">
        <v>94</v>
      </c>
      <c r="I134" s="85" t="s">
        <v>829</v>
      </c>
      <c r="J134" s="85" t="s">
        <v>1142</v>
      </c>
      <c r="L134" s="85"/>
      <c r="M134" s="85" t="s">
        <v>1143</v>
      </c>
      <c r="N134" s="85"/>
      <c r="P134" s="86"/>
      <c r="Q134" s="87">
        <f t="shared" si="1"/>
        <v>636.36</v>
      </c>
      <c r="R134" s="85"/>
      <c r="S134" s="85"/>
    </row>
    <row r="135" spans="1:33" s="88" customFormat="1" ht="29" x14ac:dyDescent="0.35">
      <c r="A135" s="88" t="s">
        <v>35</v>
      </c>
      <c r="B135" s="88" t="s">
        <v>642</v>
      </c>
      <c r="C135" s="88" t="s">
        <v>6</v>
      </c>
      <c r="D135" s="87" t="s">
        <v>7</v>
      </c>
      <c r="E135" s="88">
        <v>618.17999999999995</v>
      </c>
      <c r="F135" s="97" t="s">
        <v>88</v>
      </c>
      <c r="G135" s="97">
        <v>45460</v>
      </c>
      <c r="H135" s="151" t="s">
        <v>94</v>
      </c>
      <c r="I135" s="85" t="s">
        <v>650</v>
      </c>
      <c r="J135" s="85" t="s">
        <v>752</v>
      </c>
      <c r="L135" s="85"/>
      <c r="M135" s="85" t="s">
        <v>652</v>
      </c>
      <c r="N135" s="85"/>
      <c r="P135" s="86"/>
      <c r="Q135" s="87">
        <f t="shared" si="1"/>
        <v>618.17999999999995</v>
      </c>
      <c r="R135" s="85"/>
      <c r="S135" s="85" t="s">
        <v>53</v>
      </c>
      <c r="T135" s="88" t="s">
        <v>64</v>
      </c>
      <c r="U135" s="88" t="str">
        <f>B135</f>
        <v>AU070150</v>
      </c>
      <c r="V135" s="88">
        <f>E135</f>
        <v>618.17999999999995</v>
      </c>
    </row>
    <row r="136" spans="1:33" s="88" customFormat="1" ht="29" x14ac:dyDescent="0.35">
      <c r="A136" s="93" t="s">
        <v>35</v>
      </c>
      <c r="B136" s="93" t="s">
        <v>633</v>
      </c>
      <c r="C136" s="93" t="s">
        <v>6</v>
      </c>
      <c r="D136" s="94" t="s">
        <v>7</v>
      </c>
      <c r="E136" s="93">
        <v>611.58000000000004</v>
      </c>
      <c r="F136" s="95" t="s">
        <v>88</v>
      </c>
      <c r="G136" s="95">
        <v>45441</v>
      </c>
      <c r="H136" s="152" t="s">
        <v>94</v>
      </c>
      <c r="I136" s="96" t="s">
        <v>132</v>
      </c>
      <c r="J136" s="96" t="s">
        <v>712</v>
      </c>
      <c r="K136" s="93"/>
      <c r="L136" s="96"/>
      <c r="M136" s="96" t="s">
        <v>692</v>
      </c>
      <c r="N136" s="96"/>
      <c r="P136" s="86"/>
      <c r="Q136" s="87">
        <f t="shared" ref="Q136:Q199" si="2">ABS(E136)</f>
        <v>611.58000000000004</v>
      </c>
      <c r="R136" s="85"/>
      <c r="S136" s="85"/>
    </row>
    <row r="137" spans="1:33" s="88" customFormat="1" ht="29" x14ac:dyDescent="0.35">
      <c r="A137" s="88" t="s">
        <v>35</v>
      </c>
      <c r="B137" s="88" t="s">
        <v>819</v>
      </c>
      <c r="C137" s="88" t="s">
        <v>6</v>
      </c>
      <c r="D137" s="87" t="s">
        <v>7</v>
      </c>
      <c r="E137" s="88">
        <v>605.21</v>
      </c>
      <c r="F137" s="97" t="s">
        <v>88</v>
      </c>
      <c r="G137" s="97">
        <v>45478</v>
      </c>
      <c r="H137" s="151" t="s">
        <v>94</v>
      </c>
      <c r="I137" s="85" t="s">
        <v>820</v>
      </c>
      <c r="J137" s="85" t="s">
        <v>821</v>
      </c>
      <c r="L137" s="85"/>
      <c r="M137" s="85" t="s">
        <v>822</v>
      </c>
      <c r="N137" s="85"/>
      <c r="P137" s="86"/>
      <c r="Q137" s="87">
        <f t="shared" si="2"/>
        <v>605.21</v>
      </c>
      <c r="R137" s="85"/>
      <c r="S137" s="85"/>
    </row>
    <row r="138" spans="1:33" s="88" customFormat="1" ht="58" x14ac:dyDescent="0.35">
      <c r="A138" s="88" t="s">
        <v>35</v>
      </c>
      <c r="B138" s="88" t="s">
        <v>909</v>
      </c>
      <c r="C138" s="88" t="s">
        <v>6</v>
      </c>
      <c r="D138" s="87" t="s">
        <v>7</v>
      </c>
      <c r="E138" s="88">
        <v>605.21</v>
      </c>
      <c r="F138" s="97" t="s">
        <v>88</v>
      </c>
      <c r="G138" s="97">
        <v>45509</v>
      </c>
      <c r="H138" s="151" t="s">
        <v>94</v>
      </c>
      <c r="I138" s="85" t="s">
        <v>910</v>
      </c>
      <c r="J138" s="85" t="s">
        <v>911</v>
      </c>
      <c r="L138" s="85"/>
      <c r="M138" s="85" t="s">
        <v>912</v>
      </c>
      <c r="N138" s="85"/>
      <c r="P138" s="86"/>
      <c r="Q138" s="87">
        <f t="shared" si="2"/>
        <v>605.21</v>
      </c>
      <c r="R138" s="85"/>
      <c r="S138" s="85"/>
    </row>
    <row r="139" spans="1:33" s="88" customFormat="1" ht="58" x14ac:dyDescent="0.35">
      <c r="A139" s="88" t="s">
        <v>35</v>
      </c>
      <c r="B139" s="88" t="s">
        <v>677</v>
      </c>
      <c r="C139" s="88" t="s">
        <v>6</v>
      </c>
      <c r="D139" s="87" t="s">
        <v>7</v>
      </c>
      <c r="E139" s="88">
        <v>601.6</v>
      </c>
      <c r="F139" s="97" t="s">
        <v>88</v>
      </c>
      <c r="G139" s="97">
        <v>45457</v>
      </c>
      <c r="H139" s="151" t="s">
        <v>94</v>
      </c>
      <c r="I139" s="85" t="s">
        <v>748</v>
      </c>
      <c r="J139" s="85" t="s">
        <v>751</v>
      </c>
      <c r="L139" s="85"/>
      <c r="M139" s="85" t="s">
        <v>678</v>
      </c>
      <c r="N139" s="85"/>
      <c r="P139" s="86"/>
      <c r="Q139" s="87">
        <f t="shared" si="2"/>
        <v>601.6</v>
      </c>
      <c r="R139" s="85"/>
      <c r="S139" s="85"/>
    </row>
    <row r="140" spans="1:33" s="88" customFormat="1" ht="43.5" x14ac:dyDescent="0.35">
      <c r="A140" s="88" t="s">
        <v>35</v>
      </c>
      <c r="B140" s="88" t="s">
        <v>883</v>
      </c>
      <c r="C140" s="88" t="s">
        <v>6</v>
      </c>
      <c r="D140" s="87" t="s">
        <v>7</v>
      </c>
      <c r="E140" s="88">
        <v>600</v>
      </c>
      <c r="F140" s="97" t="s">
        <v>88</v>
      </c>
      <c r="G140" s="97">
        <v>45537</v>
      </c>
      <c r="H140" s="151" t="s">
        <v>94</v>
      </c>
      <c r="I140" s="85" t="s">
        <v>126</v>
      </c>
      <c r="J140" s="85" t="s">
        <v>990</v>
      </c>
      <c r="L140" s="85"/>
      <c r="M140" s="85" t="s">
        <v>991</v>
      </c>
      <c r="N140" s="85"/>
      <c r="P140" s="86"/>
      <c r="Q140" s="87">
        <f t="shared" si="2"/>
        <v>600</v>
      </c>
      <c r="R140" s="85"/>
      <c r="S140" s="85"/>
    </row>
    <row r="141" spans="1:33" s="88" customFormat="1" ht="43.5" x14ac:dyDescent="0.35">
      <c r="A141" s="88" t="s">
        <v>35</v>
      </c>
      <c r="B141" s="88" t="s">
        <v>605</v>
      </c>
      <c r="C141" s="88" t="s">
        <v>6</v>
      </c>
      <c r="D141" s="87" t="s">
        <v>7</v>
      </c>
      <c r="E141" s="88">
        <v>598</v>
      </c>
      <c r="F141" s="97" t="s">
        <v>88</v>
      </c>
      <c r="G141" s="97">
        <v>45516</v>
      </c>
      <c r="H141" s="151" t="s">
        <v>94</v>
      </c>
      <c r="I141" s="85" t="s">
        <v>926</v>
      </c>
      <c r="J141" s="85" t="s">
        <v>927</v>
      </c>
      <c r="L141" s="85"/>
      <c r="M141" s="85" t="s">
        <v>928</v>
      </c>
      <c r="N141" s="85"/>
      <c r="P141" s="86"/>
      <c r="Q141" s="87">
        <f t="shared" si="2"/>
        <v>598</v>
      </c>
      <c r="R141" s="85"/>
      <c r="S141" s="85"/>
    </row>
    <row r="142" spans="1:33" s="88" customFormat="1" ht="29" x14ac:dyDescent="0.35">
      <c r="A142" s="88" t="s">
        <v>35</v>
      </c>
      <c r="B142" s="88" t="s">
        <v>1041</v>
      </c>
      <c r="C142" s="88" t="s">
        <v>6</v>
      </c>
      <c r="D142" s="87" t="s">
        <v>7</v>
      </c>
      <c r="E142" s="88">
        <v>595.45000000000005</v>
      </c>
      <c r="F142" s="97" t="s">
        <v>88</v>
      </c>
      <c r="G142" s="97">
        <v>45555</v>
      </c>
      <c r="H142" s="151" t="s">
        <v>94</v>
      </c>
      <c r="I142" s="85" t="s">
        <v>759</v>
      </c>
      <c r="J142" s="85" t="s">
        <v>1042</v>
      </c>
      <c r="L142" s="85"/>
      <c r="M142" s="85"/>
      <c r="N142" s="85"/>
      <c r="O142" s="85" t="s">
        <v>758</v>
      </c>
      <c r="P142" s="86"/>
      <c r="Q142" s="87">
        <f t="shared" si="2"/>
        <v>595.45000000000005</v>
      </c>
      <c r="R142" s="85"/>
      <c r="S142" s="85"/>
    </row>
    <row r="143" spans="1:33" s="88" customFormat="1" ht="43.5" x14ac:dyDescent="0.35">
      <c r="A143" s="93" t="s">
        <v>35</v>
      </c>
      <c r="B143" s="93" t="s">
        <v>599</v>
      </c>
      <c r="C143" s="93" t="s">
        <v>6</v>
      </c>
      <c r="D143" s="94" t="s">
        <v>7</v>
      </c>
      <c r="E143" s="93">
        <v>590.42999999999995</v>
      </c>
      <c r="F143" s="95" t="s">
        <v>88</v>
      </c>
      <c r="G143" s="95">
        <v>45425</v>
      </c>
      <c r="H143" s="152" t="s">
        <v>94</v>
      </c>
      <c r="I143" s="96" t="s">
        <v>688</v>
      </c>
      <c r="J143" s="96" t="s">
        <v>689</v>
      </c>
      <c r="K143" s="93"/>
      <c r="L143" s="96"/>
      <c r="M143" s="96"/>
      <c r="N143" s="96"/>
      <c r="O143" s="96" t="s">
        <v>690</v>
      </c>
      <c r="P143" s="86"/>
      <c r="Q143" s="87">
        <f t="shared" si="2"/>
        <v>590.42999999999995</v>
      </c>
      <c r="R143" s="85"/>
      <c r="S143" s="85"/>
    </row>
    <row r="144" spans="1:33" s="88" customFormat="1" ht="29" x14ac:dyDescent="0.35">
      <c r="A144" s="93" t="s">
        <v>35</v>
      </c>
      <c r="B144" s="93" t="s">
        <v>677</v>
      </c>
      <c r="C144" s="93" t="s">
        <v>6</v>
      </c>
      <c r="D144" s="94" t="s">
        <v>7</v>
      </c>
      <c r="E144" s="93">
        <v>584.93999999999994</v>
      </c>
      <c r="F144" s="95" t="s">
        <v>88</v>
      </c>
      <c r="G144" s="95">
        <v>45446</v>
      </c>
      <c r="H144" s="152" t="s">
        <v>94</v>
      </c>
      <c r="I144" s="96" t="s">
        <v>98</v>
      </c>
      <c r="J144" s="96" t="s">
        <v>99</v>
      </c>
      <c r="K144" s="93"/>
      <c r="L144" s="96"/>
      <c r="M144" s="96"/>
      <c r="N144" s="96"/>
      <c r="O144" s="96" t="s">
        <v>678</v>
      </c>
      <c r="P144" s="86"/>
      <c r="Q144" s="87">
        <f t="shared" si="2"/>
        <v>584.93999999999994</v>
      </c>
      <c r="R144" s="85"/>
      <c r="S144" s="85"/>
    </row>
    <row r="145" spans="1:19" s="88" customFormat="1" x14ac:dyDescent="0.35">
      <c r="A145" s="88" t="s">
        <v>35</v>
      </c>
      <c r="B145" s="88" t="s">
        <v>1189</v>
      </c>
      <c r="C145" s="88" t="s">
        <v>6</v>
      </c>
      <c r="D145" s="87" t="s">
        <v>7</v>
      </c>
      <c r="E145" s="88">
        <v>581.49</v>
      </c>
      <c r="F145" s="97" t="s">
        <v>88</v>
      </c>
      <c r="G145" s="97">
        <v>45617</v>
      </c>
      <c r="H145" s="151" t="s">
        <v>89</v>
      </c>
      <c r="I145" s="85" t="s">
        <v>1190</v>
      </c>
      <c r="J145" s="85"/>
      <c r="K145" s="88" t="s">
        <v>1191</v>
      </c>
      <c r="L145" s="85" t="s">
        <v>1192</v>
      </c>
      <c r="M145" s="85" t="s">
        <v>1193</v>
      </c>
      <c r="N145" s="85"/>
      <c r="O145" s="85"/>
      <c r="P145" s="86"/>
      <c r="Q145" s="87">
        <f t="shared" si="2"/>
        <v>581.49</v>
      </c>
      <c r="R145" s="85"/>
      <c r="S145" s="85"/>
    </row>
    <row r="146" spans="1:19" s="88" customFormat="1" ht="29" x14ac:dyDescent="0.35">
      <c r="A146" s="88" t="s">
        <v>35</v>
      </c>
      <c r="B146" s="88" t="s">
        <v>599</v>
      </c>
      <c r="C146" s="88" t="s">
        <v>6</v>
      </c>
      <c r="D146" s="87" t="s">
        <v>7</v>
      </c>
      <c r="E146" s="88">
        <v>-580</v>
      </c>
      <c r="F146" s="97" t="s">
        <v>88</v>
      </c>
      <c r="G146" s="97">
        <v>45504</v>
      </c>
      <c r="H146" s="151" t="s">
        <v>94</v>
      </c>
      <c r="I146" s="85" t="s">
        <v>688</v>
      </c>
      <c r="J146" s="85" t="s">
        <v>892</v>
      </c>
      <c r="L146" s="85"/>
      <c r="M146" s="85" t="s">
        <v>690</v>
      </c>
      <c r="N146" s="85"/>
      <c r="P146" s="86"/>
      <c r="Q146" s="87">
        <f t="shared" si="2"/>
        <v>580</v>
      </c>
      <c r="R146" s="85"/>
      <c r="S146" s="85"/>
    </row>
    <row r="147" spans="1:19" s="88" customFormat="1" ht="43.5" x14ac:dyDescent="0.35">
      <c r="A147" s="88" t="s">
        <v>35</v>
      </c>
      <c r="B147" s="88" t="s">
        <v>768</v>
      </c>
      <c r="C147" s="88" t="s">
        <v>6</v>
      </c>
      <c r="D147" s="87" t="s">
        <v>7</v>
      </c>
      <c r="E147" s="88">
        <v>570.41999999999996</v>
      </c>
      <c r="F147" s="97" t="s">
        <v>88</v>
      </c>
      <c r="G147" s="97">
        <v>45509</v>
      </c>
      <c r="H147" s="151" t="s">
        <v>94</v>
      </c>
      <c r="I147" s="85" t="s">
        <v>357</v>
      </c>
      <c r="J147" s="85" t="s">
        <v>907</v>
      </c>
      <c r="L147" s="85"/>
      <c r="M147" s="85" t="s">
        <v>908</v>
      </c>
      <c r="N147" s="85"/>
      <c r="P147" s="86"/>
      <c r="Q147" s="87">
        <f t="shared" si="2"/>
        <v>570.41999999999996</v>
      </c>
      <c r="R147" s="85"/>
      <c r="S147" s="85"/>
    </row>
    <row r="148" spans="1:19" s="88" customFormat="1" ht="29" x14ac:dyDescent="0.35">
      <c r="A148" s="88" t="s">
        <v>35</v>
      </c>
      <c r="B148" s="88" t="s">
        <v>613</v>
      </c>
      <c r="C148" s="88" t="s">
        <v>6</v>
      </c>
      <c r="D148" s="87" t="s">
        <v>7</v>
      </c>
      <c r="E148" s="88">
        <v>570</v>
      </c>
      <c r="F148" s="97" t="s">
        <v>88</v>
      </c>
      <c r="G148" s="97">
        <v>45476</v>
      </c>
      <c r="H148" s="151" t="s">
        <v>89</v>
      </c>
      <c r="I148" s="85" t="s">
        <v>810</v>
      </c>
      <c r="J148" s="85"/>
      <c r="K148" s="88" t="s">
        <v>720</v>
      </c>
      <c r="L148" s="85" t="s">
        <v>811</v>
      </c>
      <c r="M148" s="85" t="s">
        <v>103</v>
      </c>
      <c r="N148" s="85"/>
      <c r="O148" s="85"/>
      <c r="P148" s="86"/>
      <c r="Q148" s="87">
        <f t="shared" si="2"/>
        <v>570</v>
      </c>
      <c r="R148" s="85"/>
      <c r="S148" s="85"/>
    </row>
    <row r="149" spans="1:19" s="88" customFormat="1" ht="29" x14ac:dyDescent="0.35">
      <c r="A149" s="88" t="s">
        <v>35</v>
      </c>
      <c r="B149" s="88" t="s">
        <v>599</v>
      </c>
      <c r="C149" s="88" t="s">
        <v>6</v>
      </c>
      <c r="D149" s="87" t="s">
        <v>7</v>
      </c>
      <c r="E149" s="88">
        <v>570</v>
      </c>
      <c r="F149" s="97" t="s">
        <v>88</v>
      </c>
      <c r="G149" s="97">
        <v>45597</v>
      </c>
      <c r="H149" s="151" t="s">
        <v>89</v>
      </c>
      <c r="I149" s="85" t="s">
        <v>1137</v>
      </c>
      <c r="J149" s="85"/>
      <c r="K149" s="88" t="s">
        <v>720</v>
      </c>
      <c r="L149" s="85" t="s">
        <v>1138</v>
      </c>
      <c r="M149" s="85" t="s">
        <v>103</v>
      </c>
      <c r="N149" s="85"/>
      <c r="O149" s="85"/>
      <c r="P149" s="86"/>
      <c r="Q149" s="87">
        <f t="shared" si="2"/>
        <v>570</v>
      </c>
      <c r="R149" s="85"/>
      <c r="S149" s="85"/>
    </row>
    <row r="150" spans="1:19" s="88" customFormat="1" ht="29" x14ac:dyDescent="0.35">
      <c r="A150" s="88" t="s">
        <v>35</v>
      </c>
      <c r="B150" s="88" t="s">
        <v>599</v>
      </c>
      <c r="C150" s="88" t="s">
        <v>6</v>
      </c>
      <c r="D150" s="87" t="s">
        <v>7</v>
      </c>
      <c r="E150" s="88">
        <v>570</v>
      </c>
      <c r="F150" s="97" t="s">
        <v>88</v>
      </c>
      <c r="G150" s="97">
        <v>45629</v>
      </c>
      <c r="H150" s="151" t="s">
        <v>89</v>
      </c>
      <c r="I150" s="85" t="s">
        <v>1205</v>
      </c>
      <c r="J150" s="85"/>
      <c r="K150" s="88" t="s">
        <v>720</v>
      </c>
      <c r="L150" s="85" t="s">
        <v>1207</v>
      </c>
      <c r="M150" s="85" t="s">
        <v>103</v>
      </c>
      <c r="N150" s="85"/>
      <c r="O150" s="85"/>
      <c r="P150" s="86"/>
      <c r="Q150" s="87">
        <f t="shared" si="2"/>
        <v>570</v>
      </c>
      <c r="R150" s="85"/>
      <c r="S150" s="85"/>
    </row>
    <row r="151" spans="1:19" s="88" customFormat="1" ht="29" x14ac:dyDescent="0.35">
      <c r="A151" s="88" t="s">
        <v>35</v>
      </c>
      <c r="B151" s="88" t="s">
        <v>642</v>
      </c>
      <c r="C151" s="88" t="s">
        <v>6</v>
      </c>
      <c r="D151" s="87" t="s">
        <v>7</v>
      </c>
      <c r="E151" s="88">
        <v>520.41999999999996</v>
      </c>
      <c r="F151" s="97" t="s">
        <v>88</v>
      </c>
      <c r="G151" s="97">
        <v>45468</v>
      </c>
      <c r="H151" s="151" t="s">
        <v>94</v>
      </c>
      <c r="I151" s="85" t="s">
        <v>781</v>
      </c>
      <c r="J151" s="85" t="s">
        <v>782</v>
      </c>
      <c r="L151" s="85"/>
      <c r="M151" s="85" t="s">
        <v>627</v>
      </c>
      <c r="N151" s="85"/>
      <c r="P151" s="86"/>
      <c r="Q151" s="87">
        <f t="shared" si="2"/>
        <v>520.41999999999996</v>
      </c>
      <c r="R151" s="85"/>
      <c r="S151" s="85"/>
    </row>
    <row r="152" spans="1:19" s="88" customFormat="1" ht="43.5" x14ac:dyDescent="0.35">
      <c r="A152" s="88" t="s">
        <v>35</v>
      </c>
      <c r="B152" s="88" t="s">
        <v>677</v>
      </c>
      <c r="C152" s="88" t="s">
        <v>6</v>
      </c>
      <c r="D152" s="87" t="s">
        <v>7</v>
      </c>
      <c r="E152" s="88">
        <v>510.9</v>
      </c>
      <c r="F152" s="97" t="s">
        <v>88</v>
      </c>
      <c r="G152" s="97">
        <v>45609</v>
      </c>
      <c r="H152" s="151" t="s">
        <v>94</v>
      </c>
      <c r="I152" s="85" t="s">
        <v>748</v>
      </c>
      <c r="J152" s="85" t="s">
        <v>1161</v>
      </c>
      <c r="L152" s="85"/>
      <c r="M152" s="85" t="s">
        <v>1162</v>
      </c>
      <c r="N152" s="85"/>
      <c r="P152" s="86"/>
      <c r="Q152" s="87">
        <f t="shared" si="2"/>
        <v>510.9</v>
      </c>
      <c r="R152" s="85"/>
      <c r="S152" s="85"/>
    </row>
    <row r="153" spans="1:19" s="88" customFormat="1" ht="29" x14ac:dyDescent="0.35">
      <c r="A153" s="88" t="s">
        <v>35</v>
      </c>
      <c r="B153" s="88" t="s">
        <v>642</v>
      </c>
      <c r="C153" s="88" t="s">
        <v>6</v>
      </c>
      <c r="D153" s="87" t="s">
        <v>7</v>
      </c>
      <c r="E153" s="88">
        <v>509.09</v>
      </c>
      <c r="F153" s="97" t="s">
        <v>88</v>
      </c>
      <c r="G153" s="97">
        <v>45616</v>
      </c>
      <c r="H153" s="151" t="s">
        <v>94</v>
      </c>
      <c r="I153" s="85" t="s">
        <v>1187</v>
      </c>
      <c r="J153" s="85" t="s">
        <v>1188</v>
      </c>
      <c r="L153" s="85"/>
      <c r="M153" s="85" t="s">
        <v>743</v>
      </c>
      <c r="N153" s="85"/>
      <c r="P153" s="86"/>
      <c r="Q153" s="87">
        <f t="shared" si="2"/>
        <v>509.09</v>
      </c>
      <c r="R153" s="85"/>
      <c r="S153" s="85"/>
    </row>
    <row r="154" spans="1:19" s="88" customFormat="1" ht="29" x14ac:dyDescent="0.35">
      <c r="A154" s="88" t="s">
        <v>35</v>
      </c>
      <c r="B154" s="88" t="s">
        <v>732</v>
      </c>
      <c r="C154" s="88" t="s">
        <v>6</v>
      </c>
      <c r="D154" s="87" t="s">
        <v>7</v>
      </c>
      <c r="E154" s="88">
        <v>508</v>
      </c>
      <c r="F154" s="97" t="s">
        <v>88</v>
      </c>
      <c r="G154" s="97">
        <v>45491</v>
      </c>
      <c r="H154" s="151" t="s">
        <v>94</v>
      </c>
      <c r="I154" s="85" t="s">
        <v>846</v>
      </c>
      <c r="J154" s="85" t="s">
        <v>847</v>
      </c>
      <c r="L154" s="85"/>
      <c r="M154" s="85" t="s">
        <v>848</v>
      </c>
      <c r="N154" s="85"/>
      <c r="P154" s="86"/>
      <c r="Q154" s="87">
        <f t="shared" si="2"/>
        <v>508</v>
      </c>
      <c r="R154" s="85"/>
      <c r="S154" s="85"/>
    </row>
    <row r="155" spans="1:19" s="88" customFormat="1" ht="43.5" x14ac:dyDescent="0.35">
      <c r="A155" s="88" t="s">
        <v>35</v>
      </c>
      <c r="B155" s="88" t="s">
        <v>623</v>
      </c>
      <c r="C155" s="88" t="s">
        <v>6</v>
      </c>
      <c r="D155" s="87" t="s">
        <v>7</v>
      </c>
      <c r="E155" s="88">
        <v>508</v>
      </c>
      <c r="F155" s="97" t="s">
        <v>88</v>
      </c>
      <c r="G155" s="97">
        <v>45552</v>
      </c>
      <c r="H155" s="151" t="s">
        <v>94</v>
      </c>
      <c r="I155" s="85" t="s">
        <v>846</v>
      </c>
      <c r="J155" s="85" t="s">
        <v>1021</v>
      </c>
      <c r="L155" s="85"/>
      <c r="M155" s="85" t="s">
        <v>848</v>
      </c>
      <c r="N155" s="85"/>
      <c r="P155" s="86"/>
      <c r="Q155" s="87">
        <f t="shared" si="2"/>
        <v>508</v>
      </c>
      <c r="R155" s="85"/>
      <c r="S155" s="85"/>
    </row>
    <row r="156" spans="1:19" s="88" customFormat="1" ht="29" x14ac:dyDescent="0.35">
      <c r="A156" s="88" t="s">
        <v>35</v>
      </c>
      <c r="B156" s="88" t="s">
        <v>893</v>
      </c>
      <c r="C156" s="88" t="s">
        <v>6</v>
      </c>
      <c r="D156" s="87" t="s">
        <v>7</v>
      </c>
      <c r="E156" s="88">
        <v>-508</v>
      </c>
      <c r="F156" s="97" t="s">
        <v>88</v>
      </c>
      <c r="G156" s="97">
        <v>45567</v>
      </c>
      <c r="H156" s="151" t="s">
        <v>94</v>
      </c>
      <c r="I156" s="85" t="s">
        <v>846</v>
      </c>
      <c r="J156" s="85" t="s">
        <v>1063</v>
      </c>
      <c r="L156" s="85"/>
      <c r="M156" s="85" t="s">
        <v>848</v>
      </c>
      <c r="N156" s="85"/>
      <c r="P156" s="86"/>
      <c r="Q156" s="87">
        <f t="shared" si="2"/>
        <v>508</v>
      </c>
      <c r="R156" s="85"/>
      <c r="S156" s="85"/>
    </row>
    <row r="157" spans="1:19" s="88" customFormat="1" ht="43.5" x14ac:dyDescent="0.35">
      <c r="A157" s="88" t="s">
        <v>35</v>
      </c>
      <c r="B157" s="88" t="s">
        <v>623</v>
      </c>
      <c r="C157" s="88" t="s">
        <v>6</v>
      </c>
      <c r="D157" s="87" t="s">
        <v>7</v>
      </c>
      <c r="E157" s="88">
        <v>500</v>
      </c>
      <c r="F157" s="97" t="s">
        <v>88</v>
      </c>
      <c r="G157" s="97">
        <v>45504</v>
      </c>
      <c r="H157" s="151" t="s">
        <v>94</v>
      </c>
      <c r="I157" s="85" t="s">
        <v>898</v>
      </c>
      <c r="J157" s="85" t="s">
        <v>899</v>
      </c>
      <c r="L157" s="85"/>
      <c r="M157" s="85" t="s">
        <v>900</v>
      </c>
      <c r="N157" s="85"/>
      <c r="P157" s="86"/>
      <c r="Q157" s="87">
        <f t="shared" si="2"/>
        <v>500</v>
      </c>
      <c r="R157" s="85"/>
      <c r="S157" s="85"/>
    </row>
    <row r="158" spans="1:19" s="88" customFormat="1" ht="43.5" x14ac:dyDescent="0.35">
      <c r="A158" s="93" t="s">
        <v>35</v>
      </c>
      <c r="B158" s="93" t="s">
        <v>623</v>
      </c>
      <c r="C158" s="93" t="s">
        <v>6</v>
      </c>
      <c r="D158" s="94" t="s">
        <v>7</v>
      </c>
      <c r="E158" s="93">
        <v>490.91</v>
      </c>
      <c r="F158" s="95" t="s">
        <v>88</v>
      </c>
      <c r="G158" s="95">
        <v>45449</v>
      </c>
      <c r="H158" s="152" t="s">
        <v>94</v>
      </c>
      <c r="I158" s="96" t="s">
        <v>473</v>
      </c>
      <c r="J158" s="96" t="s">
        <v>736</v>
      </c>
      <c r="K158" s="93"/>
      <c r="L158" s="96"/>
      <c r="M158" s="96" t="s">
        <v>737</v>
      </c>
      <c r="N158" s="96"/>
      <c r="P158" s="86"/>
      <c r="Q158" s="87">
        <f t="shared" si="2"/>
        <v>490.91</v>
      </c>
      <c r="R158" s="85"/>
      <c r="S158" s="85"/>
    </row>
    <row r="159" spans="1:19" s="88" customFormat="1" ht="29" x14ac:dyDescent="0.35">
      <c r="A159" s="88" t="s">
        <v>35</v>
      </c>
      <c r="B159" s="88" t="s">
        <v>623</v>
      </c>
      <c r="C159" s="88" t="s">
        <v>6</v>
      </c>
      <c r="D159" s="87" t="s">
        <v>7</v>
      </c>
      <c r="E159" s="88">
        <v>-473.64</v>
      </c>
      <c r="F159" s="97" t="s">
        <v>88</v>
      </c>
      <c r="G159" s="97">
        <v>45596</v>
      </c>
      <c r="H159" s="151" t="s">
        <v>1132</v>
      </c>
      <c r="I159" s="85" t="s">
        <v>1132</v>
      </c>
      <c r="J159" s="85"/>
      <c r="L159" s="85"/>
      <c r="M159" s="85"/>
      <c r="N159" s="85"/>
      <c r="O159" s="85"/>
      <c r="P159" s="86"/>
      <c r="Q159" s="87">
        <f t="shared" si="2"/>
        <v>473.64</v>
      </c>
      <c r="R159" s="85"/>
      <c r="S159" s="85"/>
    </row>
    <row r="160" spans="1:19" s="88" customFormat="1" ht="29" x14ac:dyDescent="0.35">
      <c r="A160" s="93" t="s">
        <v>35</v>
      </c>
      <c r="B160" s="93" t="s">
        <v>599</v>
      </c>
      <c r="C160" s="93" t="s">
        <v>6</v>
      </c>
      <c r="D160" s="94" t="s">
        <v>7</v>
      </c>
      <c r="E160" s="93">
        <v>459.03</v>
      </c>
      <c r="F160" s="95" t="s">
        <v>88</v>
      </c>
      <c r="G160" s="95">
        <v>45446</v>
      </c>
      <c r="H160" s="152" t="s">
        <v>89</v>
      </c>
      <c r="I160" s="96" t="s">
        <v>719</v>
      </c>
      <c r="J160" s="96"/>
      <c r="K160" s="93" t="s">
        <v>720</v>
      </c>
      <c r="L160" s="96" t="s">
        <v>721</v>
      </c>
      <c r="M160" s="96" t="s">
        <v>103</v>
      </c>
      <c r="N160" s="96"/>
      <c r="O160" s="96"/>
      <c r="P160" s="86"/>
      <c r="Q160" s="87">
        <f t="shared" si="2"/>
        <v>459.03</v>
      </c>
      <c r="R160" s="85"/>
      <c r="S160" s="85"/>
    </row>
    <row r="161" spans="1:19" s="88" customFormat="1" ht="29" x14ac:dyDescent="0.35">
      <c r="A161" s="88" t="s">
        <v>35</v>
      </c>
      <c r="B161" s="88" t="s">
        <v>599</v>
      </c>
      <c r="C161" s="88" t="s">
        <v>6</v>
      </c>
      <c r="D161" s="87" t="s">
        <v>7</v>
      </c>
      <c r="E161" s="88">
        <v>459.03</v>
      </c>
      <c r="F161" s="97" t="s">
        <v>88</v>
      </c>
      <c r="G161" s="97">
        <v>45476</v>
      </c>
      <c r="H161" s="151" t="s">
        <v>89</v>
      </c>
      <c r="I161" s="85" t="s">
        <v>810</v>
      </c>
      <c r="J161" s="85"/>
      <c r="K161" s="88" t="s">
        <v>720</v>
      </c>
      <c r="L161" s="85" t="s">
        <v>811</v>
      </c>
      <c r="M161" s="85" t="s">
        <v>103</v>
      </c>
      <c r="N161" s="85"/>
      <c r="O161" s="85"/>
      <c r="P161" s="86"/>
      <c r="Q161" s="87">
        <f t="shared" si="2"/>
        <v>459.03</v>
      </c>
      <c r="R161" s="85"/>
      <c r="S161" s="85"/>
    </row>
    <row r="162" spans="1:19" s="88" customFormat="1" ht="58" x14ac:dyDescent="0.35">
      <c r="A162" s="88" t="s">
        <v>35</v>
      </c>
      <c r="B162" s="88" t="s">
        <v>623</v>
      </c>
      <c r="C162" s="88" t="s">
        <v>6</v>
      </c>
      <c r="D162" s="87" t="s">
        <v>7</v>
      </c>
      <c r="E162" s="88">
        <v>454.55</v>
      </c>
      <c r="F162" s="97" t="s">
        <v>88</v>
      </c>
      <c r="G162" s="97">
        <v>45552</v>
      </c>
      <c r="H162" s="151" t="s">
        <v>94</v>
      </c>
      <c r="I162" s="85" t="s">
        <v>121</v>
      </c>
      <c r="J162" s="85" t="s">
        <v>1020</v>
      </c>
      <c r="L162" s="85"/>
      <c r="M162" s="85" t="s">
        <v>1013</v>
      </c>
      <c r="N162" s="85"/>
      <c r="P162" s="86"/>
      <c r="Q162" s="87">
        <f t="shared" si="2"/>
        <v>454.55</v>
      </c>
      <c r="R162" s="85"/>
      <c r="S162" s="85"/>
    </row>
    <row r="163" spans="1:19" s="88" customFormat="1" ht="43.5" x14ac:dyDescent="0.35">
      <c r="A163" s="88" t="s">
        <v>35</v>
      </c>
      <c r="B163" s="88" t="s">
        <v>741</v>
      </c>
      <c r="C163" s="88" t="s">
        <v>6</v>
      </c>
      <c r="D163" s="87" t="s">
        <v>7</v>
      </c>
      <c r="E163" s="88">
        <v>450</v>
      </c>
      <c r="F163" s="97" t="s">
        <v>88</v>
      </c>
      <c r="G163" s="97">
        <v>45574</v>
      </c>
      <c r="H163" s="151" t="s">
        <v>94</v>
      </c>
      <c r="I163" s="85" t="s">
        <v>1077</v>
      </c>
      <c r="J163" s="85" t="s">
        <v>1078</v>
      </c>
      <c r="L163" s="85"/>
      <c r="M163" s="85" t="s">
        <v>1079</v>
      </c>
      <c r="N163" s="85"/>
      <c r="P163" s="86"/>
      <c r="Q163" s="87">
        <f t="shared" si="2"/>
        <v>450</v>
      </c>
      <c r="R163" s="85"/>
      <c r="S163" s="85"/>
    </row>
    <row r="164" spans="1:19" s="88" customFormat="1" ht="58" x14ac:dyDescent="0.35">
      <c r="A164" s="88" t="s">
        <v>35</v>
      </c>
      <c r="B164" s="88" t="s">
        <v>623</v>
      </c>
      <c r="C164" s="88" t="s">
        <v>6</v>
      </c>
      <c r="D164" s="87" t="s">
        <v>7</v>
      </c>
      <c r="E164" s="88">
        <v>448.18</v>
      </c>
      <c r="F164" s="97" t="s">
        <v>88</v>
      </c>
      <c r="G164" s="97">
        <v>45614</v>
      </c>
      <c r="H164" s="151" t="s">
        <v>94</v>
      </c>
      <c r="I164" s="85" t="s">
        <v>1177</v>
      </c>
      <c r="J164" s="85" t="s">
        <v>1181</v>
      </c>
      <c r="L164" s="85"/>
      <c r="M164" s="85" t="s">
        <v>1182</v>
      </c>
      <c r="N164" s="85"/>
      <c r="P164" s="86"/>
      <c r="Q164" s="87">
        <f t="shared" si="2"/>
        <v>448.18</v>
      </c>
      <c r="R164" s="85"/>
      <c r="S164" s="85"/>
    </row>
    <row r="165" spans="1:19" s="88" customFormat="1" ht="29" x14ac:dyDescent="0.35">
      <c r="A165" s="88" t="s">
        <v>0</v>
      </c>
      <c r="B165" s="88" t="s">
        <v>1216</v>
      </c>
      <c r="C165" s="88" t="s">
        <v>6</v>
      </c>
      <c r="D165" s="87" t="s">
        <v>7</v>
      </c>
      <c r="E165" s="88">
        <v>439.53</v>
      </c>
      <c r="F165" s="97" t="s">
        <v>88</v>
      </c>
      <c r="G165" s="97">
        <v>45631</v>
      </c>
      <c r="H165" s="151" t="s">
        <v>89</v>
      </c>
      <c r="I165" s="85" t="s">
        <v>1217</v>
      </c>
      <c r="J165" s="85"/>
      <c r="K165" s="88" t="s">
        <v>1218</v>
      </c>
      <c r="L165" s="85" t="s">
        <v>1219</v>
      </c>
      <c r="M165" s="85" t="s">
        <v>162</v>
      </c>
      <c r="N165" s="85"/>
      <c r="O165" s="85"/>
      <c r="P165" s="86"/>
      <c r="Q165" s="87">
        <f t="shared" si="2"/>
        <v>439.53</v>
      </c>
      <c r="R165" s="85"/>
      <c r="S165" s="85"/>
    </row>
    <row r="166" spans="1:19" s="88" customFormat="1" ht="29" x14ac:dyDescent="0.35">
      <c r="A166" s="88" t="s">
        <v>35</v>
      </c>
      <c r="B166" s="88" t="s">
        <v>677</v>
      </c>
      <c r="C166" s="88" t="s">
        <v>6</v>
      </c>
      <c r="D166" s="87" t="s">
        <v>7</v>
      </c>
      <c r="E166" s="88">
        <v>425.75</v>
      </c>
      <c r="F166" s="97" t="s">
        <v>88</v>
      </c>
      <c r="G166" s="97">
        <v>45621</v>
      </c>
      <c r="H166" s="151" t="s">
        <v>94</v>
      </c>
      <c r="I166" s="85" t="s">
        <v>1196</v>
      </c>
      <c r="J166" s="85" t="s">
        <v>1197</v>
      </c>
      <c r="L166" s="85"/>
      <c r="M166" s="85" t="s">
        <v>1162</v>
      </c>
      <c r="N166" s="85"/>
      <c r="P166" s="86"/>
      <c r="Q166" s="87">
        <f t="shared" si="2"/>
        <v>425.75</v>
      </c>
      <c r="R166" s="85"/>
      <c r="S166" s="85"/>
    </row>
    <row r="167" spans="1:19" s="88" customFormat="1" x14ac:dyDescent="0.35">
      <c r="A167" s="88" t="s">
        <v>35</v>
      </c>
      <c r="B167" s="88" t="s">
        <v>1189</v>
      </c>
      <c r="C167" s="88" t="s">
        <v>6</v>
      </c>
      <c r="D167" s="87" t="s">
        <v>7</v>
      </c>
      <c r="E167" s="88">
        <v>400</v>
      </c>
      <c r="F167" s="97" t="s">
        <v>88</v>
      </c>
      <c r="G167" s="97">
        <v>45630</v>
      </c>
      <c r="H167" s="151" t="s">
        <v>89</v>
      </c>
      <c r="I167" s="85" t="s">
        <v>1210</v>
      </c>
      <c r="J167" s="85"/>
      <c r="K167" s="88" t="s">
        <v>1211</v>
      </c>
      <c r="L167" s="85" t="s">
        <v>1212</v>
      </c>
      <c r="M167" s="85" t="s">
        <v>1193</v>
      </c>
      <c r="N167" s="85"/>
      <c r="O167" s="85"/>
      <c r="P167" s="86"/>
      <c r="Q167" s="87">
        <f t="shared" si="2"/>
        <v>400</v>
      </c>
      <c r="R167" s="85"/>
      <c r="S167" s="85"/>
    </row>
    <row r="168" spans="1:19" s="88" customFormat="1" ht="29" x14ac:dyDescent="0.35">
      <c r="A168" s="93" t="s">
        <v>35</v>
      </c>
      <c r="B168" s="93" t="s">
        <v>677</v>
      </c>
      <c r="C168" s="93" t="s">
        <v>6</v>
      </c>
      <c r="D168" s="94" t="s">
        <v>7</v>
      </c>
      <c r="E168" s="93">
        <v>386.88</v>
      </c>
      <c r="F168" s="95" t="s">
        <v>88</v>
      </c>
      <c r="G168" s="95">
        <v>45415</v>
      </c>
      <c r="H168" s="152" t="s">
        <v>94</v>
      </c>
      <c r="I168" s="96" t="s">
        <v>98</v>
      </c>
      <c r="J168" s="96" t="s">
        <v>99</v>
      </c>
      <c r="K168" s="93"/>
      <c r="L168" s="96"/>
      <c r="M168" s="96" t="s">
        <v>678</v>
      </c>
      <c r="N168" s="96"/>
      <c r="P168" s="86"/>
      <c r="Q168" s="87">
        <f t="shared" si="2"/>
        <v>386.88</v>
      </c>
      <c r="R168" s="85"/>
      <c r="S168" s="85"/>
    </row>
    <row r="169" spans="1:19" s="88" customFormat="1" ht="29" x14ac:dyDescent="0.35">
      <c r="A169" s="88" t="s">
        <v>35</v>
      </c>
      <c r="B169" s="88" t="s">
        <v>852</v>
      </c>
      <c r="C169" s="88" t="s">
        <v>6</v>
      </c>
      <c r="D169" s="87" t="s">
        <v>7</v>
      </c>
      <c r="E169" s="88">
        <v>379.82</v>
      </c>
      <c r="F169" s="97" t="s">
        <v>88</v>
      </c>
      <c r="G169" s="97">
        <v>45492</v>
      </c>
      <c r="H169" s="151" t="s">
        <v>94</v>
      </c>
      <c r="I169" s="85" t="s">
        <v>853</v>
      </c>
      <c r="J169" s="85" t="s">
        <v>854</v>
      </c>
      <c r="L169" s="85"/>
      <c r="M169" s="85" t="s">
        <v>855</v>
      </c>
      <c r="N169" s="85"/>
      <c r="P169" s="86"/>
      <c r="Q169" s="87">
        <f t="shared" si="2"/>
        <v>379.82</v>
      </c>
      <c r="R169" s="85"/>
      <c r="S169" s="85"/>
    </row>
    <row r="170" spans="1:19" s="88" customFormat="1" ht="43.5" x14ac:dyDescent="0.35">
      <c r="A170" s="88" t="s">
        <v>35</v>
      </c>
      <c r="B170" s="88" t="s">
        <v>623</v>
      </c>
      <c r="C170" s="88" t="s">
        <v>6</v>
      </c>
      <c r="D170" s="87" t="s">
        <v>7</v>
      </c>
      <c r="E170" s="88">
        <v>363.64</v>
      </c>
      <c r="F170" s="97" t="s">
        <v>88</v>
      </c>
      <c r="G170" s="97">
        <v>45491</v>
      </c>
      <c r="H170" s="151" t="s">
        <v>94</v>
      </c>
      <c r="I170" s="85" t="s">
        <v>849</v>
      </c>
      <c r="J170" s="85" t="s">
        <v>850</v>
      </c>
      <c r="L170" s="85"/>
      <c r="M170" s="85" t="s">
        <v>851</v>
      </c>
      <c r="N170" s="85"/>
      <c r="P170" s="86"/>
      <c r="Q170" s="87">
        <f t="shared" si="2"/>
        <v>363.64</v>
      </c>
      <c r="R170" s="85"/>
      <c r="S170" s="85"/>
    </row>
    <row r="171" spans="1:19" s="88" customFormat="1" ht="29" x14ac:dyDescent="0.35">
      <c r="A171" s="88" t="s">
        <v>35</v>
      </c>
      <c r="B171" s="88" t="s">
        <v>741</v>
      </c>
      <c r="C171" s="88" t="s">
        <v>6</v>
      </c>
      <c r="D171" s="87" t="s">
        <v>7</v>
      </c>
      <c r="E171" s="88">
        <v>336.36</v>
      </c>
      <c r="F171" s="97" t="s">
        <v>88</v>
      </c>
      <c r="G171" s="97">
        <v>45539</v>
      </c>
      <c r="H171" s="151" t="s">
        <v>94</v>
      </c>
      <c r="I171" s="85" t="s">
        <v>212</v>
      </c>
      <c r="J171" s="85" t="s">
        <v>998</v>
      </c>
      <c r="L171" s="85"/>
      <c r="M171" s="85" t="s">
        <v>743</v>
      </c>
      <c r="N171" s="85"/>
      <c r="P171" s="86"/>
      <c r="Q171" s="87">
        <f t="shared" si="2"/>
        <v>336.36</v>
      </c>
      <c r="R171" s="85"/>
      <c r="S171" s="85"/>
    </row>
    <row r="172" spans="1:19" s="88" customFormat="1" ht="43.5" x14ac:dyDescent="0.35">
      <c r="A172" s="88" t="s">
        <v>35</v>
      </c>
      <c r="B172" s="88" t="s">
        <v>677</v>
      </c>
      <c r="C172" s="88" t="s">
        <v>6</v>
      </c>
      <c r="D172" s="87" t="s">
        <v>7</v>
      </c>
      <c r="E172" s="88">
        <v>333.2</v>
      </c>
      <c r="F172" s="97" t="s">
        <v>88</v>
      </c>
      <c r="G172" s="97">
        <v>45639</v>
      </c>
      <c r="H172" s="151" t="s">
        <v>94</v>
      </c>
      <c r="I172" s="85" t="s">
        <v>1258</v>
      </c>
      <c r="J172" s="85" t="s">
        <v>1259</v>
      </c>
      <c r="L172" s="85"/>
      <c r="M172" s="85" t="s">
        <v>1162</v>
      </c>
      <c r="N172" s="85"/>
      <c r="P172" s="86"/>
      <c r="Q172" s="87">
        <f t="shared" si="2"/>
        <v>333.2</v>
      </c>
      <c r="R172" s="85"/>
      <c r="S172" s="85"/>
    </row>
    <row r="173" spans="1:19" s="88" customFormat="1" ht="29" x14ac:dyDescent="0.35">
      <c r="A173" s="88" t="s">
        <v>35</v>
      </c>
      <c r="B173" s="88" t="s">
        <v>614</v>
      </c>
      <c r="C173" s="88" t="s">
        <v>6</v>
      </c>
      <c r="D173" s="87" t="s">
        <v>7</v>
      </c>
      <c r="E173" s="88">
        <v>327.27</v>
      </c>
      <c r="F173" s="97" t="s">
        <v>88</v>
      </c>
      <c r="G173" s="97">
        <v>45485</v>
      </c>
      <c r="H173" s="151" t="s">
        <v>94</v>
      </c>
      <c r="I173" s="85" t="s">
        <v>829</v>
      </c>
      <c r="J173" s="85" t="s">
        <v>830</v>
      </c>
      <c r="L173" s="85"/>
      <c r="M173" s="85" t="s">
        <v>831</v>
      </c>
      <c r="N173" s="85"/>
      <c r="P173" s="86"/>
      <c r="Q173" s="87">
        <f t="shared" si="2"/>
        <v>327.27</v>
      </c>
      <c r="R173" s="85"/>
      <c r="S173" s="85"/>
    </row>
    <row r="174" spans="1:19" s="88" customFormat="1" ht="58" x14ac:dyDescent="0.35">
      <c r="A174" s="88" t="s">
        <v>35</v>
      </c>
      <c r="B174" s="88" t="s">
        <v>623</v>
      </c>
      <c r="C174" s="88" t="s">
        <v>6</v>
      </c>
      <c r="D174" s="87" t="s">
        <v>7</v>
      </c>
      <c r="E174" s="88">
        <v>327.27</v>
      </c>
      <c r="F174" s="97" t="s">
        <v>88</v>
      </c>
      <c r="G174" s="97">
        <v>45629</v>
      </c>
      <c r="H174" s="151" t="s">
        <v>94</v>
      </c>
      <c r="I174" s="85" t="s">
        <v>216</v>
      </c>
      <c r="J174" s="85" t="s">
        <v>1208</v>
      </c>
      <c r="L174" s="85"/>
      <c r="M174" s="85" t="s">
        <v>1199</v>
      </c>
      <c r="N174" s="85"/>
      <c r="P174" s="86"/>
      <c r="Q174" s="87">
        <f t="shared" si="2"/>
        <v>327.27</v>
      </c>
      <c r="R174" s="85"/>
      <c r="S174" s="85"/>
    </row>
    <row r="175" spans="1:19" s="88" customFormat="1" ht="29" x14ac:dyDescent="0.35">
      <c r="A175" s="88" t="s">
        <v>35</v>
      </c>
      <c r="B175" s="88" t="s">
        <v>708</v>
      </c>
      <c r="C175" s="88" t="s">
        <v>6</v>
      </c>
      <c r="D175" s="87" t="s">
        <v>7</v>
      </c>
      <c r="E175" s="88">
        <v>320</v>
      </c>
      <c r="F175" s="97" t="s">
        <v>88</v>
      </c>
      <c r="G175" s="97">
        <v>45593</v>
      </c>
      <c r="H175" s="151" t="s">
        <v>94</v>
      </c>
      <c r="I175" s="85" t="s">
        <v>298</v>
      </c>
      <c r="J175" s="85" t="s">
        <v>1119</v>
      </c>
      <c r="L175" s="85"/>
      <c r="M175" s="85" t="s">
        <v>1120</v>
      </c>
      <c r="N175" s="85"/>
      <c r="P175" s="86"/>
      <c r="Q175" s="87">
        <f t="shared" si="2"/>
        <v>320</v>
      </c>
      <c r="R175" s="85"/>
      <c r="S175" s="85"/>
    </row>
    <row r="176" spans="1:19" s="88" customFormat="1" ht="43.5" x14ac:dyDescent="0.35">
      <c r="A176" s="88" t="s">
        <v>35</v>
      </c>
      <c r="B176" s="88" t="s">
        <v>600</v>
      </c>
      <c r="C176" s="88" t="s">
        <v>6</v>
      </c>
      <c r="D176" s="87" t="s">
        <v>7</v>
      </c>
      <c r="E176" s="88">
        <v>318.18</v>
      </c>
      <c r="F176" s="97" t="s">
        <v>88</v>
      </c>
      <c r="G176" s="97">
        <v>45495</v>
      </c>
      <c r="H176" s="151" t="s">
        <v>94</v>
      </c>
      <c r="I176" s="85" t="s">
        <v>872</v>
      </c>
      <c r="J176" s="85" t="s">
        <v>873</v>
      </c>
      <c r="L176" s="85"/>
      <c r="M176" s="85" t="s">
        <v>874</v>
      </c>
      <c r="N176" s="85"/>
      <c r="P176" s="86"/>
      <c r="Q176" s="87">
        <f t="shared" si="2"/>
        <v>318.18</v>
      </c>
      <c r="R176" s="85"/>
      <c r="S176" s="85"/>
    </row>
    <row r="177" spans="1:19" s="88" customFormat="1" ht="43.5" x14ac:dyDescent="0.35">
      <c r="A177" s="88" t="s">
        <v>35</v>
      </c>
      <c r="B177" s="88" t="s">
        <v>642</v>
      </c>
      <c r="C177" s="88" t="s">
        <v>6</v>
      </c>
      <c r="D177" s="87" t="s">
        <v>7</v>
      </c>
      <c r="E177" s="88">
        <v>318.18</v>
      </c>
      <c r="F177" s="97" t="s">
        <v>88</v>
      </c>
      <c r="G177" s="97">
        <v>45603</v>
      </c>
      <c r="H177" s="151" t="s">
        <v>94</v>
      </c>
      <c r="I177" s="85" t="s">
        <v>1036</v>
      </c>
      <c r="J177" s="85" t="s">
        <v>1149</v>
      </c>
      <c r="L177" s="85"/>
      <c r="M177" s="85" t="s">
        <v>1150</v>
      </c>
      <c r="N177" s="85"/>
      <c r="P177" s="86"/>
      <c r="Q177" s="87">
        <f t="shared" si="2"/>
        <v>318.18</v>
      </c>
      <c r="R177" s="85"/>
      <c r="S177" s="85"/>
    </row>
    <row r="178" spans="1:19" s="88" customFormat="1" ht="29" x14ac:dyDescent="0.35">
      <c r="A178" s="88" t="s">
        <v>35</v>
      </c>
      <c r="B178" s="88" t="s">
        <v>1092</v>
      </c>
      <c r="C178" s="88" t="s">
        <v>6</v>
      </c>
      <c r="D178" s="87" t="s">
        <v>7</v>
      </c>
      <c r="E178" s="88">
        <v>295.33</v>
      </c>
      <c r="F178" s="97" t="s">
        <v>88</v>
      </c>
      <c r="G178" s="97">
        <v>45635</v>
      </c>
      <c r="H178" s="151" t="s">
        <v>94</v>
      </c>
      <c r="I178" s="85" t="s">
        <v>1229</v>
      </c>
      <c r="J178" s="85" t="s">
        <v>1230</v>
      </c>
      <c r="L178" s="85"/>
      <c r="M178" s="85" t="s">
        <v>1231</v>
      </c>
      <c r="N178" s="85"/>
      <c r="P178" s="86"/>
      <c r="Q178" s="87">
        <f t="shared" si="2"/>
        <v>295.33</v>
      </c>
      <c r="R178" s="85"/>
      <c r="S178" s="85"/>
    </row>
    <row r="179" spans="1:19" s="88" customFormat="1" ht="29" x14ac:dyDescent="0.35">
      <c r="A179" s="88" t="s">
        <v>35</v>
      </c>
      <c r="B179" s="88" t="s">
        <v>1075</v>
      </c>
      <c r="C179" s="88" t="s">
        <v>6</v>
      </c>
      <c r="D179" s="87" t="s">
        <v>7</v>
      </c>
      <c r="E179" s="88">
        <v>288.19</v>
      </c>
      <c r="F179" s="97" t="s">
        <v>88</v>
      </c>
      <c r="G179" s="97">
        <v>45614</v>
      </c>
      <c r="H179" s="151" t="s">
        <v>89</v>
      </c>
      <c r="I179" s="85" t="s">
        <v>1166</v>
      </c>
      <c r="J179" s="85"/>
      <c r="K179" s="88" t="s">
        <v>1167</v>
      </c>
      <c r="L179" s="85" t="s">
        <v>1168</v>
      </c>
      <c r="M179" s="85" t="s">
        <v>1169</v>
      </c>
      <c r="N179" s="85"/>
      <c r="O179" s="85"/>
      <c r="P179" s="86"/>
      <c r="Q179" s="87">
        <f t="shared" si="2"/>
        <v>288.19</v>
      </c>
      <c r="R179" s="85"/>
      <c r="S179" s="85"/>
    </row>
    <row r="180" spans="1:19" s="88" customFormat="1" ht="29" x14ac:dyDescent="0.35">
      <c r="A180" s="88" t="s">
        <v>35</v>
      </c>
      <c r="B180" s="88" t="s">
        <v>1069</v>
      </c>
      <c r="C180" s="88" t="s">
        <v>6</v>
      </c>
      <c r="D180" s="87" t="s">
        <v>7</v>
      </c>
      <c r="E180" s="88">
        <v>270.68</v>
      </c>
      <c r="F180" s="97" t="s">
        <v>88</v>
      </c>
      <c r="G180" s="97">
        <v>45573</v>
      </c>
      <c r="H180" s="151" t="s">
        <v>94</v>
      </c>
      <c r="I180" s="85" t="s">
        <v>1070</v>
      </c>
      <c r="J180" s="85" t="s">
        <v>1071</v>
      </c>
      <c r="L180" s="85"/>
      <c r="M180" s="85" t="s">
        <v>1072</v>
      </c>
      <c r="N180" s="85"/>
      <c r="P180" s="86"/>
      <c r="Q180" s="87">
        <f t="shared" si="2"/>
        <v>270.68</v>
      </c>
      <c r="R180" s="85"/>
      <c r="S180" s="85"/>
    </row>
    <row r="181" spans="1:19" s="88" customFormat="1" ht="29" x14ac:dyDescent="0.35">
      <c r="A181" s="88" t="s">
        <v>35</v>
      </c>
      <c r="B181" s="88" t="s">
        <v>1069</v>
      </c>
      <c r="C181" s="88" t="s">
        <v>6</v>
      </c>
      <c r="D181" s="87" t="s">
        <v>7</v>
      </c>
      <c r="E181" s="88">
        <v>270.68</v>
      </c>
      <c r="F181" s="97" t="s">
        <v>88</v>
      </c>
      <c r="G181" s="97">
        <v>45573</v>
      </c>
      <c r="H181" s="151" t="s">
        <v>94</v>
      </c>
      <c r="I181" s="85" t="s">
        <v>1070</v>
      </c>
      <c r="J181" s="85" t="s">
        <v>1071</v>
      </c>
      <c r="L181" s="85"/>
      <c r="M181" s="85" t="s">
        <v>1073</v>
      </c>
      <c r="N181" s="85"/>
      <c r="P181" s="86"/>
      <c r="Q181" s="87">
        <f t="shared" si="2"/>
        <v>270.68</v>
      </c>
      <c r="R181" s="85"/>
      <c r="S181" s="85"/>
    </row>
    <row r="182" spans="1:19" s="88" customFormat="1" ht="29" x14ac:dyDescent="0.35">
      <c r="A182" s="88" t="s">
        <v>35</v>
      </c>
      <c r="B182" s="88" t="s">
        <v>1069</v>
      </c>
      <c r="C182" s="88" t="s">
        <v>6</v>
      </c>
      <c r="D182" s="87" t="s">
        <v>7</v>
      </c>
      <c r="E182" s="88">
        <v>270.68</v>
      </c>
      <c r="F182" s="97" t="s">
        <v>88</v>
      </c>
      <c r="G182" s="97">
        <v>45573</v>
      </c>
      <c r="H182" s="151" t="s">
        <v>94</v>
      </c>
      <c r="I182" s="85" t="s">
        <v>1070</v>
      </c>
      <c r="J182" s="85" t="s">
        <v>1071</v>
      </c>
      <c r="L182" s="85"/>
      <c r="M182" s="85" t="s">
        <v>1074</v>
      </c>
      <c r="N182" s="85"/>
      <c r="P182" s="86"/>
      <c r="Q182" s="87">
        <f t="shared" si="2"/>
        <v>270.68</v>
      </c>
      <c r="R182" s="85"/>
      <c r="S182" s="85"/>
    </row>
    <row r="183" spans="1:19" s="88" customFormat="1" ht="29" x14ac:dyDescent="0.35">
      <c r="A183" s="88" t="s">
        <v>35</v>
      </c>
      <c r="B183" s="88" t="s">
        <v>770</v>
      </c>
      <c r="C183" s="88" t="s">
        <v>6</v>
      </c>
      <c r="D183" s="87" t="s">
        <v>7</v>
      </c>
      <c r="E183" s="88">
        <v>266.74</v>
      </c>
      <c r="F183" s="97" t="s">
        <v>88</v>
      </c>
      <c r="G183" s="97">
        <v>45464</v>
      </c>
      <c r="H183" s="151" t="s">
        <v>94</v>
      </c>
      <c r="I183" s="85" t="s">
        <v>771</v>
      </c>
      <c r="J183" s="85" t="s">
        <v>772</v>
      </c>
      <c r="L183" s="85"/>
      <c r="M183" s="85" t="s">
        <v>773</v>
      </c>
      <c r="N183" s="85"/>
      <c r="P183" s="86"/>
      <c r="Q183" s="87">
        <f t="shared" si="2"/>
        <v>266.74</v>
      </c>
      <c r="R183" s="85"/>
      <c r="S183" s="85"/>
    </row>
    <row r="184" spans="1:19" s="88" customFormat="1" ht="58" x14ac:dyDescent="0.35">
      <c r="A184" s="88" t="s">
        <v>35</v>
      </c>
      <c r="B184" s="88" t="s">
        <v>1123</v>
      </c>
      <c r="C184" s="88" t="s">
        <v>6</v>
      </c>
      <c r="D184" s="87" t="s">
        <v>7</v>
      </c>
      <c r="E184" s="88">
        <v>254.55</v>
      </c>
      <c r="F184" s="97" t="s">
        <v>88</v>
      </c>
      <c r="G184" s="97">
        <v>45594</v>
      </c>
      <c r="H184" s="151" t="s">
        <v>94</v>
      </c>
      <c r="I184" s="85" t="s">
        <v>1124</v>
      </c>
      <c r="J184" s="85" t="s">
        <v>1125</v>
      </c>
      <c r="L184" s="85"/>
      <c r="M184" s="85" t="s">
        <v>743</v>
      </c>
      <c r="N184" s="85"/>
      <c r="P184" s="86"/>
      <c r="Q184" s="87">
        <f t="shared" si="2"/>
        <v>254.55</v>
      </c>
      <c r="R184" s="85"/>
      <c r="S184" s="85"/>
    </row>
    <row r="185" spans="1:19" s="88" customFormat="1" ht="29" x14ac:dyDescent="0.35">
      <c r="A185" s="88" t="s">
        <v>35</v>
      </c>
      <c r="B185" s="88" t="s">
        <v>642</v>
      </c>
      <c r="C185" s="88" t="s">
        <v>6</v>
      </c>
      <c r="D185" s="87" t="s">
        <v>7</v>
      </c>
      <c r="E185" s="88">
        <v>253.75</v>
      </c>
      <c r="F185" s="97" t="s">
        <v>88</v>
      </c>
      <c r="G185" s="97">
        <v>45516</v>
      </c>
      <c r="H185" s="151" t="s">
        <v>94</v>
      </c>
      <c r="I185" s="85" t="s">
        <v>924</v>
      </c>
      <c r="J185" s="85" t="s">
        <v>925</v>
      </c>
      <c r="L185" s="85"/>
      <c r="M185" s="85" t="s">
        <v>627</v>
      </c>
      <c r="N185" s="85"/>
      <c r="P185" s="86"/>
      <c r="Q185" s="87">
        <f t="shared" si="2"/>
        <v>253.75</v>
      </c>
      <c r="R185" s="85"/>
      <c r="S185" s="85"/>
    </row>
    <row r="186" spans="1:19" s="88" customFormat="1" ht="72.5" x14ac:dyDescent="0.35">
      <c r="A186" s="88" t="s">
        <v>35</v>
      </c>
      <c r="B186" s="88" t="s">
        <v>623</v>
      </c>
      <c r="C186" s="88" t="s">
        <v>6</v>
      </c>
      <c r="D186" s="87" t="s">
        <v>7</v>
      </c>
      <c r="E186" s="88">
        <v>245.45</v>
      </c>
      <c r="F186" s="97" t="s">
        <v>88</v>
      </c>
      <c r="G186" s="97">
        <v>45614</v>
      </c>
      <c r="H186" s="151" t="s">
        <v>94</v>
      </c>
      <c r="I186" s="85" t="s">
        <v>1170</v>
      </c>
      <c r="J186" s="85" t="s">
        <v>1171</v>
      </c>
      <c r="L186" s="85"/>
      <c r="M186" s="85" t="s">
        <v>1172</v>
      </c>
      <c r="N186" s="85"/>
      <c r="P186" s="86"/>
      <c r="Q186" s="87">
        <f t="shared" si="2"/>
        <v>245.45</v>
      </c>
      <c r="R186" s="85"/>
      <c r="S186" s="85"/>
    </row>
    <row r="187" spans="1:19" s="88" customFormat="1" ht="29" x14ac:dyDescent="0.35">
      <c r="A187" s="88" t="s">
        <v>35</v>
      </c>
      <c r="B187" s="88" t="s">
        <v>708</v>
      </c>
      <c r="C187" s="88" t="s">
        <v>6</v>
      </c>
      <c r="D187" s="87" t="s">
        <v>7</v>
      </c>
      <c r="E187" s="88">
        <v>240</v>
      </c>
      <c r="F187" s="97" t="s">
        <v>88</v>
      </c>
      <c r="G187" s="97">
        <v>45615</v>
      </c>
      <c r="H187" s="151" t="s">
        <v>94</v>
      </c>
      <c r="I187" s="85" t="s">
        <v>97</v>
      </c>
      <c r="J187" s="85" t="s">
        <v>1185</v>
      </c>
      <c r="L187" s="85"/>
      <c r="M187" s="85" t="s">
        <v>1186</v>
      </c>
      <c r="N187" s="85"/>
      <c r="P187" s="86"/>
      <c r="Q187" s="87">
        <f t="shared" si="2"/>
        <v>240</v>
      </c>
      <c r="R187" s="85"/>
      <c r="S187" s="85"/>
    </row>
    <row r="188" spans="1:19" s="88" customFormat="1" ht="43.5" x14ac:dyDescent="0.35">
      <c r="A188" s="88" t="s">
        <v>35</v>
      </c>
      <c r="B188" s="88" t="s">
        <v>741</v>
      </c>
      <c r="C188" s="88" t="s">
        <v>6</v>
      </c>
      <c r="D188" s="87" t="s">
        <v>7</v>
      </c>
      <c r="E188" s="88">
        <v>209.09</v>
      </c>
      <c r="F188" s="97" t="s">
        <v>88</v>
      </c>
      <c r="G188" s="97">
        <v>45539</v>
      </c>
      <c r="H188" s="151" t="s">
        <v>94</v>
      </c>
      <c r="I188" s="85" t="s">
        <v>212</v>
      </c>
      <c r="J188" s="85" t="s">
        <v>997</v>
      </c>
      <c r="L188" s="85"/>
      <c r="M188" s="85" t="s">
        <v>743</v>
      </c>
      <c r="N188" s="85"/>
      <c r="P188" s="86"/>
      <c r="Q188" s="87">
        <f t="shared" si="2"/>
        <v>209.09</v>
      </c>
      <c r="R188" s="85"/>
      <c r="S188" s="85"/>
    </row>
    <row r="189" spans="1:19" s="88" customFormat="1" ht="43.5" x14ac:dyDescent="0.35">
      <c r="A189" s="88" t="s">
        <v>35</v>
      </c>
      <c r="B189" s="88" t="s">
        <v>677</v>
      </c>
      <c r="C189" s="88" t="s">
        <v>6</v>
      </c>
      <c r="D189" s="87" t="s">
        <v>7</v>
      </c>
      <c r="E189" s="88">
        <v>203.45</v>
      </c>
      <c r="F189" s="97" t="s">
        <v>88</v>
      </c>
      <c r="G189" s="97">
        <v>45639</v>
      </c>
      <c r="H189" s="151" t="s">
        <v>94</v>
      </c>
      <c r="I189" s="85" t="s">
        <v>1252</v>
      </c>
      <c r="J189" s="85" t="s">
        <v>1253</v>
      </c>
      <c r="L189" s="85"/>
      <c r="M189" s="85" t="s">
        <v>1254</v>
      </c>
      <c r="N189" s="85"/>
      <c r="P189" s="86"/>
      <c r="Q189" s="87">
        <f t="shared" si="2"/>
        <v>203.45</v>
      </c>
      <c r="R189" s="85"/>
      <c r="S189" s="85"/>
    </row>
    <row r="190" spans="1:19" s="88" customFormat="1" ht="29" x14ac:dyDescent="0.35">
      <c r="A190" s="93" t="s">
        <v>35</v>
      </c>
      <c r="B190" s="93" t="s">
        <v>642</v>
      </c>
      <c r="C190" s="93" t="s">
        <v>6</v>
      </c>
      <c r="D190" s="94" t="s">
        <v>7</v>
      </c>
      <c r="E190" s="93">
        <v>203.08</v>
      </c>
      <c r="F190" s="95" t="s">
        <v>88</v>
      </c>
      <c r="G190" s="95">
        <v>45404</v>
      </c>
      <c r="H190" s="152" t="s">
        <v>94</v>
      </c>
      <c r="I190" s="96" t="s">
        <v>643</v>
      </c>
      <c r="J190" s="96" t="s">
        <v>644</v>
      </c>
      <c r="K190" s="93"/>
      <c r="L190" s="96"/>
      <c r="M190" s="96" t="s">
        <v>645</v>
      </c>
      <c r="N190" s="96"/>
      <c r="P190" s="86"/>
      <c r="Q190" s="87">
        <f t="shared" si="2"/>
        <v>203.08</v>
      </c>
      <c r="R190" s="85"/>
      <c r="S190" s="85"/>
    </row>
    <row r="191" spans="1:19" s="88" customFormat="1" ht="43.5" x14ac:dyDescent="0.35">
      <c r="A191" s="88" t="s">
        <v>35</v>
      </c>
      <c r="B191" s="88" t="s">
        <v>664</v>
      </c>
      <c r="C191" s="88" t="s">
        <v>6</v>
      </c>
      <c r="D191" s="87" t="s">
        <v>7</v>
      </c>
      <c r="E191" s="88">
        <v>201.86</v>
      </c>
      <c r="F191" s="97" t="s">
        <v>88</v>
      </c>
      <c r="G191" s="97">
        <v>45645</v>
      </c>
      <c r="H191" s="151" t="s">
        <v>94</v>
      </c>
      <c r="I191" s="85" t="s">
        <v>1281</v>
      </c>
      <c r="J191" s="85" t="s">
        <v>1282</v>
      </c>
      <c r="L191" s="85"/>
      <c r="M191" s="85" t="s">
        <v>1283</v>
      </c>
      <c r="N191" s="85"/>
      <c r="P191" s="86"/>
      <c r="Q191" s="87">
        <f t="shared" si="2"/>
        <v>201.86</v>
      </c>
      <c r="R191" s="85"/>
      <c r="S191" s="85"/>
    </row>
    <row r="192" spans="1:19" s="88" customFormat="1" ht="29" x14ac:dyDescent="0.35">
      <c r="A192" s="93" t="s">
        <v>35</v>
      </c>
      <c r="B192" s="93" t="s">
        <v>642</v>
      </c>
      <c r="C192" s="93" t="s">
        <v>6</v>
      </c>
      <c r="D192" s="94" t="s">
        <v>7</v>
      </c>
      <c r="E192" s="93">
        <v>200</v>
      </c>
      <c r="F192" s="95" t="s">
        <v>88</v>
      </c>
      <c r="G192" s="95">
        <v>45408</v>
      </c>
      <c r="H192" s="152" t="s">
        <v>94</v>
      </c>
      <c r="I192" s="96" t="s">
        <v>650</v>
      </c>
      <c r="J192" s="96" t="s">
        <v>651</v>
      </c>
      <c r="K192" s="93"/>
      <c r="L192" s="96"/>
      <c r="M192" s="96" t="s">
        <v>652</v>
      </c>
      <c r="N192" s="96"/>
      <c r="P192" s="86"/>
      <c r="Q192" s="87">
        <f t="shared" si="2"/>
        <v>200</v>
      </c>
      <c r="R192" s="85"/>
      <c r="S192" s="85"/>
    </row>
    <row r="193" spans="1:33" s="88" customFormat="1" ht="58" x14ac:dyDescent="0.35">
      <c r="A193" s="88" t="s">
        <v>35</v>
      </c>
      <c r="B193" s="88" t="s">
        <v>601</v>
      </c>
      <c r="C193" s="88" t="s">
        <v>6</v>
      </c>
      <c r="D193" s="87" t="s">
        <v>7</v>
      </c>
      <c r="E193" s="88">
        <v>200</v>
      </c>
      <c r="F193" s="97" t="s">
        <v>88</v>
      </c>
      <c r="G193" s="97">
        <v>45470</v>
      </c>
      <c r="H193" s="151" t="s">
        <v>94</v>
      </c>
      <c r="I193" s="85" t="s">
        <v>783</v>
      </c>
      <c r="J193" s="85" t="s">
        <v>784</v>
      </c>
      <c r="L193" s="85"/>
      <c r="M193" s="85" t="s">
        <v>785</v>
      </c>
      <c r="N193" s="85"/>
      <c r="P193" s="86"/>
      <c r="Q193" s="87">
        <f t="shared" si="2"/>
        <v>200</v>
      </c>
      <c r="R193" s="85"/>
      <c r="S193" s="85"/>
    </row>
    <row r="194" spans="1:33" s="88" customFormat="1" ht="72.5" x14ac:dyDescent="0.35">
      <c r="A194" s="88" t="s">
        <v>35</v>
      </c>
      <c r="B194" s="88" t="s">
        <v>969</v>
      </c>
      <c r="C194" s="88" t="s">
        <v>6</v>
      </c>
      <c r="D194" s="87" t="s">
        <v>7</v>
      </c>
      <c r="E194" s="88">
        <v>200</v>
      </c>
      <c r="F194" s="97" t="s">
        <v>88</v>
      </c>
      <c r="G194" s="97">
        <v>45575</v>
      </c>
      <c r="H194" s="151" t="s">
        <v>94</v>
      </c>
      <c r="I194" s="85" t="s">
        <v>473</v>
      </c>
      <c r="J194" s="85" t="s">
        <v>1080</v>
      </c>
      <c r="L194" s="85"/>
      <c r="M194" s="85" t="s">
        <v>737</v>
      </c>
      <c r="N194" s="85"/>
      <c r="P194" s="86"/>
      <c r="Q194" s="87">
        <f t="shared" si="2"/>
        <v>200</v>
      </c>
      <c r="R194" s="85"/>
      <c r="S194" s="85"/>
    </row>
    <row r="195" spans="1:33" s="88" customFormat="1" ht="29" x14ac:dyDescent="0.35">
      <c r="A195" s="35" t="s">
        <v>35</v>
      </c>
      <c r="B195" s="35" t="s">
        <v>610</v>
      </c>
      <c r="C195" s="35" t="s">
        <v>6</v>
      </c>
      <c r="D195" s="58" t="s">
        <v>7</v>
      </c>
      <c r="E195" s="35">
        <v>190</v>
      </c>
      <c r="F195" s="29" t="s">
        <v>88</v>
      </c>
      <c r="G195" s="29">
        <v>45387</v>
      </c>
      <c r="H195" s="153" t="s">
        <v>89</v>
      </c>
      <c r="I195" s="59" t="s">
        <v>611</v>
      </c>
      <c r="J195" s="59"/>
      <c r="K195" s="35" t="s">
        <v>119</v>
      </c>
      <c r="L195" s="59" t="s">
        <v>612</v>
      </c>
      <c r="M195" s="59" t="s">
        <v>103</v>
      </c>
      <c r="N195" s="59"/>
      <c r="O195" s="59"/>
      <c r="P195" s="5"/>
      <c r="Q195" s="3">
        <f t="shared" si="2"/>
        <v>190</v>
      </c>
      <c r="R195" s="55"/>
      <c r="S195" s="55"/>
      <c r="T195"/>
      <c r="U195"/>
      <c r="V195"/>
      <c r="W195"/>
      <c r="X195"/>
      <c r="Y195"/>
      <c r="Z195"/>
      <c r="AA195"/>
      <c r="AB195"/>
      <c r="AC195"/>
      <c r="AD195"/>
      <c r="AE195"/>
      <c r="AF195"/>
      <c r="AG195"/>
    </row>
    <row r="196" spans="1:33" s="88" customFormat="1" ht="29" x14ac:dyDescent="0.35">
      <c r="A196" s="93" t="s">
        <v>35</v>
      </c>
      <c r="B196" s="93" t="s">
        <v>610</v>
      </c>
      <c r="C196" s="93" t="s">
        <v>6</v>
      </c>
      <c r="D196" s="94" t="s">
        <v>7</v>
      </c>
      <c r="E196" s="93">
        <v>190</v>
      </c>
      <c r="F196" s="95" t="s">
        <v>88</v>
      </c>
      <c r="G196" s="95">
        <v>45414</v>
      </c>
      <c r="H196" s="152" t="s">
        <v>89</v>
      </c>
      <c r="I196" s="96" t="s">
        <v>669</v>
      </c>
      <c r="J196" s="96"/>
      <c r="K196" s="93" t="s">
        <v>670</v>
      </c>
      <c r="L196" s="96" t="s">
        <v>671</v>
      </c>
      <c r="M196" s="96" t="s">
        <v>103</v>
      </c>
      <c r="N196" s="96"/>
      <c r="O196" s="96"/>
      <c r="P196" s="86"/>
      <c r="Q196" s="87">
        <f t="shared" si="2"/>
        <v>190</v>
      </c>
      <c r="R196" s="85"/>
      <c r="S196" s="85"/>
    </row>
    <row r="197" spans="1:33" s="88" customFormat="1" ht="29" x14ac:dyDescent="0.35">
      <c r="A197" s="88" t="s">
        <v>35</v>
      </c>
      <c r="B197" s="88" t="s">
        <v>610</v>
      </c>
      <c r="C197" s="88" t="s">
        <v>6</v>
      </c>
      <c r="D197" s="87" t="s">
        <v>7</v>
      </c>
      <c r="E197" s="88">
        <v>190</v>
      </c>
      <c r="F197" s="97" t="s">
        <v>88</v>
      </c>
      <c r="G197" s="97">
        <v>45476</v>
      </c>
      <c r="H197" s="151" t="s">
        <v>89</v>
      </c>
      <c r="I197" s="85" t="s">
        <v>810</v>
      </c>
      <c r="J197" s="85"/>
      <c r="K197" s="88" t="s">
        <v>720</v>
      </c>
      <c r="L197" s="85" t="s">
        <v>811</v>
      </c>
      <c r="M197" s="85" t="s">
        <v>103</v>
      </c>
      <c r="N197" s="85"/>
      <c r="O197" s="85"/>
      <c r="P197" s="86"/>
      <c r="Q197" s="87">
        <f t="shared" si="2"/>
        <v>190</v>
      </c>
      <c r="R197" s="85"/>
      <c r="S197" s="85"/>
    </row>
    <row r="198" spans="1:33" s="88" customFormat="1" ht="29" x14ac:dyDescent="0.35">
      <c r="A198" s="88" t="s">
        <v>35</v>
      </c>
      <c r="B198" s="88" t="s">
        <v>601</v>
      </c>
      <c r="C198" s="88" t="s">
        <v>6</v>
      </c>
      <c r="D198" s="87" t="s">
        <v>7</v>
      </c>
      <c r="E198" s="88">
        <v>182.65</v>
      </c>
      <c r="F198" s="97" t="s">
        <v>88</v>
      </c>
      <c r="G198" s="97">
        <v>45524</v>
      </c>
      <c r="H198" s="151" t="s">
        <v>94</v>
      </c>
      <c r="I198" s="85" t="s">
        <v>602</v>
      </c>
      <c r="J198" s="85" t="s">
        <v>963</v>
      </c>
      <c r="L198" s="85"/>
      <c r="M198" s="85" t="s">
        <v>964</v>
      </c>
      <c r="N198" s="85"/>
      <c r="P198" s="86"/>
      <c r="Q198" s="87">
        <f t="shared" si="2"/>
        <v>182.65</v>
      </c>
      <c r="R198" s="85"/>
      <c r="S198" s="85"/>
    </row>
    <row r="199" spans="1:33" s="88" customFormat="1" ht="29" x14ac:dyDescent="0.35">
      <c r="A199" s="88" t="s">
        <v>35</v>
      </c>
      <c r="B199" s="88" t="s">
        <v>677</v>
      </c>
      <c r="C199" s="88" t="s">
        <v>6</v>
      </c>
      <c r="D199" s="87" t="s">
        <v>7</v>
      </c>
      <c r="E199" s="88">
        <v>179.55</v>
      </c>
      <c r="F199" s="97" t="s">
        <v>88</v>
      </c>
      <c r="G199" s="97">
        <v>45476</v>
      </c>
      <c r="H199" s="151" t="s">
        <v>94</v>
      </c>
      <c r="I199" s="85" t="s">
        <v>812</v>
      </c>
      <c r="J199" s="85" t="s">
        <v>813</v>
      </c>
      <c r="L199" s="85"/>
      <c r="M199" s="85" t="s">
        <v>678</v>
      </c>
      <c r="N199" s="85"/>
      <c r="P199" s="86"/>
      <c r="Q199" s="87">
        <f t="shared" si="2"/>
        <v>179.55</v>
      </c>
      <c r="R199" s="85"/>
      <c r="S199" s="85"/>
    </row>
    <row r="200" spans="1:33" s="88" customFormat="1" ht="43.5" x14ac:dyDescent="0.35">
      <c r="A200" s="88" t="s">
        <v>35</v>
      </c>
      <c r="B200" s="88" t="s">
        <v>623</v>
      </c>
      <c r="C200" s="88" t="s">
        <v>6</v>
      </c>
      <c r="D200" s="87" t="s">
        <v>7</v>
      </c>
      <c r="E200" s="88">
        <v>163.63999999999999</v>
      </c>
      <c r="F200" s="97" t="s">
        <v>88</v>
      </c>
      <c r="G200" s="97">
        <v>45624</v>
      </c>
      <c r="H200" s="151" t="s">
        <v>94</v>
      </c>
      <c r="I200" s="85" t="s">
        <v>216</v>
      </c>
      <c r="J200" s="85" t="s">
        <v>1198</v>
      </c>
      <c r="L200" s="85"/>
      <c r="M200" s="85" t="s">
        <v>1199</v>
      </c>
      <c r="N200" s="85"/>
      <c r="P200" s="86"/>
      <c r="Q200" s="87">
        <f t="shared" ref="Q200:Q263" si="3">ABS(E200)</f>
        <v>163.63999999999999</v>
      </c>
      <c r="R200" s="85"/>
      <c r="S200" s="85"/>
    </row>
    <row r="201" spans="1:33" s="88" customFormat="1" ht="43.5" x14ac:dyDescent="0.35">
      <c r="A201" s="88" t="s">
        <v>35</v>
      </c>
      <c r="B201" s="88" t="s">
        <v>623</v>
      </c>
      <c r="C201" s="88" t="s">
        <v>6</v>
      </c>
      <c r="D201" s="87" t="s">
        <v>7</v>
      </c>
      <c r="E201" s="88">
        <v>-163.63999999999999</v>
      </c>
      <c r="F201" s="97" t="s">
        <v>88</v>
      </c>
      <c r="G201" s="97">
        <v>45631</v>
      </c>
      <c r="H201" s="151" t="s">
        <v>94</v>
      </c>
      <c r="I201" s="85" t="s">
        <v>216</v>
      </c>
      <c r="J201" s="85" t="s">
        <v>1220</v>
      </c>
      <c r="L201" s="85"/>
      <c r="M201" s="85" t="s">
        <v>1199</v>
      </c>
      <c r="N201" s="85"/>
      <c r="P201" s="86"/>
      <c r="Q201" s="87">
        <f t="shared" si="3"/>
        <v>163.63999999999999</v>
      </c>
      <c r="R201" s="85"/>
      <c r="S201" s="85"/>
    </row>
    <row r="202" spans="1:33" s="88" customFormat="1" ht="29" x14ac:dyDescent="0.35">
      <c r="A202" s="88" t="s">
        <v>35</v>
      </c>
      <c r="B202" s="88" t="s">
        <v>638</v>
      </c>
      <c r="C202" s="88" t="s">
        <v>6</v>
      </c>
      <c r="D202" s="87" t="s">
        <v>7</v>
      </c>
      <c r="E202" s="88">
        <v>163.43</v>
      </c>
      <c r="F202" s="97" t="s">
        <v>88</v>
      </c>
      <c r="G202" s="97">
        <v>45635</v>
      </c>
      <c r="H202" s="151" t="s">
        <v>94</v>
      </c>
      <c r="I202" s="85" t="s">
        <v>1232</v>
      </c>
      <c r="J202" s="85" t="s">
        <v>1233</v>
      </c>
      <c r="L202" s="85"/>
      <c r="M202" s="85" t="s">
        <v>1234</v>
      </c>
      <c r="N202" s="85"/>
      <c r="P202" s="86"/>
      <c r="Q202" s="87">
        <f t="shared" si="3"/>
        <v>163.43</v>
      </c>
      <c r="R202" s="85"/>
      <c r="S202" s="85"/>
    </row>
    <row r="203" spans="1:33" s="88" customFormat="1" ht="29" x14ac:dyDescent="0.35">
      <c r="A203" s="88" t="s">
        <v>35</v>
      </c>
      <c r="B203" s="88" t="s">
        <v>642</v>
      </c>
      <c r="C203" s="88" t="s">
        <v>6</v>
      </c>
      <c r="D203" s="87" t="s">
        <v>7</v>
      </c>
      <c r="E203" s="88">
        <v>160</v>
      </c>
      <c r="F203" s="97" t="s">
        <v>88</v>
      </c>
      <c r="G203" s="97">
        <v>45554</v>
      </c>
      <c r="H203" s="151" t="s">
        <v>94</v>
      </c>
      <c r="I203" s="85" t="s">
        <v>1036</v>
      </c>
      <c r="J203" s="85" t="s">
        <v>1039</v>
      </c>
      <c r="L203" s="85"/>
      <c r="M203" s="85" t="s">
        <v>1040</v>
      </c>
      <c r="N203" s="85"/>
      <c r="P203" s="86"/>
      <c r="Q203" s="87">
        <f t="shared" si="3"/>
        <v>160</v>
      </c>
      <c r="R203" s="85"/>
      <c r="S203" s="85"/>
    </row>
    <row r="204" spans="1:33" s="88" customFormat="1" ht="43.5" x14ac:dyDescent="0.35">
      <c r="A204" s="88" t="s">
        <v>35</v>
      </c>
      <c r="B204" s="88" t="s">
        <v>623</v>
      </c>
      <c r="C204" s="88" t="s">
        <v>6</v>
      </c>
      <c r="D204" s="87" t="s">
        <v>7</v>
      </c>
      <c r="E204" s="88">
        <v>159.09</v>
      </c>
      <c r="F204" s="97" t="s">
        <v>88</v>
      </c>
      <c r="G204" s="97">
        <v>45552</v>
      </c>
      <c r="H204" s="151" t="s">
        <v>94</v>
      </c>
      <c r="I204" s="85" t="s">
        <v>1017</v>
      </c>
      <c r="J204" s="85" t="s">
        <v>1018</v>
      </c>
      <c r="L204" s="85"/>
      <c r="M204" s="85" t="s">
        <v>1019</v>
      </c>
      <c r="N204" s="85"/>
      <c r="P204" s="86"/>
      <c r="Q204" s="87">
        <f t="shared" si="3"/>
        <v>159.09</v>
      </c>
      <c r="R204" s="85"/>
      <c r="S204" s="85"/>
    </row>
    <row r="205" spans="1:33" s="88" customFormat="1" ht="72.5" x14ac:dyDescent="0.35">
      <c r="A205" s="88" t="s">
        <v>35</v>
      </c>
      <c r="B205" s="88" t="s">
        <v>969</v>
      </c>
      <c r="C205" s="88" t="s">
        <v>6</v>
      </c>
      <c r="D205" s="87" t="s">
        <v>7</v>
      </c>
      <c r="E205" s="88">
        <v>154.55000000000001</v>
      </c>
      <c r="F205" s="97" t="s">
        <v>88</v>
      </c>
      <c r="G205" s="97">
        <v>45639</v>
      </c>
      <c r="H205" s="151" t="s">
        <v>94</v>
      </c>
      <c r="I205" s="85" t="s">
        <v>473</v>
      </c>
      <c r="J205" s="85" t="s">
        <v>1255</v>
      </c>
      <c r="L205" s="85"/>
      <c r="M205" s="85" t="s">
        <v>737</v>
      </c>
      <c r="N205" s="85"/>
      <c r="P205" s="86"/>
      <c r="Q205" s="87">
        <f t="shared" si="3"/>
        <v>154.55000000000001</v>
      </c>
      <c r="R205" s="85"/>
      <c r="S205" s="85"/>
    </row>
    <row r="206" spans="1:33" s="88" customFormat="1" ht="29" x14ac:dyDescent="0.35">
      <c r="A206" s="93" t="s">
        <v>35</v>
      </c>
      <c r="B206" s="93" t="s">
        <v>646</v>
      </c>
      <c r="C206" s="93" t="s">
        <v>6</v>
      </c>
      <c r="D206" s="94" t="s">
        <v>7</v>
      </c>
      <c r="E206" s="93">
        <v>153.75</v>
      </c>
      <c r="F206" s="95" t="s">
        <v>88</v>
      </c>
      <c r="G206" s="95">
        <v>45404</v>
      </c>
      <c r="H206" s="152" t="s">
        <v>94</v>
      </c>
      <c r="I206" s="96" t="s">
        <v>647</v>
      </c>
      <c r="J206" s="96" t="s">
        <v>648</v>
      </c>
      <c r="K206" s="93"/>
      <c r="L206" s="96"/>
      <c r="M206" s="96" t="s">
        <v>604</v>
      </c>
      <c r="N206" s="96"/>
      <c r="P206" s="86"/>
      <c r="Q206" s="87">
        <f t="shared" si="3"/>
        <v>153.75</v>
      </c>
      <c r="R206" s="85"/>
      <c r="S206" s="85"/>
    </row>
    <row r="207" spans="1:33" s="88" customFormat="1" ht="58" x14ac:dyDescent="0.35">
      <c r="A207" s="88" t="s">
        <v>35</v>
      </c>
      <c r="B207" s="88" t="s">
        <v>934</v>
      </c>
      <c r="C207" s="88" t="s">
        <v>6</v>
      </c>
      <c r="D207" s="87" t="s">
        <v>7</v>
      </c>
      <c r="E207" s="88">
        <v>149.82</v>
      </c>
      <c r="F207" s="97" t="s">
        <v>88</v>
      </c>
      <c r="G207" s="97">
        <v>45587</v>
      </c>
      <c r="H207" s="151" t="s">
        <v>94</v>
      </c>
      <c r="I207" s="85" t="s">
        <v>1110</v>
      </c>
      <c r="J207" s="85" t="s">
        <v>1111</v>
      </c>
      <c r="L207" s="85"/>
      <c r="M207" s="85" t="s">
        <v>1112</v>
      </c>
      <c r="N207" s="85"/>
      <c r="P207" s="86"/>
      <c r="Q207" s="87">
        <f t="shared" si="3"/>
        <v>149.82</v>
      </c>
      <c r="R207" s="85"/>
      <c r="S207" s="85"/>
    </row>
    <row r="208" spans="1:33" s="88" customFormat="1" ht="43.5" x14ac:dyDescent="0.35">
      <c r="A208" s="93" t="s">
        <v>35</v>
      </c>
      <c r="B208" s="93" t="s">
        <v>694</v>
      </c>
      <c r="C208" s="93" t="s">
        <v>6</v>
      </c>
      <c r="D208" s="94" t="s">
        <v>7</v>
      </c>
      <c r="E208" s="93">
        <v>136.36000000000001</v>
      </c>
      <c r="F208" s="95" t="s">
        <v>88</v>
      </c>
      <c r="G208" s="95">
        <v>45425</v>
      </c>
      <c r="H208" s="152" t="s">
        <v>94</v>
      </c>
      <c r="I208" s="96" t="s">
        <v>695</v>
      </c>
      <c r="J208" s="96" t="s">
        <v>696</v>
      </c>
      <c r="K208" s="93"/>
      <c r="L208" s="96"/>
      <c r="M208" s="96" t="s">
        <v>697</v>
      </c>
      <c r="N208" s="96"/>
      <c r="P208" s="86"/>
      <c r="Q208" s="87">
        <f t="shared" si="3"/>
        <v>136.36000000000001</v>
      </c>
      <c r="R208" s="85"/>
      <c r="S208" s="85"/>
    </row>
    <row r="209" spans="1:33" s="88" customFormat="1" ht="43.5" x14ac:dyDescent="0.35">
      <c r="A209" s="93" t="s">
        <v>35</v>
      </c>
      <c r="B209" s="93" t="s">
        <v>708</v>
      </c>
      <c r="C209" s="93" t="s">
        <v>6</v>
      </c>
      <c r="D209" s="94" t="s">
        <v>7</v>
      </c>
      <c r="E209" s="93">
        <v>136.36000000000001</v>
      </c>
      <c r="F209" s="95" t="s">
        <v>88</v>
      </c>
      <c r="G209" s="95">
        <v>45435</v>
      </c>
      <c r="H209" s="152" t="s">
        <v>94</v>
      </c>
      <c r="I209" s="96" t="s">
        <v>97</v>
      </c>
      <c r="J209" s="96" t="s">
        <v>709</v>
      </c>
      <c r="K209" s="93"/>
      <c r="L209" s="96"/>
      <c r="M209" s="96" t="s">
        <v>710</v>
      </c>
      <c r="N209" s="96"/>
      <c r="P209" s="86"/>
      <c r="Q209" s="87">
        <f t="shared" si="3"/>
        <v>136.36000000000001</v>
      </c>
      <c r="R209" s="85"/>
      <c r="S209" s="85"/>
    </row>
    <row r="210" spans="1:33" s="88" customFormat="1" ht="72.5" x14ac:dyDescent="0.35">
      <c r="A210" s="88" t="s">
        <v>35</v>
      </c>
      <c r="B210" s="88" t="s">
        <v>605</v>
      </c>
      <c r="C210" s="88" t="s">
        <v>6</v>
      </c>
      <c r="D210" s="87" t="s">
        <v>7</v>
      </c>
      <c r="E210" s="88">
        <v>136.36000000000001</v>
      </c>
      <c r="F210" s="97" t="s">
        <v>88</v>
      </c>
      <c r="G210" s="97">
        <v>45635</v>
      </c>
      <c r="H210" s="151" t="s">
        <v>94</v>
      </c>
      <c r="I210" s="85" t="s">
        <v>1223</v>
      </c>
      <c r="J210" s="85" t="s">
        <v>1224</v>
      </c>
      <c r="L210" s="85"/>
      <c r="M210" s="85" t="s">
        <v>1225</v>
      </c>
      <c r="N210" s="85"/>
      <c r="P210" s="86"/>
      <c r="Q210" s="87">
        <f t="shared" si="3"/>
        <v>136.36000000000001</v>
      </c>
      <c r="R210" s="85"/>
      <c r="S210" s="85"/>
    </row>
    <row r="211" spans="1:33" s="88" customFormat="1" ht="29" x14ac:dyDescent="0.35">
      <c r="A211" s="88" t="s">
        <v>35</v>
      </c>
      <c r="B211" s="88" t="s">
        <v>741</v>
      </c>
      <c r="C211" s="88" t="s">
        <v>6</v>
      </c>
      <c r="D211" s="87" t="s">
        <v>7</v>
      </c>
      <c r="E211" s="88">
        <v>127.27</v>
      </c>
      <c r="F211" s="97" t="s">
        <v>88</v>
      </c>
      <c r="G211" s="97">
        <v>45454</v>
      </c>
      <c r="H211" s="151" t="s">
        <v>94</v>
      </c>
      <c r="I211" s="85" t="s">
        <v>212</v>
      </c>
      <c r="J211" s="85" t="s">
        <v>742</v>
      </c>
      <c r="L211" s="85"/>
      <c r="M211" s="85" t="s">
        <v>743</v>
      </c>
      <c r="N211" s="85"/>
      <c r="P211" s="86"/>
      <c r="Q211" s="87">
        <f t="shared" si="3"/>
        <v>127.27</v>
      </c>
      <c r="R211" s="85"/>
      <c r="S211" s="85" t="s">
        <v>53</v>
      </c>
      <c r="T211" s="88" t="s">
        <v>64</v>
      </c>
      <c r="U211" s="88" t="str">
        <f>B211</f>
        <v>AU032045</v>
      </c>
      <c r="V211" s="88">
        <f>E211</f>
        <v>127.27</v>
      </c>
      <c r="AE211" s="88">
        <f>SUM(AE166:AE210)</f>
        <v>0</v>
      </c>
      <c r="AF211" s="88">
        <f>SUM(AF166:AF210)</f>
        <v>0</v>
      </c>
      <c r="AG211" s="88">
        <f>SUM(AG166:AG210)</f>
        <v>0</v>
      </c>
    </row>
    <row r="212" spans="1:33" s="88" customFormat="1" ht="29" x14ac:dyDescent="0.35">
      <c r="A212" s="88" t="s">
        <v>35</v>
      </c>
      <c r="B212" s="88" t="s">
        <v>953</v>
      </c>
      <c r="C212" s="88" t="s">
        <v>6</v>
      </c>
      <c r="D212" s="87" t="s">
        <v>7</v>
      </c>
      <c r="E212" s="88">
        <v>127.27</v>
      </c>
      <c r="F212" s="97" t="s">
        <v>88</v>
      </c>
      <c r="G212" s="97">
        <v>45523</v>
      </c>
      <c r="H212" s="151" t="s">
        <v>94</v>
      </c>
      <c r="I212" s="85" t="s">
        <v>954</v>
      </c>
      <c r="J212" s="85" t="s">
        <v>955</v>
      </c>
      <c r="L212" s="85"/>
      <c r="M212" s="85" t="s">
        <v>956</v>
      </c>
      <c r="N212" s="85"/>
      <c r="P212" s="86"/>
      <c r="Q212" s="87">
        <f t="shared" si="3"/>
        <v>127.27</v>
      </c>
      <c r="R212" s="85"/>
      <c r="S212" s="85"/>
    </row>
    <row r="213" spans="1:33" s="88" customFormat="1" ht="43.5" x14ac:dyDescent="0.35">
      <c r="A213" s="88" t="s">
        <v>35</v>
      </c>
      <c r="B213" s="88" t="s">
        <v>741</v>
      </c>
      <c r="C213" s="88" t="s">
        <v>6</v>
      </c>
      <c r="D213" s="87" t="s">
        <v>7</v>
      </c>
      <c r="E213" s="88">
        <v>127.27</v>
      </c>
      <c r="F213" s="97" t="s">
        <v>88</v>
      </c>
      <c r="G213" s="97">
        <v>45539</v>
      </c>
      <c r="H213" s="151" t="s">
        <v>94</v>
      </c>
      <c r="I213" s="85" t="s">
        <v>212</v>
      </c>
      <c r="J213" s="85" t="s">
        <v>999</v>
      </c>
      <c r="L213" s="85"/>
      <c r="M213" s="85" t="s">
        <v>743</v>
      </c>
      <c r="N213" s="85"/>
      <c r="P213" s="86"/>
      <c r="Q213" s="87">
        <f t="shared" si="3"/>
        <v>127.27</v>
      </c>
      <c r="R213" s="85"/>
      <c r="S213" s="85"/>
    </row>
    <row r="214" spans="1:33" s="88" customFormat="1" ht="29" x14ac:dyDescent="0.35">
      <c r="A214" s="88" t="s">
        <v>35</v>
      </c>
      <c r="B214" s="88" t="s">
        <v>741</v>
      </c>
      <c r="C214" s="88" t="s">
        <v>6</v>
      </c>
      <c r="D214" s="87" t="s">
        <v>7</v>
      </c>
      <c r="E214" s="88">
        <v>127.27</v>
      </c>
      <c r="F214" s="97" t="s">
        <v>88</v>
      </c>
      <c r="G214" s="97">
        <v>45635</v>
      </c>
      <c r="H214" s="151" t="s">
        <v>94</v>
      </c>
      <c r="I214" s="85" t="s">
        <v>212</v>
      </c>
      <c r="J214" s="85" t="s">
        <v>1235</v>
      </c>
      <c r="L214" s="85"/>
      <c r="M214" s="85" t="s">
        <v>743</v>
      </c>
      <c r="N214" s="85"/>
      <c r="P214" s="86"/>
      <c r="Q214" s="87">
        <f t="shared" si="3"/>
        <v>127.27</v>
      </c>
      <c r="R214" s="85"/>
      <c r="S214" s="85"/>
    </row>
    <row r="215" spans="1:33" s="88" customFormat="1" ht="43.5" x14ac:dyDescent="0.35">
      <c r="A215" s="88" t="s">
        <v>35</v>
      </c>
      <c r="B215" s="88" t="s">
        <v>623</v>
      </c>
      <c r="C215" s="88" t="s">
        <v>6</v>
      </c>
      <c r="D215" s="87" t="s">
        <v>7</v>
      </c>
      <c r="E215" s="88">
        <v>116.36</v>
      </c>
      <c r="F215" s="97" t="s">
        <v>88</v>
      </c>
      <c r="G215" s="97">
        <v>45607</v>
      </c>
      <c r="H215" s="151" t="s">
        <v>94</v>
      </c>
      <c r="I215" s="85" t="s">
        <v>120</v>
      </c>
      <c r="J215" s="85" t="s">
        <v>1153</v>
      </c>
      <c r="L215" s="85"/>
      <c r="M215" s="85" t="s">
        <v>1154</v>
      </c>
      <c r="N215" s="85"/>
      <c r="P215" s="86"/>
      <c r="Q215" s="87">
        <f t="shared" si="3"/>
        <v>116.36</v>
      </c>
      <c r="R215" s="85"/>
      <c r="S215" s="85"/>
    </row>
    <row r="216" spans="1:33" s="88" customFormat="1" ht="29" x14ac:dyDescent="0.35">
      <c r="A216" s="88" t="s">
        <v>35</v>
      </c>
      <c r="B216" s="88" t="s">
        <v>764</v>
      </c>
      <c r="C216" s="88" t="s">
        <v>6</v>
      </c>
      <c r="D216" s="87" t="s">
        <v>7</v>
      </c>
      <c r="E216" s="88">
        <v>109.09</v>
      </c>
      <c r="F216" s="97" t="s">
        <v>88</v>
      </c>
      <c r="G216" s="97">
        <v>45464</v>
      </c>
      <c r="H216" s="151" t="s">
        <v>94</v>
      </c>
      <c r="I216" s="85" t="s">
        <v>765</v>
      </c>
      <c r="J216" s="85" t="s">
        <v>766</v>
      </c>
      <c r="L216" s="85"/>
      <c r="M216" s="85" t="s">
        <v>767</v>
      </c>
      <c r="N216" s="85"/>
      <c r="P216" s="86"/>
      <c r="Q216" s="87">
        <f t="shared" si="3"/>
        <v>109.09</v>
      </c>
      <c r="R216" s="85"/>
      <c r="S216" s="85"/>
    </row>
    <row r="217" spans="1:33" s="88" customFormat="1" ht="58" x14ac:dyDescent="0.35">
      <c r="A217" s="88" t="s">
        <v>35</v>
      </c>
      <c r="B217" s="88" t="s">
        <v>756</v>
      </c>
      <c r="C217" s="88" t="s">
        <v>6</v>
      </c>
      <c r="D217" s="87" t="s">
        <v>7</v>
      </c>
      <c r="E217" s="88">
        <v>109.08</v>
      </c>
      <c r="F217" s="97" t="s">
        <v>88</v>
      </c>
      <c r="G217" s="97">
        <v>45504</v>
      </c>
      <c r="H217" s="151" t="s">
        <v>94</v>
      </c>
      <c r="I217" s="85" t="s">
        <v>895</v>
      </c>
      <c r="J217" s="85" t="s">
        <v>896</v>
      </c>
      <c r="L217" s="85"/>
      <c r="M217" s="85" t="s">
        <v>743</v>
      </c>
      <c r="N217" s="85"/>
      <c r="P217" s="86"/>
      <c r="Q217" s="87">
        <f t="shared" si="3"/>
        <v>109.08</v>
      </c>
      <c r="R217" s="85"/>
      <c r="S217" s="85"/>
    </row>
    <row r="218" spans="1:33" s="88" customFormat="1" ht="29" x14ac:dyDescent="0.35">
      <c r="A218" s="88" t="s">
        <v>35</v>
      </c>
      <c r="B218" s="88" t="s">
        <v>881</v>
      </c>
      <c r="C218" s="88" t="s">
        <v>6</v>
      </c>
      <c r="D218" s="87" t="s">
        <v>7</v>
      </c>
      <c r="E218" s="88">
        <v>100</v>
      </c>
      <c r="F218" s="97" t="s">
        <v>88</v>
      </c>
      <c r="G218" s="97">
        <v>45502</v>
      </c>
      <c r="H218" s="151" t="s">
        <v>94</v>
      </c>
      <c r="I218" s="85" t="s">
        <v>479</v>
      </c>
      <c r="J218" s="85" t="s">
        <v>882</v>
      </c>
      <c r="L218" s="85"/>
      <c r="M218" s="85" t="s">
        <v>755</v>
      </c>
      <c r="N218" s="85"/>
      <c r="P218" s="86"/>
      <c r="Q218" s="87">
        <f t="shared" si="3"/>
        <v>100</v>
      </c>
      <c r="R218" s="85"/>
      <c r="S218" s="85"/>
    </row>
    <row r="219" spans="1:33" s="88" customFormat="1" ht="29" x14ac:dyDescent="0.35">
      <c r="A219" s="88" t="s">
        <v>35</v>
      </c>
      <c r="B219" s="88" t="s">
        <v>708</v>
      </c>
      <c r="C219" s="88" t="s">
        <v>6</v>
      </c>
      <c r="D219" s="87" t="s">
        <v>7</v>
      </c>
      <c r="E219" s="88">
        <v>100</v>
      </c>
      <c r="F219" s="97" t="s">
        <v>88</v>
      </c>
      <c r="G219" s="97">
        <v>45504</v>
      </c>
      <c r="H219" s="151" t="s">
        <v>94</v>
      </c>
      <c r="I219" s="85" t="s">
        <v>298</v>
      </c>
      <c r="J219" s="85" t="s">
        <v>897</v>
      </c>
      <c r="L219" s="85"/>
      <c r="M219" s="85" t="s">
        <v>755</v>
      </c>
      <c r="N219" s="85"/>
      <c r="P219" s="86"/>
      <c r="Q219" s="87">
        <f t="shared" si="3"/>
        <v>100</v>
      </c>
      <c r="R219" s="85"/>
      <c r="S219" s="85"/>
    </row>
    <row r="220" spans="1:33" s="88" customFormat="1" ht="29" x14ac:dyDescent="0.35">
      <c r="A220" s="88" t="s">
        <v>35</v>
      </c>
      <c r="B220" s="88" t="s">
        <v>615</v>
      </c>
      <c r="C220" s="88" t="s">
        <v>6</v>
      </c>
      <c r="D220" s="87" t="s">
        <v>7</v>
      </c>
      <c r="E220" s="88">
        <v>100</v>
      </c>
      <c r="F220" s="97" t="s">
        <v>88</v>
      </c>
      <c r="G220" s="97">
        <v>45523</v>
      </c>
      <c r="H220" s="151" t="s">
        <v>94</v>
      </c>
      <c r="I220" s="85" t="s">
        <v>113</v>
      </c>
      <c r="J220" s="85" t="s">
        <v>957</v>
      </c>
      <c r="L220" s="85"/>
      <c r="M220" s="85" t="s">
        <v>755</v>
      </c>
      <c r="N220" s="85"/>
      <c r="P220" s="86"/>
      <c r="Q220" s="87">
        <f t="shared" si="3"/>
        <v>100</v>
      </c>
      <c r="R220" s="85"/>
      <c r="S220" s="85"/>
    </row>
    <row r="221" spans="1:33" s="88" customFormat="1" x14ac:dyDescent="0.35">
      <c r="A221" s="93" t="s">
        <v>0</v>
      </c>
      <c r="B221" s="93" t="s">
        <v>724</v>
      </c>
      <c r="C221" s="93" t="s">
        <v>6</v>
      </c>
      <c r="D221" s="94" t="s">
        <v>7</v>
      </c>
      <c r="E221" s="93">
        <v>99.55</v>
      </c>
      <c r="F221" s="95" t="s">
        <v>88</v>
      </c>
      <c r="G221" s="95">
        <v>45447</v>
      </c>
      <c r="H221" s="152" t="s">
        <v>89</v>
      </c>
      <c r="I221" s="96" t="s">
        <v>725</v>
      </c>
      <c r="J221" s="96"/>
      <c r="K221" s="93" t="s">
        <v>101</v>
      </c>
      <c r="L221" s="96" t="s">
        <v>726</v>
      </c>
      <c r="M221" s="96" t="s">
        <v>727</v>
      </c>
      <c r="N221" s="96"/>
      <c r="O221" s="96"/>
      <c r="P221" s="86"/>
      <c r="Q221" s="87">
        <f t="shared" si="3"/>
        <v>99.55</v>
      </c>
      <c r="R221" s="85"/>
      <c r="S221" s="85"/>
    </row>
    <row r="222" spans="1:33" s="88" customFormat="1" x14ac:dyDescent="0.35">
      <c r="A222" s="88" t="s">
        <v>35</v>
      </c>
      <c r="B222" s="88" t="s">
        <v>805</v>
      </c>
      <c r="C222" s="88" t="s">
        <v>6</v>
      </c>
      <c r="D222" s="87" t="s">
        <v>7</v>
      </c>
      <c r="E222" s="88">
        <v>94.83</v>
      </c>
      <c r="F222" s="97" t="s">
        <v>88</v>
      </c>
      <c r="G222" s="97">
        <v>45553</v>
      </c>
      <c r="H222" s="151" t="s">
        <v>89</v>
      </c>
      <c r="I222" s="85" t="s">
        <v>1023</v>
      </c>
      <c r="J222" s="85"/>
      <c r="K222" s="88" t="s">
        <v>1024</v>
      </c>
      <c r="L222" s="85" t="s">
        <v>1025</v>
      </c>
      <c r="M222" s="85" t="s">
        <v>122</v>
      </c>
      <c r="N222" s="85"/>
      <c r="O222" s="85"/>
      <c r="P222" s="86"/>
      <c r="Q222" s="87">
        <f t="shared" si="3"/>
        <v>94.83</v>
      </c>
      <c r="R222" s="85"/>
      <c r="S222" s="85"/>
    </row>
    <row r="223" spans="1:33" s="88" customFormat="1" ht="29" x14ac:dyDescent="0.35">
      <c r="A223" s="93" t="s">
        <v>35</v>
      </c>
      <c r="B223" s="93" t="s">
        <v>677</v>
      </c>
      <c r="C223" s="93" t="s">
        <v>6</v>
      </c>
      <c r="D223" s="94" t="s">
        <v>7</v>
      </c>
      <c r="E223" s="93">
        <v>93.18</v>
      </c>
      <c r="F223" s="95" t="s">
        <v>88</v>
      </c>
      <c r="G223" s="95">
        <v>45446</v>
      </c>
      <c r="H223" s="152" t="s">
        <v>94</v>
      </c>
      <c r="I223" s="96" t="s">
        <v>722</v>
      </c>
      <c r="J223" s="96" t="s">
        <v>723</v>
      </c>
      <c r="K223" s="93"/>
      <c r="L223" s="96"/>
      <c r="M223" s="96" t="s">
        <v>604</v>
      </c>
      <c r="N223" s="96"/>
      <c r="P223" s="86"/>
      <c r="Q223" s="87">
        <f t="shared" si="3"/>
        <v>93.18</v>
      </c>
      <c r="R223" s="85"/>
      <c r="S223" s="85"/>
    </row>
    <row r="224" spans="1:33" s="88" customFormat="1" ht="29" x14ac:dyDescent="0.35">
      <c r="A224" s="88" t="s">
        <v>35</v>
      </c>
      <c r="B224" s="88" t="s">
        <v>638</v>
      </c>
      <c r="C224" s="88" t="s">
        <v>6</v>
      </c>
      <c r="D224" s="87" t="s">
        <v>7</v>
      </c>
      <c r="E224" s="88">
        <v>93.18</v>
      </c>
      <c r="F224" s="97" t="s">
        <v>88</v>
      </c>
      <c r="G224" s="97">
        <v>45482</v>
      </c>
      <c r="H224" s="151" t="s">
        <v>94</v>
      </c>
      <c r="I224" s="85" t="s">
        <v>823</v>
      </c>
      <c r="J224" s="85" t="s">
        <v>824</v>
      </c>
      <c r="L224" s="85"/>
      <c r="M224" s="85" t="s">
        <v>604</v>
      </c>
      <c r="N224" s="85"/>
      <c r="P224" s="86"/>
      <c r="Q224" s="87">
        <f t="shared" si="3"/>
        <v>93.18</v>
      </c>
      <c r="R224" s="85"/>
      <c r="S224" s="85"/>
    </row>
    <row r="225" spans="1:33" s="88" customFormat="1" ht="29" x14ac:dyDescent="0.35">
      <c r="A225" s="88" t="s">
        <v>35</v>
      </c>
      <c r="B225" s="88" t="s">
        <v>615</v>
      </c>
      <c r="C225" s="88" t="s">
        <v>6</v>
      </c>
      <c r="D225" s="87" t="s">
        <v>7</v>
      </c>
      <c r="E225" s="88">
        <v>90.91</v>
      </c>
      <c r="F225" s="97" t="s">
        <v>88</v>
      </c>
      <c r="G225" s="97">
        <v>45460</v>
      </c>
      <c r="H225" s="151" t="s">
        <v>94</v>
      </c>
      <c r="I225" s="85" t="s">
        <v>753</v>
      </c>
      <c r="J225" s="85" t="s">
        <v>754</v>
      </c>
      <c r="L225" s="85"/>
      <c r="M225" s="85" t="s">
        <v>755</v>
      </c>
      <c r="N225" s="85"/>
      <c r="P225" s="86"/>
      <c r="Q225" s="87">
        <f t="shared" si="3"/>
        <v>90.91</v>
      </c>
      <c r="R225" s="85"/>
      <c r="S225" s="85"/>
    </row>
    <row r="226" spans="1:33" s="88" customFormat="1" ht="43.5" x14ac:dyDescent="0.35">
      <c r="A226" s="88" t="s">
        <v>35</v>
      </c>
      <c r="B226" s="88" t="s">
        <v>615</v>
      </c>
      <c r="C226" s="88" t="s">
        <v>6</v>
      </c>
      <c r="D226" s="87" t="s">
        <v>7</v>
      </c>
      <c r="E226" s="88">
        <v>90.91</v>
      </c>
      <c r="F226" s="97" t="s">
        <v>88</v>
      </c>
      <c r="G226" s="97">
        <v>45485</v>
      </c>
      <c r="H226" s="151" t="s">
        <v>94</v>
      </c>
      <c r="I226" s="85" t="s">
        <v>833</v>
      </c>
      <c r="J226" s="85" t="s">
        <v>834</v>
      </c>
      <c r="L226" s="85"/>
      <c r="M226" s="85" t="s">
        <v>755</v>
      </c>
      <c r="N226" s="85"/>
      <c r="P226" s="86"/>
      <c r="Q226" s="87">
        <f t="shared" si="3"/>
        <v>90.91</v>
      </c>
      <c r="R226" s="85"/>
      <c r="S226" s="85"/>
    </row>
    <row r="227" spans="1:33" s="88" customFormat="1" ht="29" x14ac:dyDescent="0.35">
      <c r="A227" s="88" t="s">
        <v>35</v>
      </c>
      <c r="B227" s="88" t="s">
        <v>642</v>
      </c>
      <c r="C227" s="88" t="s">
        <v>6</v>
      </c>
      <c r="D227" s="87" t="s">
        <v>7</v>
      </c>
      <c r="E227" s="88">
        <v>90</v>
      </c>
      <c r="F227" s="97" t="s">
        <v>88</v>
      </c>
      <c r="G227" s="97">
        <v>45603</v>
      </c>
      <c r="H227" s="151" t="s">
        <v>94</v>
      </c>
      <c r="I227" s="85" t="s">
        <v>1036</v>
      </c>
      <c r="J227" s="85" t="s">
        <v>1151</v>
      </c>
      <c r="L227" s="85"/>
      <c r="M227" s="85" t="s">
        <v>1040</v>
      </c>
      <c r="N227" s="85"/>
      <c r="P227" s="86"/>
      <c r="Q227" s="87">
        <f t="shared" si="3"/>
        <v>90</v>
      </c>
      <c r="R227" s="85"/>
      <c r="S227" s="85"/>
    </row>
    <row r="228" spans="1:33" s="88" customFormat="1" ht="29" x14ac:dyDescent="0.35">
      <c r="A228" s="88" t="s">
        <v>35</v>
      </c>
      <c r="B228" s="88" t="s">
        <v>825</v>
      </c>
      <c r="C228" s="88" t="s">
        <v>6</v>
      </c>
      <c r="D228" s="87" t="s">
        <v>7</v>
      </c>
      <c r="E228" s="88">
        <v>75</v>
      </c>
      <c r="F228" s="97" t="s">
        <v>88</v>
      </c>
      <c r="G228" s="97">
        <v>45534</v>
      </c>
      <c r="H228" s="151" t="s">
        <v>94</v>
      </c>
      <c r="I228" s="85" t="s">
        <v>234</v>
      </c>
      <c r="J228" s="85" t="s">
        <v>957</v>
      </c>
      <c r="L228" s="85"/>
      <c r="M228" s="85" t="s">
        <v>755</v>
      </c>
      <c r="N228" s="85"/>
      <c r="P228" s="86"/>
      <c r="Q228" s="87">
        <f t="shared" si="3"/>
        <v>75</v>
      </c>
      <c r="R228" s="85"/>
      <c r="S228" s="85"/>
    </row>
    <row r="229" spans="1:33" s="88" customFormat="1" ht="29" x14ac:dyDescent="0.35">
      <c r="A229" s="88" t="s">
        <v>35</v>
      </c>
      <c r="B229" s="88" t="s">
        <v>825</v>
      </c>
      <c r="C229" s="88" t="s">
        <v>6</v>
      </c>
      <c r="D229" s="87" t="s">
        <v>7</v>
      </c>
      <c r="E229" s="88">
        <v>68.180000000000007</v>
      </c>
      <c r="F229" s="97" t="s">
        <v>88</v>
      </c>
      <c r="G229" s="97">
        <v>45483</v>
      </c>
      <c r="H229" s="151" t="s">
        <v>94</v>
      </c>
      <c r="I229" s="85" t="s">
        <v>234</v>
      </c>
      <c r="J229" s="85" t="s">
        <v>826</v>
      </c>
      <c r="L229" s="85"/>
      <c r="M229" s="85" t="s">
        <v>755</v>
      </c>
      <c r="N229" s="85"/>
      <c r="P229" s="86"/>
      <c r="Q229" s="87">
        <f t="shared" si="3"/>
        <v>68.180000000000007</v>
      </c>
      <c r="R229" s="85"/>
      <c r="S229" s="85"/>
    </row>
    <row r="230" spans="1:33" s="88" customFormat="1" ht="87" x14ac:dyDescent="0.35">
      <c r="A230" s="88" t="s">
        <v>35</v>
      </c>
      <c r="B230" s="88" t="s">
        <v>909</v>
      </c>
      <c r="C230" s="88" t="s">
        <v>6</v>
      </c>
      <c r="D230" s="87" t="s">
        <v>7</v>
      </c>
      <c r="E230" s="88">
        <v>62.86</v>
      </c>
      <c r="F230" s="97" t="s">
        <v>88</v>
      </c>
      <c r="G230" s="97">
        <v>45555</v>
      </c>
      <c r="H230" s="151" t="s">
        <v>94</v>
      </c>
      <c r="I230" s="85" t="s">
        <v>910</v>
      </c>
      <c r="J230" s="85" t="s">
        <v>1047</v>
      </c>
      <c r="L230" s="85"/>
      <c r="M230" s="85" t="s">
        <v>1048</v>
      </c>
      <c r="N230" s="85"/>
      <c r="P230" s="86"/>
      <c r="Q230" s="87">
        <f t="shared" si="3"/>
        <v>62.86</v>
      </c>
      <c r="R230" s="85"/>
      <c r="S230" s="85"/>
    </row>
    <row r="231" spans="1:33" s="88" customFormat="1" ht="43.5" x14ac:dyDescent="0.35">
      <c r="A231" s="88" t="s">
        <v>35</v>
      </c>
      <c r="B231" s="88" t="s">
        <v>642</v>
      </c>
      <c r="C231" s="88" t="s">
        <v>6</v>
      </c>
      <c r="D231" s="87" t="s">
        <v>7</v>
      </c>
      <c r="E231" s="88">
        <v>56.73</v>
      </c>
      <c r="F231" s="97" t="s">
        <v>88</v>
      </c>
      <c r="G231" s="97">
        <v>45467</v>
      </c>
      <c r="H231" s="151" t="s">
        <v>94</v>
      </c>
      <c r="I231" s="85" t="s">
        <v>778</v>
      </c>
      <c r="J231" s="85" t="s">
        <v>779</v>
      </c>
      <c r="L231" s="85"/>
      <c r="M231" s="85" t="s">
        <v>582</v>
      </c>
      <c r="N231" s="85"/>
      <c r="P231" s="86"/>
      <c r="Q231" s="87">
        <f t="shared" si="3"/>
        <v>56.73</v>
      </c>
      <c r="R231" s="85"/>
      <c r="S231" s="85"/>
    </row>
    <row r="232" spans="1:33" s="88" customFormat="1" ht="29" x14ac:dyDescent="0.35">
      <c r="A232" s="35" t="s">
        <v>35</v>
      </c>
      <c r="B232" s="35" t="s">
        <v>601</v>
      </c>
      <c r="C232" s="35" t="s">
        <v>6</v>
      </c>
      <c r="D232" s="58" t="s">
        <v>7</v>
      </c>
      <c r="E232" s="35">
        <v>51.25</v>
      </c>
      <c r="F232" s="29" t="s">
        <v>88</v>
      </c>
      <c r="G232" s="29">
        <v>45385</v>
      </c>
      <c r="H232" s="153" t="s">
        <v>94</v>
      </c>
      <c r="I232" s="59" t="s">
        <v>602</v>
      </c>
      <c r="J232" s="59" t="s">
        <v>603</v>
      </c>
      <c r="K232" s="35"/>
      <c r="L232" s="59"/>
      <c r="M232" s="59" t="s">
        <v>604</v>
      </c>
      <c r="N232" s="59"/>
      <c r="P232" s="5"/>
      <c r="Q232" s="3">
        <f t="shared" si="3"/>
        <v>51.25</v>
      </c>
      <c r="R232" s="55"/>
      <c r="S232" s="55"/>
      <c r="T232"/>
      <c r="U232"/>
      <c r="V232"/>
      <c r="W232"/>
      <c r="X232"/>
      <c r="Y232"/>
      <c r="Z232"/>
      <c r="AA232"/>
      <c r="AB232"/>
      <c r="AC232"/>
      <c r="AD232"/>
      <c r="AE232"/>
      <c r="AF232"/>
      <c r="AG232"/>
    </row>
    <row r="233" spans="1:33" s="88" customFormat="1" ht="29" x14ac:dyDescent="0.35">
      <c r="A233" s="93" t="s">
        <v>35</v>
      </c>
      <c r="B233" s="93" t="s">
        <v>713</v>
      </c>
      <c r="C233" s="93" t="s">
        <v>6</v>
      </c>
      <c r="D233" s="94" t="s">
        <v>7</v>
      </c>
      <c r="E233" s="93">
        <v>50</v>
      </c>
      <c r="F233" s="95" t="s">
        <v>88</v>
      </c>
      <c r="G233" s="95">
        <v>45442</v>
      </c>
      <c r="H233" s="152" t="s">
        <v>94</v>
      </c>
      <c r="I233" s="96" t="s">
        <v>128</v>
      </c>
      <c r="J233" s="96" t="s">
        <v>716</v>
      </c>
      <c r="K233" s="93"/>
      <c r="L233" s="96"/>
      <c r="M233" s="96" t="s">
        <v>717</v>
      </c>
      <c r="N233" s="96"/>
      <c r="P233" s="86"/>
      <c r="Q233" s="87">
        <f t="shared" si="3"/>
        <v>50</v>
      </c>
      <c r="R233" s="85"/>
      <c r="S233" s="85"/>
    </row>
    <row r="234" spans="1:33" s="88" customFormat="1" ht="29" x14ac:dyDescent="0.35">
      <c r="A234" s="88" t="s">
        <v>35</v>
      </c>
      <c r="B234" s="88" t="s">
        <v>1106</v>
      </c>
      <c r="C234" s="88" t="s">
        <v>6</v>
      </c>
      <c r="D234" s="87" t="s">
        <v>7</v>
      </c>
      <c r="E234" s="88">
        <v>45.91</v>
      </c>
      <c r="F234" s="97" t="s">
        <v>88</v>
      </c>
      <c r="G234" s="97">
        <v>45587</v>
      </c>
      <c r="H234" s="151" t="s">
        <v>94</v>
      </c>
      <c r="I234" s="85" t="s">
        <v>1107</v>
      </c>
      <c r="J234" s="85" t="s">
        <v>1108</v>
      </c>
      <c r="L234" s="85"/>
      <c r="M234" s="85" t="s">
        <v>1109</v>
      </c>
      <c r="N234" s="85"/>
      <c r="P234" s="86"/>
      <c r="Q234" s="87">
        <f t="shared" si="3"/>
        <v>45.91</v>
      </c>
      <c r="R234" s="85"/>
      <c r="S234" s="85"/>
    </row>
    <row r="235" spans="1:33" s="88" customFormat="1" ht="29" x14ac:dyDescent="0.35">
      <c r="A235" s="88" t="s">
        <v>35</v>
      </c>
      <c r="B235" s="88" t="s">
        <v>724</v>
      </c>
      <c r="C235" s="88" t="s">
        <v>6</v>
      </c>
      <c r="D235" s="87" t="s">
        <v>7</v>
      </c>
      <c r="E235" s="88">
        <v>45.45</v>
      </c>
      <c r="F235" s="97" t="s">
        <v>88</v>
      </c>
      <c r="G235" s="97">
        <v>45492</v>
      </c>
      <c r="H235" s="151" t="s">
        <v>94</v>
      </c>
      <c r="I235" s="85" t="s">
        <v>858</v>
      </c>
      <c r="J235" s="85" t="s">
        <v>859</v>
      </c>
      <c r="L235" s="85"/>
      <c r="M235" s="85" t="s">
        <v>860</v>
      </c>
      <c r="N235" s="85"/>
      <c r="P235" s="86"/>
      <c r="Q235" s="87">
        <f t="shared" si="3"/>
        <v>45.45</v>
      </c>
      <c r="R235" s="85"/>
      <c r="S235" s="85"/>
    </row>
    <row r="236" spans="1:33" s="88" customFormat="1" ht="29" x14ac:dyDescent="0.35">
      <c r="A236" s="88" t="s">
        <v>35</v>
      </c>
      <c r="B236" s="88" t="s">
        <v>677</v>
      </c>
      <c r="C236" s="88" t="s">
        <v>6</v>
      </c>
      <c r="D236" s="87" t="s">
        <v>7</v>
      </c>
      <c r="E236" s="88">
        <v>45.45</v>
      </c>
      <c r="F236" s="97" t="s">
        <v>88</v>
      </c>
      <c r="G236" s="97">
        <v>45555</v>
      </c>
      <c r="H236" s="151" t="s">
        <v>94</v>
      </c>
      <c r="I236" s="85" t="s">
        <v>1049</v>
      </c>
      <c r="J236" s="85" t="s">
        <v>1050</v>
      </c>
      <c r="L236" s="85"/>
      <c r="M236" s="85" t="s">
        <v>1051</v>
      </c>
      <c r="N236" s="85"/>
      <c r="P236" s="86"/>
      <c r="Q236" s="87">
        <f t="shared" si="3"/>
        <v>45.45</v>
      </c>
      <c r="R236" s="85"/>
      <c r="S236" s="85"/>
    </row>
    <row r="237" spans="1:33" s="88" customFormat="1" ht="43.5" x14ac:dyDescent="0.35">
      <c r="A237" s="88" t="s">
        <v>35</v>
      </c>
      <c r="B237" s="88" t="s">
        <v>1075</v>
      </c>
      <c r="C237" s="88" t="s">
        <v>6</v>
      </c>
      <c r="D237" s="87" t="s">
        <v>7</v>
      </c>
      <c r="E237" s="88">
        <v>45.45</v>
      </c>
      <c r="F237" s="97" t="s">
        <v>88</v>
      </c>
      <c r="G237" s="97">
        <v>45574</v>
      </c>
      <c r="H237" s="151" t="s">
        <v>94</v>
      </c>
      <c r="I237" s="85" t="s">
        <v>114</v>
      </c>
      <c r="J237" s="85" t="s">
        <v>1076</v>
      </c>
      <c r="L237" s="85"/>
      <c r="M237" s="85" t="s">
        <v>1051</v>
      </c>
      <c r="N237" s="85"/>
      <c r="P237" s="86"/>
      <c r="Q237" s="87">
        <f t="shared" si="3"/>
        <v>45.45</v>
      </c>
      <c r="R237" s="85"/>
      <c r="S237" s="85"/>
    </row>
    <row r="238" spans="1:33" s="88" customFormat="1" ht="29" x14ac:dyDescent="0.35">
      <c r="A238" s="88" t="s">
        <v>35</v>
      </c>
      <c r="B238" s="88" t="s">
        <v>915</v>
      </c>
      <c r="C238" s="88" t="s">
        <v>6</v>
      </c>
      <c r="D238" s="87" t="s">
        <v>7</v>
      </c>
      <c r="E238" s="88">
        <v>40.909999999999997</v>
      </c>
      <c r="F238" s="97" t="s">
        <v>88</v>
      </c>
      <c r="G238" s="97">
        <v>45512</v>
      </c>
      <c r="H238" s="151" t="s">
        <v>94</v>
      </c>
      <c r="I238" s="85" t="s">
        <v>916</v>
      </c>
      <c r="J238" s="85" t="s">
        <v>917</v>
      </c>
      <c r="L238" s="85"/>
      <c r="M238" s="85" t="s">
        <v>918</v>
      </c>
      <c r="N238" s="85"/>
      <c r="P238" s="86"/>
      <c r="Q238" s="87">
        <f t="shared" si="3"/>
        <v>40.909999999999997</v>
      </c>
      <c r="R238" s="85"/>
      <c r="S238" s="85"/>
    </row>
    <row r="239" spans="1:33" s="88" customFormat="1" ht="43.5" x14ac:dyDescent="0.35">
      <c r="A239" s="88" t="s">
        <v>35</v>
      </c>
      <c r="B239" s="88" t="s">
        <v>1053</v>
      </c>
      <c r="C239" s="88" t="s">
        <v>6</v>
      </c>
      <c r="D239" s="87" t="s">
        <v>7</v>
      </c>
      <c r="E239" s="88">
        <v>40.61</v>
      </c>
      <c r="F239" s="97" t="s">
        <v>88</v>
      </c>
      <c r="G239" s="97">
        <v>45565</v>
      </c>
      <c r="H239" s="151" t="s">
        <v>94</v>
      </c>
      <c r="I239" s="85" t="s">
        <v>1054</v>
      </c>
      <c r="J239" s="85" t="s">
        <v>1055</v>
      </c>
      <c r="L239" s="85"/>
      <c r="M239" s="85" t="s">
        <v>1056</v>
      </c>
      <c r="N239" s="85"/>
      <c r="P239" s="86"/>
      <c r="Q239" s="87">
        <f t="shared" si="3"/>
        <v>40.61</v>
      </c>
      <c r="R239" s="85"/>
      <c r="S239" s="85"/>
    </row>
    <row r="240" spans="1:33" s="88" customFormat="1" ht="29" x14ac:dyDescent="0.35">
      <c r="A240" s="88" t="s">
        <v>35</v>
      </c>
      <c r="B240" s="88" t="s">
        <v>1032</v>
      </c>
      <c r="C240" s="88" t="s">
        <v>6</v>
      </c>
      <c r="D240" s="87" t="s">
        <v>7</v>
      </c>
      <c r="E240" s="88">
        <v>40.130000000000003</v>
      </c>
      <c r="F240" s="97" t="s">
        <v>88</v>
      </c>
      <c r="G240" s="97">
        <v>45554</v>
      </c>
      <c r="H240" s="151" t="s">
        <v>94</v>
      </c>
      <c r="I240" s="85" t="s">
        <v>1033</v>
      </c>
      <c r="J240" s="85" t="s">
        <v>1034</v>
      </c>
      <c r="L240" s="85"/>
      <c r="M240" s="85" t="s">
        <v>1035</v>
      </c>
      <c r="N240" s="85"/>
      <c r="P240" s="86"/>
      <c r="Q240" s="87">
        <f t="shared" si="3"/>
        <v>40.130000000000003</v>
      </c>
      <c r="R240" s="85"/>
      <c r="S240" s="85"/>
    </row>
    <row r="241" spans="1:22" s="88" customFormat="1" ht="29" x14ac:dyDescent="0.35">
      <c r="A241" s="88" t="s">
        <v>35</v>
      </c>
      <c r="B241" s="88" t="s">
        <v>642</v>
      </c>
      <c r="C241" s="88" t="s">
        <v>6</v>
      </c>
      <c r="D241" s="87" t="s">
        <v>7</v>
      </c>
      <c r="E241" s="88">
        <v>36.36</v>
      </c>
      <c r="F241" s="97" t="s">
        <v>88</v>
      </c>
      <c r="G241" s="97">
        <v>45644</v>
      </c>
      <c r="H241" s="151" t="s">
        <v>94</v>
      </c>
      <c r="I241" s="85" t="s">
        <v>1187</v>
      </c>
      <c r="J241" s="85" t="s">
        <v>1278</v>
      </c>
      <c r="L241" s="85"/>
      <c r="M241" s="85" t="s">
        <v>743</v>
      </c>
      <c r="N241" s="85"/>
      <c r="P241" s="86"/>
      <c r="Q241" s="87">
        <f t="shared" si="3"/>
        <v>36.36</v>
      </c>
      <c r="R241" s="85"/>
      <c r="S241" s="85"/>
    </row>
    <row r="242" spans="1:22" s="88" customFormat="1" ht="43.5" x14ac:dyDescent="0.35">
      <c r="A242" s="88" t="s">
        <v>35</v>
      </c>
      <c r="B242" s="88" t="s">
        <v>770</v>
      </c>
      <c r="C242" s="88" t="s">
        <v>6</v>
      </c>
      <c r="D242" s="87" t="s">
        <v>7</v>
      </c>
      <c r="E242" s="88">
        <v>29.46</v>
      </c>
      <c r="F242" s="97" t="s">
        <v>88</v>
      </c>
      <c r="G242" s="97">
        <v>45464</v>
      </c>
      <c r="H242" s="151" t="s">
        <v>94</v>
      </c>
      <c r="I242" s="85" t="s">
        <v>771</v>
      </c>
      <c r="J242" s="85" t="s">
        <v>774</v>
      </c>
      <c r="L242" s="85"/>
      <c r="M242" s="85" t="s">
        <v>775</v>
      </c>
      <c r="N242" s="85"/>
      <c r="P242" s="86"/>
      <c r="Q242" s="87">
        <f t="shared" si="3"/>
        <v>29.46</v>
      </c>
      <c r="R242" s="85"/>
      <c r="S242" s="85"/>
    </row>
    <row r="243" spans="1:22" s="88" customFormat="1" ht="29" x14ac:dyDescent="0.35">
      <c r="A243" s="88" t="s">
        <v>35</v>
      </c>
      <c r="B243" s="88" t="s">
        <v>601</v>
      </c>
      <c r="C243" s="88" t="s">
        <v>6</v>
      </c>
      <c r="D243" s="87" t="s">
        <v>7</v>
      </c>
      <c r="E243" s="88">
        <v>27.27</v>
      </c>
      <c r="F243" s="97" t="s">
        <v>88</v>
      </c>
      <c r="G243" s="97">
        <v>45464</v>
      </c>
      <c r="H243" s="151" t="s">
        <v>94</v>
      </c>
      <c r="I243" s="85" t="s">
        <v>762</v>
      </c>
      <c r="J243" s="85" t="s">
        <v>763</v>
      </c>
      <c r="L243" s="85"/>
      <c r="M243" s="85" t="s">
        <v>584</v>
      </c>
      <c r="N243" s="85"/>
      <c r="P243" s="86"/>
      <c r="Q243" s="87">
        <f t="shared" si="3"/>
        <v>27.27</v>
      </c>
      <c r="R243" s="85"/>
      <c r="S243" s="85"/>
    </row>
    <row r="244" spans="1:22" s="88" customFormat="1" ht="29" x14ac:dyDescent="0.35">
      <c r="A244" s="88" t="s">
        <v>35</v>
      </c>
      <c r="B244" s="88" t="s">
        <v>768</v>
      </c>
      <c r="C244" s="88" t="s">
        <v>6</v>
      </c>
      <c r="D244" s="87" t="s">
        <v>7</v>
      </c>
      <c r="E244" s="88">
        <v>27.27</v>
      </c>
      <c r="F244" s="97" t="s">
        <v>88</v>
      </c>
      <c r="G244" s="97">
        <v>45464</v>
      </c>
      <c r="H244" s="151" t="s">
        <v>94</v>
      </c>
      <c r="I244" s="85" t="s">
        <v>357</v>
      </c>
      <c r="J244" s="85" t="s">
        <v>769</v>
      </c>
      <c r="L244" s="85"/>
      <c r="M244" s="85" t="s">
        <v>584</v>
      </c>
      <c r="N244" s="85"/>
      <c r="P244" s="86"/>
      <c r="Q244" s="87">
        <f t="shared" si="3"/>
        <v>27.27</v>
      </c>
      <c r="R244" s="85"/>
      <c r="S244" s="85"/>
    </row>
    <row r="245" spans="1:22" s="88" customFormat="1" ht="29" x14ac:dyDescent="0.35">
      <c r="A245" s="88" t="s">
        <v>35</v>
      </c>
      <c r="B245" s="88" t="s">
        <v>770</v>
      </c>
      <c r="C245" s="88" t="s">
        <v>6</v>
      </c>
      <c r="D245" s="87" t="s">
        <v>7</v>
      </c>
      <c r="E245" s="88">
        <v>-27.27</v>
      </c>
      <c r="F245" s="97" t="s">
        <v>88</v>
      </c>
      <c r="G245" s="97">
        <v>45484</v>
      </c>
      <c r="H245" s="151" t="s">
        <v>94</v>
      </c>
      <c r="I245" s="85" t="s">
        <v>771</v>
      </c>
      <c r="J245" s="85" t="s">
        <v>827</v>
      </c>
      <c r="L245" s="85"/>
      <c r="M245" s="85" t="s">
        <v>828</v>
      </c>
      <c r="N245" s="85"/>
      <c r="P245" s="86"/>
      <c r="Q245" s="87">
        <f t="shared" si="3"/>
        <v>27.27</v>
      </c>
      <c r="R245" s="85"/>
      <c r="S245" s="85"/>
    </row>
    <row r="246" spans="1:22" s="88" customFormat="1" ht="29" x14ac:dyDescent="0.35">
      <c r="A246" s="88" t="s">
        <v>35</v>
      </c>
      <c r="B246" s="88" t="s">
        <v>861</v>
      </c>
      <c r="C246" s="88" t="s">
        <v>6</v>
      </c>
      <c r="D246" s="87" t="s">
        <v>7</v>
      </c>
      <c r="E246" s="88">
        <v>27.27</v>
      </c>
      <c r="F246" s="97" t="s">
        <v>88</v>
      </c>
      <c r="G246" s="97">
        <v>45492</v>
      </c>
      <c r="H246" s="151" t="s">
        <v>94</v>
      </c>
      <c r="I246" s="85" t="s">
        <v>862</v>
      </c>
      <c r="J246" s="85" t="s">
        <v>863</v>
      </c>
      <c r="L246" s="85"/>
      <c r="M246" s="85" t="s">
        <v>584</v>
      </c>
      <c r="N246" s="85"/>
      <c r="P246" s="86"/>
      <c r="Q246" s="87">
        <f t="shared" si="3"/>
        <v>27.27</v>
      </c>
      <c r="R246" s="85"/>
      <c r="S246" s="85"/>
    </row>
    <row r="247" spans="1:22" s="88" customFormat="1" ht="29" x14ac:dyDescent="0.35">
      <c r="A247" s="88" t="s">
        <v>35</v>
      </c>
      <c r="B247" s="88" t="s">
        <v>969</v>
      </c>
      <c r="C247" s="88" t="s">
        <v>6</v>
      </c>
      <c r="D247" s="87" t="s">
        <v>7</v>
      </c>
      <c r="E247" s="88">
        <v>27.27</v>
      </c>
      <c r="F247" s="97" t="s">
        <v>88</v>
      </c>
      <c r="G247" s="97">
        <v>45639</v>
      </c>
      <c r="H247" s="151" t="s">
        <v>94</v>
      </c>
      <c r="I247" s="85" t="s">
        <v>970</v>
      </c>
      <c r="J247" s="85" t="s">
        <v>1256</v>
      </c>
      <c r="L247" s="85"/>
      <c r="M247" s="85" t="s">
        <v>1257</v>
      </c>
      <c r="N247" s="85"/>
      <c r="P247" s="86"/>
      <c r="Q247" s="87">
        <f t="shared" si="3"/>
        <v>27.27</v>
      </c>
      <c r="R247" s="85"/>
      <c r="S247" s="85" t="s">
        <v>53</v>
      </c>
      <c r="T247" s="88" t="s">
        <v>64</v>
      </c>
      <c r="U247" s="88" t="str">
        <f>B247</f>
        <v>AU030317</v>
      </c>
      <c r="V247" s="88">
        <f>E247</f>
        <v>27.27</v>
      </c>
    </row>
    <row r="248" spans="1:22" s="88" customFormat="1" ht="29" x14ac:dyDescent="0.35">
      <c r="A248" s="93" t="s">
        <v>35</v>
      </c>
      <c r="B248" s="93" t="s">
        <v>713</v>
      </c>
      <c r="C248" s="93" t="s">
        <v>6</v>
      </c>
      <c r="D248" s="94" t="s">
        <v>7</v>
      </c>
      <c r="E248" s="93">
        <v>25</v>
      </c>
      <c r="F248" s="95" t="s">
        <v>88</v>
      </c>
      <c r="G248" s="95">
        <v>45442</v>
      </c>
      <c r="H248" s="152" t="s">
        <v>94</v>
      </c>
      <c r="I248" s="96" t="s">
        <v>128</v>
      </c>
      <c r="J248" s="96" t="s">
        <v>714</v>
      </c>
      <c r="K248" s="93"/>
      <c r="L248" s="96"/>
      <c r="M248" s="96" t="s">
        <v>715</v>
      </c>
      <c r="N248" s="96"/>
      <c r="P248" s="86"/>
      <c r="Q248" s="87">
        <f t="shared" si="3"/>
        <v>25</v>
      </c>
      <c r="R248" s="85"/>
      <c r="S248" s="85"/>
    </row>
    <row r="249" spans="1:22" s="88" customFormat="1" ht="43.5" x14ac:dyDescent="0.35">
      <c r="A249" s="88" t="s">
        <v>35</v>
      </c>
      <c r="B249" s="88" t="s">
        <v>623</v>
      </c>
      <c r="C249" s="88" t="s">
        <v>6</v>
      </c>
      <c r="D249" s="87" t="s">
        <v>7</v>
      </c>
      <c r="E249" s="88">
        <v>24.55</v>
      </c>
      <c r="F249" s="97" t="s">
        <v>88</v>
      </c>
      <c r="G249" s="97">
        <v>45607</v>
      </c>
      <c r="H249" s="151" t="s">
        <v>94</v>
      </c>
      <c r="I249" s="85" t="s">
        <v>1155</v>
      </c>
      <c r="J249" s="85" t="s">
        <v>1156</v>
      </c>
      <c r="L249" s="85"/>
      <c r="M249" s="85" t="s">
        <v>1157</v>
      </c>
      <c r="N249" s="85"/>
      <c r="P249" s="86"/>
      <c r="Q249" s="87">
        <f t="shared" si="3"/>
        <v>24.55</v>
      </c>
      <c r="R249" s="85"/>
      <c r="S249" s="85"/>
    </row>
    <row r="250" spans="1:22" s="88" customFormat="1" ht="58" x14ac:dyDescent="0.35">
      <c r="A250" s="88" t="s">
        <v>35</v>
      </c>
      <c r="B250" s="88" t="s">
        <v>623</v>
      </c>
      <c r="C250" s="88" t="s">
        <v>6</v>
      </c>
      <c r="D250" s="87" t="s">
        <v>7</v>
      </c>
      <c r="E250" s="88">
        <v>23.18</v>
      </c>
      <c r="F250" s="97" t="s">
        <v>88</v>
      </c>
      <c r="G250" s="97">
        <v>45614</v>
      </c>
      <c r="H250" s="151" t="s">
        <v>94</v>
      </c>
      <c r="I250" s="85" t="s">
        <v>1177</v>
      </c>
      <c r="J250" s="85" t="s">
        <v>1178</v>
      </c>
      <c r="L250" s="85"/>
      <c r="M250" s="85" t="s">
        <v>1179</v>
      </c>
      <c r="N250" s="85"/>
      <c r="P250" s="86"/>
      <c r="Q250" s="87">
        <f t="shared" si="3"/>
        <v>23.18</v>
      </c>
      <c r="R250" s="85"/>
      <c r="S250" s="85"/>
    </row>
    <row r="251" spans="1:22" s="88" customFormat="1" ht="58" x14ac:dyDescent="0.35">
      <c r="A251" s="88" t="s">
        <v>35</v>
      </c>
      <c r="B251" s="88" t="s">
        <v>623</v>
      </c>
      <c r="C251" s="88" t="s">
        <v>6</v>
      </c>
      <c r="D251" s="87" t="s">
        <v>7</v>
      </c>
      <c r="E251" s="88">
        <v>23.18</v>
      </c>
      <c r="F251" s="97" t="s">
        <v>88</v>
      </c>
      <c r="G251" s="97">
        <v>45614</v>
      </c>
      <c r="H251" s="151" t="s">
        <v>94</v>
      </c>
      <c r="I251" s="85" t="s">
        <v>1177</v>
      </c>
      <c r="J251" s="85" t="s">
        <v>1180</v>
      </c>
      <c r="L251" s="85"/>
      <c r="M251" s="85" t="s">
        <v>1179</v>
      </c>
      <c r="N251" s="85"/>
      <c r="P251" s="86"/>
      <c r="Q251" s="87">
        <f t="shared" si="3"/>
        <v>23.18</v>
      </c>
      <c r="R251" s="85"/>
      <c r="S251" s="85"/>
    </row>
    <row r="252" spans="1:22" s="88" customFormat="1" ht="58" x14ac:dyDescent="0.35">
      <c r="A252" s="88" t="s">
        <v>35</v>
      </c>
      <c r="B252" s="88" t="s">
        <v>623</v>
      </c>
      <c r="C252" s="88" t="s">
        <v>6</v>
      </c>
      <c r="D252" s="87" t="s">
        <v>7</v>
      </c>
      <c r="E252" s="88">
        <v>23.07</v>
      </c>
      <c r="F252" s="97" t="s">
        <v>88</v>
      </c>
      <c r="G252" s="97">
        <v>45614</v>
      </c>
      <c r="H252" s="151" t="s">
        <v>94</v>
      </c>
      <c r="I252" s="85" t="s">
        <v>1174</v>
      </c>
      <c r="J252" s="85" t="s">
        <v>1175</v>
      </c>
      <c r="L252" s="85"/>
      <c r="M252" s="85" t="s">
        <v>1176</v>
      </c>
      <c r="N252" s="85"/>
      <c r="P252" s="86"/>
      <c r="Q252" s="87">
        <f t="shared" si="3"/>
        <v>23.07</v>
      </c>
      <c r="R252" s="85"/>
      <c r="S252" s="85"/>
    </row>
    <row r="253" spans="1:22" s="88" customFormat="1" ht="58" x14ac:dyDescent="0.35">
      <c r="A253" s="88" t="s">
        <v>35</v>
      </c>
      <c r="B253" s="88" t="s">
        <v>768</v>
      </c>
      <c r="C253" s="88" t="s">
        <v>6</v>
      </c>
      <c r="D253" s="87" t="s">
        <v>7</v>
      </c>
      <c r="E253" s="88">
        <v>22.73</v>
      </c>
      <c r="F253" s="97" t="s">
        <v>88</v>
      </c>
      <c r="G253" s="97">
        <v>45470</v>
      </c>
      <c r="H253" s="151" t="s">
        <v>94</v>
      </c>
      <c r="I253" s="85" t="s">
        <v>115</v>
      </c>
      <c r="J253" s="85" t="s">
        <v>786</v>
      </c>
      <c r="L253" s="85"/>
      <c r="M253" s="85" t="s">
        <v>787</v>
      </c>
      <c r="N253" s="85"/>
      <c r="P253" s="86"/>
      <c r="Q253" s="87">
        <f t="shared" si="3"/>
        <v>22.73</v>
      </c>
      <c r="R253" s="85"/>
      <c r="S253" s="85"/>
    </row>
    <row r="254" spans="1:22" s="88" customFormat="1" ht="43.5" x14ac:dyDescent="0.35">
      <c r="A254" s="88" t="s">
        <v>35</v>
      </c>
      <c r="B254" s="88" t="s">
        <v>623</v>
      </c>
      <c r="C254" s="88" t="s">
        <v>6</v>
      </c>
      <c r="D254" s="87" t="s">
        <v>7</v>
      </c>
      <c r="E254" s="88">
        <v>21.36</v>
      </c>
      <c r="F254" s="97" t="s">
        <v>88</v>
      </c>
      <c r="G254" s="97">
        <v>45607</v>
      </c>
      <c r="H254" s="151" t="s">
        <v>94</v>
      </c>
      <c r="I254" s="85" t="s">
        <v>1158</v>
      </c>
      <c r="J254" s="85" t="s">
        <v>1159</v>
      </c>
      <c r="L254" s="85"/>
      <c r="M254" s="85" t="s">
        <v>1160</v>
      </c>
      <c r="N254" s="85"/>
      <c r="P254" s="86"/>
      <c r="Q254" s="87">
        <f t="shared" si="3"/>
        <v>21.36</v>
      </c>
      <c r="R254" s="85"/>
      <c r="S254" s="85"/>
    </row>
    <row r="255" spans="1:22" s="88" customFormat="1" ht="43.5" x14ac:dyDescent="0.35">
      <c r="A255" s="88" t="s">
        <v>35</v>
      </c>
      <c r="B255" s="88" t="s">
        <v>1075</v>
      </c>
      <c r="C255" s="88" t="s">
        <v>6</v>
      </c>
      <c r="D255" s="87" t="s">
        <v>7</v>
      </c>
      <c r="E255" s="88">
        <v>18.64</v>
      </c>
      <c r="F255" s="97" t="s">
        <v>88</v>
      </c>
      <c r="G255" s="97">
        <v>45644</v>
      </c>
      <c r="H255" s="151" t="s">
        <v>94</v>
      </c>
      <c r="I255" s="85" t="s">
        <v>114</v>
      </c>
      <c r="J255" s="85" t="s">
        <v>1275</v>
      </c>
      <c r="L255" s="85"/>
      <c r="M255" s="85" t="s">
        <v>1276</v>
      </c>
      <c r="N255" s="85"/>
      <c r="P255" s="86"/>
      <c r="Q255" s="87">
        <f t="shared" si="3"/>
        <v>18.64</v>
      </c>
      <c r="R255" s="85"/>
      <c r="S255" s="85"/>
    </row>
    <row r="256" spans="1:22" s="88" customFormat="1" ht="29" x14ac:dyDescent="0.35">
      <c r="A256" s="88" t="s">
        <v>35</v>
      </c>
      <c r="B256" s="88" t="s">
        <v>677</v>
      </c>
      <c r="C256" s="88" t="s">
        <v>6</v>
      </c>
      <c r="D256" s="87" t="s">
        <v>7</v>
      </c>
      <c r="E256" s="88">
        <v>18.18</v>
      </c>
      <c r="F256" s="97" t="s">
        <v>88</v>
      </c>
      <c r="G256" s="97">
        <v>45457</v>
      </c>
      <c r="H256" s="151" t="s">
        <v>94</v>
      </c>
      <c r="I256" s="85" t="s">
        <v>748</v>
      </c>
      <c r="J256" s="85" t="s">
        <v>749</v>
      </c>
      <c r="L256" s="85"/>
      <c r="M256" s="85" t="s">
        <v>750</v>
      </c>
      <c r="N256" s="85"/>
      <c r="P256" s="86"/>
      <c r="Q256" s="87">
        <f t="shared" si="3"/>
        <v>18.18</v>
      </c>
      <c r="R256" s="85"/>
      <c r="S256" s="85"/>
    </row>
    <row r="257" spans="1:19" s="88" customFormat="1" ht="29" x14ac:dyDescent="0.35">
      <c r="A257" s="88" t="s">
        <v>35</v>
      </c>
      <c r="B257" s="88" t="s">
        <v>969</v>
      </c>
      <c r="C257" s="88" t="s">
        <v>6</v>
      </c>
      <c r="D257" s="87" t="s">
        <v>7</v>
      </c>
      <c r="E257" s="88">
        <v>13.64</v>
      </c>
      <c r="F257" s="97" t="s">
        <v>88</v>
      </c>
      <c r="G257" s="97">
        <v>45530</v>
      </c>
      <c r="H257" s="151" t="s">
        <v>94</v>
      </c>
      <c r="I257" s="85" t="s">
        <v>970</v>
      </c>
      <c r="J257" s="85" t="s">
        <v>971</v>
      </c>
      <c r="L257" s="85"/>
      <c r="M257" s="85" t="s">
        <v>972</v>
      </c>
      <c r="N257" s="85"/>
      <c r="P257" s="86"/>
      <c r="Q257" s="87">
        <f t="shared" si="3"/>
        <v>13.64</v>
      </c>
      <c r="R257" s="85"/>
      <c r="S257" s="85"/>
    </row>
    <row r="258" spans="1:19" s="88" customFormat="1" ht="43.5" x14ac:dyDescent="0.35">
      <c r="A258" s="88" t="s">
        <v>35</v>
      </c>
      <c r="B258" s="88" t="s">
        <v>969</v>
      </c>
      <c r="C258" s="88" t="s">
        <v>6</v>
      </c>
      <c r="D258" s="87" t="s">
        <v>7</v>
      </c>
      <c r="E258" s="88">
        <v>-13.64</v>
      </c>
      <c r="F258" s="97" t="s">
        <v>88</v>
      </c>
      <c r="G258" s="97">
        <v>45544</v>
      </c>
      <c r="H258" s="151" t="s">
        <v>94</v>
      </c>
      <c r="I258" s="85" t="s">
        <v>970</v>
      </c>
      <c r="J258" s="85" t="s">
        <v>1004</v>
      </c>
      <c r="L258" s="85"/>
      <c r="M258" s="85" t="s">
        <v>1005</v>
      </c>
      <c r="N258" s="85"/>
      <c r="P258" s="86"/>
      <c r="Q258" s="87">
        <f t="shared" si="3"/>
        <v>13.64</v>
      </c>
      <c r="R258" s="85"/>
      <c r="S258" s="85"/>
    </row>
    <row r="259" spans="1:19" s="88" customFormat="1" x14ac:dyDescent="0.35">
      <c r="A259" s="88" t="s">
        <v>35</v>
      </c>
      <c r="B259" s="88" t="s">
        <v>598</v>
      </c>
      <c r="C259" s="88" t="s">
        <v>6</v>
      </c>
      <c r="D259" s="87" t="s">
        <v>7</v>
      </c>
      <c r="E259" s="88">
        <v>12.62</v>
      </c>
      <c r="F259" s="97" t="s">
        <v>88</v>
      </c>
      <c r="G259" s="97">
        <v>45525</v>
      </c>
      <c r="H259" s="151" t="s">
        <v>181</v>
      </c>
      <c r="I259" s="85" t="s">
        <v>182</v>
      </c>
      <c r="J259" s="85"/>
      <c r="L259" s="85"/>
      <c r="M259" s="85"/>
      <c r="N259" s="85"/>
      <c r="O259" s="85"/>
      <c r="P259" s="86"/>
      <c r="Q259" s="87">
        <f t="shared" si="3"/>
        <v>12.62</v>
      </c>
      <c r="R259" s="85"/>
      <c r="S259" s="85"/>
    </row>
    <row r="260" spans="1:19" s="88" customFormat="1" x14ac:dyDescent="0.35">
      <c r="A260" s="88" t="s">
        <v>35</v>
      </c>
      <c r="B260" s="88" t="s">
        <v>598</v>
      </c>
      <c r="C260" s="88" t="s">
        <v>6</v>
      </c>
      <c r="D260" s="87" t="s">
        <v>7</v>
      </c>
      <c r="E260" s="88">
        <v>-11.94</v>
      </c>
      <c r="F260" s="97" t="s">
        <v>88</v>
      </c>
      <c r="G260" s="97">
        <v>45574</v>
      </c>
      <c r="H260" s="151" t="s">
        <v>181</v>
      </c>
      <c r="I260" s="85" t="s">
        <v>182</v>
      </c>
      <c r="J260" s="85"/>
      <c r="L260" s="85"/>
      <c r="M260" s="85"/>
      <c r="N260" s="85"/>
      <c r="O260" s="85"/>
      <c r="P260" s="86"/>
      <c r="Q260" s="87">
        <f t="shared" si="3"/>
        <v>11.94</v>
      </c>
      <c r="R260" s="85"/>
      <c r="S260" s="85"/>
    </row>
    <row r="261" spans="1:19" s="88" customFormat="1" x14ac:dyDescent="0.35">
      <c r="A261" s="88" t="s">
        <v>35</v>
      </c>
      <c r="B261" s="88" t="s">
        <v>598</v>
      </c>
      <c r="C261" s="88" t="s">
        <v>6</v>
      </c>
      <c r="D261" s="87" t="s">
        <v>7</v>
      </c>
      <c r="E261" s="88">
        <v>-9.1999999999999993</v>
      </c>
      <c r="F261" s="97" t="s">
        <v>88</v>
      </c>
      <c r="G261" s="97">
        <v>45547</v>
      </c>
      <c r="H261" s="151" t="s">
        <v>181</v>
      </c>
      <c r="I261" s="85" t="s">
        <v>182</v>
      </c>
      <c r="J261" s="85"/>
      <c r="L261" s="85"/>
      <c r="M261" s="85"/>
      <c r="N261" s="85"/>
      <c r="O261" s="85"/>
      <c r="P261" s="86"/>
      <c r="Q261" s="87">
        <f t="shared" si="3"/>
        <v>9.1999999999999993</v>
      </c>
      <c r="R261" s="85"/>
      <c r="S261" s="85"/>
    </row>
    <row r="262" spans="1:19" s="88" customFormat="1" x14ac:dyDescent="0.35">
      <c r="A262" s="88" t="s">
        <v>35</v>
      </c>
      <c r="B262" s="88" t="s">
        <v>598</v>
      </c>
      <c r="C262" s="88" t="s">
        <v>6</v>
      </c>
      <c r="D262" s="87" t="s">
        <v>7</v>
      </c>
      <c r="E262" s="88">
        <v>8.9600000000000009</v>
      </c>
      <c r="F262" s="97" t="s">
        <v>88</v>
      </c>
      <c r="G262" s="97">
        <v>45594</v>
      </c>
      <c r="H262" s="151" t="s">
        <v>181</v>
      </c>
      <c r="I262" s="85" t="s">
        <v>182</v>
      </c>
      <c r="J262" s="85"/>
      <c r="L262" s="85"/>
      <c r="M262" s="85"/>
      <c r="N262" s="85"/>
      <c r="O262" s="85"/>
      <c r="P262" s="86"/>
      <c r="Q262" s="87">
        <f t="shared" si="3"/>
        <v>8.9600000000000009</v>
      </c>
      <c r="R262" s="85"/>
      <c r="S262" s="85"/>
    </row>
    <row r="263" spans="1:19" s="88" customFormat="1" x14ac:dyDescent="0.35">
      <c r="A263" s="88" t="s">
        <v>35</v>
      </c>
      <c r="B263" s="88" t="s">
        <v>598</v>
      </c>
      <c r="C263" s="88" t="s">
        <v>6</v>
      </c>
      <c r="D263" s="87" t="s">
        <v>7</v>
      </c>
      <c r="E263" s="88">
        <v>8.68</v>
      </c>
      <c r="F263" s="97" t="s">
        <v>88</v>
      </c>
      <c r="G263" s="97">
        <v>45533</v>
      </c>
      <c r="H263" s="151" t="s">
        <v>181</v>
      </c>
      <c r="I263" s="85" t="s">
        <v>182</v>
      </c>
      <c r="J263" s="85"/>
      <c r="L263" s="85"/>
      <c r="M263" s="85"/>
      <c r="N263" s="85"/>
      <c r="O263" s="85"/>
      <c r="P263" s="86"/>
      <c r="Q263" s="87">
        <f t="shared" si="3"/>
        <v>8.68</v>
      </c>
      <c r="R263" s="85"/>
      <c r="S263" s="85"/>
    </row>
    <row r="264" spans="1:19" s="88" customFormat="1" x14ac:dyDescent="0.35">
      <c r="A264" s="88" t="s">
        <v>35</v>
      </c>
      <c r="B264" s="88" t="s">
        <v>598</v>
      </c>
      <c r="C264" s="88" t="s">
        <v>6</v>
      </c>
      <c r="D264" s="87" t="s">
        <v>7</v>
      </c>
      <c r="E264" s="88">
        <v>7.47</v>
      </c>
      <c r="F264" s="97" t="s">
        <v>88</v>
      </c>
      <c r="G264" s="97">
        <v>45539</v>
      </c>
      <c r="H264" s="151" t="s">
        <v>181</v>
      </c>
      <c r="I264" s="85" t="s">
        <v>182</v>
      </c>
      <c r="J264" s="85"/>
      <c r="L264" s="85"/>
      <c r="M264" s="85"/>
      <c r="N264" s="85"/>
      <c r="O264" s="85"/>
      <c r="P264" s="86"/>
      <c r="Q264" s="87">
        <f t="shared" ref="Q264:Q303" si="4">ABS(E264)</f>
        <v>7.47</v>
      </c>
      <c r="R264" s="85"/>
      <c r="S264" s="85"/>
    </row>
    <row r="265" spans="1:19" s="88" customFormat="1" x14ac:dyDescent="0.35">
      <c r="A265" s="88" t="s">
        <v>35</v>
      </c>
      <c r="B265" s="88" t="s">
        <v>598</v>
      </c>
      <c r="C265" s="88" t="s">
        <v>6</v>
      </c>
      <c r="D265" s="87" t="s">
        <v>7</v>
      </c>
      <c r="E265" s="88">
        <v>-7.08</v>
      </c>
      <c r="F265" s="97" t="s">
        <v>88</v>
      </c>
      <c r="G265" s="97">
        <v>45561</v>
      </c>
      <c r="H265" s="151" t="s">
        <v>181</v>
      </c>
      <c r="I265" s="85" t="s">
        <v>182</v>
      </c>
      <c r="J265" s="85"/>
      <c r="L265" s="85"/>
      <c r="M265" s="85"/>
      <c r="N265" s="85"/>
      <c r="O265" s="85"/>
      <c r="P265" s="86"/>
      <c r="Q265" s="87">
        <f t="shared" si="4"/>
        <v>7.08</v>
      </c>
      <c r="R265" s="85"/>
      <c r="S265" s="85"/>
    </row>
    <row r="266" spans="1:19" s="88" customFormat="1" x14ac:dyDescent="0.35">
      <c r="A266" s="88" t="s">
        <v>35</v>
      </c>
      <c r="B266" s="88" t="s">
        <v>598</v>
      </c>
      <c r="C266" s="88" t="s">
        <v>6</v>
      </c>
      <c r="D266" s="87" t="s">
        <v>7</v>
      </c>
      <c r="E266" s="88">
        <v>-7.04</v>
      </c>
      <c r="F266" s="97" t="s">
        <v>88</v>
      </c>
      <c r="G266" s="97">
        <v>45551</v>
      </c>
      <c r="H266" s="151" t="s">
        <v>181</v>
      </c>
      <c r="I266" s="85" t="s">
        <v>182</v>
      </c>
      <c r="J266" s="85"/>
      <c r="L266" s="85"/>
      <c r="M266" s="85"/>
      <c r="N266" s="85"/>
      <c r="O266" s="85"/>
      <c r="P266" s="86"/>
      <c r="Q266" s="87">
        <f t="shared" si="4"/>
        <v>7.04</v>
      </c>
      <c r="R266" s="85"/>
      <c r="S266" s="85"/>
    </row>
    <row r="267" spans="1:19" s="88" customFormat="1" x14ac:dyDescent="0.35">
      <c r="A267" s="88" t="s">
        <v>35</v>
      </c>
      <c r="B267" s="88" t="s">
        <v>598</v>
      </c>
      <c r="C267" s="88" t="s">
        <v>6</v>
      </c>
      <c r="D267" s="87" t="s">
        <v>7</v>
      </c>
      <c r="E267" s="88">
        <v>6.86</v>
      </c>
      <c r="F267" s="97" t="s">
        <v>88</v>
      </c>
      <c r="G267" s="97">
        <v>45543</v>
      </c>
      <c r="H267" s="151" t="s">
        <v>181</v>
      </c>
      <c r="I267" s="85" t="s">
        <v>182</v>
      </c>
      <c r="J267" s="85"/>
      <c r="L267" s="85"/>
      <c r="M267" s="85"/>
      <c r="N267" s="85"/>
      <c r="O267" s="85"/>
      <c r="P267" s="86"/>
      <c r="Q267" s="87">
        <f t="shared" si="4"/>
        <v>6.86</v>
      </c>
      <c r="R267" s="85"/>
      <c r="S267" s="85"/>
    </row>
    <row r="268" spans="1:19" s="88" customFormat="1" x14ac:dyDescent="0.35">
      <c r="A268" s="88" t="s">
        <v>35</v>
      </c>
      <c r="B268" s="88" t="s">
        <v>598</v>
      </c>
      <c r="C268" s="88" t="s">
        <v>6</v>
      </c>
      <c r="D268" s="87" t="s">
        <v>7</v>
      </c>
      <c r="E268" s="88">
        <v>-6.43</v>
      </c>
      <c r="F268" s="97" t="s">
        <v>88</v>
      </c>
      <c r="G268" s="97">
        <v>45544</v>
      </c>
      <c r="H268" s="151" t="s">
        <v>181</v>
      </c>
      <c r="I268" s="85" t="s">
        <v>182</v>
      </c>
      <c r="J268" s="85"/>
      <c r="L268" s="85"/>
      <c r="M268" s="85"/>
      <c r="N268" s="85"/>
      <c r="O268" s="85"/>
      <c r="P268" s="86"/>
      <c r="Q268" s="87">
        <f t="shared" si="4"/>
        <v>6.43</v>
      </c>
      <c r="R268" s="85"/>
      <c r="S268" s="85"/>
    </row>
    <row r="269" spans="1:19" s="88" customFormat="1" x14ac:dyDescent="0.35">
      <c r="A269" s="88" t="s">
        <v>35</v>
      </c>
      <c r="B269" s="88" t="s">
        <v>598</v>
      </c>
      <c r="C269" s="88" t="s">
        <v>6</v>
      </c>
      <c r="D269" s="87" t="s">
        <v>7</v>
      </c>
      <c r="E269" s="88">
        <v>6.18</v>
      </c>
      <c r="F269" s="97" t="s">
        <v>88</v>
      </c>
      <c r="G269" s="97">
        <v>45565</v>
      </c>
      <c r="H269" s="151" t="s">
        <v>181</v>
      </c>
      <c r="I269" s="85" t="s">
        <v>182</v>
      </c>
      <c r="J269" s="85"/>
      <c r="L269" s="85"/>
      <c r="M269" s="85"/>
      <c r="N269" s="85"/>
      <c r="O269" s="85"/>
      <c r="P269" s="86"/>
      <c r="Q269" s="87">
        <f t="shared" si="4"/>
        <v>6.18</v>
      </c>
      <c r="R269" s="85"/>
      <c r="S269" s="85"/>
    </row>
    <row r="270" spans="1:19" s="88" customFormat="1" ht="29" x14ac:dyDescent="0.35">
      <c r="A270" s="88" t="s">
        <v>35</v>
      </c>
      <c r="B270" s="88" t="s">
        <v>598</v>
      </c>
      <c r="C270" s="88" t="s">
        <v>6</v>
      </c>
      <c r="D270" s="87" t="s">
        <v>7</v>
      </c>
      <c r="E270" s="88">
        <v>-5.51</v>
      </c>
      <c r="F270" s="97" t="s">
        <v>88</v>
      </c>
      <c r="G270" s="97">
        <v>45535</v>
      </c>
      <c r="H270" s="151" t="s">
        <v>181</v>
      </c>
      <c r="I270" s="85" t="s">
        <v>7</v>
      </c>
      <c r="J270" s="85"/>
      <c r="L270" s="85"/>
      <c r="M270" s="85"/>
      <c r="N270" s="85"/>
      <c r="O270" s="85"/>
      <c r="P270" s="86"/>
      <c r="Q270" s="87">
        <f t="shared" si="4"/>
        <v>5.51</v>
      </c>
      <c r="R270" s="85"/>
      <c r="S270" s="85"/>
    </row>
    <row r="271" spans="1:19" s="88" customFormat="1" x14ac:dyDescent="0.35">
      <c r="A271" s="88" t="s">
        <v>35</v>
      </c>
      <c r="B271" s="88" t="s">
        <v>598</v>
      </c>
      <c r="C271" s="88" t="s">
        <v>6</v>
      </c>
      <c r="D271" s="87" t="s">
        <v>7</v>
      </c>
      <c r="E271" s="88">
        <v>5.5</v>
      </c>
      <c r="F271" s="97" t="s">
        <v>88</v>
      </c>
      <c r="G271" s="97">
        <v>45526</v>
      </c>
      <c r="H271" s="151" t="s">
        <v>181</v>
      </c>
      <c r="I271" s="85" t="s">
        <v>182</v>
      </c>
      <c r="J271" s="85"/>
      <c r="L271" s="85"/>
      <c r="M271" s="85"/>
      <c r="N271" s="85"/>
      <c r="O271" s="85"/>
      <c r="P271" s="86"/>
      <c r="Q271" s="87">
        <f t="shared" si="4"/>
        <v>5.5</v>
      </c>
      <c r="R271" s="85"/>
      <c r="S271" s="85"/>
    </row>
    <row r="272" spans="1:19" s="88" customFormat="1" x14ac:dyDescent="0.35">
      <c r="A272" s="88" t="s">
        <v>35</v>
      </c>
      <c r="B272" s="88" t="s">
        <v>598</v>
      </c>
      <c r="C272" s="88" t="s">
        <v>6</v>
      </c>
      <c r="D272" s="87" t="s">
        <v>7</v>
      </c>
      <c r="E272" s="88">
        <v>4.9800000000000004</v>
      </c>
      <c r="F272" s="97" t="s">
        <v>88</v>
      </c>
      <c r="G272" s="97">
        <v>45550</v>
      </c>
      <c r="H272" s="151" t="s">
        <v>181</v>
      </c>
      <c r="I272" s="85" t="s">
        <v>182</v>
      </c>
      <c r="J272" s="85"/>
      <c r="L272" s="85"/>
      <c r="M272" s="85"/>
      <c r="N272" s="85"/>
      <c r="O272" s="85"/>
      <c r="P272" s="86"/>
      <c r="Q272" s="87">
        <f t="shared" si="4"/>
        <v>4.9800000000000004</v>
      </c>
      <c r="R272" s="85"/>
      <c r="S272" s="85"/>
    </row>
    <row r="273" spans="1:19" s="88" customFormat="1" x14ac:dyDescent="0.35">
      <c r="A273" s="88" t="s">
        <v>35</v>
      </c>
      <c r="B273" s="88" t="s">
        <v>598</v>
      </c>
      <c r="C273" s="88" t="s">
        <v>6</v>
      </c>
      <c r="D273" s="87" t="s">
        <v>7</v>
      </c>
      <c r="E273" s="88">
        <v>4.8499999999999996</v>
      </c>
      <c r="F273" s="97" t="s">
        <v>88</v>
      </c>
      <c r="G273" s="97">
        <v>45595</v>
      </c>
      <c r="H273" s="151" t="s">
        <v>181</v>
      </c>
      <c r="I273" s="85" t="s">
        <v>182</v>
      </c>
      <c r="J273" s="85"/>
      <c r="L273" s="85"/>
      <c r="M273" s="85"/>
      <c r="N273" s="85"/>
      <c r="O273" s="85"/>
      <c r="P273" s="86"/>
      <c r="Q273" s="87">
        <f t="shared" si="4"/>
        <v>4.8499999999999996</v>
      </c>
      <c r="R273" s="85"/>
      <c r="S273" s="85"/>
    </row>
    <row r="274" spans="1:19" s="88" customFormat="1" x14ac:dyDescent="0.35">
      <c r="A274" s="88" t="s">
        <v>35</v>
      </c>
      <c r="B274" s="88" t="s">
        <v>598</v>
      </c>
      <c r="C274" s="88" t="s">
        <v>6</v>
      </c>
      <c r="D274" s="87" t="s">
        <v>7</v>
      </c>
      <c r="E274" s="88">
        <v>4.7699999999999996</v>
      </c>
      <c r="F274" s="97" t="s">
        <v>88</v>
      </c>
      <c r="G274" s="97">
        <v>45586</v>
      </c>
      <c r="H274" s="151" t="s">
        <v>181</v>
      </c>
      <c r="I274" s="85" t="s">
        <v>182</v>
      </c>
      <c r="J274" s="85"/>
      <c r="L274" s="85"/>
      <c r="M274" s="85"/>
      <c r="N274" s="85"/>
      <c r="O274" s="85"/>
      <c r="P274" s="86"/>
      <c r="Q274" s="87">
        <f t="shared" si="4"/>
        <v>4.7699999999999996</v>
      </c>
      <c r="R274" s="85"/>
      <c r="S274" s="85"/>
    </row>
    <row r="275" spans="1:19" s="88" customFormat="1" x14ac:dyDescent="0.35">
      <c r="A275" s="88" t="s">
        <v>35</v>
      </c>
      <c r="B275" s="88" t="s">
        <v>598</v>
      </c>
      <c r="C275" s="88" t="s">
        <v>6</v>
      </c>
      <c r="D275" s="87" t="s">
        <v>7</v>
      </c>
      <c r="E275" s="88">
        <v>4.53</v>
      </c>
      <c r="F275" s="97" t="s">
        <v>88</v>
      </c>
      <c r="G275" s="97">
        <v>45559</v>
      </c>
      <c r="H275" s="151" t="s">
        <v>181</v>
      </c>
      <c r="I275" s="85" t="s">
        <v>182</v>
      </c>
      <c r="J275" s="85"/>
      <c r="L275" s="85"/>
      <c r="M275" s="85"/>
      <c r="N275" s="85"/>
      <c r="O275" s="85"/>
      <c r="P275" s="86"/>
      <c r="Q275" s="87">
        <f t="shared" si="4"/>
        <v>4.53</v>
      </c>
      <c r="R275" s="85"/>
      <c r="S275" s="85"/>
    </row>
    <row r="276" spans="1:19" s="88" customFormat="1" x14ac:dyDescent="0.35">
      <c r="A276" s="88" t="s">
        <v>35</v>
      </c>
      <c r="B276" s="88" t="s">
        <v>598</v>
      </c>
      <c r="C276" s="88" t="s">
        <v>6</v>
      </c>
      <c r="D276" s="87" t="s">
        <v>7</v>
      </c>
      <c r="E276" s="88">
        <v>-4.41</v>
      </c>
      <c r="F276" s="97" t="s">
        <v>88</v>
      </c>
      <c r="G276" s="97">
        <v>45585</v>
      </c>
      <c r="H276" s="151" t="s">
        <v>181</v>
      </c>
      <c r="I276" s="85" t="s">
        <v>182</v>
      </c>
      <c r="J276" s="85"/>
      <c r="L276" s="85"/>
      <c r="M276" s="85"/>
      <c r="N276" s="85"/>
      <c r="O276" s="85"/>
      <c r="P276" s="86"/>
      <c r="Q276" s="87">
        <f t="shared" si="4"/>
        <v>4.41</v>
      </c>
      <c r="R276" s="85"/>
      <c r="S276" s="85"/>
    </row>
    <row r="277" spans="1:19" s="88" customFormat="1" ht="29" x14ac:dyDescent="0.35">
      <c r="A277" s="88" t="s">
        <v>35</v>
      </c>
      <c r="B277" s="88" t="s">
        <v>598</v>
      </c>
      <c r="C277" s="88" t="s">
        <v>6</v>
      </c>
      <c r="D277" s="87" t="s">
        <v>7</v>
      </c>
      <c r="E277" s="88">
        <v>4.3499999999999996</v>
      </c>
      <c r="F277" s="97" t="s">
        <v>88</v>
      </c>
      <c r="G277" s="97">
        <v>45529</v>
      </c>
      <c r="H277" s="151" t="s">
        <v>181</v>
      </c>
      <c r="I277" s="85" t="s">
        <v>7</v>
      </c>
      <c r="J277" s="85"/>
      <c r="L277" s="85"/>
      <c r="M277" s="85"/>
      <c r="N277" s="85"/>
      <c r="O277" s="85"/>
      <c r="P277" s="86"/>
      <c r="Q277" s="87">
        <f t="shared" si="4"/>
        <v>4.3499999999999996</v>
      </c>
      <c r="R277" s="85"/>
      <c r="S277" s="85"/>
    </row>
    <row r="278" spans="1:19" s="88" customFormat="1" x14ac:dyDescent="0.35">
      <c r="A278" s="88" t="s">
        <v>35</v>
      </c>
      <c r="B278" s="88" t="s">
        <v>598</v>
      </c>
      <c r="C278" s="88" t="s">
        <v>6</v>
      </c>
      <c r="D278" s="87" t="s">
        <v>7</v>
      </c>
      <c r="E278" s="88">
        <v>4.26</v>
      </c>
      <c r="F278" s="97" t="s">
        <v>88</v>
      </c>
      <c r="G278" s="97">
        <v>45545</v>
      </c>
      <c r="H278" s="151" t="s">
        <v>181</v>
      </c>
      <c r="I278" s="85" t="s">
        <v>182</v>
      </c>
      <c r="J278" s="85"/>
      <c r="L278" s="85"/>
      <c r="M278" s="85"/>
      <c r="N278" s="85"/>
      <c r="O278" s="85"/>
      <c r="P278" s="86"/>
      <c r="Q278" s="87">
        <f t="shared" si="4"/>
        <v>4.26</v>
      </c>
      <c r="R278" s="85"/>
      <c r="S278" s="85"/>
    </row>
    <row r="279" spans="1:19" s="88" customFormat="1" x14ac:dyDescent="0.35">
      <c r="A279" s="88" t="s">
        <v>35</v>
      </c>
      <c r="B279" s="88" t="s">
        <v>598</v>
      </c>
      <c r="C279" s="88" t="s">
        <v>6</v>
      </c>
      <c r="D279" s="87" t="s">
        <v>7</v>
      </c>
      <c r="E279" s="88">
        <v>-4.1100000000000003</v>
      </c>
      <c r="F279" s="97" t="s">
        <v>88</v>
      </c>
      <c r="G279" s="97">
        <v>45596</v>
      </c>
      <c r="H279" s="151" t="s">
        <v>181</v>
      </c>
      <c r="I279" s="85" t="s">
        <v>182</v>
      </c>
      <c r="J279" s="85"/>
      <c r="L279" s="85"/>
      <c r="M279" s="85"/>
      <c r="N279" s="85"/>
      <c r="O279" s="85"/>
      <c r="P279" s="86"/>
      <c r="Q279" s="87">
        <f t="shared" si="4"/>
        <v>4.1100000000000003</v>
      </c>
      <c r="R279" s="85"/>
      <c r="S279" s="85"/>
    </row>
    <row r="280" spans="1:19" s="88" customFormat="1" x14ac:dyDescent="0.35">
      <c r="A280" s="88" t="s">
        <v>35</v>
      </c>
      <c r="B280" s="88" t="s">
        <v>598</v>
      </c>
      <c r="C280" s="88" t="s">
        <v>6</v>
      </c>
      <c r="D280" s="87" t="s">
        <v>7</v>
      </c>
      <c r="E280" s="88">
        <v>3.62</v>
      </c>
      <c r="F280" s="97" t="s">
        <v>88</v>
      </c>
      <c r="G280" s="97">
        <v>45580</v>
      </c>
      <c r="H280" s="151" t="s">
        <v>181</v>
      </c>
      <c r="I280" s="85" t="s">
        <v>182</v>
      </c>
      <c r="J280" s="85"/>
      <c r="L280" s="85"/>
      <c r="M280" s="85"/>
      <c r="N280" s="85"/>
      <c r="O280" s="85"/>
      <c r="P280" s="86"/>
      <c r="Q280" s="87">
        <f t="shared" si="4"/>
        <v>3.62</v>
      </c>
      <c r="R280" s="85"/>
      <c r="S280" s="85"/>
    </row>
    <row r="281" spans="1:19" s="88" customFormat="1" x14ac:dyDescent="0.35">
      <c r="A281" s="88" t="s">
        <v>35</v>
      </c>
      <c r="B281" s="88" t="s">
        <v>598</v>
      </c>
      <c r="C281" s="88" t="s">
        <v>6</v>
      </c>
      <c r="D281" s="87" t="s">
        <v>7</v>
      </c>
      <c r="E281" s="88">
        <v>3.36</v>
      </c>
      <c r="F281" s="97" t="s">
        <v>88</v>
      </c>
      <c r="G281" s="97">
        <v>45578</v>
      </c>
      <c r="H281" s="151" t="s">
        <v>181</v>
      </c>
      <c r="I281" s="85" t="s">
        <v>182</v>
      </c>
      <c r="J281" s="85"/>
      <c r="L281" s="85"/>
      <c r="M281" s="85"/>
      <c r="N281" s="85"/>
      <c r="O281" s="85"/>
      <c r="P281" s="86"/>
      <c r="Q281" s="87">
        <f t="shared" si="4"/>
        <v>3.36</v>
      </c>
      <c r="R281" s="85"/>
      <c r="S281" s="85"/>
    </row>
    <row r="282" spans="1:19" s="88" customFormat="1" x14ac:dyDescent="0.35">
      <c r="A282" s="88" t="s">
        <v>35</v>
      </c>
      <c r="B282" s="88" t="s">
        <v>598</v>
      </c>
      <c r="C282" s="88" t="s">
        <v>6</v>
      </c>
      <c r="D282" s="87" t="s">
        <v>7</v>
      </c>
      <c r="E282" s="88">
        <v>3.28</v>
      </c>
      <c r="F282" s="97" t="s">
        <v>88</v>
      </c>
      <c r="G282" s="97">
        <v>45531</v>
      </c>
      <c r="H282" s="151" t="s">
        <v>181</v>
      </c>
      <c r="I282" s="85" t="s">
        <v>182</v>
      </c>
      <c r="J282" s="85"/>
      <c r="L282" s="85"/>
      <c r="M282" s="85"/>
      <c r="N282" s="85"/>
      <c r="O282" s="85"/>
      <c r="P282" s="86"/>
      <c r="Q282" s="87">
        <f t="shared" si="4"/>
        <v>3.28</v>
      </c>
      <c r="R282" s="85"/>
      <c r="S282" s="85"/>
    </row>
    <row r="283" spans="1:19" s="88" customFormat="1" x14ac:dyDescent="0.35">
      <c r="A283" s="88" t="s">
        <v>35</v>
      </c>
      <c r="B283" s="88" t="s">
        <v>598</v>
      </c>
      <c r="C283" s="88" t="s">
        <v>6</v>
      </c>
      <c r="D283" s="87" t="s">
        <v>7</v>
      </c>
      <c r="E283" s="88">
        <v>3.1</v>
      </c>
      <c r="F283" s="97" t="s">
        <v>88</v>
      </c>
      <c r="G283" s="97">
        <v>45532</v>
      </c>
      <c r="H283" s="151" t="s">
        <v>181</v>
      </c>
      <c r="I283" s="85" t="s">
        <v>182</v>
      </c>
      <c r="J283" s="85"/>
      <c r="L283" s="85"/>
      <c r="M283" s="85"/>
      <c r="N283" s="85"/>
      <c r="O283" s="85"/>
      <c r="P283" s="86"/>
      <c r="Q283" s="87">
        <f t="shared" si="4"/>
        <v>3.1</v>
      </c>
      <c r="R283" s="85"/>
      <c r="S283" s="85"/>
    </row>
    <row r="284" spans="1:19" s="88" customFormat="1" x14ac:dyDescent="0.35">
      <c r="A284" s="88" t="s">
        <v>35</v>
      </c>
      <c r="B284" s="88" t="s">
        <v>598</v>
      </c>
      <c r="C284" s="88" t="s">
        <v>6</v>
      </c>
      <c r="D284" s="87" t="s">
        <v>7</v>
      </c>
      <c r="E284" s="88">
        <v>-3.09</v>
      </c>
      <c r="F284" s="97" t="s">
        <v>88</v>
      </c>
      <c r="G284" s="97">
        <v>45554</v>
      </c>
      <c r="H284" s="151" t="s">
        <v>181</v>
      </c>
      <c r="I284" s="85" t="s">
        <v>182</v>
      </c>
      <c r="J284" s="85"/>
      <c r="L284" s="85"/>
      <c r="M284" s="85"/>
      <c r="N284" s="85"/>
      <c r="O284" s="85"/>
      <c r="P284" s="86"/>
      <c r="Q284" s="87">
        <f t="shared" si="4"/>
        <v>3.09</v>
      </c>
      <c r="R284" s="85"/>
      <c r="S284" s="85"/>
    </row>
    <row r="285" spans="1:19" s="88" customFormat="1" x14ac:dyDescent="0.35">
      <c r="A285" s="88" t="s">
        <v>35</v>
      </c>
      <c r="B285" s="88" t="s">
        <v>598</v>
      </c>
      <c r="C285" s="88" t="s">
        <v>6</v>
      </c>
      <c r="D285" s="87" t="s">
        <v>7</v>
      </c>
      <c r="E285" s="88">
        <v>-3.02</v>
      </c>
      <c r="F285" s="97" t="s">
        <v>88</v>
      </c>
      <c r="G285" s="97">
        <v>45588</v>
      </c>
      <c r="H285" s="151" t="s">
        <v>181</v>
      </c>
      <c r="I285" s="85" t="s">
        <v>182</v>
      </c>
      <c r="J285" s="85"/>
      <c r="L285" s="85"/>
      <c r="M285" s="85"/>
      <c r="N285" s="85"/>
      <c r="O285" s="85"/>
      <c r="P285" s="86"/>
      <c r="Q285" s="87">
        <f t="shared" si="4"/>
        <v>3.02</v>
      </c>
      <c r="R285" s="85"/>
      <c r="S285" s="85"/>
    </row>
    <row r="286" spans="1:19" s="88" customFormat="1" x14ac:dyDescent="0.35">
      <c r="A286" s="88" t="s">
        <v>35</v>
      </c>
      <c r="B286" s="88" t="s">
        <v>598</v>
      </c>
      <c r="C286" s="88" t="s">
        <v>6</v>
      </c>
      <c r="D286" s="87" t="s">
        <v>7</v>
      </c>
      <c r="E286" s="88">
        <v>2.88</v>
      </c>
      <c r="F286" s="97" t="s">
        <v>88</v>
      </c>
      <c r="G286" s="97">
        <v>45530</v>
      </c>
      <c r="H286" s="151" t="s">
        <v>181</v>
      </c>
      <c r="I286" s="85" t="s">
        <v>182</v>
      </c>
      <c r="J286" s="85"/>
      <c r="L286" s="85"/>
      <c r="M286" s="85"/>
      <c r="N286" s="85"/>
      <c r="O286" s="85"/>
      <c r="P286" s="86"/>
      <c r="Q286" s="87">
        <f t="shared" si="4"/>
        <v>2.88</v>
      </c>
      <c r="R286" s="85"/>
      <c r="S286" s="85"/>
    </row>
    <row r="287" spans="1:19" s="88" customFormat="1" x14ac:dyDescent="0.35">
      <c r="A287" s="88" t="s">
        <v>35</v>
      </c>
      <c r="B287" s="88" t="s">
        <v>598</v>
      </c>
      <c r="C287" s="88" t="s">
        <v>6</v>
      </c>
      <c r="D287" s="87" t="s">
        <v>7</v>
      </c>
      <c r="E287" s="88">
        <v>-2.5</v>
      </c>
      <c r="F287" s="97" t="s">
        <v>88</v>
      </c>
      <c r="G287" s="97">
        <v>45546</v>
      </c>
      <c r="H287" s="151" t="s">
        <v>181</v>
      </c>
      <c r="I287" s="85" t="s">
        <v>182</v>
      </c>
      <c r="J287" s="85"/>
      <c r="L287" s="85"/>
      <c r="M287" s="85"/>
      <c r="N287" s="85"/>
      <c r="O287" s="85"/>
      <c r="P287" s="86"/>
      <c r="Q287" s="87">
        <f t="shared" si="4"/>
        <v>2.5</v>
      </c>
      <c r="R287" s="85"/>
      <c r="S287" s="85"/>
    </row>
    <row r="288" spans="1:19" s="88" customFormat="1" x14ac:dyDescent="0.35">
      <c r="A288" s="88" t="s">
        <v>35</v>
      </c>
      <c r="B288" s="88" t="s">
        <v>598</v>
      </c>
      <c r="C288" s="88" t="s">
        <v>6</v>
      </c>
      <c r="D288" s="87" t="s">
        <v>7</v>
      </c>
      <c r="E288" s="88">
        <v>-2.09</v>
      </c>
      <c r="F288" s="97" t="s">
        <v>88</v>
      </c>
      <c r="G288" s="97">
        <v>45582</v>
      </c>
      <c r="H288" s="151" t="s">
        <v>181</v>
      </c>
      <c r="I288" s="85" t="s">
        <v>182</v>
      </c>
      <c r="J288" s="85"/>
      <c r="L288" s="85"/>
      <c r="M288" s="85"/>
      <c r="N288" s="85"/>
      <c r="O288" s="85"/>
      <c r="P288" s="86"/>
      <c r="Q288" s="87">
        <f t="shared" si="4"/>
        <v>2.09</v>
      </c>
      <c r="R288" s="85"/>
      <c r="S288" s="85"/>
    </row>
    <row r="289" spans="1:19" s="88" customFormat="1" x14ac:dyDescent="0.35">
      <c r="A289" s="88" t="s">
        <v>35</v>
      </c>
      <c r="B289" s="88" t="s">
        <v>598</v>
      </c>
      <c r="C289" s="88" t="s">
        <v>6</v>
      </c>
      <c r="D289" s="87" t="s">
        <v>7</v>
      </c>
      <c r="E289" s="88">
        <v>2.08</v>
      </c>
      <c r="F289" s="97" t="s">
        <v>88</v>
      </c>
      <c r="G289" s="97">
        <v>45560</v>
      </c>
      <c r="H289" s="151" t="s">
        <v>181</v>
      </c>
      <c r="I289" s="85" t="s">
        <v>182</v>
      </c>
      <c r="J289" s="85"/>
      <c r="L289" s="85"/>
      <c r="M289" s="85"/>
      <c r="N289" s="85"/>
      <c r="O289" s="85"/>
      <c r="P289" s="86"/>
      <c r="Q289" s="87">
        <f t="shared" si="4"/>
        <v>2.08</v>
      </c>
      <c r="R289" s="85"/>
      <c r="S289" s="85"/>
    </row>
    <row r="290" spans="1:19" s="88" customFormat="1" x14ac:dyDescent="0.35">
      <c r="A290" s="88" t="s">
        <v>35</v>
      </c>
      <c r="B290" s="88" t="s">
        <v>598</v>
      </c>
      <c r="C290" s="88" t="s">
        <v>6</v>
      </c>
      <c r="D290" s="87" t="s">
        <v>7</v>
      </c>
      <c r="E290" s="88">
        <v>-1.91</v>
      </c>
      <c r="F290" s="97" t="s">
        <v>88</v>
      </c>
      <c r="G290" s="97">
        <v>45553</v>
      </c>
      <c r="H290" s="151" t="s">
        <v>181</v>
      </c>
      <c r="I290" s="85" t="s">
        <v>182</v>
      </c>
      <c r="J290" s="85"/>
      <c r="L290" s="85"/>
      <c r="M290" s="85"/>
      <c r="N290" s="85"/>
      <c r="O290" s="85"/>
      <c r="P290" s="86"/>
      <c r="Q290" s="87">
        <f t="shared" si="4"/>
        <v>1.91</v>
      </c>
      <c r="R290" s="85"/>
      <c r="S290" s="85"/>
    </row>
    <row r="291" spans="1:19" s="88" customFormat="1" x14ac:dyDescent="0.35">
      <c r="A291" s="88" t="s">
        <v>35</v>
      </c>
      <c r="B291" s="88" t="s">
        <v>598</v>
      </c>
      <c r="C291" s="88" t="s">
        <v>6</v>
      </c>
      <c r="D291" s="87" t="s">
        <v>7</v>
      </c>
      <c r="E291" s="88">
        <v>-1.82</v>
      </c>
      <c r="F291" s="97" t="s">
        <v>88</v>
      </c>
      <c r="G291" s="97">
        <v>45552</v>
      </c>
      <c r="H291" s="151" t="s">
        <v>181</v>
      </c>
      <c r="I291" s="85" t="s">
        <v>182</v>
      </c>
      <c r="J291" s="85"/>
      <c r="L291" s="85"/>
      <c r="M291" s="85"/>
      <c r="N291" s="85"/>
      <c r="O291" s="85"/>
      <c r="P291" s="86"/>
      <c r="Q291" s="87">
        <f t="shared" si="4"/>
        <v>1.82</v>
      </c>
      <c r="R291" s="85"/>
      <c r="S291" s="85"/>
    </row>
    <row r="292" spans="1:19" s="88" customFormat="1" x14ac:dyDescent="0.35">
      <c r="A292" s="88" t="s">
        <v>35</v>
      </c>
      <c r="B292" s="88" t="s">
        <v>598</v>
      </c>
      <c r="C292" s="88" t="s">
        <v>6</v>
      </c>
      <c r="D292" s="87" t="s">
        <v>7</v>
      </c>
      <c r="E292" s="88">
        <v>-1.71</v>
      </c>
      <c r="F292" s="97" t="s">
        <v>88</v>
      </c>
      <c r="G292" s="97">
        <v>45575</v>
      </c>
      <c r="H292" s="151" t="s">
        <v>181</v>
      </c>
      <c r="I292" s="85" t="s">
        <v>182</v>
      </c>
      <c r="J292" s="85"/>
      <c r="L292" s="85"/>
      <c r="M292" s="85"/>
      <c r="N292" s="85"/>
      <c r="O292" s="85"/>
      <c r="P292" s="86"/>
      <c r="Q292" s="87">
        <f t="shared" si="4"/>
        <v>1.71</v>
      </c>
      <c r="R292" s="85"/>
      <c r="S292" s="85"/>
    </row>
    <row r="293" spans="1:19" s="88" customFormat="1" x14ac:dyDescent="0.35">
      <c r="A293" s="88" t="s">
        <v>35</v>
      </c>
      <c r="B293" s="88" t="s">
        <v>598</v>
      </c>
      <c r="C293" s="88" t="s">
        <v>6</v>
      </c>
      <c r="D293" s="87" t="s">
        <v>7</v>
      </c>
      <c r="E293" s="88">
        <v>-1.51</v>
      </c>
      <c r="F293" s="97" t="s">
        <v>88</v>
      </c>
      <c r="G293" s="97">
        <v>45558</v>
      </c>
      <c r="H293" s="151" t="s">
        <v>181</v>
      </c>
      <c r="I293" s="85" t="s">
        <v>182</v>
      </c>
      <c r="J293" s="85"/>
      <c r="L293" s="85"/>
      <c r="M293" s="85"/>
      <c r="N293" s="85"/>
      <c r="O293" s="85"/>
      <c r="P293" s="86"/>
      <c r="Q293" s="87">
        <f t="shared" si="4"/>
        <v>1.51</v>
      </c>
      <c r="R293" s="85"/>
      <c r="S293" s="85"/>
    </row>
    <row r="294" spans="1:19" s="88" customFormat="1" x14ac:dyDescent="0.35">
      <c r="A294" s="88" t="s">
        <v>35</v>
      </c>
      <c r="B294" s="88" t="s">
        <v>598</v>
      </c>
      <c r="C294" s="88" t="s">
        <v>6</v>
      </c>
      <c r="D294" s="87" t="s">
        <v>7</v>
      </c>
      <c r="E294" s="88">
        <v>1.3</v>
      </c>
      <c r="F294" s="97" t="s">
        <v>88</v>
      </c>
      <c r="G294" s="97">
        <v>45589</v>
      </c>
      <c r="H294" s="151" t="s">
        <v>181</v>
      </c>
      <c r="I294" s="85" t="s">
        <v>182</v>
      </c>
      <c r="J294" s="85"/>
      <c r="L294" s="85"/>
      <c r="M294" s="85"/>
      <c r="N294" s="85"/>
      <c r="O294" s="85"/>
      <c r="P294" s="86"/>
      <c r="Q294" s="87">
        <f t="shared" si="4"/>
        <v>1.3</v>
      </c>
      <c r="R294" s="85"/>
      <c r="S294" s="85"/>
    </row>
    <row r="295" spans="1:19" s="88" customFormat="1" x14ac:dyDescent="0.35">
      <c r="A295" s="88" t="s">
        <v>35</v>
      </c>
      <c r="B295" s="88" t="s">
        <v>598</v>
      </c>
      <c r="C295" s="88" t="s">
        <v>6</v>
      </c>
      <c r="D295" s="87" t="s">
        <v>7</v>
      </c>
      <c r="E295" s="88">
        <v>0.91</v>
      </c>
      <c r="F295" s="97" t="s">
        <v>88</v>
      </c>
      <c r="G295" s="97">
        <v>45581</v>
      </c>
      <c r="H295" s="151" t="s">
        <v>181</v>
      </c>
      <c r="I295" s="85" t="s">
        <v>182</v>
      </c>
      <c r="J295" s="85"/>
      <c r="L295" s="85"/>
      <c r="M295" s="85"/>
      <c r="N295" s="85"/>
      <c r="O295" s="85"/>
      <c r="P295" s="86"/>
      <c r="Q295" s="87">
        <f t="shared" si="4"/>
        <v>0.91</v>
      </c>
      <c r="R295" s="85"/>
      <c r="S295" s="85"/>
    </row>
    <row r="296" spans="1:19" s="88" customFormat="1" x14ac:dyDescent="0.35">
      <c r="A296" s="88" t="s">
        <v>35</v>
      </c>
      <c r="B296" s="88" t="s">
        <v>598</v>
      </c>
      <c r="C296" s="88" t="s">
        <v>6</v>
      </c>
      <c r="D296" s="87" t="s">
        <v>7</v>
      </c>
      <c r="E296" s="88">
        <v>-0.84</v>
      </c>
      <c r="F296" s="97" t="s">
        <v>88</v>
      </c>
      <c r="G296" s="97">
        <v>45592</v>
      </c>
      <c r="H296" s="151" t="s">
        <v>181</v>
      </c>
      <c r="I296" s="85" t="s">
        <v>182</v>
      </c>
      <c r="J296" s="85"/>
      <c r="L296" s="85"/>
      <c r="M296" s="85"/>
      <c r="N296" s="85"/>
      <c r="O296" s="85"/>
      <c r="P296" s="86"/>
      <c r="Q296" s="87">
        <f t="shared" si="4"/>
        <v>0.84</v>
      </c>
      <c r="R296" s="85"/>
      <c r="S296" s="85"/>
    </row>
    <row r="297" spans="1:19" s="88" customFormat="1" x14ac:dyDescent="0.35">
      <c r="A297" s="88" t="s">
        <v>35</v>
      </c>
      <c r="B297" s="88" t="s">
        <v>598</v>
      </c>
      <c r="C297" s="88" t="s">
        <v>6</v>
      </c>
      <c r="D297" s="87" t="s">
        <v>7</v>
      </c>
      <c r="E297" s="88">
        <v>0.82</v>
      </c>
      <c r="F297" s="97" t="s">
        <v>88</v>
      </c>
      <c r="G297" s="97">
        <v>45540</v>
      </c>
      <c r="H297" s="151" t="s">
        <v>181</v>
      </c>
      <c r="I297" s="85" t="s">
        <v>182</v>
      </c>
      <c r="J297" s="85"/>
      <c r="L297" s="85"/>
      <c r="M297" s="85"/>
      <c r="N297" s="85"/>
      <c r="O297" s="85"/>
      <c r="P297" s="86"/>
      <c r="Q297" s="87">
        <f t="shared" si="4"/>
        <v>0.82</v>
      </c>
      <c r="R297" s="85"/>
      <c r="S297" s="85"/>
    </row>
    <row r="298" spans="1:19" s="88" customFormat="1" x14ac:dyDescent="0.35">
      <c r="A298" s="88" t="s">
        <v>35</v>
      </c>
      <c r="B298" s="88" t="s">
        <v>598</v>
      </c>
      <c r="C298" s="88" t="s">
        <v>6</v>
      </c>
      <c r="D298" s="87" t="s">
        <v>7</v>
      </c>
      <c r="E298" s="88">
        <v>0.66</v>
      </c>
      <c r="F298" s="97" t="s">
        <v>88</v>
      </c>
      <c r="G298" s="97">
        <v>45557</v>
      </c>
      <c r="H298" s="151" t="s">
        <v>181</v>
      </c>
      <c r="I298" s="85" t="s">
        <v>182</v>
      </c>
      <c r="J298" s="85"/>
      <c r="L298" s="85"/>
      <c r="M298" s="85"/>
      <c r="N298" s="85"/>
      <c r="O298" s="85"/>
      <c r="P298" s="86"/>
      <c r="Q298" s="87">
        <f t="shared" si="4"/>
        <v>0.66</v>
      </c>
      <c r="R298" s="85"/>
      <c r="S298" s="85"/>
    </row>
    <row r="299" spans="1:19" s="88" customFormat="1" x14ac:dyDescent="0.35">
      <c r="A299" s="88" t="s">
        <v>35</v>
      </c>
      <c r="B299" s="88" t="s">
        <v>598</v>
      </c>
      <c r="C299" s="88" t="s">
        <v>6</v>
      </c>
      <c r="D299" s="87" t="s">
        <v>7</v>
      </c>
      <c r="E299" s="88">
        <v>0.52</v>
      </c>
      <c r="F299" s="97" t="s">
        <v>88</v>
      </c>
      <c r="G299" s="97">
        <v>45564</v>
      </c>
      <c r="H299" s="151" t="s">
        <v>181</v>
      </c>
      <c r="I299" s="85" t="s">
        <v>182</v>
      </c>
      <c r="J299" s="85"/>
      <c r="L299" s="85"/>
      <c r="M299" s="85"/>
      <c r="N299" s="85"/>
      <c r="O299" s="85"/>
      <c r="P299" s="86"/>
      <c r="Q299" s="87">
        <f t="shared" si="4"/>
        <v>0.52</v>
      </c>
      <c r="R299" s="85"/>
      <c r="S299" s="85"/>
    </row>
    <row r="300" spans="1:19" s="88" customFormat="1" x14ac:dyDescent="0.35">
      <c r="A300" s="88" t="s">
        <v>35</v>
      </c>
      <c r="B300" s="88" t="s">
        <v>598</v>
      </c>
      <c r="C300" s="88" t="s">
        <v>6</v>
      </c>
      <c r="D300" s="87" t="s">
        <v>7</v>
      </c>
      <c r="E300" s="88">
        <v>0.5</v>
      </c>
      <c r="F300" s="97" t="s">
        <v>88</v>
      </c>
      <c r="G300" s="97">
        <v>45587</v>
      </c>
      <c r="H300" s="151" t="s">
        <v>181</v>
      </c>
      <c r="I300" s="85" t="s">
        <v>182</v>
      </c>
      <c r="J300" s="85"/>
      <c r="L300" s="85"/>
      <c r="M300" s="85"/>
      <c r="N300" s="85"/>
      <c r="O300" s="85"/>
      <c r="P300" s="86"/>
      <c r="Q300" s="87">
        <f t="shared" si="4"/>
        <v>0.5</v>
      </c>
      <c r="R300" s="85"/>
      <c r="S300" s="85"/>
    </row>
    <row r="301" spans="1:19" s="88" customFormat="1" x14ac:dyDescent="0.35">
      <c r="A301" s="88" t="s">
        <v>35</v>
      </c>
      <c r="B301" s="88" t="s">
        <v>598</v>
      </c>
      <c r="C301" s="88" t="s">
        <v>6</v>
      </c>
      <c r="D301" s="87" t="s">
        <v>7</v>
      </c>
      <c r="E301" s="88">
        <v>-0.23</v>
      </c>
      <c r="F301" s="97" t="s">
        <v>88</v>
      </c>
      <c r="G301" s="97">
        <v>45593</v>
      </c>
      <c r="H301" s="151" t="s">
        <v>181</v>
      </c>
      <c r="I301" s="85" t="s">
        <v>182</v>
      </c>
      <c r="J301" s="85"/>
      <c r="L301" s="85"/>
      <c r="M301" s="85"/>
      <c r="N301" s="85"/>
      <c r="O301" s="85"/>
      <c r="P301" s="86"/>
      <c r="Q301" s="87">
        <f t="shared" si="4"/>
        <v>0.23</v>
      </c>
      <c r="R301" s="85"/>
      <c r="S301" s="85"/>
    </row>
    <row r="302" spans="1:19" s="88" customFormat="1" x14ac:dyDescent="0.35">
      <c r="A302" s="88" t="s">
        <v>35</v>
      </c>
      <c r="B302" s="88" t="s">
        <v>598</v>
      </c>
      <c r="C302" s="88" t="s">
        <v>6</v>
      </c>
      <c r="D302" s="87" t="s">
        <v>7</v>
      </c>
      <c r="E302" s="88">
        <v>0.03</v>
      </c>
      <c r="F302" s="97" t="s">
        <v>88</v>
      </c>
      <c r="G302" s="97">
        <v>45579</v>
      </c>
      <c r="H302" s="151" t="s">
        <v>181</v>
      </c>
      <c r="I302" s="85" t="s">
        <v>182</v>
      </c>
      <c r="J302" s="85"/>
      <c r="L302" s="85"/>
      <c r="M302" s="85"/>
      <c r="N302" s="85"/>
      <c r="O302" s="85"/>
      <c r="P302" s="86"/>
      <c r="Q302" s="87">
        <f t="shared" si="4"/>
        <v>0.03</v>
      </c>
      <c r="R302" s="85"/>
      <c r="S302" s="85"/>
    </row>
    <row r="303" spans="1:19" s="88" customFormat="1" x14ac:dyDescent="0.35">
      <c r="A303" s="88" t="s">
        <v>35</v>
      </c>
      <c r="B303" s="88" t="s">
        <v>653</v>
      </c>
      <c r="C303" s="88" t="s">
        <v>6</v>
      </c>
      <c r="D303" s="87" t="s">
        <v>7</v>
      </c>
      <c r="E303" s="88">
        <v>0</v>
      </c>
      <c r="F303" s="97" t="s">
        <v>88</v>
      </c>
      <c r="G303" s="97">
        <v>45544</v>
      </c>
      <c r="H303" s="151" t="s">
        <v>973</v>
      </c>
      <c r="I303" s="85" t="s">
        <v>973</v>
      </c>
      <c r="J303" s="85"/>
      <c r="L303" s="85"/>
      <c r="M303" s="85"/>
      <c r="N303" s="85"/>
      <c r="O303" s="85"/>
      <c r="P303" s="86"/>
      <c r="Q303" s="87">
        <f t="shared" si="4"/>
        <v>0</v>
      </c>
      <c r="R303" s="85"/>
      <c r="S303" s="85"/>
    </row>
  </sheetData>
  <autoFilter ref="A7:AG303" xr:uid="{030612A0-0207-4C0C-8CA7-D82E487A927A}"/>
  <sortState xmlns:xlrd2="http://schemas.microsoft.com/office/spreadsheetml/2017/richdata2" ref="A7:Q51">
    <sortCondition descending="1" ref="Q7:Q51"/>
  </sortState>
  <mergeCells count="1">
    <mergeCell ref="AD6:AE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993DE-CC4B-4D89-AB74-8D003AC66372}">
  <sheetPr>
    <tabColor rgb="FF00B050"/>
  </sheetPr>
  <dimension ref="A1:AF108"/>
  <sheetViews>
    <sheetView workbookViewId="0">
      <selection activeCell="C3" sqref="C3"/>
    </sheetView>
  </sheetViews>
  <sheetFormatPr defaultRowHeight="14.5" x14ac:dyDescent="0.35"/>
  <cols>
    <col min="3" max="3" width="11" customWidth="1"/>
    <col min="4" max="4" width="4.81640625" style="3" customWidth="1"/>
    <col min="5" max="6" width="4.81640625" customWidth="1"/>
    <col min="7" max="7" width="4.7265625" customWidth="1"/>
    <col min="8" max="8" width="4.7265625" style="55" customWidth="1"/>
    <col min="9" max="10" width="17.453125" style="55" customWidth="1"/>
    <col min="11" max="11" width="30.54296875" bestFit="1" customWidth="1"/>
    <col min="14" max="14" width="21.54296875" bestFit="1" customWidth="1"/>
    <col min="16" max="16" width="4" style="5" customWidth="1"/>
    <col min="17" max="17" width="9.1796875" style="3" bestFit="1" customWidth="1"/>
    <col min="18" max="18" width="2.54296875" style="55" customWidth="1"/>
    <col min="19" max="19" width="13.1796875" style="56" customWidth="1"/>
    <col min="20" max="20" width="5.7265625" customWidth="1"/>
    <col min="21" max="21" width="4.54296875" customWidth="1"/>
    <col min="23" max="23" width="1.453125" customWidth="1"/>
    <col min="24" max="29" width="1.1796875" customWidth="1"/>
  </cols>
  <sheetData>
    <row r="1" spans="1:32" x14ac:dyDescent="0.35">
      <c r="A1" t="s">
        <v>69</v>
      </c>
      <c r="C1">
        <f>Summary!A10</f>
        <v>5140001030</v>
      </c>
      <c r="F1" s="19"/>
    </row>
    <row r="2" spans="1:32" x14ac:dyDescent="0.35">
      <c r="A2" t="s">
        <v>70</v>
      </c>
      <c r="C2" t="str">
        <f>Summary!B10</f>
        <v>Training travel and lodging ex</v>
      </c>
      <c r="F2" s="19"/>
      <c r="G2" t="s">
        <v>141</v>
      </c>
    </row>
    <row r="3" spans="1:32" x14ac:dyDescent="0.35">
      <c r="A3" t="s">
        <v>71</v>
      </c>
      <c r="C3" s="22">
        <v>58301.3</v>
      </c>
      <c r="F3" s="19"/>
      <c r="G3" t="s">
        <v>142</v>
      </c>
      <c r="AC3" s="72" t="s">
        <v>73</v>
      </c>
      <c r="AD3" s="3">
        <f>SUM(AD8:AD1048576)</f>
        <v>0</v>
      </c>
      <c r="AE3" s="3">
        <f>SUM(AE8:AE1048576)</f>
        <v>0</v>
      </c>
    </row>
    <row r="4" spans="1:32" x14ac:dyDescent="0.35">
      <c r="A4" t="s">
        <v>45</v>
      </c>
      <c r="C4" s="22">
        <f>SUM(E:E)</f>
        <v>58301.3</v>
      </c>
      <c r="F4" s="19"/>
      <c r="G4" t="s">
        <v>143</v>
      </c>
      <c r="T4" s="24" t="s">
        <v>0</v>
      </c>
      <c r="U4" s="24"/>
      <c r="V4" s="3">
        <f>SUMIF($A$10:$A$23974,"AU001",V9:V23973)</f>
        <v>0</v>
      </c>
    </row>
    <row r="5" spans="1:32" ht="15" thickBot="1" x14ac:dyDescent="0.4">
      <c r="A5" t="s">
        <v>72</v>
      </c>
      <c r="C5" s="3">
        <f>C3-C4</f>
        <v>0</v>
      </c>
      <c r="F5" s="19"/>
      <c r="Q5" s="30"/>
      <c r="R5" s="57"/>
      <c r="T5" s="24" t="s">
        <v>35</v>
      </c>
      <c r="U5" s="24"/>
      <c r="V5" s="3">
        <f>SUMIF($A$10:$A$23975,"AU052",V9:V23974)</f>
        <v>35.880000000000003</v>
      </c>
    </row>
    <row r="6" spans="1:32" ht="15" thickBot="1" x14ac:dyDescent="0.4">
      <c r="F6" s="19"/>
      <c r="AD6" s="191" t="s">
        <v>44</v>
      </c>
      <c r="AE6" s="192"/>
    </row>
    <row r="7" spans="1:32" ht="62.15" customHeight="1" thickBot="1" x14ac:dyDescent="0.4">
      <c r="A7" s="156" t="s">
        <v>74</v>
      </c>
      <c r="B7" s="157" t="s">
        <v>597</v>
      </c>
      <c r="C7" s="157" t="s">
        <v>75</v>
      </c>
      <c r="D7" s="158" t="s">
        <v>76</v>
      </c>
      <c r="E7" s="157" t="s">
        <v>77</v>
      </c>
      <c r="F7" s="159" t="s">
        <v>78</v>
      </c>
      <c r="G7" s="159" t="s">
        <v>79</v>
      </c>
      <c r="H7" s="157" t="s">
        <v>80</v>
      </c>
      <c r="I7" s="157" t="s">
        <v>81</v>
      </c>
      <c r="J7" s="157" t="s">
        <v>82</v>
      </c>
      <c r="K7" s="157" t="s">
        <v>83</v>
      </c>
      <c r="L7" s="157" t="s">
        <v>84</v>
      </c>
      <c r="M7" s="157" t="s">
        <v>85</v>
      </c>
      <c r="N7" s="157" t="s">
        <v>86</v>
      </c>
      <c r="O7" s="160" t="s">
        <v>585</v>
      </c>
      <c r="Q7" s="31" t="s">
        <v>136</v>
      </c>
      <c r="R7" s="25" t="s">
        <v>87</v>
      </c>
      <c r="S7" s="161" t="s">
        <v>46</v>
      </c>
      <c r="T7" s="7" t="s">
        <v>47</v>
      </c>
      <c r="U7" s="7" t="s">
        <v>1286</v>
      </c>
      <c r="V7" s="8" t="s">
        <v>48</v>
      </c>
      <c r="W7" s="9" t="s">
        <v>49</v>
      </c>
      <c r="X7" s="10" t="s">
        <v>50</v>
      </c>
      <c r="Y7" s="11" t="s">
        <v>51</v>
      </c>
      <c r="Z7" s="12" t="s">
        <v>52</v>
      </c>
      <c r="AA7" s="13" t="s">
        <v>53</v>
      </c>
      <c r="AB7" s="13" t="s">
        <v>54</v>
      </c>
      <c r="AC7" s="13" t="s">
        <v>55</v>
      </c>
      <c r="AD7" s="14" t="s">
        <v>56</v>
      </c>
      <c r="AE7" s="14" t="s">
        <v>57</v>
      </c>
      <c r="AF7" s="15" t="s">
        <v>58</v>
      </c>
    </row>
    <row r="8" spans="1:32" ht="43.5" x14ac:dyDescent="0.35">
      <c r="A8" t="s">
        <v>35</v>
      </c>
      <c r="B8" t="s">
        <v>599</v>
      </c>
      <c r="C8" t="s">
        <v>36</v>
      </c>
      <c r="D8" s="3" t="s">
        <v>37</v>
      </c>
      <c r="E8">
        <v>9019.2800000000007</v>
      </c>
      <c r="F8" t="s">
        <v>88</v>
      </c>
      <c r="G8" s="19">
        <v>45624</v>
      </c>
      <c r="H8" s="55" t="s">
        <v>94</v>
      </c>
      <c r="I8" s="55" t="s">
        <v>1200</v>
      </c>
      <c r="K8" s="55" t="s">
        <v>1457</v>
      </c>
      <c r="O8" t="s">
        <v>1201</v>
      </c>
      <c r="Q8" s="3">
        <f t="shared" ref="Q8:Q39" si="0">ABS(E8)</f>
        <v>9019.2800000000007</v>
      </c>
      <c r="S8" s="56" t="s">
        <v>1540</v>
      </c>
    </row>
    <row r="9" spans="1:32" ht="43.5" x14ac:dyDescent="0.35">
      <c r="A9" t="s">
        <v>0</v>
      </c>
      <c r="B9" t="s">
        <v>623</v>
      </c>
      <c r="C9" t="s">
        <v>36</v>
      </c>
      <c r="D9" s="3" t="s">
        <v>37</v>
      </c>
      <c r="E9">
        <v>5715.45</v>
      </c>
      <c r="F9" t="s">
        <v>88</v>
      </c>
      <c r="G9" s="19">
        <v>45530</v>
      </c>
      <c r="H9" s="55" t="s">
        <v>89</v>
      </c>
      <c r="I9" s="55" t="s">
        <v>1331</v>
      </c>
      <c r="K9" t="s">
        <v>1332</v>
      </c>
      <c r="L9" t="s">
        <v>1333</v>
      </c>
      <c r="M9" t="s">
        <v>93</v>
      </c>
      <c r="Q9" s="3">
        <f t="shared" si="0"/>
        <v>5715.45</v>
      </c>
    </row>
    <row r="10" spans="1:32" ht="43.5" x14ac:dyDescent="0.35">
      <c r="A10" t="s">
        <v>0</v>
      </c>
      <c r="B10" t="s">
        <v>623</v>
      </c>
      <c r="C10" t="s">
        <v>36</v>
      </c>
      <c r="D10" s="3" t="s">
        <v>37</v>
      </c>
      <c r="E10">
        <v>4817.63</v>
      </c>
      <c r="F10" t="s">
        <v>88</v>
      </c>
      <c r="G10" s="19">
        <v>45510</v>
      </c>
      <c r="H10" s="55" t="s">
        <v>89</v>
      </c>
      <c r="I10" s="55" t="s">
        <v>1316</v>
      </c>
      <c r="K10" t="s">
        <v>1317</v>
      </c>
      <c r="L10" t="s">
        <v>1318</v>
      </c>
      <c r="M10" t="s">
        <v>93</v>
      </c>
      <c r="Q10" s="3">
        <f t="shared" si="0"/>
        <v>4817.63</v>
      </c>
    </row>
    <row r="11" spans="1:32" ht="43.5" x14ac:dyDescent="0.35">
      <c r="A11" t="s">
        <v>0</v>
      </c>
      <c r="B11" t="s">
        <v>599</v>
      </c>
      <c r="C11" t="s">
        <v>36</v>
      </c>
      <c r="D11" s="3" t="s">
        <v>37</v>
      </c>
      <c r="E11">
        <v>4121.29</v>
      </c>
      <c r="F11" t="s">
        <v>88</v>
      </c>
      <c r="G11" s="19">
        <v>45581</v>
      </c>
      <c r="H11" s="55" t="s">
        <v>89</v>
      </c>
      <c r="I11" s="55" t="s">
        <v>1359</v>
      </c>
      <c r="K11" t="s">
        <v>1360</v>
      </c>
      <c r="L11" t="s">
        <v>1361</v>
      </c>
      <c r="M11" t="s">
        <v>1362</v>
      </c>
      <c r="Q11" s="3">
        <f t="shared" si="0"/>
        <v>4121.29</v>
      </c>
    </row>
    <row r="12" spans="1:32" ht="43.5" x14ac:dyDescent="0.35">
      <c r="A12" t="s">
        <v>0</v>
      </c>
      <c r="B12" t="s">
        <v>623</v>
      </c>
      <c r="C12" t="s">
        <v>36</v>
      </c>
      <c r="D12" s="3" t="s">
        <v>37</v>
      </c>
      <c r="E12">
        <v>3339.11</v>
      </c>
      <c r="F12" t="s">
        <v>88</v>
      </c>
      <c r="G12" s="19">
        <v>45484</v>
      </c>
      <c r="H12" s="55" t="s">
        <v>89</v>
      </c>
      <c r="I12" s="55" t="s">
        <v>1314</v>
      </c>
      <c r="K12" t="s">
        <v>101</v>
      </c>
      <c r="L12" t="s">
        <v>1315</v>
      </c>
      <c r="M12" t="s">
        <v>93</v>
      </c>
      <c r="Q12" s="3">
        <f t="shared" si="0"/>
        <v>3339.11</v>
      </c>
    </row>
    <row r="13" spans="1:32" ht="43.5" x14ac:dyDescent="0.35">
      <c r="A13" t="s">
        <v>0</v>
      </c>
      <c r="B13" t="s">
        <v>623</v>
      </c>
      <c r="C13" t="s">
        <v>36</v>
      </c>
      <c r="D13" s="3" t="s">
        <v>37</v>
      </c>
      <c r="E13">
        <v>3196.01</v>
      </c>
      <c r="F13" t="s">
        <v>88</v>
      </c>
      <c r="G13" s="19">
        <v>45586</v>
      </c>
      <c r="H13" s="55" t="s">
        <v>89</v>
      </c>
      <c r="I13" s="55" t="s">
        <v>1363</v>
      </c>
      <c r="K13" t="s">
        <v>1364</v>
      </c>
      <c r="L13" t="s">
        <v>1365</v>
      </c>
      <c r="M13" t="s">
        <v>93</v>
      </c>
      <c r="Q13" s="3">
        <f t="shared" si="0"/>
        <v>3196.01</v>
      </c>
    </row>
    <row r="14" spans="1:32" ht="43.5" x14ac:dyDescent="0.35">
      <c r="A14" t="s">
        <v>0</v>
      </c>
      <c r="B14" t="s">
        <v>623</v>
      </c>
      <c r="C14" t="s">
        <v>36</v>
      </c>
      <c r="D14" s="3" t="s">
        <v>37</v>
      </c>
      <c r="E14">
        <v>3186.76</v>
      </c>
      <c r="F14" t="s">
        <v>88</v>
      </c>
      <c r="G14" s="19">
        <v>45553</v>
      </c>
      <c r="H14" s="55" t="s">
        <v>89</v>
      </c>
      <c r="I14" s="55" t="s">
        <v>1345</v>
      </c>
      <c r="K14" t="s">
        <v>1346</v>
      </c>
      <c r="L14" t="s">
        <v>1347</v>
      </c>
      <c r="M14" t="s">
        <v>93</v>
      </c>
      <c r="Q14" s="3">
        <f t="shared" si="0"/>
        <v>3186.76</v>
      </c>
    </row>
    <row r="15" spans="1:32" ht="43.5" x14ac:dyDescent="0.35">
      <c r="A15" t="s">
        <v>0</v>
      </c>
      <c r="B15" t="s">
        <v>623</v>
      </c>
      <c r="C15" t="s">
        <v>36</v>
      </c>
      <c r="D15" s="3" t="s">
        <v>37</v>
      </c>
      <c r="E15">
        <v>2954.32</v>
      </c>
      <c r="F15" t="s">
        <v>88</v>
      </c>
      <c r="G15" s="19">
        <v>45552</v>
      </c>
      <c r="H15" s="55" t="s">
        <v>89</v>
      </c>
      <c r="I15" s="55" t="s">
        <v>1337</v>
      </c>
      <c r="K15" t="s">
        <v>1338</v>
      </c>
      <c r="L15" t="s">
        <v>1339</v>
      </c>
      <c r="M15" t="s">
        <v>93</v>
      </c>
      <c r="Q15" s="3">
        <f t="shared" si="0"/>
        <v>2954.32</v>
      </c>
    </row>
    <row r="16" spans="1:32" ht="43.5" x14ac:dyDescent="0.35">
      <c r="A16" t="s">
        <v>35</v>
      </c>
      <c r="B16" t="s">
        <v>780</v>
      </c>
      <c r="C16" t="s">
        <v>36</v>
      </c>
      <c r="D16" s="3" t="s">
        <v>37</v>
      </c>
      <c r="E16">
        <v>2106</v>
      </c>
      <c r="F16" t="s">
        <v>88</v>
      </c>
      <c r="G16" s="19">
        <v>45635</v>
      </c>
      <c r="H16" s="55" t="s">
        <v>89</v>
      </c>
      <c r="I16" s="55" t="s">
        <v>1495</v>
      </c>
      <c r="K16" t="s">
        <v>1496</v>
      </c>
      <c r="L16" t="s">
        <v>1497</v>
      </c>
      <c r="M16" t="s">
        <v>1498</v>
      </c>
      <c r="Q16" s="3">
        <f t="shared" si="0"/>
        <v>2106</v>
      </c>
      <c r="S16" s="56" t="s">
        <v>1541</v>
      </c>
    </row>
    <row r="17" spans="1:19" ht="43.5" x14ac:dyDescent="0.35">
      <c r="A17" t="s">
        <v>35</v>
      </c>
      <c r="B17" t="s">
        <v>780</v>
      </c>
      <c r="C17" t="s">
        <v>36</v>
      </c>
      <c r="D17" s="3" t="s">
        <v>37</v>
      </c>
      <c r="E17">
        <v>2106</v>
      </c>
      <c r="F17" t="s">
        <v>88</v>
      </c>
      <c r="G17" s="19">
        <v>45635</v>
      </c>
      <c r="H17" s="55" t="s">
        <v>89</v>
      </c>
      <c r="I17" s="55" t="s">
        <v>1499</v>
      </c>
      <c r="K17" t="s">
        <v>1496</v>
      </c>
      <c r="L17" t="s">
        <v>1500</v>
      </c>
      <c r="M17" t="s">
        <v>1498</v>
      </c>
      <c r="Q17" s="3">
        <f t="shared" si="0"/>
        <v>2106</v>
      </c>
      <c r="S17" s="56" t="s">
        <v>1541</v>
      </c>
    </row>
    <row r="18" spans="1:19" ht="43.5" x14ac:dyDescent="0.35">
      <c r="A18" t="s">
        <v>0</v>
      </c>
      <c r="B18" t="s">
        <v>623</v>
      </c>
      <c r="C18" t="s">
        <v>36</v>
      </c>
      <c r="D18" s="3" t="s">
        <v>37</v>
      </c>
      <c r="E18">
        <v>1865.34</v>
      </c>
      <c r="F18" t="s">
        <v>88</v>
      </c>
      <c r="G18" s="19">
        <v>45510</v>
      </c>
      <c r="H18" s="55" t="s">
        <v>89</v>
      </c>
      <c r="I18" s="55" t="s">
        <v>1319</v>
      </c>
      <c r="K18" t="s">
        <v>1320</v>
      </c>
      <c r="L18" t="s">
        <v>1321</v>
      </c>
      <c r="M18" t="s">
        <v>93</v>
      </c>
      <c r="Q18" s="3">
        <f t="shared" si="0"/>
        <v>1865.34</v>
      </c>
    </row>
    <row r="19" spans="1:19" ht="43.5" x14ac:dyDescent="0.35">
      <c r="A19" t="s">
        <v>0</v>
      </c>
      <c r="B19" t="s">
        <v>623</v>
      </c>
      <c r="C19" t="s">
        <v>36</v>
      </c>
      <c r="D19" s="3" t="s">
        <v>37</v>
      </c>
      <c r="E19">
        <v>1844.82</v>
      </c>
      <c r="F19" t="s">
        <v>88</v>
      </c>
      <c r="G19" s="19">
        <v>45553</v>
      </c>
      <c r="H19" s="55" t="s">
        <v>89</v>
      </c>
      <c r="I19" s="55" t="s">
        <v>1343</v>
      </c>
      <c r="K19" t="s">
        <v>1341</v>
      </c>
      <c r="L19" t="s">
        <v>1344</v>
      </c>
      <c r="M19" t="s">
        <v>731</v>
      </c>
      <c r="Q19" s="3">
        <f t="shared" si="0"/>
        <v>1844.82</v>
      </c>
    </row>
    <row r="20" spans="1:19" ht="43.5" x14ac:dyDescent="0.35">
      <c r="A20" t="s">
        <v>0</v>
      </c>
      <c r="B20" t="s">
        <v>623</v>
      </c>
      <c r="C20" t="s">
        <v>36</v>
      </c>
      <c r="D20" s="3" t="s">
        <v>37</v>
      </c>
      <c r="E20">
        <v>1380.73</v>
      </c>
      <c r="F20" t="s">
        <v>88</v>
      </c>
      <c r="G20" s="19">
        <v>45553</v>
      </c>
      <c r="H20" s="55" t="s">
        <v>89</v>
      </c>
      <c r="I20" s="55" t="s">
        <v>1340</v>
      </c>
      <c r="K20" t="s">
        <v>1341</v>
      </c>
      <c r="L20" t="s">
        <v>1342</v>
      </c>
      <c r="M20" t="s">
        <v>731</v>
      </c>
      <c r="Q20" s="3">
        <f t="shared" si="0"/>
        <v>1380.73</v>
      </c>
    </row>
    <row r="21" spans="1:19" ht="43.5" x14ac:dyDescent="0.35">
      <c r="A21" t="s">
        <v>35</v>
      </c>
      <c r="B21" t="s">
        <v>599</v>
      </c>
      <c r="C21" t="s">
        <v>36</v>
      </c>
      <c r="D21" s="3" t="s">
        <v>37</v>
      </c>
      <c r="E21">
        <v>879.25</v>
      </c>
      <c r="F21" t="s">
        <v>88</v>
      </c>
      <c r="G21" s="19">
        <v>45601</v>
      </c>
      <c r="H21" s="55" t="s">
        <v>89</v>
      </c>
      <c r="I21" s="55" t="s">
        <v>1407</v>
      </c>
      <c r="K21" t="s">
        <v>1408</v>
      </c>
      <c r="L21" t="s">
        <v>1409</v>
      </c>
      <c r="M21" t="s">
        <v>1410</v>
      </c>
      <c r="Q21" s="3">
        <f t="shared" si="0"/>
        <v>879.25</v>
      </c>
    </row>
    <row r="22" spans="1:19" ht="43.5" x14ac:dyDescent="0.35">
      <c r="A22" t="s">
        <v>35</v>
      </c>
      <c r="B22" t="s">
        <v>646</v>
      </c>
      <c r="C22" t="s">
        <v>36</v>
      </c>
      <c r="D22" s="3" t="s">
        <v>37</v>
      </c>
      <c r="E22">
        <v>868.15</v>
      </c>
      <c r="F22" t="s">
        <v>88</v>
      </c>
      <c r="G22" s="19">
        <v>45404</v>
      </c>
      <c r="H22" s="55" t="s">
        <v>94</v>
      </c>
      <c r="I22" s="55" t="s">
        <v>379</v>
      </c>
      <c r="J22" s="55" t="s">
        <v>1299</v>
      </c>
      <c r="O22" t="s">
        <v>635</v>
      </c>
      <c r="Q22" s="3">
        <f t="shared" si="0"/>
        <v>868.15</v>
      </c>
    </row>
    <row r="23" spans="1:19" ht="43.5" x14ac:dyDescent="0.35">
      <c r="A23" t="s">
        <v>35</v>
      </c>
      <c r="B23" t="s">
        <v>789</v>
      </c>
      <c r="C23" t="s">
        <v>36</v>
      </c>
      <c r="D23" s="3" t="s">
        <v>37</v>
      </c>
      <c r="E23">
        <v>755.22</v>
      </c>
      <c r="F23" t="s">
        <v>88</v>
      </c>
      <c r="G23" s="19">
        <v>45580</v>
      </c>
      <c r="H23" s="55" t="s">
        <v>89</v>
      </c>
      <c r="I23" s="55" t="s">
        <v>1355</v>
      </c>
      <c r="K23" t="s">
        <v>1356</v>
      </c>
      <c r="L23" t="s">
        <v>1357</v>
      </c>
      <c r="M23" t="s">
        <v>1358</v>
      </c>
      <c r="Q23" s="3">
        <f t="shared" si="0"/>
        <v>755.22</v>
      </c>
    </row>
    <row r="24" spans="1:19" ht="29" x14ac:dyDescent="0.35">
      <c r="A24" t="s">
        <v>35</v>
      </c>
      <c r="B24" t="s">
        <v>969</v>
      </c>
      <c r="C24" t="s">
        <v>36</v>
      </c>
      <c r="D24" s="3" t="s">
        <v>37</v>
      </c>
      <c r="E24">
        <v>681.82</v>
      </c>
      <c r="F24" t="s">
        <v>88</v>
      </c>
      <c r="G24" s="19">
        <v>45594</v>
      </c>
      <c r="H24" s="55" t="s">
        <v>94</v>
      </c>
      <c r="I24" s="55" t="s">
        <v>1391</v>
      </c>
      <c r="J24" s="55" t="s">
        <v>1392</v>
      </c>
      <c r="O24" t="s">
        <v>1393</v>
      </c>
      <c r="Q24" s="3">
        <f t="shared" si="0"/>
        <v>681.82</v>
      </c>
      <c r="S24" s="56" t="s">
        <v>1538</v>
      </c>
    </row>
    <row r="25" spans="1:19" ht="43.5" x14ac:dyDescent="0.35">
      <c r="A25" s="35" t="s">
        <v>35</v>
      </c>
      <c r="B25" s="35" t="s">
        <v>623</v>
      </c>
      <c r="C25" s="35" t="s">
        <v>36</v>
      </c>
      <c r="D25" s="58" t="s">
        <v>37</v>
      </c>
      <c r="E25" s="35">
        <v>542.27</v>
      </c>
      <c r="F25" s="29" t="s">
        <v>88</v>
      </c>
      <c r="G25" s="29">
        <v>45386</v>
      </c>
      <c r="H25" s="59" t="s">
        <v>94</v>
      </c>
      <c r="I25" s="59" t="s">
        <v>1289</v>
      </c>
      <c r="K25" s="59" t="s">
        <v>1288</v>
      </c>
      <c r="L25" s="35"/>
      <c r="M25" s="35"/>
      <c r="N25" s="35"/>
      <c r="O25" s="35" t="s">
        <v>1290</v>
      </c>
      <c r="Q25" s="3">
        <f t="shared" si="0"/>
        <v>542.27</v>
      </c>
    </row>
    <row r="26" spans="1:19" ht="43.5" x14ac:dyDescent="0.35">
      <c r="A26" t="s">
        <v>0</v>
      </c>
      <c r="B26" t="s">
        <v>1216</v>
      </c>
      <c r="C26" t="s">
        <v>36</v>
      </c>
      <c r="D26" s="3" t="s">
        <v>37</v>
      </c>
      <c r="E26">
        <v>517.44000000000005</v>
      </c>
      <c r="F26" t="s">
        <v>88</v>
      </c>
      <c r="G26" s="19">
        <v>45631</v>
      </c>
      <c r="H26" s="55" t="s">
        <v>89</v>
      </c>
      <c r="I26" s="55" t="s">
        <v>1484</v>
      </c>
      <c r="K26" t="s">
        <v>1485</v>
      </c>
      <c r="L26" t="s">
        <v>1486</v>
      </c>
      <c r="M26" t="s">
        <v>162</v>
      </c>
      <c r="Q26" s="3">
        <f t="shared" si="0"/>
        <v>517.44000000000005</v>
      </c>
    </row>
    <row r="27" spans="1:19" ht="29" x14ac:dyDescent="0.35">
      <c r="A27" t="s">
        <v>35</v>
      </c>
      <c r="B27" t="s">
        <v>703</v>
      </c>
      <c r="C27" t="s">
        <v>36</v>
      </c>
      <c r="D27" s="3" t="s">
        <v>37</v>
      </c>
      <c r="E27">
        <v>466.27</v>
      </c>
      <c r="F27" t="s">
        <v>88</v>
      </c>
      <c r="G27" s="19">
        <v>45558</v>
      </c>
      <c r="H27" s="55" t="s">
        <v>94</v>
      </c>
      <c r="I27" s="55" t="s">
        <v>1348</v>
      </c>
      <c r="J27" s="55" t="s">
        <v>1349</v>
      </c>
      <c r="O27" t="s">
        <v>1350</v>
      </c>
      <c r="Q27" s="3">
        <f t="shared" si="0"/>
        <v>466.27</v>
      </c>
    </row>
    <row r="28" spans="1:19" ht="29" x14ac:dyDescent="0.35">
      <c r="A28" t="s">
        <v>35</v>
      </c>
      <c r="B28" t="s">
        <v>1106</v>
      </c>
      <c r="C28" t="s">
        <v>36</v>
      </c>
      <c r="D28" s="3" t="s">
        <v>37</v>
      </c>
      <c r="E28">
        <v>460.23</v>
      </c>
      <c r="F28" t="s">
        <v>88</v>
      </c>
      <c r="G28" s="19">
        <v>45607</v>
      </c>
      <c r="H28" s="55" t="s">
        <v>94</v>
      </c>
      <c r="I28" s="55" t="s">
        <v>1421</v>
      </c>
      <c r="K28" s="55" t="s">
        <v>1422</v>
      </c>
      <c r="O28" t="s">
        <v>1393</v>
      </c>
      <c r="Q28" s="3">
        <f t="shared" si="0"/>
        <v>460.23</v>
      </c>
    </row>
    <row r="29" spans="1:19" ht="43.5" x14ac:dyDescent="0.35">
      <c r="A29" t="s">
        <v>35</v>
      </c>
      <c r="B29" t="s">
        <v>623</v>
      </c>
      <c r="C29" t="s">
        <v>36</v>
      </c>
      <c r="D29" s="3" t="s">
        <v>37</v>
      </c>
      <c r="E29">
        <v>431.82</v>
      </c>
      <c r="F29" t="s">
        <v>88</v>
      </c>
      <c r="G29" s="19">
        <v>45386</v>
      </c>
      <c r="H29" s="55" t="s">
        <v>94</v>
      </c>
      <c r="I29" s="55" t="s">
        <v>1296</v>
      </c>
      <c r="K29" s="55" t="s">
        <v>1297</v>
      </c>
      <c r="O29" t="s">
        <v>1298</v>
      </c>
      <c r="Q29" s="3">
        <f t="shared" si="0"/>
        <v>431.82</v>
      </c>
      <c r="S29" s="56" t="s">
        <v>1542</v>
      </c>
    </row>
    <row r="30" spans="1:19" ht="29" x14ac:dyDescent="0.35">
      <c r="A30" t="s">
        <v>35</v>
      </c>
      <c r="B30" t="s">
        <v>1423</v>
      </c>
      <c r="C30" t="s">
        <v>36</v>
      </c>
      <c r="D30" s="3" t="s">
        <v>37</v>
      </c>
      <c r="E30">
        <v>398.45</v>
      </c>
      <c r="F30" t="s">
        <v>88</v>
      </c>
      <c r="G30" s="19">
        <v>45639</v>
      </c>
      <c r="H30" s="55" t="s">
        <v>94</v>
      </c>
      <c r="I30" s="55" t="s">
        <v>1510</v>
      </c>
      <c r="K30" s="55" t="s">
        <v>1511</v>
      </c>
      <c r="O30" t="s">
        <v>1512</v>
      </c>
      <c r="Q30" s="3">
        <f t="shared" si="0"/>
        <v>398.45</v>
      </c>
    </row>
    <row r="31" spans="1:19" ht="29" x14ac:dyDescent="0.35">
      <c r="A31" t="s">
        <v>35</v>
      </c>
      <c r="B31" t="s">
        <v>969</v>
      </c>
      <c r="C31" t="s">
        <v>36</v>
      </c>
      <c r="D31" s="3" t="s">
        <v>37</v>
      </c>
      <c r="E31">
        <v>369.1</v>
      </c>
      <c r="F31" t="s">
        <v>88</v>
      </c>
      <c r="G31" s="19">
        <v>45594</v>
      </c>
      <c r="H31" s="55" t="s">
        <v>94</v>
      </c>
      <c r="I31" s="55" t="s">
        <v>1378</v>
      </c>
      <c r="K31" s="55" t="s">
        <v>1381</v>
      </c>
      <c r="O31" t="s">
        <v>1382</v>
      </c>
      <c r="Q31" s="3">
        <f t="shared" si="0"/>
        <v>369.1</v>
      </c>
    </row>
    <row r="32" spans="1:19" ht="29" x14ac:dyDescent="0.35">
      <c r="A32" t="s">
        <v>35</v>
      </c>
      <c r="B32" t="s">
        <v>623</v>
      </c>
      <c r="C32" t="s">
        <v>36</v>
      </c>
      <c r="D32" s="3" t="s">
        <v>37</v>
      </c>
      <c r="E32">
        <v>330</v>
      </c>
      <c r="F32" t="s">
        <v>88</v>
      </c>
      <c r="G32" s="19">
        <v>45386</v>
      </c>
      <c r="H32" s="55" t="s">
        <v>94</v>
      </c>
      <c r="I32" s="55" t="s">
        <v>214</v>
      </c>
      <c r="K32" s="55" t="s">
        <v>1292</v>
      </c>
      <c r="O32" t="s">
        <v>1293</v>
      </c>
      <c r="Q32" s="3">
        <f t="shared" si="0"/>
        <v>330</v>
      </c>
    </row>
    <row r="33" spans="1:17" ht="29" x14ac:dyDescent="0.35">
      <c r="A33" t="s">
        <v>35</v>
      </c>
      <c r="B33" t="s">
        <v>633</v>
      </c>
      <c r="C33" t="s">
        <v>36</v>
      </c>
      <c r="D33" s="3" t="s">
        <v>37</v>
      </c>
      <c r="E33">
        <v>314.2</v>
      </c>
      <c r="F33" t="s">
        <v>88</v>
      </c>
      <c r="G33" s="19">
        <v>45464</v>
      </c>
      <c r="H33" s="55" t="s">
        <v>94</v>
      </c>
      <c r="I33" s="55" t="s">
        <v>243</v>
      </c>
      <c r="K33" s="55" t="s">
        <v>1310</v>
      </c>
      <c r="O33" t="s">
        <v>1311</v>
      </c>
      <c r="Q33" s="3">
        <f t="shared" si="0"/>
        <v>314.2</v>
      </c>
    </row>
    <row r="34" spans="1:17" ht="43.5" x14ac:dyDescent="0.35">
      <c r="A34" t="s">
        <v>35</v>
      </c>
      <c r="B34" t="s">
        <v>1411</v>
      </c>
      <c r="C34" t="s">
        <v>36</v>
      </c>
      <c r="D34" s="3" t="s">
        <v>37</v>
      </c>
      <c r="E34">
        <v>311.35000000000002</v>
      </c>
      <c r="F34" t="s">
        <v>88</v>
      </c>
      <c r="G34" s="19">
        <v>45601</v>
      </c>
      <c r="H34" s="55" t="s">
        <v>89</v>
      </c>
      <c r="I34" s="55" t="s">
        <v>1412</v>
      </c>
      <c r="K34" t="s">
        <v>1413</v>
      </c>
      <c r="L34" t="s">
        <v>1414</v>
      </c>
      <c r="M34" t="s">
        <v>1415</v>
      </c>
      <c r="Q34" s="3">
        <f t="shared" si="0"/>
        <v>311.35000000000002</v>
      </c>
    </row>
    <row r="35" spans="1:17" ht="43.5" x14ac:dyDescent="0.35">
      <c r="A35" t="s">
        <v>35</v>
      </c>
      <c r="B35" t="s">
        <v>728</v>
      </c>
      <c r="C35" t="s">
        <v>36</v>
      </c>
      <c r="D35" s="3" t="s">
        <v>37</v>
      </c>
      <c r="E35">
        <v>303</v>
      </c>
      <c r="F35" t="s">
        <v>88</v>
      </c>
      <c r="G35" s="19">
        <v>45510</v>
      </c>
      <c r="H35" s="55" t="s">
        <v>89</v>
      </c>
      <c r="I35" s="55" t="s">
        <v>1322</v>
      </c>
      <c r="K35" t="s">
        <v>1323</v>
      </c>
      <c r="L35" t="s">
        <v>1324</v>
      </c>
      <c r="M35" t="s">
        <v>1325</v>
      </c>
      <c r="Q35" s="3">
        <f t="shared" si="0"/>
        <v>303</v>
      </c>
    </row>
    <row r="36" spans="1:17" ht="29" x14ac:dyDescent="0.35">
      <c r="A36" t="s">
        <v>35</v>
      </c>
      <c r="B36" t="s">
        <v>623</v>
      </c>
      <c r="C36" t="s">
        <v>36</v>
      </c>
      <c r="D36" s="3" t="s">
        <v>37</v>
      </c>
      <c r="E36">
        <v>290.91000000000003</v>
      </c>
      <c r="F36" t="s">
        <v>88</v>
      </c>
      <c r="G36" s="19">
        <v>45449</v>
      </c>
      <c r="H36" s="55" t="s">
        <v>94</v>
      </c>
      <c r="I36" s="55" t="s">
        <v>1300</v>
      </c>
      <c r="K36" s="55" t="s">
        <v>1301</v>
      </c>
      <c r="O36" t="s">
        <v>1302</v>
      </c>
      <c r="Q36" s="3">
        <f t="shared" si="0"/>
        <v>290.91000000000003</v>
      </c>
    </row>
    <row r="37" spans="1:17" ht="43.5" x14ac:dyDescent="0.35">
      <c r="A37" t="s">
        <v>35</v>
      </c>
      <c r="B37" t="s">
        <v>1416</v>
      </c>
      <c r="C37" t="s">
        <v>36</v>
      </c>
      <c r="D37" s="3" t="s">
        <v>37</v>
      </c>
      <c r="E37">
        <v>283.35000000000002</v>
      </c>
      <c r="F37" t="s">
        <v>88</v>
      </c>
      <c r="G37" s="19">
        <v>45601</v>
      </c>
      <c r="H37" s="55" t="s">
        <v>89</v>
      </c>
      <c r="I37" s="55" t="s">
        <v>1417</v>
      </c>
      <c r="K37" t="s">
        <v>1418</v>
      </c>
      <c r="L37" t="s">
        <v>1419</v>
      </c>
      <c r="M37" t="s">
        <v>1420</v>
      </c>
      <c r="Q37" s="3">
        <f t="shared" si="0"/>
        <v>283.35000000000002</v>
      </c>
    </row>
    <row r="38" spans="1:17" ht="29" x14ac:dyDescent="0.35">
      <c r="A38" t="s">
        <v>35</v>
      </c>
      <c r="B38" t="s">
        <v>633</v>
      </c>
      <c r="C38" t="s">
        <v>36</v>
      </c>
      <c r="D38" s="3" t="s">
        <v>37</v>
      </c>
      <c r="E38">
        <v>266.99</v>
      </c>
      <c r="F38" t="s">
        <v>88</v>
      </c>
      <c r="G38" s="19">
        <v>45464</v>
      </c>
      <c r="H38" s="55" t="s">
        <v>94</v>
      </c>
      <c r="I38" s="55" t="s">
        <v>243</v>
      </c>
      <c r="K38" s="55" t="s">
        <v>1308</v>
      </c>
      <c r="O38" t="s">
        <v>1309</v>
      </c>
      <c r="Q38" s="3">
        <f t="shared" si="0"/>
        <v>266.99</v>
      </c>
    </row>
    <row r="39" spans="1:17" ht="43.5" x14ac:dyDescent="0.35">
      <c r="A39" t="s">
        <v>35</v>
      </c>
      <c r="B39" t="s">
        <v>861</v>
      </c>
      <c r="C39" t="s">
        <v>36</v>
      </c>
      <c r="D39" s="3" t="s">
        <v>37</v>
      </c>
      <c r="E39">
        <v>215.94</v>
      </c>
      <c r="F39" t="s">
        <v>88</v>
      </c>
      <c r="G39" s="19">
        <v>45628</v>
      </c>
      <c r="H39" s="55" t="s">
        <v>94</v>
      </c>
      <c r="I39" s="55" t="s">
        <v>1468</v>
      </c>
      <c r="K39" s="55" t="s">
        <v>1469</v>
      </c>
      <c r="O39" t="s">
        <v>1470</v>
      </c>
      <c r="Q39" s="3">
        <f t="shared" si="0"/>
        <v>215.94</v>
      </c>
    </row>
    <row r="40" spans="1:17" ht="29" x14ac:dyDescent="0.35">
      <c r="A40" t="s">
        <v>35</v>
      </c>
      <c r="B40" t="s">
        <v>861</v>
      </c>
      <c r="C40" t="s">
        <v>36</v>
      </c>
      <c r="D40" s="3" t="s">
        <v>37</v>
      </c>
      <c r="E40">
        <v>208.15</v>
      </c>
      <c r="F40" t="s">
        <v>88</v>
      </c>
      <c r="G40" s="19">
        <v>45628</v>
      </c>
      <c r="H40" s="55" t="s">
        <v>94</v>
      </c>
      <c r="I40" s="55" t="s">
        <v>1465</v>
      </c>
      <c r="K40" s="55" t="s">
        <v>1466</v>
      </c>
      <c r="O40" t="s">
        <v>1467</v>
      </c>
      <c r="Q40" s="3">
        <f t="shared" ref="Q40:Q71" si="1">ABS(E40)</f>
        <v>208.15</v>
      </c>
    </row>
    <row r="41" spans="1:17" ht="43.5" x14ac:dyDescent="0.35">
      <c r="A41" t="s">
        <v>35</v>
      </c>
      <c r="B41" t="s">
        <v>646</v>
      </c>
      <c r="C41" t="s">
        <v>36</v>
      </c>
      <c r="D41" s="3" t="s">
        <v>37</v>
      </c>
      <c r="E41">
        <v>204.55</v>
      </c>
      <c r="F41" t="s">
        <v>88</v>
      </c>
      <c r="G41" s="19">
        <v>45639</v>
      </c>
      <c r="H41" s="55" t="s">
        <v>94</v>
      </c>
      <c r="I41" s="55" t="s">
        <v>379</v>
      </c>
      <c r="K41" s="55" t="s">
        <v>1504</v>
      </c>
      <c r="O41" t="s">
        <v>1505</v>
      </c>
      <c r="Q41" s="3">
        <f t="shared" si="1"/>
        <v>204.55</v>
      </c>
    </row>
    <row r="42" spans="1:17" ht="43.5" x14ac:dyDescent="0.35">
      <c r="A42" t="s">
        <v>35</v>
      </c>
      <c r="B42" t="s">
        <v>646</v>
      </c>
      <c r="C42" t="s">
        <v>36</v>
      </c>
      <c r="D42" s="3" t="s">
        <v>37</v>
      </c>
      <c r="E42">
        <v>204.55</v>
      </c>
      <c r="F42" t="s">
        <v>88</v>
      </c>
      <c r="G42" s="19">
        <v>45639</v>
      </c>
      <c r="H42" s="55" t="s">
        <v>94</v>
      </c>
      <c r="I42" s="55" t="s">
        <v>379</v>
      </c>
      <c r="K42" s="55" t="s">
        <v>1508</v>
      </c>
      <c r="O42" t="s">
        <v>1509</v>
      </c>
      <c r="Q42" s="3">
        <f t="shared" si="1"/>
        <v>204.55</v>
      </c>
    </row>
    <row r="43" spans="1:17" ht="29" x14ac:dyDescent="0.35">
      <c r="A43" t="s">
        <v>35</v>
      </c>
      <c r="B43" t="s">
        <v>703</v>
      </c>
      <c r="C43" t="s">
        <v>36</v>
      </c>
      <c r="D43" s="3" t="s">
        <v>37</v>
      </c>
      <c r="E43">
        <v>202.82</v>
      </c>
      <c r="F43" t="s">
        <v>88</v>
      </c>
      <c r="G43" s="19">
        <v>45558</v>
      </c>
      <c r="H43" s="55" t="s">
        <v>94</v>
      </c>
      <c r="I43" s="55" t="s">
        <v>1348</v>
      </c>
      <c r="K43" s="55" t="s">
        <v>1353</v>
      </c>
      <c r="O43" t="s">
        <v>1354</v>
      </c>
      <c r="Q43" s="3">
        <f t="shared" si="1"/>
        <v>202.82</v>
      </c>
    </row>
    <row r="44" spans="1:17" ht="29" x14ac:dyDescent="0.35">
      <c r="A44" t="s">
        <v>35</v>
      </c>
      <c r="B44" t="s">
        <v>861</v>
      </c>
      <c r="C44" t="s">
        <v>36</v>
      </c>
      <c r="D44" s="3" t="s">
        <v>37</v>
      </c>
      <c r="E44">
        <v>190.09</v>
      </c>
      <c r="F44" t="s">
        <v>88</v>
      </c>
      <c r="G44" s="19">
        <v>45628</v>
      </c>
      <c r="H44" s="55" t="s">
        <v>94</v>
      </c>
      <c r="I44" s="55" t="s">
        <v>1460</v>
      </c>
      <c r="K44" s="55" t="s">
        <v>1463</v>
      </c>
      <c r="O44" t="s">
        <v>1464</v>
      </c>
      <c r="Q44" s="3">
        <f t="shared" si="1"/>
        <v>190.09</v>
      </c>
    </row>
    <row r="45" spans="1:17" ht="29" x14ac:dyDescent="0.35">
      <c r="A45" t="s">
        <v>35</v>
      </c>
      <c r="B45" t="s">
        <v>703</v>
      </c>
      <c r="C45" t="s">
        <v>36</v>
      </c>
      <c r="D45" s="3" t="s">
        <v>37</v>
      </c>
      <c r="E45">
        <v>186.73</v>
      </c>
      <c r="F45" t="s">
        <v>88</v>
      </c>
      <c r="G45" s="19">
        <v>45558</v>
      </c>
      <c r="H45" s="55" t="s">
        <v>94</v>
      </c>
      <c r="I45" s="55" t="s">
        <v>1348</v>
      </c>
      <c r="K45" s="55" t="s">
        <v>1351</v>
      </c>
      <c r="O45" t="s">
        <v>1352</v>
      </c>
      <c r="Q45" s="3">
        <f t="shared" si="1"/>
        <v>186.73</v>
      </c>
    </row>
    <row r="46" spans="1:17" ht="43.5" x14ac:dyDescent="0.35">
      <c r="A46" s="35" t="s">
        <v>35</v>
      </c>
      <c r="B46" s="35" t="s">
        <v>623</v>
      </c>
      <c r="C46" s="35" t="s">
        <v>36</v>
      </c>
      <c r="D46" s="58" t="s">
        <v>37</v>
      </c>
      <c r="E46" s="35">
        <v>174.55</v>
      </c>
      <c r="F46" s="29" t="s">
        <v>88</v>
      </c>
      <c r="G46" s="29">
        <v>45386</v>
      </c>
      <c r="H46" s="59" t="s">
        <v>94</v>
      </c>
      <c r="I46" s="59" t="s">
        <v>1289</v>
      </c>
      <c r="K46" s="59" t="s">
        <v>1288</v>
      </c>
      <c r="L46" s="35"/>
      <c r="M46" s="35"/>
      <c r="N46" s="35"/>
      <c r="O46" s="35" t="s">
        <v>1291</v>
      </c>
      <c r="Q46" s="3">
        <f t="shared" si="1"/>
        <v>174.55</v>
      </c>
    </row>
    <row r="47" spans="1:17" ht="29" x14ac:dyDescent="0.35">
      <c r="A47" t="s">
        <v>35</v>
      </c>
      <c r="B47" t="s">
        <v>1423</v>
      </c>
      <c r="C47" t="s">
        <v>36</v>
      </c>
      <c r="D47" s="3" t="s">
        <v>37</v>
      </c>
      <c r="E47">
        <v>159.09</v>
      </c>
      <c r="F47" t="s">
        <v>88</v>
      </c>
      <c r="G47" s="19">
        <v>45639</v>
      </c>
      <c r="H47" s="55" t="s">
        <v>94</v>
      </c>
      <c r="I47" s="55" t="s">
        <v>1517</v>
      </c>
      <c r="K47" s="55" t="s">
        <v>1519</v>
      </c>
      <c r="O47" t="s">
        <v>1520</v>
      </c>
      <c r="Q47" s="3">
        <f t="shared" si="1"/>
        <v>159.09</v>
      </c>
    </row>
    <row r="48" spans="1:17" ht="29" x14ac:dyDescent="0.35">
      <c r="A48" t="s">
        <v>35</v>
      </c>
      <c r="B48" t="s">
        <v>633</v>
      </c>
      <c r="C48" t="s">
        <v>36</v>
      </c>
      <c r="D48" s="3" t="s">
        <v>37</v>
      </c>
      <c r="E48">
        <v>136.81</v>
      </c>
      <c r="F48" t="s">
        <v>88</v>
      </c>
      <c r="G48" s="19">
        <v>45464</v>
      </c>
      <c r="H48" s="55" t="s">
        <v>94</v>
      </c>
      <c r="I48" s="55" t="s">
        <v>1303</v>
      </c>
      <c r="K48" s="55" t="s">
        <v>1304</v>
      </c>
      <c r="O48" t="s">
        <v>1305</v>
      </c>
      <c r="Q48" s="3">
        <f t="shared" si="1"/>
        <v>136.81</v>
      </c>
    </row>
    <row r="49" spans="1:19" ht="43.5" x14ac:dyDescent="0.35">
      <c r="A49" t="s">
        <v>35</v>
      </c>
      <c r="B49" t="s">
        <v>598</v>
      </c>
      <c r="C49" t="s">
        <v>36</v>
      </c>
      <c r="D49" s="3" t="s">
        <v>37</v>
      </c>
      <c r="E49">
        <v>103.13</v>
      </c>
      <c r="F49" t="s">
        <v>88</v>
      </c>
      <c r="G49" s="19">
        <v>45475</v>
      </c>
      <c r="H49" s="55" t="s">
        <v>89</v>
      </c>
      <c r="I49" s="55" t="s">
        <v>1312</v>
      </c>
      <c r="K49" t="s">
        <v>101</v>
      </c>
      <c r="L49" t="s">
        <v>1313</v>
      </c>
      <c r="Q49" s="3">
        <f t="shared" si="1"/>
        <v>103.13</v>
      </c>
    </row>
    <row r="50" spans="1:19" ht="43.5" x14ac:dyDescent="0.35">
      <c r="A50" t="s">
        <v>35</v>
      </c>
      <c r="B50" t="s">
        <v>1423</v>
      </c>
      <c r="C50" t="s">
        <v>36</v>
      </c>
      <c r="D50" s="3" t="s">
        <v>37</v>
      </c>
      <c r="E50">
        <v>97.63</v>
      </c>
      <c r="F50" t="s">
        <v>88</v>
      </c>
      <c r="G50" s="19">
        <v>45614</v>
      </c>
      <c r="H50" s="55" t="s">
        <v>89</v>
      </c>
      <c r="I50" s="55" t="s">
        <v>1428</v>
      </c>
      <c r="K50" t="s">
        <v>1429</v>
      </c>
      <c r="L50" t="s">
        <v>1430</v>
      </c>
      <c r="Q50" s="3">
        <f t="shared" si="1"/>
        <v>97.63</v>
      </c>
    </row>
    <row r="51" spans="1:19" ht="29" x14ac:dyDescent="0.35">
      <c r="A51" t="s">
        <v>35</v>
      </c>
      <c r="B51" t="s">
        <v>868</v>
      </c>
      <c r="C51" t="s">
        <v>36</v>
      </c>
      <c r="D51" s="3" t="s">
        <v>37</v>
      </c>
      <c r="E51">
        <v>90.91</v>
      </c>
      <c r="F51" t="s">
        <v>88</v>
      </c>
      <c r="G51" s="19">
        <v>45622</v>
      </c>
      <c r="H51" s="55" t="s">
        <v>94</v>
      </c>
      <c r="I51" s="55" t="s">
        <v>1448</v>
      </c>
      <c r="K51" s="55" t="s">
        <v>1449</v>
      </c>
      <c r="O51" t="s">
        <v>1450</v>
      </c>
      <c r="Q51" s="3">
        <f t="shared" si="1"/>
        <v>90.91</v>
      </c>
    </row>
    <row r="52" spans="1:19" ht="29" x14ac:dyDescent="0.35">
      <c r="A52" t="s">
        <v>35</v>
      </c>
      <c r="B52" t="s">
        <v>868</v>
      </c>
      <c r="C52" t="s">
        <v>36</v>
      </c>
      <c r="D52" s="3" t="s">
        <v>37</v>
      </c>
      <c r="E52">
        <v>90.91</v>
      </c>
      <c r="F52" t="s">
        <v>88</v>
      </c>
      <c r="G52" s="19">
        <v>45622</v>
      </c>
      <c r="H52" s="55" t="s">
        <v>94</v>
      </c>
      <c r="I52" s="55" t="s">
        <v>1448</v>
      </c>
      <c r="K52" s="55" t="s">
        <v>1451</v>
      </c>
      <c r="O52" t="s">
        <v>1450</v>
      </c>
      <c r="Q52" s="3">
        <f t="shared" si="1"/>
        <v>90.91</v>
      </c>
    </row>
    <row r="53" spans="1:19" ht="29" x14ac:dyDescent="0.35">
      <c r="A53" t="s">
        <v>35</v>
      </c>
      <c r="B53" t="s">
        <v>868</v>
      </c>
      <c r="C53" t="s">
        <v>36</v>
      </c>
      <c r="D53" s="3" t="s">
        <v>37</v>
      </c>
      <c r="E53">
        <v>-90.91</v>
      </c>
      <c r="F53" t="s">
        <v>88</v>
      </c>
      <c r="G53" s="19">
        <v>45622</v>
      </c>
      <c r="H53" s="55" t="s">
        <v>94</v>
      </c>
      <c r="I53" s="55" t="s">
        <v>1448</v>
      </c>
      <c r="K53" s="55" t="s">
        <v>1452</v>
      </c>
      <c r="O53" t="s">
        <v>1450</v>
      </c>
      <c r="Q53" s="3">
        <f t="shared" si="1"/>
        <v>90.91</v>
      </c>
    </row>
    <row r="54" spans="1:19" ht="29" x14ac:dyDescent="0.35">
      <c r="A54" t="s">
        <v>35</v>
      </c>
      <c r="B54" t="s">
        <v>1075</v>
      </c>
      <c r="C54" t="s">
        <v>36</v>
      </c>
      <c r="D54" s="3" t="s">
        <v>37</v>
      </c>
      <c r="E54">
        <v>90.91</v>
      </c>
      <c r="F54" t="s">
        <v>88</v>
      </c>
      <c r="G54" s="19">
        <v>45624</v>
      </c>
      <c r="H54" s="55" t="s">
        <v>94</v>
      </c>
      <c r="I54" s="55" t="s">
        <v>1454</v>
      </c>
      <c r="K54" s="55" t="s">
        <v>1455</v>
      </c>
      <c r="O54" t="s">
        <v>1450</v>
      </c>
      <c r="Q54" s="3">
        <f t="shared" si="1"/>
        <v>90.91</v>
      </c>
    </row>
    <row r="55" spans="1:19" ht="29" x14ac:dyDescent="0.35">
      <c r="A55" t="s">
        <v>35</v>
      </c>
      <c r="B55" t="s">
        <v>1075</v>
      </c>
      <c r="C55" t="s">
        <v>36</v>
      </c>
      <c r="D55" s="3" t="s">
        <v>37</v>
      </c>
      <c r="E55">
        <v>90.91</v>
      </c>
      <c r="F55" t="s">
        <v>88</v>
      </c>
      <c r="G55" s="19">
        <v>45624</v>
      </c>
      <c r="H55" s="55" t="s">
        <v>94</v>
      </c>
      <c r="I55" s="55" t="s">
        <v>1454</v>
      </c>
      <c r="K55" s="55" t="s">
        <v>1456</v>
      </c>
      <c r="O55" t="s">
        <v>1450</v>
      </c>
      <c r="Q55" s="3">
        <f t="shared" si="1"/>
        <v>90.91</v>
      </c>
    </row>
    <row r="56" spans="1:19" ht="29" x14ac:dyDescent="0.35">
      <c r="A56" t="s">
        <v>35</v>
      </c>
      <c r="B56" t="s">
        <v>1423</v>
      </c>
      <c r="C56" t="s">
        <v>36</v>
      </c>
      <c r="D56" s="3" t="s">
        <v>37</v>
      </c>
      <c r="E56">
        <v>90.91</v>
      </c>
      <c r="F56" t="s">
        <v>88</v>
      </c>
      <c r="G56" s="19">
        <v>45639</v>
      </c>
      <c r="H56" s="55" t="s">
        <v>94</v>
      </c>
      <c r="I56" s="55" t="s">
        <v>1521</v>
      </c>
      <c r="K56" s="55" t="s">
        <v>1523</v>
      </c>
      <c r="O56" t="s">
        <v>1450</v>
      </c>
      <c r="Q56" s="3">
        <f t="shared" si="1"/>
        <v>90.91</v>
      </c>
    </row>
    <row r="57" spans="1:19" ht="43.5" x14ac:dyDescent="0.35">
      <c r="A57" t="s">
        <v>35</v>
      </c>
      <c r="B57" t="s">
        <v>708</v>
      </c>
      <c r="C57" t="s">
        <v>36</v>
      </c>
      <c r="D57" s="3" t="s">
        <v>37</v>
      </c>
      <c r="E57">
        <v>83.66</v>
      </c>
      <c r="F57" t="s">
        <v>88</v>
      </c>
      <c r="G57" s="19">
        <v>45618</v>
      </c>
      <c r="H57" s="55" t="s">
        <v>89</v>
      </c>
      <c r="I57" s="55" t="s">
        <v>1441</v>
      </c>
      <c r="K57" t="s">
        <v>1445</v>
      </c>
      <c r="L57" t="s">
        <v>1443</v>
      </c>
      <c r="M57" t="s">
        <v>1444</v>
      </c>
      <c r="Q57" s="3">
        <f t="shared" si="1"/>
        <v>83.66</v>
      </c>
    </row>
    <row r="58" spans="1:19" ht="29" x14ac:dyDescent="0.35">
      <c r="A58" t="s">
        <v>35</v>
      </c>
      <c r="B58" t="s">
        <v>1423</v>
      </c>
      <c r="C58" t="s">
        <v>36</v>
      </c>
      <c r="D58" s="3" t="s">
        <v>37</v>
      </c>
      <c r="E58">
        <v>79.27</v>
      </c>
      <c r="F58" t="s">
        <v>88</v>
      </c>
      <c r="G58" s="19">
        <v>45639</v>
      </c>
      <c r="H58" s="55" t="s">
        <v>94</v>
      </c>
      <c r="I58" s="55" t="s">
        <v>1521</v>
      </c>
      <c r="K58" s="55" t="s">
        <v>1525</v>
      </c>
      <c r="O58" t="s">
        <v>1526</v>
      </c>
      <c r="Q58" s="3">
        <f t="shared" si="1"/>
        <v>79.27</v>
      </c>
    </row>
    <row r="59" spans="1:19" ht="29" x14ac:dyDescent="0.35">
      <c r="A59" t="s">
        <v>35</v>
      </c>
      <c r="B59" t="s">
        <v>598</v>
      </c>
      <c r="C59" t="s">
        <v>36</v>
      </c>
      <c r="D59" s="3" t="s">
        <v>37</v>
      </c>
      <c r="E59">
        <v>74.08</v>
      </c>
      <c r="F59" t="s">
        <v>88</v>
      </c>
      <c r="G59" s="19">
        <v>45586</v>
      </c>
      <c r="H59" s="55" t="s">
        <v>94</v>
      </c>
      <c r="I59" s="55" t="s">
        <v>1366</v>
      </c>
      <c r="K59" s="55" t="s">
        <v>1367</v>
      </c>
      <c r="O59" t="s">
        <v>1368</v>
      </c>
      <c r="Q59" s="3">
        <f t="shared" si="1"/>
        <v>74.08</v>
      </c>
    </row>
    <row r="60" spans="1:19" ht="43.5" x14ac:dyDescent="0.35">
      <c r="A60" t="s">
        <v>35</v>
      </c>
      <c r="B60" t="s">
        <v>708</v>
      </c>
      <c r="C60" t="s">
        <v>36</v>
      </c>
      <c r="D60" s="3" t="s">
        <v>37</v>
      </c>
      <c r="E60">
        <v>72.83</v>
      </c>
      <c r="F60" t="s">
        <v>88</v>
      </c>
      <c r="G60" s="19">
        <v>45618</v>
      </c>
      <c r="H60" s="55" t="s">
        <v>89</v>
      </c>
      <c r="I60" s="55" t="s">
        <v>1436</v>
      </c>
      <c r="K60" t="s">
        <v>1437</v>
      </c>
      <c r="L60" t="s">
        <v>1438</v>
      </c>
      <c r="M60" t="s">
        <v>1439</v>
      </c>
      <c r="Q60" s="3">
        <f t="shared" si="1"/>
        <v>72.83</v>
      </c>
    </row>
    <row r="61" spans="1:19" ht="29" x14ac:dyDescent="0.35">
      <c r="A61" t="s">
        <v>35</v>
      </c>
      <c r="B61" t="s">
        <v>677</v>
      </c>
      <c r="C61" t="s">
        <v>36</v>
      </c>
      <c r="D61" s="3" t="s">
        <v>37</v>
      </c>
      <c r="E61">
        <v>71.819999999999993</v>
      </c>
      <c r="F61" t="s">
        <v>88</v>
      </c>
      <c r="G61" s="19">
        <v>45639</v>
      </c>
      <c r="H61" s="55" t="s">
        <v>94</v>
      </c>
      <c r="I61" s="55" t="s">
        <v>1501</v>
      </c>
      <c r="K61" s="55" t="s">
        <v>1502</v>
      </c>
      <c r="O61" t="s">
        <v>1503</v>
      </c>
      <c r="Q61" s="3">
        <f t="shared" si="1"/>
        <v>71.819999999999993</v>
      </c>
    </row>
    <row r="62" spans="1:19" ht="43.5" x14ac:dyDescent="0.35">
      <c r="A62" t="s">
        <v>35</v>
      </c>
      <c r="B62" t="s">
        <v>1069</v>
      </c>
      <c r="C62" t="s">
        <v>36</v>
      </c>
      <c r="D62" s="3" t="s">
        <v>37</v>
      </c>
      <c r="E62">
        <v>66.709999999999994</v>
      </c>
      <c r="F62" t="s">
        <v>88</v>
      </c>
      <c r="G62" s="19">
        <v>45629</v>
      </c>
      <c r="H62" s="55" t="s">
        <v>89</v>
      </c>
      <c r="I62" s="55" t="s">
        <v>1475</v>
      </c>
      <c r="K62" t="s">
        <v>1476</v>
      </c>
      <c r="L62" t="s">
        <v>1477</v>
      </c>
      <c r="M62" t="s">
        <v>1478</v>
      </c>
      <c r="Q62" s="3">
        <f t="shared" si="1"/>
        <v>66.709999999999994</v>
      </c>
      <c r="S62" s="56" t="s">
        <v>1538</v>
      </c>
    </row>
    <row r="63" spans="1:19" ht="29" x14ac:dyDescent="0.35">
      <c r="A63" t="s">
        <v>35</v>
      </c>
      <c r="B63" t="s">
        <v>599</v>
      </c>
      <c r="C63" t="s">
        <v>36</v>
      </c>
      <c r="D63" s="3" t="s">
        <v>37</v>
      </c>
      <c r="E63">
        <v>62.5</v>
      </c>
      <c r="F63" t="s">
        <v>88</v>
      </c>
      <c r="G63" s="19">
        <v>45645</v>
      </c>
      <c r="H63" s="55" t="s">
        <v>94</v>
      </c>
      <c r="I63" s="55" t="s">
        <v>104</v>
      </c>
      <c r="K63" s="55" t="s">
        <v>1531</v>
      </c>
      <c r="O63" t="s">
        <v>1532</v>
      </c>
      <c r="Q63" s="3">
        <f t="shared" si="1"/>
        <v>62.5</v>
      </c>
    </row>
    <row r="64" spans="1:19" ht="29" x14ac:dyDescent="0.35">
      <c r="A64" t="s">
        <v>35</v>
      </c>
      <c r="B64" t="s">
        <v>1487</v>
      </c>
      <c r="C64" t="s">
        <v>36</v>
      </c>
      <c r="D64" s="3" t="s">
        <v>37</v>
      </c>
      <c r="E64">
        <v>59.09</v>
      </c>
      <c r="F64" t="s">
        <v>88</v>
      </c>
      <c r="G64" s="19">
        <v>45631</v>
      </c>
      <c r="H64" s="55" t="s">
        <v>94</v>
      </c>
      <c r="I64" s="55" t="s">
        <v>1488</v>
      </c>
      <c r="K64" s="55" t="s">
        <v>1489</v>
      </c>
      <c r="O64" t="s">
        <v>1490</v>
      </c>
      <c r="Q64" s="3">
        <f t="shared" si="1"/>
        <v>59.09</v>
      </c>
    </row>
    <row r="65" spans="1:22" ht="29" x14ac:dyDescent="0.35">
      <c r="A65" t="s">
        <v>35</v>
      </c>
      <c r="B65" t="s">
        <v>598</v>
      </c>
      <c r="C65" t="s">
        <v>36</v>
      </c>
      <c r="D65" s="3" t="s">
        <v>37</v>
      </c>
      <c r="E65">
        <v>54.39</v>
      </c>
      <c r="F65" t="s">
        <v>88</v>
      </c>
      <c r="G65" s="19">
        <v>45588</v>
      </c>
      <c r="H65" s="55" t="s">
        <v>94</v>
      </c>
      <c r="I65" s="55" t="s">
        <v>1366</v>
      </c>
      <c r="K65" s="55" t="s">
        <v>1373</v>
      </c>
      <c r="O65" t="s">
        <v>1374</v>
      </c>
      <c r="Q65" s="3">
        <f t="shared" si="1"/>
        <v>54.39</v>
      </c>
    </row>
    <row r="66" spans="1:22" ht="29" x14ac:dyDescent="0.35">
      <c r="A66" t="s">
        <v>35</v>
      </c>
      <c r="B66" t="s">
        <v>1480</v>
      </c>
      <c r="C66" t="s">
        <v>36</v>
      </c>
      <c r="D66" s="3" t="s">
        <v>37</v>
      </c>
      <c r="E66">
        <v>50</v>
      </c>
      <c r="F66" t="s">
        <v>88</v>
      </c>
      <c r="G66" s="19">
        <v>45630</v>
      </c>
      <c r="H66" s="55" t="s">
        <v>94</v>
      </c>
      <c r="I66" s="55" t="s">
        <v>1481</v>
      </c>
      <c r="K66" s="55" t="s">
        <v>1482</v>
      </c>
      <c r="O66" t="s">
        <v>1483</v>
      </c>
      <c r="Q66" s="3">
        <f t="shared" si="1"/>
        <v>50</v>
      </c>
    </row>
    <row r="67" spans="1:22" ht="29" x14ac:dyDescent="0.35">
      <c r="A67" t="s">
        <v>35</v>
      </c>
      <c r="B67" t="s">
        <v>599</v>
      </c>
      <c r="C67" t="s">
        <v>36</v>
      </c>
      <c r="D67" s="3" t="s">
        <v>37</v>
      </c>
      <c r="E67">
        <v>50</v>
      </c>
      <c r="F67" t="s">
        <v>88</v>
      </c>
      <c r="G67" s="19">
        <v>45645</v>
      </c>
      <c r="H67" s="55" t="s">
        <v>94</v>
      </c>
      <c r="I67" s="55" t="s">
        <v>104</v>
      </c>
      <c r="K67" s="55" t="s">
        <v>1529</v>
      </c>
      <c r="O67" t="s">
        <v>1530</v>
      </c>
      <c r="Q67" s="3">
        <f t="shared" si="1"/>
        <v>50</v>
      </c>
    </row>
    <row r="68" spans="1:22" ht="43.5" x14ac:dyDescent="0.35">
      <c r="A68" t="s">
        <v>35</v>
      </c>
      <c r="B68" t="s">
        <v>1431</v>
      </c>
      <c r="C68" t="s">
        <v>36</v>
      </c>
      <c r="D68" s="3" t="s">
        <v>37</v>
      </c>
      <c r="E68">
        <v>46.18</v>
      </c>
      <c r="F68" t="s">
        <v>88</v>
      </c>
      <c r="G68" s="19">
        <v>45617</v>
      </c>
      <c r="H68" s="55" t="s">
        <v>89</v>
      </c>
      <c r="I68" s="55" t="s">
        <v>1432</v>
      </c>
      <c r="K68" t="s">
        <v>1433</v>
      </c>
      <c r="L68" t="s">
        <v>1434</v>
      </c>
      <c r="M68" t="s">
        <v>1435</v>
      </c>
      <c r="Q68" s="3">
        <f t="shared" si="1"/>
        <v>46.18</v>
      </c>
    </row>
    <row r="69" spans="1:22" ht="29" x14ac:dyDescent="0.35">
      <c r="A69" t="s">
        <v>35</v>
      </c>
      <c r="B69" t="s">
        <v>598</v>
      </c>
      <c r="C69" t="s">
        <v>36</v>
      </c>
      <c r="D69" s="3" t="s">
        <v>37</v>
      </c>
      <c r="E69">
        <v>41.92</v>
      </c>
      <c r="F69" t="s">
        <v>88</v>
      </c>
      <c r="G69" s="19">
        <v>45590</v>
      </c>
      <c r="H69" s="55" t="s">
        <v>94</v>
      </c>
      <c r="I69" s="55" t="s">
        <v>1375</v>
      </c>
      <c r="K69" s="55" t="s">
        <v>1376</v>
      </c>
      <c r="O69" t="s">
        <v>1377</v>
      </c>
      <c r="Q69" s="3">
        <f t="shared" si="1"/>
        <v>41.92</v>
      </c>
    </row>
    <row r="70" spans="1:22" ht="29" x14ac:dyDescent="0.35">
      <c r="A70" t="s">
        <v>35</v>
      </c>
      <c r="B70" t="s">
        <v>868</v>
      </c>
      <c r="C70" t="s">
        <v>36</v>
      </c>
      <c r="D70" s="3" t="s">
        <v>37</v>
      </c>
      <c r="E70">
        <v>-39.549999999999997</v>
      </c>
      <c r="F70" t="s">
        <v>88</v>
      </c>
      <c r="G70" s="19">
        <v>45622</v>
      </c>
      <c r="H70" s="55" t="s">
        <v>94</v>
      </c>
      <c r="I70" s="55" t="s">
        <v>1448</v>
      </c>
      <c r="K70" s="55" t="s">
        <v>1453</v>
      </c>
      <c r="O70" t="s">
        <v>1450</v>
      </c>
      <c r="Q70" s="3">
        <f t="shared" si="1"/>
        <v>39.549999999999997</v>
      </c>
    </row>
    <row r="71" spans="1:22" ht="29" x14ac:dyDescent="0.35">
      <c r="A71" t="s">
        <v>35</v>
      </c>
      <c r="B71" t="s">
        <v>1423</v>
      </c>
      <c r="C71" t="s">
        <v>36</v>
      </c>
      <c r="D71" s="3" t="s">
        <v>37</v>
      </c>
      <c r="E71">
        <v>39.549999999999997</v>
      </c>
      <c r="F71" t="s">
        <v>88</v>
      </c>
      <c r="G71" s="19">
        <v>45639</v>
      </c>
      <c r="H71" s="55" t="s">
        <v>94</v>
      </c>
      <c r="I71" s="55" t="s">
        <v>1521</v>
      </c>
      <c r="K71" s="55" t="s">
        <v>1522</v>
      </c>
      <c r="O71" t="s">
        <v>1450</v>
      </c>
      <c r="Q71" s="3">
        <f t="shared" si="1"/>
        <v>39.549999999999997</v>
      </c>
    </row>
    <row r="72" spans="1:22" ht="43.5" x14ac:dyDescent="0.35">
      <c r="A72" t="s">
        <v>35</v>
      </c>
      <c r="B72" t="s">
        <v>708</v>
      </c>
      <c r="C72" t="s">
        <v>36</v>
      </c>
      <c r="D72" s="3" t="s">
        <v>37</v>
      </c>
      <c r="E72">
        <v>38.770000000000003</v>
      </c>
      <c r="F72" t="s">
        <v>88</v>
      </c>
      <c r="G72" s="19">
        <v>45618</v>
      </c>
      <c r="H72" s="55" t="s">
        <v>89</v>
      </c>
      <c r="I72" s="55" t="s">
        <v>1441</v>
      </c>
      <c r="K72" t="s">
        <v>1442</v>
      </c>
      <c r="L72" t="s">
        <v>1443</v>
      </c>
      <c r="M72" t="s">
        <v>1444</v>
      </c>
      <c r="Q72" s="3">
        <f t="shared" ref="Q72:Q108" si="2">ABS(E72)</f>
        <v>38.770000000000003</v>
      </c>
    </row>
    <row r="73" spans="1:22" ht="29" x14ac:dyDescent="0.35">
      <c r="A73" t="s">
        <v>35</v>
      </c>
      <c r="B73" t="s">
        <v>969</v>
      </c>
      <c r="C73" t="s">
        <v>36</v>
      </c>
      <c r="D73" s="3" t="s">
        <v>37</v>
      </c>
      <c r="E73">
        <v>38.68</v>
      </c>
      <c r="F73" t="s">
        <v>88</v>
      </c>
      <c r="G73" s="19">
        <v>45594</v>
      </c>
      <c r="H73" s="55" t="s">
        <v>94</v>
      </c>
      <c r="I73" s="55" t="s">
        <v>1394</v>
      </c>
      <c r="K73" s="55" t="s">
        <v>1395</v>
      </c>
      <c r="O73" t="s">
        <v>1222</v>
      </c>
      <c r="Q73" s="3">
        <f t="shared" si="2"/>
        <v>38.68</v>
      </c>
      <c r="S73" s="56" t="s">
        <v>1538</v>
      </c>
    </row>
    <row r="74" spans="1:22" ht="43.5" x14ac:dyDescent="0.35">
      <c r="A74" t="s">
        <v>35</v>
      </c>
      <c r="B74" t="s">
        <v>598</v>
      </c>
      <c r="C74" t="s">
        <v>36</v>
      </c>
      <c r="D74" s="3" t="s">
        <v>37</v>
      </c>
      <c r="E74">
        <v>38.200000000000003</v>
      </c>
      <c r="F74" t="s">
        <v>88</v>
      </c>
      <c r="G74" s="19">
        <v>45520</v>
      </c>
      <c r="H74" s="55" t="s">
        <v>89</v>
      </c>
      <c r="I74" s="55" t="s">
        <v>1326</v>
      </c>
      <c r="K74" t="s">
        <v>1327</v>
      </c>
      <c r="L74" t="s">
        <v>1328</v>
      </c>
      <c r="M74" t="s">
        <v>1100</v>
      </c>
      <c r="Q74" s="3">
        <f t="shared" si="2"/>
        <v>38.200000000000003</v>
      </c>
      <c r="S74" s="56" t="s">
        <v>1287</v>
      </c>
    </row>
    <row r="75" spans="1:22" ht="29" x14ac:dyDescent="0.35">
      <c r="A75" t="s">
        <v>35</v>
      </c>
      <c r="B75" t="s">
        <v>969</v>
      </c>
      <c r="C75" t="s">
        <v>36</v>
      </c>
      <c r="D75" s="3" t="s">
        <v>37</v>
      </c>
      <c r="E75">
        <v>37.96</v>
      </c>
      <c r="F75" t="s">
        <v>88</v>
      </c>
      <c r="G75" s="19">
        <v>45594</v>
      </c>
      <c r="H75" s="55" t="s">
        <v>94</v>
      </c>
      <c r="I75" s="55" t="s">
        <v>1386</v>
      </c>
      <c r="K75" s="55" t="s">
        <v>1389</v>
      </c>
      <c r="O75" t="s">
        <v>1390</v>
      </c>
      <c r="Q75" s="3">
        <f t="shared" si="2"/>
        <v>37.96</v>
      </c>
      <c r="S75" s="56" t="s">
        <v>1538</v>
      </c>
    </row>
    <row r="76" spans="1:22" ht="29" x14ac:dyDescent="0.35">
      <c r="A76" t="s">
        <v>35</v>
      </c>
      <c r="B76" t="s">
        <v>598</v>
      </c>
      <c r="C76" t="s">
        <v>36</v>
      </c>
      <c r="D76" s="3" t="s">
        <v>37</v>
      </c>
      <c r="E76">
        <v>37.83</v>
      </c>
      <c r="F76" t="s">
        <v>88</v>
      </c>
      <c r="G76" s="19">
        <v>45586</v>
      </c>
      <c r="H76" s="55" t="s">
        <v>94</v>
      </c>
      <c r="I76" s="55" t="s">
        <v>1366</v>
      </c>
      <c r="K76" s="55" t="s">
        <v>1369</v>
      </c>
      <c r="O76" t="s">
        <v>1370</v>
      </c>
      <c r="Q76" s="3">
        <f t="shared" si="2"/>
        <v>37.83</v>
      </c>
    </row>
    <row r="77" spans="1:22" ht="29" x14ac:dyDescent="0.35">
      <c r="A77" t="s">
        <v>35</v>
      </c>
      <c r="B77" t="s">
        <v>598</v>
      </c>
      <c r="C77" t="s">
        <v>36</v>
      </c>
      <c r="D77" s="3" t="s">
        <v>37</v>
      </c>
      <c r="E77">
        <v>37.450000000000003</v>
      </c>
      <c r="F77" t="s">
        <v>88</v>
      </c>
      <c r="G77" s="19">
        <v>45588</v>
      </c>
      <c r="H77" s="55" t="s">
        <v>94</v>
      </c>
      <c r="I77" s="55" t="s">
        <v>1366</v>
      </c>
      <c r="K77" s="55" t="s">
        <v>1371</v>
      </c>
      <c r="O77" t="s">
        <v>1372</v>
      </c>
      <c r="Q77" s="3">
        <f t="shared" si="2"/>
        <v>37.450000000000003</v>
      </c>
    </row>
    <row r="78" spans="1:22" ht="43.5" x14ac:dyDescent="0.35">
      <c r="A78" t="s">
        <v>35</v>
      </c>
      <c r="B78" t="s">
        <v>708</v>
      </c>
      <c r="C78" t="s">
        <v>36</v>
      </c>
      <c r="D78" s="3" t="s">
        <v>37</v>
      </c>
      <c r="E78">
        <v>36.340000000000003</v>
      </c>
      <c r="F78" t="s">
        <v>88</v>
      </c>
      <c r="G78" s="19">
        <v>45618</v>
      </c>
      <c r="H78" s="55" t="s">
        <v>89</v>
      </c>
      <c r="I78" s="55" t="s">
        <v>1436</v>
      </c>
      <c r="K78" t="s">
        <v>1440</v>
      </c>
      <c r="L78" t="s">
        <v>1438</v>
      </c>
      <c r="Q78" s="3">
        <f t="shared" si="2"/>
        <v>36.340000000000003</v>
      </c>
    </row>
    <row r="79" spans="1:22" ht="29" x14ac:dyDescent="0.35">
      <c r="A79" t="s">
        <v>35</v>
      </c>
      <c r="B79" t="s">
        <v>790</v>
      </c>
      <c r="C79" t="s">
        <v>36</v>
      </c>
      <c r="D79" s="3" t="s">
        <v>37</v>
      </c>
      <c r="E79">
        <v>35.880000000000003</v>
      </c>
      <c r="F79" t="s">
        <v>88</v>
      </c>
      <c r="G79" s="19">
        <v>45545</v>
      </c>
      <c r="H79" s="55" t="s">
        <v>94</v>
      </c>
      <c r="I79" s="55" t="s">
        <v>1334</v>
      </c>
      <c r="K79" s="55" t="s">
        <v>1335</v>
      </c>
      <c r="O79" t="s">
        <v>1336</v>
      </c>
      <c r="Q79" s="3">
        <f t="shared" si="2"/>
        <v>35.880000000000003</v>
      </c>
      <c r="S79" s="56" t="s">
        <v>53</v>
      </c>
      <c r="T79" t="s">
        <v>64</v>
      </c>
      <c r="U79" t="str">
        <f>B79</f>
        <v>AU036742</v>
      </c>
      <c r="V79">
        <f>E79</f>
        <v>35.880000000000003</v>
      </c>
    </row>
    <row r="80" spans="1:22" ht="43.5" x14ac:dyDescent="0.35">
      <c r="A80" t="s">
        <v>35</v>
      </c>
      <c r="B80" t="s">
        <v>598</v>
      </c>
      <c r="C80" t="s">
        <v>36</v>
      </c>
      <c r="D80" s="3" t="s">
        <v>37</v>
      </c>
      <c r="E80">
        <v>35.25</v>
      </c>
      <c r="F80" t="s">
        <v>88</v>
      </c>
      <c r="G80" s="19">
        <v>45520</v>
      </c>
      <c r="H80" s="55" t="s">
        <v>89</v>
      </c>
      <c r="I80" s="55" t="s">
        <v>1326</v>
      </c>
      <c r="K80" t="s">
        <v>1329</v>
      </c>
      <c r="L80" t="s">
        <v>1328</v>
      </c>
      <c r="M80" t="s">
        <v>1100</v>
      </c>
      <c r="Q80" s="3">
        <f t="shared" si="2"/>
        <v>35.25</v>
      </c>
      <c r="S80" s="56" t="s">
        <v>1287</v>
      </c>
    </row>
    <row r="81" spans="1:19" ht="29" x14ac:dyDescent="0.35">
      <c r="A81" t="s">
        <v>35</v>
      </c>
      <c r="B81" t="s">
        <v>1423</v>
      </c>
      <c r="C81" t="s">
        <v>36</v>
      </c>
      <c r="D81" s="3" t="s">
        <v>37</v>
      </c>
      <c r="E81">
        <v>35</v>
      </c>
      <c r="F81" t="s">
        <v>88</v>
      </c>
      <c r="G81" s="19">
        <v>45639</v>
      </c>
      <c r="H81" s="55" t="s">
        <v>94</v>
      </c>
      <c r="I81" s="55" t="s">
        <v>1510</v>
      </c>
      <c r="K81" s="55" t="s">
        <v>1515</v>
      </c>
      <c r="O81" t="s">
        <v>1516</v>
      </c>
      <c r="Q81" s="3">
        <f t="shared" si="2"/>
        <v>35</v>
      </c>
    </row>
    <row r="82" spans="1:19" ht="29" x14ac:dyDescent="0.35">
      <c r="A82" t="s">
        <v>35</v>
      </c>
      <c r="B82" t="s">
        <v>599</v>
      </c>
      <c r="C82" t="s">
        <v>36</v>
      </c>
      <c r="D82" s="3" t="s">
        <v>37</v>
      </c>
      <c r="E82">
        <v>32.770000000000003</v>
      </c>
      <c r="F82" t="s">
        <v>88</v>
      </c>
      <c r="G82" s="19">
        <v>45645</v>
      </c>
      <c r="H82" s="55" t="s">
        <v>94</v>
      </c>
      <c r="I82" s="55" t="s">
        <v>104</v>
      </c>
      <c r="K82" s="55" t="s">
        <v>1527</v>
      </c>
      <c r="O82" t="s">
        <v>1528</v>
      </c>
      <c r="Q82" s="3">
        <f t="shared" si="2"/>
        <v>32.770000000000003</v>
      </c>
    </row>
    <row r="83" spans="1:19" ht="29" x14ac:dyDescent="0.35">
      <c r="A83" t="s">
        <v>35</v>
      </c>
      <c r="B83" t="s">
        <v>969</v>
      </c>
      <c r="C83" t="s">
        <v>36</v>
      </c>
      <c r="D83" s="3" t="s">
        <v>37</v>
      </c>
      <c r="E83">
        <v>32.729999999999997</v>
      </c>
      <c r="F83" t="s">
        <v>88</v>
      </c>
      <c r="G83" s="19">
        <v>45594</v>
      </c>
      <c r="H83" s="55" t="s">
        <v>94</v>
      </c>
      <c r="I83" s="55" t="s">
        <v>1383</v>
      </c>
      <c r="K83" s="55" t="s">
        <v>1384</v>
      </c>
      <c r="O83" t="s">
        <v>1385</v>
      </c>
      <c r="Q83" s="3">
        <f t="shared" si="2"/>
        <v>32.729999999999997</v>
      </c>
      <c r="S83" s="56" t="s">
        <v>1539</v>
      </c>
    </row>
    <row r="84" spans="1:19" ht="43.5" x14ac:dyDescent="0.35">
      <c r="A84" t="s">
        <v>35</v>
      </c>
      <c r="B84" t="s">
        <v>868</v>
      </c>
      <c r="C84" t="s">
        <v>36</v>
      </c>
      <c r="D84" s="3" t="s">
        <v>37</v>
      </c>
      <c r="E84">
        <v>32.729999999999997</v>
      </c>
      <c r="F84" t="s">
        <v>88</v>
      </c>
      <c r="G84" s="19">
        <v>45622</v>
      </c>
      <c r="H84" s="55" t="s">
        <v>94</v>
      </c>
      <c r="I84" s="55" t="s">
        <v>1446</v>
      </c>
      <c r="K84" s="55" t="s">
        <v>1447</v>
      </c>
      <c r="O84" t="s">
        <v>1385</v>
      </c>
      <c r="Q84" s="3">
        <f t="shared" si="2"/>
        <v>32.729999999999997</v>
      </c>
    </row>
    <row r="85" spans="1:19" ht="29" x14ac:dyDescent="0.35">
      <c r="A85" t="s">
        <v>35</v>
      </c>
      <c r="B85" t="s">
        <v>861</v>
      </c>
      <c r="C85" t="s">
        <v>36</v>
      </c>
      <c r="D85" s="3" t="s">
        <v>37</v>
      </c>
      <c r="E85">
        <v>32.729999999999997</v>
      </c>
      <c r="F85" t="s">
        <v>88</v>
      </c>
      <c r="G85" s="19">
        <v>45625</v>
      </c>
      <c r="H85" s="55" t="s">
        <v>94</v>
      </c>
      <c r="I85" s="55" t="s">
        <v>1458</v>
      </c>
      <c r="K85" s="55" t="s">
        <v>1459</v>
      </c>
      <c r="O85" t="s">
        <v>1385</v>
      </c>
      <c r="Q85" s="3">
        <f t="shared" si="2"/>
        <v>32.729999999999997</v>
      </c>
    </row>
    <row r="86" spans="1:19" ht="29" x14ac:dyDescent="0.35">
      <c r="A86" t="s">
        <v>35</v>
      </c>
      <c r="B86" t="s">
        <v>1423</v>
      </c>
      <c r="C86" t="s">
        <v>36</v>
      </c>
      <c r="D86" s="3" t="s">
        <v>37</v>
      </c>
      <c r="E86">
        <v>32.729999999999997</v>
      </c>
      <c r="F86" t="s">
        <v>88</v>
      </c>
      <c r="G86" s="19">
        <v>45639</v>
      </c>
      <c r="H86" s="55" t="s">
        <v>94</v>
      </c>
      <c r="I86" s="55" t="s">
        <v>1517</v>
      </c>
      <c r="K86" s="55" t="s">
        <v>1518</v>
      </c>
      <c r="O86" t="s">
        <v>1385</v>
      </c>
      <c r="Q86" s="3">
        <f t="shared" si="2"/>
        <v>32.729999999999997</v>
      </c>
    </row>
    <row r="87" spans="1:19" ht="43.5" x14ac:dyDescent="0.35">
      <c r="A87" t="s">
        <v>35</v>
      </c>
      <c r="B87" t="s">
        <v>633</v>
      </c>
      <c r="C87" t="s">
        <v>36</v>
      </c>
      <c r="D87" s="3" t="s">
        <v>37</v>
      </c>
      <c r="E87">
        <v>30.3</v>
      </c>
      <c r="F87" t="s">
        <v>88</v>
      </c>
      <c r="G87" s="19">
        <v>45629</v>
      </c>
      <c r="H87" s="55" t="s">
        <v>89</v>
      </c>
      <c r="I87" s="55" t="s">
        <v>1471</v>
      </c>
      <c r="K87" t="s">
        <v>1472</v>
      </c>
      <c r="L87" t="s">
        <v>1473</v>
      </c>
      <c r="M87" t="s">
        <v>1474</v>
      </c>
      <c r="Q87" s="3">
        <f t="shared" si="2"/>
        <v>30.3</v>
      </c>
      <c r="S87" s="56" t="s">
        <v>1538</v>
      </c>
    </row>
    <row r="88" spans="1:19" ht="43.5" x14ac:dyDescent="0.35">
      <c r="A88" t="s">
        <v>35</v>
      </c>
      <c r="B88" t="s">
        <v>598</v>
      </c>
      <c r="C88" t="s">
        <v>36</v>
      </c>
      <c r="D88" s="3" t="s">
        <v>37</v>
      </c>
      <c r="E88">
        <v>29.69</v>
      </c>
      <c r="F88" t="s">
        <v>88</v>
      </c>
      <c r="G88" s="19">
        <v>45520</v>
      </c>
      <c r="H88" s="55" t="s">
        <v>89</v>
      </c>
      <c r="I88" s="55" t="s">
        <v>1326</v>
      </c>
      <c r="K88" t="s">
        <v>1330</v>
      </c>
      <c r="L88" t="s">
        <v>1328</v>
      </c>
      <c r="M88" t="s">
        <v>1100</v>
      </c>
      <c r="Q88" s="3">
        <f t="shared" si="2"/>
        <v>29.69</v>
      </c>
      <c r="S88" s="56" t="s">
        <v>1287</v>
      </c>
    </row>
    <row r="89" spans="1:19" ht="29" x14ac:dyDescent="0.35">
      <c r="A89" t="s">
        <v>35</v>
      </c>
      <c r="B89" t="s">
        <v>623</v>
      </c>
      <c r="C89" t="s">
        <v>36</v>
      </c>
      <c r="D89" s="3" t="s">
        <v>37</v>
      </c>
      <c r="E89">
        <v>29.27</v>
      </c>
      <c r="F89" t="s">
        <v>88</v>
      </c>
      <c r="G89" s="19">
        <v>45386</v>
      </c>
      <c r="H89" s="55" t="s">
        <v>94</v>
      </c>
      <c r="I89" s="55" t="s">
        <v>446</v>
      </c>
      <c r="K89" s="55" t="s">
        <v>1294</v>
      </c>
      <c r="O89" t="s">
        <v>1295</v>
      </c>
      <c r="Q89" s="3">
        <f t="shared" si="2"/>
        <v>29.27</v>
      </c>
    </row>
    <row r="90" spans="1:19" ht="43.5" x14ac:dyDescent="0.35">
      <c r="A90" t="s">
        <v>35</v>
      </c>
      <c r="B90" t="s">
        <v>1491</v>
      </c>
      <c r="C90" t="s">
        <v>36</v>
      </c>
      <c r="D90" s="3" t="s">
        <v>37</v>
      </c>
      <c r="E90">
        <v>26.74</v>
      </c>
      <c r="F90" t="s">
        <v>88</v>
      </c>
      <c r="G90" s="19">
        <v>45631</v>
      </c>
      <c r="H90" s="55" t="s">
        <v>94</v>
      </c>
      <c r="I90" s="55" t="s">
        <v>1492</v>
      </c>
      <c r="K90" s="55" t="s">
        <v>1493</v>
      </c>
      <c r="O90" t="s">
        <v>1494</v>
      </c>
      <c r="Q90" s="3">
        <f t="shared" si="2"/>
        <v>26.74</v>
      </c>
      <c r="S90" s="56" t="s">
        <v>1538</v>
      </c>
    </row>
    <row r="91" spans="1:19" ht="29" x14ac:dyDescent="0.35">
      <c r="A91" t="s">
        <v>35</v>
      </c>
      <c r="B91" t="s">
        <v>1533</v>
      </c>
      <c r="C91" t="s">
        <v>36</v>
      </c>
      <c r="D91" s="3" t="s">
        <v>37</v>
      </c>
      <c r="E91">
        <v>26.66</v>
      </c>
      <c r="F91" t="s">
        <v>88</v>
      </c>
      <c r="G91" s="19">
        <v>45645</v>
      </c>
      <c r="H91" s="55" t="s">
        <v>94</v>
      </c>
      <c r="I91" s="55" t="s">
        <v>1534</v>
      </c>
      <c r="K91" s="55" t="s">
        <v>1536</v>
      </c>
      <c r="O91" t="s">
        <v>1222</v>
      </c>
      <c r="Q91" s="3">
        <f t="shared" si="2"/>
        <v>26.66</v>
      </c>
    </row>
    <row r="92" spans="1:19" ht="29" x14ac:dyDescent="0.35">
      <c r="A92" t="s">
        <v>35</v>
      </c>
      <c r="B92" t="s">
        <v>1533</v>
      </c>
      <c r="C92" t="s">
        <v>36</v>
      </c>
      <c r="D92" s="3" t="s">
        <v>37</v>
      </c>
      <c r="E92">
        <v>26.66</v>
      </c>
      <c r="F92" t="s">
        <v>88</v>
      </c>
      <c r="G92" s="19">
        <v>45645</v>
      </c>
      <c r="H92" s="55" t="s">
        <v>94</v>
      </c>
      <c r="I92" s="55" t="s">
        <v>1534</v>
      </c>
      <c r="K92" s="55" t="s">
        <v>1537</v>
      </c>
      <c r="O92" t="s">
        <v>1222</v>
      </c>
      <c r="Q92" s="3">
        <f t="shared" si="2"/>
        <v>26.66</v>
      </c>
    </row>
    <row r="93" spans="1:19" ht="29" x14ac:dyDescent="0.35">
      <c r="A93" t="s">
        <v>35</v>
      </c>
      <c r="B93" t="s">
        <v>1533</v>
      </c>
      <c r="C93" t="s">
        <v>36</v>
      </c>
      <c r="D93" s="3" t="s">
        <v>37</v>
      </c>
      <c r="E93">
        <v>26.65</v>
      </c>
      <c r="F93" t="s">
        <v>88</v>
      </c>
      <c r="G93" s="19">
        <v>45645</v>
      </c>
      <c r="H93" s="55" t="s">
        <v>94</v>
      </c>
      <c r="I93" s="55" t="s">
        <v>1534</v>
      </c>
      <c r="K93" s="55" t="s">
        <v>1535</v>
      </c>
      <c r="O93" t="s">
        <v>1222</v>
      </c>
      <c r="Q93" s="3">
        <f t="shared" si="2"/>
        <v>26.65</v>
      </c>
    </row>
    <row r="94" spans="1:19" ht="29" x14ac:dyDescent="0.35">
      <c r="A94" t="s">
        <v>35</v>
      </c>
      <c r="B94" t="s">
        <v>1423</v>
      </c>
      <c r="C94" t="s">
        <v>36</v>
      </c>
      <c r="D94" s="3" t="s">
        <v>37</v>
      </c>
      <c r="E94">
        <v>-25.91</v>
      </c>
      <c r="F94" t="s">
        <v>88</v>
      </c>
      <c r="G94" s="19">
        <v>45639</v>
      </c>
      <c r="H94" s="55" t="s">
        <v>94</v>
      </c>
      <c r="I94" s="55" t="s">
        <v>1521</v>
      </c>
      <c r="K94" s="55" t="s">
        <v>1524</v>
      </c>
      <c r="O94" t="s">
        <v>1450</v>
      </c>
      <c r="Q94" s="3">
        <f t="shared" si="2"/>
        <v>25.91</v>
      </c>
    </row>
    <row r="95" spans="1:19" ht="29" x14ac:dyDescent="0.35">
      <c r="A95" t="s">
        <v>35</v>
      </c>
      <c r="B95" t="s">
        <v>969</v>
      </c>
      <c r="C95" t="s">
        <v>36</v>
      </c>
      <c r="D95" s="3" t="s">
        <v>37</v>
      </c>
      <c r="E95">
        <v>25.84</v>
      </c>
      <c r="F95" t="s">
        <v>88</v>
      </c>
      <c r="G95" s="19">
        <v>45594</v>
      </c>
      <c r="H95" s="55" t="s">
        <v>94</v>
      </c>
      <c r="I95" s="55" t="s">
        <v>1401</v>
      </c>
      <c r="K95" s="55" t="s">
        <v>1402</v>
      </c>
      <c r="O95" t="s">
        <v>1403</v>
      </c>
      <c r="Q95" s="3">
        <f t="shared" si="2"/>
        <v>25.84</v>
      </c>
      <c r="S95" s="56" t="s">
        <v>1538</v>
      </c>
    </row>
    <row r="96" spans="1:19" ht="29" x14ac:dyDescent="0.35">
      <c r="A96" t="s">
        <v>35</v>
      </c>
      <c r="B96" t="s">
        <v>969</v>
      </c>
      <c r="C96" t="s">
        <v>36</v>
      </c>
      <c r="D96" s="3" t="s">
        <v>37</v>
      </c>
      <c r="E96">
        <v>21.54</v>
      </c>
      <c r="F96" t="s">
        <v>88</v>
      </c>
      <c r="G96" s="19">
        <v>45594</v>
      </c>
      <c r="H96" s="55" t="s">
        <v>94</v>
      </c>
      <c r="I96" s="55" t="s">
        <v>1386</v>
      </c>
      <c r="K96" s="55" t="s">
        <v>1387</v>
      </c>
      <c r="O96" t="s">
        <v>1388</v>
      </c>
      <c r="Q96" s="3">
        <f t="shared" si="2"/>
        <v>21.54</v>
      </c>
      <c r="S96" s="56" t="s">
        <v>1539</v>
      </c>
    </row>
    <row r="97" spans="1:19" ht="43.5" x14ac:dyDescent="0.35">
      <c r="A97" t="s">
        <v>35</v>
      </c>
      <c r="B97" t="s">
        <v>1423</v>
      </c>
      <c r="C97" t="s">
        <v>36</v>
      </c>
      <c r="D97" s="3" t="s">
        <v>37</v>
      </c>
      <c r="E97">
        <v>21.2</v>
      </c>
      <c r="F97" t="s">
        <v>88</v>
      </c>
      <c r="G97" s="19">
        <v>45614</v>
      </c>
      <c r="H97" s="55" t="s">
        <v>89</v>
      </c>
      <c r="I97" s="55" t="s">
        <v>1424</v>
      </c>
      <c r="K97" t="s">
        <v>1425</v>
      </c>
      <c r="L97" t="s">
        <v>1426</v>
      </c>
      <c r="M97" t="s">
        <v>1427</v>
      </c>
      <c r="Q97" s="3">
        <f t="shared" si="2"/>
        <v>21.2</v>
      </c>
    </row>
    <row r="98" spans="1:19" ht="43.5" x14ac:dyDescent="0.35">
      <c r="A98" s="35" t="s">
        <v>35</v>
      </c>
      <c r="B98" s="35" t="s">
        <v>623</v>
      </c>
      <c r="C98" s="35" t="s">
        <v>36</v>
      </c>
      <c r="D98" s="58" t="s">
        <v>37</v>
      </c>
      <c r="E98" s="35">
        <v>19.45</v>
      </c>
      <c r="F98" s="29" t="s">
        <v>88</v>
      </c>
      <c r="G98" s="29">
        <v>45386</v>
      </c>
      <c r="H98" s="59" t="s">
        <v>94</v>
      </c>
      <c r="I98" s="59" t="s">
        <v>1158</v>
      </c>
      <c r="K98" s="59" t="s">
        <v>1288</v>
      </c>
      <c r="L98" s="35"/>
      <c r="M98" s="35"/>
      <c r="N98" s="35"/>
      <c r="O98" s="35" t="s">
        <v>1160</v>
      </c>
      <c r="Q98" s="3">
        <f t="shared" si="2"/>
        <v>19.45</v>
      </c>
    </row>
    <row r="99" spans="1:19" ht="29" x14ac:dyDescent="0.35">
      <c r="A99" t="s">
        <v>35</v>
      </c>
      <c r="B99" t="s">
        <v>969</v>
      </c>
      <c r="C99" t="s">
        <v>36</v>
      </c>
      <c r="D99" s="3" t="s">
        <v>37</v>
      </c>
      <c r="E99">
        <v>18.440000000000001</v>
      </c>
      <c r="F99" t="s">
        <v>88</v>
      </c>
      <c r="G99" s="19">
        <v>45594</v>
      </c>
      <c r="H99" s="55" t="s">
        <v>94</v>
      </c>
      <c r="I99" s="55" t="s">
        <v>1394</v>
      </c>
      <c r="K99" s="55" t="s">
        <v>1396</v>
      </c>
      <c r="O99" t="s">
        <v>1397</v>
      </c>
      <c r="Q99" s="3">
        <f t="shared" si="2"/>
        <v>18.440000000000001</v>
      </c>
      <c r="S99" s="56" t="s">
        <v>1538</v>
      </c>
    </row>
    <row r="100" spans="1:19" ht="29" x14ac:dyDescent="0.35">
      <c r="A100" t="s">
        <v>35</v>
      </c>
      <c r="B100" t="s">
        <v>969</v>
      </c>
      <c r="C100" t="s">
        <v>36</v>
      </c>
      <c r="D100" s="3" t="s">
        <v>37</v>
      </c>
      <c r="E100">
        <v>17.53</v>
      </c>
      <c r="F100" t="s">
        <v>88</v>
      </c>
      <c r="G100" s="19">
        <v>45594</v>
      </c>
      <c r="H100" s="55" t="s">
        <v>94</v>
      </c>
      <c r="I100" s="55" t="s">
        <v>1398</v>
      </c>
      <c r="K100" s="55" t="s">
        <v>1399</v>
      </c>
      <c r="O100" t="s">
        <v>1400</v>
      </c>
      <c r="Q100" s="3">
        <f t="shared" si="2"/>
        <v>17.53</v>
      </c>
      <c r="S100" s="56" t="s">
        <v>1538</v>
      </c>
    </row>
    <row r="101" spans="1:19" ht="29" x14ac:dyDescent="0.35">
      <c r="A101" t="s">
        <v>35</v>
      </c>
      <c r="B101" t="s">
        <v>633</v>
      </c>
      <c r="C101" t="s">
        <v>36</v>
      </c>
      <c r="D101" s="3" t="s">
        <v>37</v>
      </c>
      <c r="E101">
        <v>17.010000000000002</v>
      </c>
      <c r="F101" t="s">
        <v>88</v>
      </c>
      <c r="G101" s="19">
        <v>45464</v>
      </c>
      <c r="H101" s="55" t="s">
        <v>94</v>
      </c>
      <c r="I101" s="55" t="s">
        <v>1303</v>
      </c>
      <c r="K101" s="55" t="s">
        <v>1306</v>
      </c>
      <c r="O101" t="s">
        <v>1307</v>
      </c>
      <c r="Q101" s="3">
        <f t="shared" si="2"/>
        <v>17.010000000000002</v>
      </c>
    </row>
    <row r="102" spans="1:19" ht="43.5" x14ac:dyDescent="0.35">
      <c r="A102" t="s">
        <v>35</v>
      </c>
      <c r="B102" t="s">
        <v>1069</v>
      </c>
      <c r="C102" t="s">
        <v>36</v>
      </c>
      <c r="D102" s="3" t="s">
        <v>37</v>
      </c>
      <c r="E102">
        <v>16.79</v>
      </c>
      <c r="F102" t="s">
        <v>88</v>
      </c>
      <c r="G102" s="19">
        <v>45629</v>
      </c>
      <c r="H102" s="55" t="s">
        <v>89</v>
      </c>
      <c r="I102" s="55" t="s">
        <v>1475</v>
      </c>
      <c r="K102" t="s">
        <v>1479</v>
      </c>
      <c r="L102" t="s">
        <v>1477</v>
      </c>
      <c r="M102" t="s">
        <v>1478</v>
      </c>
      <c r="Q102" s="3">
        <f t="shared" si="2"/>
        <v>16.79</v>
      </c>
      <c r="S102" s="56" t="s">
        <v>1538</v>
      </c>
    </row>
    <row r="103" spans="1:19" ht="29" x14ac:dyDescent="0.35">
      <c r="A103" t="s">
        <v>35</v>
      </c>
      <c r="B103" t="s">
        <v>861</v>
      </c>
      <c r="C103" t="s">
        <v>36</v>
      </c>
      <c r="D103" s="3" t="s">
        <v>37</v>
      </c>
      <c r="E103">
        <v>15.55</v>
      </c>
      <c r="F103" t="s">
        <v>88</v>
      </c>
      <c r="G103" s="19">
        <v>45628</v>
      </c>
      <c r="H103" s="55" t="s">
        <v>94</v>
      </c>
      <c r="I103" s="55" t="s">
        <v>1460</v>
      </c>
      <c r="K103" s="55" t="s">
        <v>1461</v>
      </c>
      <c r="O103" t="s">
        <v>1462</v>
      </c>
      <c r="Q103" s="3">
        <f t="shared" si="2"/>
        <v>15.55</v>
      </c>
    </row>
    <row r="104" spans="1:19" ht="29" x14ac:dyDescent="0.35">
      <c r="A104" t="s">
        <v>35</v>
      </c>
      <c r="B104" t="s">
        <v>969</v>
      </c>
      <c r="C104" t="s">
        <v>36</v>
      </c>
      <c r="D104" s="3" t="s">
        <v>37</v>
      </c>
      <c r="E104">
        <v>10.38</v>
      </c>
      <c r="F104" t="s">
        <v>88</v>
      </c>
      <c r="G104" s="19">
        <v>45594</v>
      </c>
      <c r="H104" s="55" t="s">
        <v>94</v>
      </c>
      <c r="I104" s="55" t="s">
        <v>1378</v>
      </c>
      <c r="K104" s="55" t="s">
        <v>1379</v>
      </c>
      <c r="O104" t="s">
        <v>1380</v>
      </c>
      <c r="Q104" s="3">
        <f t="shared" si="2"/>
        <v>10.38</v>
      </c>
    </row>
    <row r="105" spans="1:19" ht="29" x14ac:dyDescent="0.35">
      <c r="A105" t="s">
        <v>35</v>
      </c>
      <c r="B105" t="s">
        <v>1423</v>
      </c>
      <c r="C105" t="s">
        <v>36</v>
      </c>
      <c r="D105" s="3" t="s">
        <v>37</v>
      </c>
      <c r="E105">
        <v>10.38</v>
      </c>
      <c r="F105" t="s">
        <v>88</v>
      </c>
      <c r="G105" s="19">
        <v>45639</v>
      </c>
      <c r="H105" s="55" t="s">
        <v>94</v>
      </c>
      <c r="I105" s="55" t="s">
        <v>1510</v>
      </c>
      <c r="K105" s="55" t="s">
        <v>1513</v>
      </c>
      <c r="O105" t="s">
        <v>1514</v>
      </c>
      <c r="Q105" s="3">
        <f t="shared" si="2"/>
        <v>10.38</v>
      </c>
    </row>
    <row r="106" spans="1:19" ht="43.5" x14ac:dyDescent="0.35">
      <c r="A106" t="s">
        <v>35</v>
      </c>
      <c r="B106" t="s">
        <v>646</v>
      </c>
      <c r="C106" t="s">
        <v>36</v>
      </c>
      <c r="D106" s="3" t="s">
        <v>37</v>
      </c>
      <c r="E106">
        <v>9.2899999999999991</v>
      </c>
      <c r="F106" t="s">
        <v>88</v>
      </c>
      <c r="G106" s="19">
        <v>45639</v>
      </c>
      <c r="H106" s="55" t="s">
        <v>94</v>
      </c>
      <c r="I106" s="55" t="s">
        <v>379</v>
      </c>
      <c r="K106" s="55" t="s">
        <v>1506</v>
      </c>
      <c r="O106" t="s">
        <v>1507</v>
      </c>
      <c r="Q106" s="3">
        <f t="shared" si="2"/>
        <v>9.2899999999999991</v>
      </c>
    </row>
    <row r="107" spans="1:19" ht="29" x14ac:dyDescent="0.35">
      <c r="A107" t="s">
        <v>35</v>
      </c>
      <c r="B107" t="s">
        <v>599</v>
      </c>
      <c r="C107" t="s">
        <v>36</v>
      </c>
      <c r="D107" s="3" t="s">
        <v>37</v>
      </c>
      <c r="E107">
        <v>6.29</v>
      </c>
      <c r="F107" t="s">
        <v>88</v>
      </c>
      <c r="G107" s="19">
        <v>45595</v>
      </c>
      <c r="H107" s="55" t="s">
        <v>94</v>
      </c>
      <c r="I107" s="55" t="s">
        <v>105</v>
      </c>
      <c r="K107" s="55" t="s">
        <v>1404</v>
      </c>
      <c r="O107" t="s">
        <v>1406</v>
      </c>
      <c r="Q107" s="3">
        <f t="shared" si="2"/>
        <v>6.29</v>
      </c>
    </row>
    <row r="108" spans="1:19" ht="29" x14ac:dyDescent="0.35">
      <c r="A108" t="s">
        <v>35</v>
      </c>
      <c r="B108" t="s">
        <v>599</v>
      </c>
      <c r="C108" t="s">
        <v>36</v>
      </c>
      <c r="D108" s="3" t="s">
        <v>37</v>
      </c>
      <c r="E108">
        <v>3.81</v>
      </c>
      <c r="F108" t="s">
        <v>88</v>
      </c>
      <c r="G108" s="19">
        <v>45595</v>
      </c>
      <c r="H108" s="55" t="s">
        <v>94</v>
      </c>
      <c r="I108" s="55" t="s">
        <v>105</v>
      </c>
      <c r="K108" s="55" t="s">
        <v>1404</v>
      </c>
      <c r="O108" t="s">
        <v>1405</v>
      </c>
      <c r="Q108" s="3">
        <f t="shared" si="2"/>
        <v>3.81</v>
      </c>
    </row>
  </sheetData>
  <autoFilter ref="A7:AF108" xr:uid="{C2C993DE-CC4B-4D89-AB74-8D003AC66372}"/>
  <mergeCells count="1">
    <mergeCell ref="AD6:AE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C21F0-0324-4086-AF0C-38A836393CB2}">
  <sheetPr>
    <tabColor rgb="FF00B050"/>
  </sheetPr>
  <dimension ref="A1:AE408"/>
  <sheetViews>
    <sheetView workbookViewId="0">
      <selection activeCell="C3" sqref="C3"/>
    </sheetView>
  </sheetViews>
  <sheetFormatPr defaultRowHeight="14.5" x14ac:dyDescent="0.35"/>
  <cols>
    <col min="1" max="2" width="5.453125" customWidth="1"/>
    <col min="3" max="3" width="12.453125" customWidth="1"/>
    <col min="4" max="4" width="6.81640625" style="3" customWidth="1"/>
    <col min="5" max="5" width="6.81640625" customWidth="1"/>
    <col min="6" max="6" width="6.81640625" style="19" customWidth="1"/>
    <col min="7" max="7" width="6.81640625" style="62" customWidth="1"/>
    <col min="8" max="8" width="6.81640625" style="55" customWidth="1"/>
    <col min="9" max="9" width="17.453125" style="55" customWidth="1"/>
    <col min="10" max="10" width="22" style="55" customWidth="1"/>
    <col min="11" max="11" width="31.7265625" bestFit="1" customWidth="1"/>
    <col min="14" max="14" width="16.81640625" bestFit="1" customWidth="1"/>
    <col min="16" max="16" width="2.26953125" style="5" customWidth="1"/>
    <col min="17" max="17" width="11.54296875" style="3" bestFit="1" customWidth="1"/>
    <col min="18" max="18" width="3.54296875" style="55" customWidth="1"/>
    <col min="19" max="19" width="5.54296875" style="55" customWidth="1"/>
    <col min="21" max="21" width="10.26953125" customWidth="1"/>
    <col min="22" max="28" width="1.81640625" customWidth="1"/>
    <col min="31" max="31" width="11" customWidth="1"/>
  </cols>
  <sheetData>
    <row r="1" spans="1:31" x14ac:dyDescent="0.35">
      <c r="A1" t="s">
        <v>69</v>
      </c>
      <c r="C1" s="61">
        <f>Summary!A11</f>
        <v>5160001000</v>
      </c>
    </row>
    <row r="2" spans="1:31" x14ac:dyDescent="0.35">
      <c r="A2" t="s">
        <v>70</v>
      </c>
      <c r="C2" s="61" t="str">
        <f>Summary!B11</f>
        <v>Publicity/advertising</v>
      </c>
      <c r="G2" s="62" t="s">
        <v>141</v>
      </c>
    </row>
    <row r="3" spans="1:31" x14ac:dyDescent="0.35">
      <c r="A3" t="s">
        <v>71</v>
      </c>
      <c r="C3" s="22">
        <v>5130256.9199999962</v>
      </c>
      <c r="G3" s="98" t="s">
        <v>256</v>
      </c>
      <c r="T3" s="24" t="s">
        <v>0</v>
      </c>
      <c r="U3" s="3">
        <f>SUMIF($A$10:$A$408,"AU001",U9:U408)</f>
        <v>1413.94</v>
      </c>
      <c r="AB3" t="s">
        <v>0</v>
      </c>
      <c r="AC3" s="3">
        <f>SUMIF($A$8:$A$408,"AU001",AC8:AC408)</f>
        <v>0</v>
      </c>
      <c r="AD3" s="3">
        <f>SUMIF($A$8:$A$408,"AU001",AD8:AD408)</f>
        <v>0</v>
      </c>
    </row>
    <row r="4" spans="1:31" x14ac:dyDescent="0.35">
      <c r="A4" t="s">
        <v>45</v>
      </c>
      <c r="C4" s="22">
        <f>SUM(E:E)</f>
        <v>5130256.9199999971</v>
      </c>
      <c r="G4" s="98" t="s">
        <v>9245</v>
      </c>
      <c r="T4" s="24" t="s">
        <v>35</v>
      </c>
      <c r="U4" s="3">
        <f>SUMIF($A$10:$A$408,"AU052",U9:U408)</f>
        <v>0</v>
      </c>
      <c r="AB4" t="s">
        <v>35</v>
      </c>
      <c r="AC4" s="3">
        <f>SUMIF($A$8:$A$408,"AU052",AC8:AC408)</f>
        <v>426.45</v>
      </c>
      <c r="AD4" s="3">
        <f>SUMIF($A$8:$A$408,"AU052",AD8:AD408)</f>
        <v>0</v>
      </c>
    </row>
    <row r="5" spans="1:31" ht="15" thickBot="1" x14ac:dyDescent="0.4">
      <c r="A5" t="s">
        <v>72</v>
      </c>
      <c r="C5" s="3">
        <f>C3-C4</f>
        <v>0</v>
      </c>
      <c r="Q5" s="30"/>
      <c r="R5" s="57"/>
    </row>
    <row r="6" spans="1:31" ht="15" thickBot="1" x14ac:dyDescent="0.4">
      <c r="AC6" s="191" t="s">
        <v>44</v>
      </c>
      <c r="AD6" s="192"/>
    </row>
    <row r="7" spans="1:31" s="53" customFormat="1" ht="73.5" customHeight="1" thickBot="1" x14ac:dyDescent="0.4">
      <c r="A7" s="40" t="s">
        <v>74</v>
      </c>
      <c r="B7" s="40" t="s">
        <v>597</v>
      </c>
      <c r="C7" s="40" t="s">
        <v>75</v>
      </c>
      <c r="D7" s="41" t="s">
        <v>76</v>
      </c>
      <c r="E7" s="40" t="s">
        <v>77</v>
      </c>
      <c r="F7" s="42" t="s">
        <v>78</v>
      </c>
      <c r="G7" s="42" t="s">
        <v>79</v>
      </c>
      <c r="H7" s="40" t="s">
        <v>80</v>
      </c>
      <c r="I7" s="40" t="s">
        <v>81</v>
      </c>
      <c r="J7" s="40" t="s">
        <v>82</v>
      </c>
      <c r="K7" s="40" t="s">
        <v>83</v>
      </c>
      <c r="L7" s="40" t="s">
        <v>84</v>
      </c>
      <c r="M7" s="40" t="s">
        <v>85</v>
      </c>
      <c r="N7" s="40" t="s">
        <v>86</v>
      </c>
      <c r="O7" s="40" t="s">
        <v>585</v>
      </c>
      <c r="P7" s="43"/>
      <c r="Q7" s="54" t="s">
        <v>136</v>
      </c>
      <c r="R7" s="44" t="s">
        <v>87</v>
      </c>
      <c r="S7" s="45" t="s">
        <v>46</v>
      </c>
      <c r="T7" s="45" t="s">
        <v>47</v>
      </c>
      <c r="U7" s="45" t="s">
        <v>48</v>
      </c>
      <c r="V7" s="46" t="s">
        <v>49</v>
      </c>
      <c r="W7" s="47" t="s">
        <v>50</v>
      </c>
      <c r="X7" s="48" t="s">
        <v>51</v>
      </c>
      <c r="Y7" s="49" t="s">
        <v>52</v>
      </c>
      <c r="Z7" s="50" t="s">
        <v>53</v>
      </c>
      <c r="AA7" s="50" t="s">
        <v>54</v>
      </c>
      <c r="AB7" s="50" t="s">
        <v>55</v>
      </c>
      <c r="AC7" s="51" t="s">
        <v>56</v>
      </c>
      <c r="AD7" s="51" t="s">
        <v>57</v>
      </c>
      <c r="AE7" s="52" t="s">
        <v>58</v>
      </c>
    </row>
    <row r="8" spans="1:31" ht="43.5" x14ac:dyDescent="0.35">
      <c r="A8" t="s">
        <v>0</v>
      </c>
      <c r="B8" t="s">
        <v>1543</v>
      </c>
      <c r="C8" t="s">
        <v>8</v>
      </c>
      <c r="D8" s="3" t="s">
        <v>9</v>
      </c>
      <c r="E8">
        <v>295420.77</v>
      </c>
      <c r="F8" s="19" t="s">
        <v>88</v>
      </c>
      <c r="G8" s="62">
        <v>45436</v>
      </c>
      <c r="H8" s="55" t="s">
        <v>89</v>
      </c>
      <c r="I8" s="55" t="s">
        <v>1544</v>
      </c>
      <c r="K8" t="s">
        <v>101</v>
      </c>
      <c r="L8" t="s">
        <v>1545</v>
      </c>
      <c r="M8" t="s">
        <v>1546</v>
      </c>
      <c r="Q8" s="3">
        <f t="shared" ref="Q8:Q71" si="0">ABS(E8)</f>
        <v>295420.77</v>
      </c>
    </row>
    <row r="9" spans="1:31" ht="29" x14ac:dyDescent="0.35">
      <c r="A9" t="s">
        <v>0</v>
      </c>
      <c r="B9" t="s">
        <v>1543</v>
      </c>
      <c r="C9" t="s">
        <v>8</v>
      </c>
      <c r="D9" s="3" t="s">
        <v>9</v>
      </c>
      <c r="E9">
        <v>242000</v>
      </c>
      <c r="F9" s="19" t="s">
        <v>88</v>
      </c>
      <c r="G9" s="62">
        <v>45642</v>
      </c>
      <c r="I9" s="55" t="s">
        <v>1547</v>
      </c>
      <c r="K9" s="55" t="s">
        <v>1269</v>
      </c>
      <c r="Q9" s="3">
        <f t="shared" si="0"/>
        <v>242000</v>
      </c>
    </row>
    <row r="10" spans="1:31" ht="43.5" x14ac:dyDescent="0.35">
      <c r="A10" t="s">
        <v>0</v>
      </c>
      <c r="B10" t="s">
        <v>1543</v>
      </c>
      <c r="C10" t="s">
        <v>8</v>
      </c>
      <c r="D10" s="3" t="s">
        <v>9</v>
      </c>
      <c r="E10">
        <v>181315.6</v>
      </c>
      <c r="F10" s="19" t="s">
        <v>88</v>
      </c>
      <c r="G10" s="62">
        <v>45397</v>
      </c>
      <c r="H10" s="55" t="s">
        <v>89</v>
      </c>
      <c r="I10" s="55" t="s">
        <v>1548</v>
      </c>
      <c r="K10" t="s">
        <v>1549</v>
      </c>
      <c r="L10" t="s">
        <v>1550</v>
      </c>
      <c r="M10" t="s">
        <v>1546</v>
      </c>
      <c r="Q10" s="3">
        <f t="shared" si="0"/>
        <v>181315.6</v>
      </c>
    </row>
    <row r="11" spans="1:31" ht="43.5" x14ac:dyDescent="0.35">
      <c r="A11" t="s">
        <v>0</v>
      </c>
      <c r="B11" t="s">
        <v>1543</v>
      </c>
      <c r="C11" t="s">
        <v>8</v>
      </c>
      <c r="D11" s="3" t="s">
        <v>9</v>
      </c>
      <c r="E11">
        <v>175066.13</v>
      </c>
      <c r="F11" s="19" t="s">
        <v>88</v>
      </c>
      <c r="G11" s="62">
        <v>45436</v>
      </c>
      <c r="H11" s="55" t="s">
        <v>89</v>
      </c>
      <c r="I11" s="55" t="s">
        <v>1551</v>
      </c>
      <c r="K11" t="s">
        <v>1552</v>
      </c>
      <c r="L11" t="s">
        <v>1553</v>
      </c>
      <c r="M11" t="s">
        <v>1546</v>
      </c>
      <c r="Q11" s="3">
        <f t="shared" si="0"/>
        <v>175066.13</v>
      </c>
    </row>
    <row r="12" spans="1:31" ht="43.5" x14ac:dyDescent="0.35">
      <c r="A12" t="s">
        <v>0</v>
      </c>
      <c r="B12" t="s">
        <v>1543</v>
      </c>
      <c r="C12" t="s">
        <v>8</v>
      </c>
      <c r="D12" s="3" t="s">
        <v>9</v>
      </c>
      <c r="E12">
        <v>155044.16</v>
      </c>
      <c r="F12" s="19" t="s">
        <v>88</v>
      </c>
      <c r="G12" s="62">
        <v>45492</v>
      </c>
      <c r="H12" s="55" t="s">
        <v>89</v>
      </c>
      <c r="I12" s="55" t="s">
        <v>1554</v>
      </c>
      <c r="K12" t="s">
        <v>1555</v>
      </c>
      <c r="L12" t="s">
        <v>1556</v>
      </c>
      <c r="M12" t="s">
        <v>1546</v>
      </c>
      <c r="Q12" s="3">
        <f t="shared" si="0"/>
        <v>155044.16</v>
      </c>
    </row>
    <row r="13" spans="1:31" ht="43.5" x14ac:dyDescent="0.35">
      <c r="A13" t="s">
        <v>0</v>
      </c>
      <c r="B13" t="s">
        <v>1543</v>
      </c>
      <c r="C13" t="s">
        <v>8</v>
      </c>
      <c r="D13" s="3" t="s">
        <v>9</v>
      </c>
      <c r="E13">
        <v>150728.37</v>
      </c>
      <c r="F13" s="19" t="s">
        <v>88</v>
      </c>
      <c r="G13" s="62">
        <v>45512</v>
      </c>
      <c r="H13" s="55" t="s">
        <v>89</v>
      </c>
      <c r="I13" s="55" t="s">
        <v>1557</v>
      </c>
      <c r="K13" t="s">
        <v>1558</v>
      </c>
      <c r="L13" t="s">
        <v>1559</v>
      </c>
      <c r="M13" t="s">
        <v>1546</v>
      </c>
      <c r="Q13" s="3">
        <f t="shared" si="0"/>
        <v>150728.37</v>
      </c>
    </row>
    <row r="14" spans="1:31" ht="43.5" x14ac:dyDescent="0.35">
      <c r="A14" t="s">
        <v>0</v>
      </c>
      <c r="B14" t="s">
        <v>1543</v>
      </c>
      <c r="C14" t="s">
        <v>8</v>
      </c>
      <c r="D14" s="3" t="s">
        <v>9</v>
      </c>
      <c r="E14">
        <v>150306.54</v>
      </c>
      <c r="F14" s="19" t="s">
        <v>88</v>
      </c>
      <c r="G14" s="62">
        <v>45601</v>
      </c>
      <c r="H14" s="55" t="s">
        <v>89</v>
      </c>
      <c r="I14" s="55" t="s">
        <v>1560</v>
      </c>
      <c r="K14" t="s">
        <v>1561</v>
      </c>
      <c r="L14" t="s">
        <v>1562</v>
      </c>
      <c r="M14" t="s">
        <v>1546</v>
      </c>
      <c r="Q14" s="3">
        <f t="shared" si="0"/>
        <v>150306.54</v>
      </c>
    </row>
    <row r="15" spans="1:31" ht="43.5" x14ac:dyDescent="0.35">
      <c r="A15" t="s">
        <v>0</v>
      </c>
      <c r="B15" t="s">
        <v>1543</v>
      </c>
      <c r="C15" t="s">
        <v>8</v>
      </c>
      <c r="D15" s="3" t="s">
        <v>9</v>
      </c>
      <c r="E15">
        <v>146419.87</v>
      </c>
      <c r="F15" s="19" t="s">
        <v>88</v>
      </c>
      <c r="G15" s="62">
        <v>45614</v>
      </c>
      <c r="H15" s="55" t="s">
        <v>89</v>
      </c>
      <c r="I15" s="55" t="s">
        <v>1563</v>
      </c>
      <c r="K15" t="s">
        <v>1564</v>
      </c>
      <c r="L15" t="s">
        <v>1565</v>
      </c>
      <c r="M15" t="s">
        <v>1546</v>
      </c>
      <c r="Q15" s="3">
        <f t="shared" si="0"/>
        <v>146419.87</v>
      </c>
    </row>
    <row r="16" spans="1:31" ht="43.5" x14ac:dyDescent="0.35">
      <c r="A16" t="s">
        <v>0</v>
      </c>
      <c r="B16" t="s">
        <v>1566</v>
      </c>
      <c r="C16" t="s">
        <v>8</v>
      </c>
      <c r="D16" s="3" t="s">
        <v>9</v>
      </c>
      <c r="E16">
        <v>139758.78</v>
      </c>
      <c r="F16" s="19" t="s">
        <v>88</v>
      </c>
      <c r="G16" s="62">
        <v>45492</v>
      </c>
      <c r="H16" s="55" t="s">
        <v>89</v>
      </c>
      <c r="I16" s="55" t="s">
        <v>1567</v>
      </c>
      <c r="K16" t="s">
        <v>1568</v>
      </c>
      <c r="L16" t="s">
        <v>1569</v>
      </c>
      <c r="M16" t="s">
        <v>1546</v>
      </c>
      <c r="Q16" s="3">
        <f t="shared" si="0"/>
        <v>139758.78</v>
      </c>
    </row>
    <row r="17" spans="1:17" ht="43.5" x14ac:dyDescent="0.35">
      <c r="A17" t="s">
        <v>0</v>
      </c>
      <c r="B17" t="s">
        <v>1543</v>
      </c>
      <c r="C17" t="s">
        <v>8</v>
      </c>
      <c r="D17" s="3" t="s">
        <v>9</v>
      </c>
      <c r="E17">
        <v>134101.14000000001</v>
      </c>
      <c r="F17" s="19" t="s">
        <v>88</v>
      </c>
      <c r="G17" s="62">
        <v>45601</v>
      </c>
      <c r="H17" s="55" t="s">
        <v>89</v>
      </c>
      <c r="I17" s="55" t="s">
        <v>1570</v>
      </c>
      <c r="K17" t="s">
        <v>1571</v>
      </c>
      <c r="L17" t="s">
        <v>1572</v>
      </c>
      <c r="M17" t="s">
        <v>1546</v>
      </c>
      <c r="Q17" s="3">
        <f t="shared" si="0"/>
        <v>134101.14000000001</v>
      </c>
    </row>
    <row r="18" spans="1:17" ht="43.5" x14ac:dyDescent="0.35">
      <c r="A18" t="s">
        <v>0</v>
      </c>
      <c r="B18" t="s">
        <v>1543</v>
      </c>
      <c r="C18" t="s">
        <v>8</v>
      </c>
      <c r="D18" s="3" t="s">
        <v>9</v>
      </c>
      <c r="E18">
        <v>132017.26</v>
      </c>
      <c r="F18" s="19" t="s">
        <v>88</v>
      </c>
      <c r="G18" s="62">
        <v>45554</v>
      </c>
      <c r="H18" s="55" t="s">
        <v>89</v>
      </c>
      <c r="I18" s="55" t="s">
        <v>1573</v>
      </c>
      <c r="K18" t="s">
        <v>1574</v>
      </c>
      <c r="L18" t="s">
        <v>1575</v>
      </c>
      <c r="M18" t="s">
        <v>1546</v>
      </c>
      <c r="Q18" s="3">
        <f t="shared" si="0"/>
        <v>132017.26</v>
      </c>
    </row>
    <row r="19" spans="1:17" ht="43.5" x14ac:dyDescent="0.35">
      <c r="A19" t="s">
        <v>0</v>
      </c>
      <c r="B19" t="s">
        <v>1543</v>
      </c>
      <c r="C19" t="s">
        <v>8</v>
      </c>
      <c r="D19" s="3" t="s">
        <v>9</v>
      </c>
      <c r="E19">
        <v>127528.63</v>
      </c>
      <c r="F19" s="19" t="s">
        <v>88</v>
      </c>
      <c r="G19" s="62">
        <v>45492</v>
      </c>
      <c r="H19" s="55" t="s">
        <v>89</v>
      </c>
      <c r="I19" s="55" t="s">
        <v>1576</v>
      </c>
      <c r="K19" t="s">
        <v>1577</v>
      </c>
      <c r="L19" t="s">
        <v>1578</v>
      </c>
      <c r="M19" t="s">
        <v>1546</v>
      </c>
      <c r="Q19" s="3">
        <f t="shared" si="0"/>
        <v>127528.63</v>
      </c>
    </row>
    <row r="20" spans="1:17" ht="43.5" x14ac:dyDescent="0.35">
      <c r="A20" t="s">
        <v>0</v>
      </c>
      <c r="B20" t="s">
        <v>1543</v>
      </c>
      <c r="C20" t="s">
        <v>8</v>
      </c>
      <c r="D20" s="3" t="s">
        <v>9</v>
      </c>
      <c r="E20">
        <v>125980.49</v>
      </c>
      <c r="F20" s="19" t="s">
        <v>88</v>
      </c>
      <c r="G20" s="62">
        <v>45512</v>
      </c>
      <c r="H20" s="55" t="s">
        <v>89</v>
      </c>
      <c r="I20" s="55" t="s">
        <v>1579</v>
      </c>
      <c r="K20" t="s">
        <v>1580</v>
      </c>
      <c r="L20" t="s">
        <v>1581</v>
      </c>
      <c r="M20" t="s">
        <v>1546</v>
      </c>
      <c r="Q20" s="3">
        <f t="shared" si="0"/>
        <v>125980.49</v>
      </c>
    </row>
    <row r="21" spans="1:17" ht="43.5" x14ac:dyDescent="0.35">
      <c r="A21" t="s">
        <v>0</v>
      </c>
      <c r="B21" t="s">
        <v>1543</v>
      </c>
      <c r="C21" t="s">
        <v>8</v>
      </c>
      <c r="D21" s="3" t="s">
        <v>9</v>
      </c>
      <c r="E21">
        <v>123000.77</v>
      </c>
      <c r="F21" s="19" t="s">
        <v>88</v>
      </c>
      <c r="G21" s="62">
        <v>45492</v>
      </c>
      <c r="H21" s="55" t="s">
        <v>89</v>
      </c>
      <c r="I21" s="55" t="s">
        <v>1582</v>
      </c>
      <c r="K21" t="s">
        <v>1583</v>
      </c>
      <c r="L21" t="s">
        <v>1584</v>
      </c>
      <c r="M21" t="s">
        <v>1546</v>
      </c>
      <c r="Q21" s="3">
        <f t="shared" si="0"/>
        <v>123000.77</v>
      </c>
    </row>
    <row r="22" spans="1:17" ht="29" x14ac:dyDescent="0.35">
      <c r="A22" t="s">
        <v>0</v>
      </c>
      <c r="B22" t="s">
        <v>1566</v>
      </c>
      <c r="C22" t="s">
        <v>8</v>
      </c>
      <c r="D22" s="3" t="s">
        <v>9</v>
      </c>
      <c r="E22">
        <v>107045.4</v>
      </c>
      <c r="F22" s="19" t="s">
        <v>88</v>
      </c>
      <c r="G22" s="62">
        <v>45642</v>
      </c>
      <c r="I22" s="55" t="s">
        <v>1585</v>
      </c>
      <c r="K22" s="55" t="s">
        <v>1269</v>
      </c>
      <c r="Q22" s="3">
        <f t="shared" si="0"/>
        <v>107045.4</v>
      </c>
    </row>
    <row r="23" spans="1:17" ht="43.5" x14ac:dyDescent="0.35">
      <c r="A23" t="s">
        <v>0</v>
      </c>
      <c r="B23" t="s">
        <v>1543</v>
      </c>
      <c r="C23" t="s">
        <v>8</v>
      </c>
      <c r="D23" s="3" t="s">
        <v>9</v>
      </c>
      <c r="E23">
        <v>106042.48</v>
      </c>
      <c r="F23" s="19" t="s">
        <v>88</v>
      </c>
      <c r="G23" s="62">
        <v>45636</v>
      </c>
      <c r="H23" s="55" t="s">
        <v>89</v>
      </c>
      <c r="I23" s="55" t="s">
        <v>1586</v>
      </c>
      <c r="K23" t="s">
        <v>1555</v>
      </c>
      <c r="L23" t="s">
        <v>1587</v>
      </c>
      <c r="M23" t="s">
        <v>1546</v>
      </c>
      <c r="Q23" s="3">
        <f t="shared" si="0"/>
        <v>106042.48</v>
      </c>
    </row>
    <row r="24" spans="1:17" ht="43.5" x14ac:dyDescent="0.35">
      <c r="A24" t="s">
        <v>0</v>
      </c>
      <c r="B24" t="s">
        <v>1543</v>
      </c>
      <c r="C24" t="s">
        <v>8</v>
      </c>
      <c r="D24" s="3" t="s">
        <v>9</v>
      </c>
      <c r="E24">
        <v>102444.18</v>
      </c>
      <c r="F24" s="19" t="s">
        <v>88</v>
      </c>
      <c r="G24" s="62">
        <v>45554</v>
      </c>
      <c r="H24" s="55" t="s">
        <v>89</v>
      </c>
      <c r="I24" s="55" t="s">
        <v>1588</v>
      </c>
      <c r="K24" t="s">
        <v>1589</v>
      </c>
      <c r="L24" t="s">
        <v>1590</v>
      </c>
      <c r="M24" t="s">
        <v>1546</v>
      </c>
      <c r="Q24" s="3">
        <f t="shared" si="0"/>
        <v>102444.18</v>
      </c>
    </row>
    <row r="25" spans="1:17" ht="43.5" x14ac:dyDescent="0.35">
      <c r="A25" t="s">
        <v>0</v>
      </c>
      <c r="B25" t="s">
        <v>1543</v>
      </c>
      <c r="C25" t="s">
        <v>8</v>
      </c>
      <c r="D25" s="3" t="s">
        <v>9</v>
      </c>
      <c r="E25">
        <v>100639.5</v>
      </c>
      <c r="F25" s="19" t="s">
        <v>88</v>
      </c>
      <c r="G25" s="62">
        <v>45614</v>
      </c>
      <c r="H25" s="55" t="s">
        <v>89</v>
      </c>
      <c r="I25" s="55" t="s">
        <v>1591</v>
      </c>
      <c r="K25" t="s">
        <v>1592</v>
      </c>
      <c r="L25" t="s">
        <v>1593</v>
      </c>
      <c r="M25" t="s">
        <v>1546</v>
      </c>
      <c r="Q25" s="3">
        <f t="shared" si="0"/>
        <v>100639.5</v>
      </c>
    </row>
    <row r="26" spans="1:17" ht="43.5" x14ac:dyDescent="0.35">
      <c r="A26" t="s">
        <v>0</v>
      </c>
      <c r="B26" t="s">
        <v>1543</v>
      </c>
      <c r="C26" t="s">
        <v>8</v>
      </c>
      <c r="D26" s="3" t="s">
        <v>9</v>
      </c>
      <c r="E26">
        <v>97293.9</v>
      </c>
      <c r="F26" s="19" t="s">
        <v>88</v>
      </c>
      <c r="G26" s="62">
        <v>45636</v>
      </c>
      <c r="H26" s="55" t="s">
        <v>89</v>
      </c>
      <c r="I26" s="55" t="s">
        <v>1594</v>
      </c>
      <c r="K26" t="s">
        <v>1595</v>
      </c>
      <c r="L26" t="s">
        <v>1596</v>
      </c>
      <c r="M26" t="s">
        <v>1546</v>
      </c>
      <c r="Q26" s="3">
        <f t="shared" si="0"/>
        <v>97293.9</v>
      </c>
    </row>
    <row r="27" spans="1:17" ht="43.5" x14ac:dyDescent="0.35">
      <c r="A27" t="s">
        <v>0</v>
      </c>
      <c r="B27" t="s">
        <v>1543</v>
      </c>
      <c r="C27" t="s">
        <v>8</v>
      </c>
      <c r="D27" s="3" t="s">
        <v>9</v>
      </c>
      <c r="E27">
        <v>-75153.27</v>
      </c>
      <c r="F27" s="19" t="s">
        <v>88</v>
      </c>
      <c r="G27" s="62">
        <v>45608</v>
      </c>
      <c r="H27" s="55" t="s">
        <v>89</v>
      </c>
      <c r="I27" s="55" t="s">
        <v>1560</v>
      </c>
      <c r="K27" t="s">
        <v>1561</v>
      </c>
      <c r="L27" t="s">
        <v>1562</v>
      </c>
      <c r="M27" t="s">
        <v>1546</v>
      </c>
      <c r="Q27" s="3">
        <f t="shared" si="0"/>
        <v>75153.27</v>
      </c>
    </row>
    <row r="28" spans="1:17" ht="29" x14ac:dyDescent="0.35">
      <c r="A28" t="s">
        <v>0</v>
      </c>
      <c r="B28" t="s">
        <v>790</v>
      </c>
      <c r="C28" t="s">
        <v>8</v>
      </c>
      <c r="D28" s="3" t="s">
        <v>9</v>
      </c>
      <c r="E28">
        <v>65000</v>
      </c>
      <c r="F28" s="19" t="s">
        <v>88</v>
      </c>
      <c r="G28" s="62">
        <v>45642</v>
      </c>
      <c r="I28" s="55" t="s">
        <v>1597</v>
      </c>
      <c r="K28" s="55" t="s">
        <v>1269</v>
      </c>
      <c r="Q28" s="3">
        <f t="shared" si="0"/>
        <v>65000</v>
      </c>
    </row>
    <row r="29" spans="1:17" ht="43.5" x14ac:dyDescent="0.35">
      <c r="A29" t="s">
        <v>0</v>
      </c>
      <c r="B29" t="s">
        <v>1543</v>
      </c>
      <c r="C29" t="s">
        <v>8</v>
      </c>
      <c r="D29" s="3" t="s">
        <v>9</v>
      </c>
      <c r="E29">
        <v>62569.52</v>
      </c>
      <c r="F29" s="19" t="s">
        <v>88</v>
      </c>
      <c r="G29" s="62">
        <v>45431</v>
      </c>
      <c r="H29" s="55" t="s">
        <v>89</v>
      </c>
      <c r="I29" s="55" t="s">
        <v>1598</v>
      </c>
      <c r="K29" t="s">
        <v>1599</v>
      </c>
      <c r="L29" t="s">
        <v>1600</v>
      </c>
      <c r="M29" t="s">
        <v>1546</v>
      </c>
      <c r="Q29" s="3">
        <f t="shared" si="0"/>
        <v>62569.52</v>
      </c>
    </row>
    <row r="30" spans="1:17" ht="43.5" x14ac:dyDescent="0.35">
      <c r="A30" t="s">
        <v>0</v>
      </c>
      <c r="B30" t="s">
        <v>1566</v>
      </c>
      <c r="C30" t="s">
        <v>8</v>
      </c>
      <c r="D30" s="3" t="s">
        <v>9</v>
      </c>
      <c r="E30">
        <v>61340.4</v>
      </c>
      <c r="F30" s="19" t="s">
        <v>88</v>
      </c>
      <c r="G30" s="62">
        <v>45642</v>
      </c>
      <c r="I30" s="55" t="s">
        <v>1601</v>
      </c>
      <c r="K30" s="55" t="s">
        <v>1269</v>
      </c>
      <c r="Q30" s="3">
        <f t="shared" si="0"/>
        <v>61340.4</v>
      </c>
    </row>
    <row r="31" spans="1:17" ht="43.5" x14ac:dyDescent="0.35">
      <c r="A31" t="s">
        <v>0</v>
      </c>
      <c r="B31" t="s">
        <v>1543</v>
      </c>
      <c r="C31" t="s">
        <v>8</v>
      </c>
      <c r="D31" s="3" t="s">
        <v>9</v>
      </c>
      <c r="E31">
        <v>60787.040000000001</v>
      </c>
      <c r="F31" s="19" t="s">
        <v>88</v>
      </c>
      <c r="G31" s="62">
        <v>45636</v>
      </c>
      <c r="H31" s="55" t="s">
        <v>89</v>
      </c>
      <c r="I31" s="55" t="s">
        <v>1602</v>
      </c>
      <c r="K31" t="s">
        <v>1603</v>
      </c>
      <c r="L31" t="s">
        <v>1604</v>
      </c>
      <c r="M31" t="s">
        <v>1546</v>
      </c>
      <c r="Q31" s="3">
        <f t="shared" si="0"/>
        <v>60787.040000000001</v>
      </c>
    </row>
    <row r="32" spans="1:17" ht="43.5" x14ac:dyDescent="0.35">
      <c r="A32" t="s">
        <v>0</v>
      </c>
      <c r="B32" t="s">
        <v>1543</v>
      </c>
      <c r="C32" t="s">
        <v>8</v>
      </c>
      <c r="D32" s="3" t="s">
        <v>9</v>
      </c>
      <c r="E32">
        <v>52840.94</v>
      </c>
      <c r="F32" s="19" t="s">
        <v>88</v>
      </c>
      <c r="G32" s="62">
        <v>45636</v>
      </c>
      <c r="H32" s="55" t="s">
        <v>89</v>
      </c>
      <c r="I32" s="55" t="s">
        <v>1605</v>
      </c>
      <c r="K32" t="s">
        <v>1606</v>
      </c>
      <c r="L32" t="s">
        <v>1607</v>
      </c>
      <c r="M32" t="s">
        <v>1546</v>
      </c>
      <c r="Q32" s="3">
        <f t="shared" si="0"/>
        <v>52840.94</v>
      </c>
    </row>
    <row r="33" spans="1:17" ht="43.5" x14ac:dyDescent="0.35">
      <c r="A33" t="s">
        <v>0</v>
      </c>
      <c r="B33" t="s">
        <v>1543</v>
      </c>
      <c r="C33" t="s">
        <v>8</v>
      </c>
      <c r="D33" s="3" t="s">
        <v>9</v>
      </c>
      <c r="E33">
        <v>51092.83</v>
      </c>
      <c r="F33" s="19" t="s">
        <v>88</v>
      </c>
      <c r="G33" s="62">
        <v>45614</v>
      </c>
      <c r="H33" s="55" t="s">
        <v>89</v>
      </c>
      <c r="I33" s="55" t="s">
        <v>1608</v>
      </c>
      <c r="K33" t="s">
        <v>1609</v>
      </c>
      <c r="L33" t="s">
        <v>1610</v>
      </c>
      <c r="M33" t="s">
        <v>1546</v>
      </c>
      <c r="Q33" s="3">
        <f t="shared" si="0"/>
        <v>51092.83</v>
      </c>
    </row>
    <row r="34" spans="1:17" ht="43.5" x14ac:dyDescent="0.35">
      <c r="A34" t="s">
        <v>0</v>
      </c>
      <c r="B34" t="s">
        <v>1543</v>
      </c>
      <c r="C34" t="s">
        <v>8</v>
      </c>
      <c r="D34" s="3" t="s">
        <v>9</v>
      </c>
      <c r="E34">
        <v>49496.85</v>
      </c>
      <c r="F34" s="19" t="s">
        <v>88</v>
      </c>
      <c r="G34" s="62">
        <v>45629</v>
      </c>
      <c r="H34" s="55" t="s">
        <v>89</v>
      </c>
      <c r="I34" s="55" t="s">
        <v>1611</v>
      </c>
      <c r="K34" t="s">
        <v>1612</v>
      </c>
      <c r="L34" t="s">
        <v>1613</v>
      </c>
      <c r="M34" t="s">
        <v>1546</v>
      </c>
      <c r="Q34" s="3">
        <f t="shared" si="0"/>
        <v>49496.85</v>
      </c>
    </row>
    <row r="35" spans="1:17" ht="43.5" x14ac:dyDescent="0.35">
      <c r="A35" t="s">
        <v>0</v>
      </c>
      <c r="B35" t="s">
        <v>1566</v>
      </c>
      <c r="C35" t="s">
        <v>8</v>
      </c>
      <c r="D35" s="3" t="s">
        <v>9</v>
      </c>
      <c r="E35">
        <v>44679.34</v>
      </c>
      <c r="F35" s="19" t="s">
        <v>88</v>
      </c>
      <c r="G35" s="62">
        <v>45434</v>
      </c>
      <c r="H35" s="55" t="s">
        <v>89</v>
      </c>
      <c r="I35" s="55" t="s">
        <v>1614</v>
      </c>
      <c r="K35" t="s">
        <v>1615</v>
      </c>
      <c r="L35" t="s">
        <v>1616</v>
      </c>
      <c r="M35" t="s">
        <v>166</v>
      </c>
      <c r="Q35" s="3">
        <f t="shared" si="0"/>
        <v>44679.34</v>
      </c>
    </row>
    <row r="36" spans="1:17" ht="43.5" x14ac:dyDescent="0.35">
      <c r="A36" t="s">
        <v>0</v>
      </c>
      <c r="B36" t="s">
        <v>1543</v>
      </c>
      <c r="C36" t="s">
        <v>8</v>
      </c>
      <c r="D36" s="3" t="s">
        <v>9</v>
      </c>
      <c r="E36">
        <v>42072.32</v>
      </c>
      <c r="F36" s="19" t="s">
        <v>88</v>
      </c>
      <c r="G36" s="62">
        <v>45425</v>
      </c>
      <c r="H36" s="55" t="s">
        <v>89</v>
      </c>
      <c r="I36" s="55" t="s">
        <v>1617</v>
      </c>
      <c r="K36" t="s">
        <v>1618</v>
      </c>
      <c r="L36" t="s">
        <v>1619</v>
      </c>
      <c r="M36" t="s">
        <v>187</v>
      </c>
      <c r="Q36" s="3">
        <f t="shared" si="0"/>
        <v>42072.32</v>
      </c>
    </row>
    <row r="37" spans="1:17" ht="43.5" x14ac:dyDescent="0.35">
      <c r="A37" t="s">
        <v>0</v>
      </c>
      <c r="B37" t="s">
        <v>1566</v>
      </c>
      <c r="C37" t="s">
        <v>8</v>
      </c>
      <c r="D37" s="3" t="s">
        <v>9</v>
      </c>
      <c r="E37">
        <v>34777.19</v>
      </c>
      <c r="F37" s="19" t="s">
        <v>88</v>
      </c>
      <c r="G37" s="62">
        <v>45642</v>
      </c>
      <c r="I37" s="55" t="s">
        <v>1269</v>
      </c>
      <c r="K37" s="55" t="s">
        <v>1269</v>
      </c>
      <c r="Q37" s="3">
        <f t="shared" si="0"/>
        <v>34777.19</v>
      </c>
    </row>
    <row r="38" spans="1:17" ht="43.5" x14ac:dyDescent="0.35">
      <c r="A38" t="s">
        <v>0</v>
      </c>
      <c r="B38" t="s">
        <v>1543</v>
      </c>
      <c r="C38" t="s">
        <v>8</v>
      </c>
      <c r="D38" s="3" t="s">
        <v>9</v>
      </c>
      <c r="E38">
        <v>34644.6</v>
      </c>
      <c r="F38" s="19" t="s">
        <v>88</v>
      </c>
      <c r="G38" s="62">
        <v>45637</v>
      </c>
      <c r="H38" s="55" t="s">
        <v>89</v>
      </c>
      <c r="I38" s="55" t="s">
        <v>1620</v>
      </c>
      <c r="K38" t="s">
        <v>1621</v>
      </c>
      <c r="L38" t="s">
        <v>1622</v>
      </c>
      <c r="M38" t="s">
        <v>1546</v>
      </c>
      <c r="Q38" s="3">
        <f t="shared" si="0"/>
        <v>34644.6</v>
      </c>
    </row>
    <row r="39" spans="1:17" ht="43.5" x14ac:dyDescent="0.35">
      <c r="A39" t="s">
        <v>0</v>
      </c>
      <c r="B39" t="s">
        <v>934</v>
      </c>
      <c r="C39" t="s">
        <v>8</v>
      </c>
      <c r="D39" s="3" t="s">
        <v>9</v>
      </c>
      <c r="E39">
        <v>34632.22</v>
      </c>
      <c r="F39" s="19" t="s">
        <v>88</v>
      </c>
      <c r="G39" s="62">
        <v>45597</v>
      </c>
      <c r="H39" s="55" t="s">
        <v>89</v>
      </c>
      <c r="I39" s="55" t="s">
        <v>1623</v>
      </c>
      <c r="K39" t="s">
        <v>1624</v>
      </c>
      <c r="L39" t="s">
        <v>1625</v>
      </c>
      <c r="M39" t="s">
        <v>1626</v>
      </c>
      <c r="Q39" s="3">
        <f t="shared" si="0"/>
        <v>34632.22</v>
      </c>
    </row>
    <row r="40" spans="1:17" ht="43.5" x14ac:dyDescent="0.35">
      <c r="A40" t="s">
        <v>0</v>
      </c>
      <c r="B40" t="s">
        <v>1627</v>
      </c>
      <c r="C40" t="s">
        <v>8</v>
      </c>
      <c r="D40" s="3" t="s">
        <v>9</v>
      </c>
      <c r="E40">
        <v>33408.17</v>
      </c>
      <c r="F40" s="19" t="s">
        <v>88</v>
      </c>
      <c r="G40" s="62">
        <v>45420</v>
      </c>
      <c r="H40" s="55" t="s">
        <v>89</v>
      </c>
      <c r="I40" s="55" t="s">
        <v>1628</v>
      </c>
      <c r="K40" t="s">
        <v>1629</v>
      </c>
      <c r="L40" t="s">
        <v>1630</v>
      </c>
      <c r="M40" t="s">
        <v>155</v>
      </c>
      <c r="Q40" s="3">
        <f t="shared" si="0"/>
        <v>33408.17</v>
      </c>
    </row>
    <row r="41" spans="1:17" ht="43.5" x14ac:dyDescent="0.35">
      <c r="A41" t="s">
        <v>0</v>
      </c>
      <c r="B41" t="s">
        <v>1566</v>
      </c>
      <c r="C41" t="s">
        <v>8</v>
      </c>
      <c r="D41" s="3" t="s">
        <v>9</v>
      </c>
      <c r="E41">
        <v>32807.46</v>
      </c>
      <c r="F41" s="19" t="s">
        <v>88</v>
      </c>
      <c r="G41" s="62">
        <v>45637</v>
      </c>
      <c r="H41" s="55" t="s">
        <v>89</v>
      </c>
      <c r="I41" s="55" t="s">
        <v>1631</v>
      </c>
      <c r="K41" t="s">
        <v>1632</v>
      </c>
      <c r="L41" t="s">
        <v>1633</v>
      </c>
      <c r="M41" t="s">
        <v>149</v>
      </c>
      <c r="Q41" s="3">
        <f t="shared" si="0"/>
        <v>32807.46</v>
      </c>
    </row>
    <row r="42" spans="1:17" ht="43.5" x14ac:dyDescent="0.35">
      <c r="A42" t="s">
        <v>0</v>
      </c>
      <c r="B42" t="s">
        <v>1543</v>
      </c>
      <c r="C42" t="s">
        <v>8</v>
      </c>
      <c r="D42" s="3" t="s">
        <v>9</v>
      </c>
      <c r="E42">
        <v>31835.4</v>
      </c>
      <c r="F42" s="19" t="s">
        <v>88</v>
      </c>
      <c r="G42" s="62">
        <v>45637</v>
      </c>
      <c r="H42" s="55" t="s">
        <v>89</v>
      </c>
      <c r="I42" s="55" t="s">
        <v>1634</v>
      </c>
      <c r="K42" t="s">
        <v>1635</v>
      </c>
      <c r="L42" t="s">
        <v>1636</v>
      </c>
      <c r="M42" t="s">
        <v>1546</v>
      </c>
      <c r="Q42" s="3">
        <f t="shared" si="0"/>
        <v>31835.4</v>
      </c>
    </row>
    <row r="43" spans="1:17" ht="43.5" x14ac:dyDescent="0.35">
      <c r="A43" t="s">
        <v>35</v>
      </c>
      <c r="B43" t="s">
        <v>790</v>
      </c>
      <c r="C43" t="s">
        <v>8</v>
      </c>
      <c r="D43" s="3" t="s">
        <v>9</v>
      </c>
      <c r="E43">
        <v>30184.63</v>
      </c>
      <c r="F43" s="19" t="s">
        <v>88</v>
      </c>
      <c r="G43" s="62">
        <v>45400</v>
      </c>
      <c r="H43" s="55" t="s">
        <v>89</v>
      </c>
      <c r="I43" s="55" t="s">
        <v>1637</v>
      </c>
      <c r="K43" t="s">
        <v>1638</v>
      </c>
      <c r="L43" t="s">
        <v>1639</v>
      </c>
      <c r="M43" t="s">
        <v>1640</v>
      </c>
      <c r="Q43" s="3">
        <f t="shared" si="0"/>
        <v>30184.63</v>
      </c>
    </row>
    <row r="44" spans="1:17" ht="43.5" x14ac:dyDescent="0.35">
      <c r="A44" t="s">
        <v>35</v>
      </c>
      <c r="B44" t="s">
        <v>790</v>
      </c>
      <c r="C44" t="s">
        <v>8</v>
      </c>
      <c r="D44" s="3" t="s">
        <v>9</v>
      </c>
      <c r="E44">
        <v>30184.63</v>
      </c>
      <c r="F44" s="19" t="s">
        <v>88</v>
      </c>
      <c r="G44" s="62">
        <v>45537</v>
      </c>
      <c r="H44" s="55" t="s">
        <v>89</v>
      </c>
      <c r="I44" s="55" t="s">
        <v>1641</v>
      </c>
      <c r="K44" t="s">
        <v>1642</v>
      </c>
      <c r="L44" t="s">
        <v>1643</v>
      </c>
      <c r="M44" t="s">
        <v>1640</v>
      </c>
      <c r="Q44" s="3">
        <f t="shared" si="0"/>
        <v>30184.63</v>
      </c>
    </row>
    <row r="45" spans="1:17" ht="43.5" x14ac:dyDescent="0.35">
      <c r="A45" t="s">
        <v>35</v>
      </c>
      <c r="B45" t="s">
        <v>790</v>
      </c>
      <c r="C45" t="s">
        <v>8</v>
      </c>
      <c r="D45" s="3" t="s">
        <v>9</v>
      </c>
      <c r="E45">
        <v>30184.63</v>
      </c>
      <c r="F45" s="19" t="s">
        <v>88</v>
      </c>
      <c r="G45" s="62">
        <v>45597</v>
      </c>
      <c r="H45" s="55" t="s">
        <v>89</v>
      </c>
      <c r="I45" s="55" t="s">
        <v>1644</v>
      </c>
      <c r="K45" t="s">
        <v>1645</v>
      </c>
      <c r="L45" t="s">
        <v>1646</v>
      </c>
      <c r="M45" t="s">
        <v>1640</v>
      </c>
      <c r="Q45" s="3">
        <f t="shared" si="0"/>
        <v>30184.63</v>
      </c>
    </row>
    <row r="46" spans="1:17" ht="29" x14ac:dyDescent="0.35">
      <c r="A46" t="s">
        <v>0</v>
      </c>
      <c r="B46" t="s">
        <v>1543</v>
      </c>
      <c r="C46" t="s">
        <v>8</v>
      </c>
      <c r="D46" s="3" t="s">
        <v>9</v>
      </c>
      <c r="E46">
        <v>30051</v>
      </c>
      <c r="F46" s="19" t="s">
        <v>88</v>
      </c>
      <c r="G46" s="62">
        <v>45642</v>
      </c>
      <c r="I46" s="55" t="s">
        <v>1647</v>
      </c>
      <c r="K46" s="55" t="s">
        <v>1269</v>
      </c>
      <c r="Q46" s="3">
        <f t="shared" si="0"/>
        <v>30051</v>
      </c>
    </row>
    <row r="47" spans="1:17" ht="43.5" x14ac:dyDescent="0.35">
      <c r="A47" t="s">
        <v>0</v>
      </c>
      <c r="B47" t="s">
        <v>1543</v>
      </c>
      <c r="C47" t="s">
        <v>8</v>
      </c>
      <c r="D47" s="3" t="s">
        <v>9</v>
      </c>
      <c r="E47">
        <v>30046.89</v>
      </c>
      <c r="F47" s="19" t="s">
        <v>88</v>
      </c>
      <c r="G47" s="62">
        <v>45425</v>
      </c>
      <c r="H47" s="55" t="s">
        <v>89</v>
      </c>
      <c r="I47" s="55" t="s">
        <v>1648</v>
      </c>
      <c r="K47" t="s">
        <v>1649</v>
      </c>
      <c r="L47" t="s">
        <v>1650</v>
      </c>
      <c r="M47" t="s">
        <v>1546</v>
      </c>
      <c r="Q47" s="3">
        <f t="shared" si="0"/>
        <v>30046.89</v>
      </c>
    </row>
    <row r="48" spans="1:17" ht="43.5" x14ac:dyDescent="0.35">
      <c r="A48" t="s">
        <v>0</v>
      </c>
      <c r="B48" t="s">
        <v>1543</v>
      </c>
      <c r="C48" t="s">
        <v>8</v>
      </c>
      <c r="D48" s="3" t="s">
        <v>9</v>
      </c>
      <c r="E48">
        <v>30046.89</v>
      </c>
      <c r="F48" s="19" t="s">
        <v>88</v>
      </c>
      <c r="G48" s="62">
        <v>45478</v>
      </c>
      <c r="H48" s="55" t="s">
        <v>89</v>
      </c>
      <c r="I48" s="55" t="s">
        <v>1651</v>
      </c>
      <c r="K48" t="s">
        <v>101</v>
      </c>
      <c r="L48" t="s">
        <v>1652</v>
      </c>
      <c r="M48" t="s">
        <v>1546</v>
      </c>
      <c r="Q48" s="3">
        <f t="shared" si="0"/>
        <v>30046.89</v>
      </c>
    </row>
    <row r="49" spans="1:17" ht="43.5" x14ac:dyDescent="0.35">
      <c r="A49" t="s">
        <v>0</v>
      </c>
      <c r="B49" t="s">
        <v>1543</v>
      </c>
      <c r="C49" t="s">
        <v>8</v>
      </c>
      <c r="D49" s="3" t="s">
        <v>9</v>
      </c>
      <c r="E49">
        <v>30046.89</v>
      </c>
      <c r="F49" s="19" t="s">
        <v>88</v>
      </c>
      <c r="G49" s="62">
        <v>45505</v>
      </c>
      <c r="H49" s="55" t="s">
        <v>89</v>
      </c>
      <c r="I49" s="55" t="s">
        <v>1653</v>
      </c>
      <c r="K49" t="s">
        <v>1654</v>
      </c>
      <c r="L49" t="s">
        <v>1655</v>
      </c>
      <c r="M49" t="s">
        <v>1546</v>
      </c>
      <c r="Q49" s="3">
        <f t="shared" si="0"/>
        <v>30046.89</v>
      </c>
    </row>
    <row r="50" spans="1:17" ht="43.5" x14ac:dyDescent="0.35">
      <c r="A50" t="s">
        <v>0</v>
      </c>
      <c r="B50" t="s">
        <v>1543</v>
      </c>
      <c r="C50" t="s">
        <v>8</v>
      </c>
      <c r="D50" s="3" t="s">
        <v>9</v>
      </c>
      <c r="E50">
        <v>30046.89</v>
      </c>
      <c r="F50" s="19" t="s">
        <v>88</v>
      </c>
      <c r="G50" s="62">
        <v>45547</v>
      </c>
      <c r="H50" s="55" t="s">
        <v>89</v>
      </c>
      <c r="I50" s="55" t="s">
        <v>1656</v>
      </c>
      <c r="K50" t="s">
        <v>1657</v>
      </c>
      <c r="L50" t="s">
        <v>1658</v>
      </c>
      <c r="M50" t="s">
        <v>1546</v>
      </c>
      <c r="Q50" s="3">
        <f t="shared" si="0"/>
        <v>30046.89</v>
      </c>
    </row>
    <row r="51" spans="1:17" ht="43.5" x14ac:dyDescent="0.35">
      <c r="A51" t="s">
        <v>0</v>
      </c>
      <c r="B51" t="s">
        <v>1543</v>
      </c>
      <c r="C51" t="s">
        <v>8</v>
      </c>
      <c r="D51" s="3" t="s">
        <v>9</v>
      </c>
      <c r="E51">
        <v>30046.89</v>
      </c>
      <c r="F51" s="19" t="s">
        <v>88</v>
      </c>
      <c r="G51" s="62">
        <v>45601</v>
      </c>
      <c r="H51" s="55" t="s">
        <v>89</v>
      </c>
      <c r="I51" s="55" t="s">
        <v>1659</v>
      </c>
      <c r="K51" t="s">
        <v>1660</v>
      </c>
      <c r="L51" t="s">
        <v>1661</v>
      </c>
      <c r="M51" t="s">
        <v>1546</v>
      </c>
      <c r="Q51" s="3">
        <f t="shared" si="0"/>
        <v>30046.89</v>
      </c>
    </row>
    <row r="52" spans="1:17" ht="43.5" x14ac:dyDescent="0.35">
      <c r="A52" t="s">
        <v>0</v>
      </c>
      <c r="B52" t="s">
        <v>1543</v>
      </c>
      <c r="C52" t="s">
        <v>8</v>
      </c>
      <c r="D52" s="3" t="s">
        <v>9</v>
      </c>
      <c r="E52">
        <v>30046.89</v>
      </c>
      <c r="F52" s="19" t="s">
        <v>88</v>
      </c>
      <c r="G52" s="62">
        <v>45614</v>
      </c>
      <c r="H52" s="55" t="s">
        <v>89</v>
      </c>
      <c r="I52" s="55" t="s">
        <v>1662</v>
      </c>
      <c r="K52" t="s">
        <v>1663</v>
      </c>
      <c r="L52" t="s">
        <v>1664</v>
      </c>
      <c r="M52" t="s">
        <v>1546</v>
      </c>
      <c r="Q52" s="3">
        <f t="shared" si="0"/>
        <v>30046.89</v>
      </c>
    </row>
    <row r="53" spans="1:17" ht="43.5" x14ac:dyDescent="0.35">
      <c r="A53" t="s">
        <v>0</v>
      </c>
      <c r="B53" t="s">
        <v>1543</v>
      </c>
      <c r="C53" t="s">
        <v>8</v>
      </c>
      <c r="D53" s="3" t="s">
        <v>9</v>
      </c>
      <c r="E53">
        <v>30046.89</v>
      </c>
      <c r="F53" s="19" t="s">
        <v>88</v>
      </c>
      <c r="G53" s="62">
        <v>45637</v>
      </c>
      <c r="H53" s="55" t="s">
        <v>89</v>
      </c>
      <c r="I53" s="55" t="s">
        <v>1665</v>
      </c>
      <c r="K53" t="s">
        <v>1666</v>
      </c>
      <c r="L53" t="s">
        <v>1667</v>
      </c>
      <c r="M53" t="s">
        <v>1546</v>
      </c>
      <c r="Q53" s="3">
        <f t="shared" si="0"/>
        <v>30046.89</v>
      </c>
    </row>
    <row r="54" spans="1:17" ht="43.5" x14ac:dyDescent="0.35">
      <c r="A54" t="s">
        <v>0</v>
      </c>
      <c r="B54" t="s">
        <v>1543</v>
      </c>
      <c r="C54" t="s">
        <v>8</v>
      </c>
      <c r="D54" s="3" t="s">
        <v>9</v>
      </c>
      <c r="E54">
        <v>29954.01</v>
      </c>
      <c r="F54" s="19" t="s">
        <v>88</v>
      </c>
      <c r="G54" s="62">
        <v>45425</v>
      </c>
      <c r="H54" s="55" t="s">
        <v>89</v>
      </c>
      <c r="I54" s="55" t="s">
        <v>1668</v>
      </c>
      <c r="K54" t="s">
        <v>1669</v>
      </c>
      <c r="L54" t="s">
        <v>1006</v>
      </c>
      <c r="M54" t="s">
        <v>1546</v>
      </c>
      <c r="Q54" s="3">
        <f t="shared" si="0"/>
        <v>29954.01</v>
      </c>
    </row>
    <row r="55" spans="1:17" ht="43.5" x14ac:dyDescent="0.35">
      <c r="A55" t="s">
        <v>0</v>
      </c>
      <c r="B55" t="s">
        <v>1566</v>
      </c>
      <c r="C55" t="s">
        <v>8</v>
      </c>
      <c r="D55" s="3" t="s">
        <v>9</v>
      </c>
      <c r="E55">
        <v>29636.06</v>
      </c>
      <c r="F55" s="19" t="s">
        <v>88</v>
      </c>
      <c r="G55" s="62">
        <v>45642</v>
      </c>
      <c r="I55" s="55" t="s">
        <v>1670</v>
      </c>
      <c r="K55" s="55" t="s">
        <v>1269</v>
      </c>
      <c r="Q55" s="3">
        <f t="shared" si="0"/>
        <v>29636.06</v>
      </c>
    </row>
    <row r="56" spans="1:17" ht="29" x14ac:dyDescent="0.35">
      <c r="A56" t="s">
        <v>0</v>
      </c>
      <c r="B56" t="s">
        <v>1566</v>
      </c>
      <c r="C56" t="s">
        <v>8</v>
      </c>
      <c r="D56" s="3" t="s">
        <v>9</v>
      </c>
      <c r="E56">
        <v>27500</v>
      </c>
      <c r="F56" s="19" t="s">
        <v>88</v>
      </c>
      <c r="G56" s="62">
        <v>45642</v>
      </c>
      <c r="I56" s="55" t="s">
        <v>1671</v>
      </c>
      <c r="K56" s="55" t="s">
        <v>1269</v>
      </c>
      <c r="Q56" s="3">
        <f t="shared" si="0"/>
        <v>27500</v>
      </c>
    </row>
    <row r="57" spans="1:17" ht="43.5" x14ac:dyDescent="0.35">
      <c r="A57" t="s">
        <v>0</v>
      </c>
      <c r="B57" t="s">
        <v>1543</v>
      </c>
      <c r="C57" t="s">
        <v>8</v>
      </c>
      <c r="D57" s="3" t="s">
        <v>9</v>
      </c>
      <c r="E57">
        <v>27498.25</v>
      </c>
      <c r="F57" s="19" t="s">
        <v>88</v>
      </c>
      <c r="G57" s="62">
        <v>45569</v>
      </c>
      <c r="H57" s="55" t="s">
        <v>89</v>
      </c>
      <c r="I57" s="55" t="s">
        <v>1672</v>
      </c>
      <c r="K57" t="s">
        <v>1673</v>
      </c>
      <c r="L57" t="s">
        <v>172</v>
      </c>
      <c r="M57" t="s">
        <v>1674</v>
      </c>
      <c r="Q57" s="3">
        <f t="shared" si="0"/>
        <v>27498.25</v>
      </c>
    </row>
    <row r="58" spans="1:17" ht="43.5" x14ac:dyDescent="0.35">
      <c r="A58" t="s">
        <v>0</v>
      </c>
      <c r="B58" t="s">
        <v>1543</v>
      </c>
      <c r="C58" t="s">
        <v>8</v>
      </c>
      <c r="D58" s="3" t="s">
        <v>9</v>
      </c>
      <c r="E58">
        <v>26350.71</v>
      </c>
      <c r="F58" s="19" t="s">
        <v>88</v>
      </c>
      <c r="G58" s="62">
        <v>45425</v>
      </c>
      <c r="H58" s="55" t="s">
        <v>89</v>
      </c>
      <c r="I58" s="55" t="s">
        <v>1675</v>
      </c>
      <c r="K58" t="s">
        <v>1676</v>
      </c>
      <c r="L58" t="s">
        <v>1677</v>
      </c>
      <c r="M58" t="s">
        <v>1546</v>
      </c>
      <c r="Q58" s="3">
        <f t="shared" si="0"/>
        <v>26350.71</v>
      </c>
    </row>
    <row r="59" spans="1:17" ht="29" x14ac:dyDescent="0.35">
      <c r="A59" t="s">
        <v>0</v>
      </c>
      <c r="B59" t="s">
        <v>1566</v>
      </c>
      <c r="C59" t="s">
        <v>8</v>
      </c>
      <c r="D59" s="3" t="s">
        <v>9</v>
      </c>
      <c r="E59">
        <v>25930.77</v>
      </c>
      <c r="F59" s="19" t="s">
        <v>88</v>
      </c>
      <c r="G59" s="62">
        <v>45642</v>
      </c>
      <c r="I59" s="55" t="s">
        <v>1678</v>
      </c>
      <c r="K59" s="55" t="s">
        <v>1269</v>
      </c>
      <c r="Q59" s="3">
        <f t="shared" si="0"/>
        <v>25930.77</v>
      </c>
    </row>
    <row r="60" spans="1:17" ht="43.5" x14ac:dyDescent="0.35">
      <c r="A60" t="s">
        <v>0</v>
      </c>
      <c r="B60" t="s">
        <v>1566</v>
      </c>
      <c r="C60" t="s">
        <v>8</v>
      </c>
      <c r="D60" s="3" t="s">
        <v>9</v>
      </c>
      <c r="E60">
        <v>25926.48</v>
      </c>
      <c r="F60" s="19" t="s">
        <v>88</v>
      </c>
      <c r="G60" s="62">
        <v>45642</v>
      </c>
      <c r="I60" s="55" t="s">
        <v>1679</v>
      </c>
      <c r="K60" s="55" t="s">
        <v>1269</v>
      </c>
      <c r="Q60" s="3">
        <f t="shared" si="0"/>
        <v>25926.48</v>
      </c>
    </row>
    <row r="61" spans="1:17" ht="43.5" x14ac:dyDescent="0.35">
      <c r="A61" t="s">
        <v>0</v>
      </c>
      <c r="B61" t="s">
        <v>1566</v>
      </c>
      <c r="C61" t="s">
        <v>8</v>
      </c>
      <c r="D61" s="3" t="s">
        <v>9</v>
      </c>
      <c r="E61">
        <v>25871.8</v>
      </c>
      <c r="F61" s="19" t="s">
        <v>88</v>
      </c>
      <c r="G61" s="62">
        <v>45435</v>
      </c>
      <c r="H61" s="55" t="s">
        <v>89</v>
      </c>
      <c r="I61" s="55" t="s">
        <v>1680</v>
      </c>
      <c r="K61" t="s">
        <v>1681</v>
      </c>
      <c r="L61" t="s">
        <v>1682</v>
      </c>
      <c r="M61" t="s">
        <v>149</v>
      </c>
      <c r="Q61" s="3">
        <f t="shared" si="0"/>
        <v>25871.8</v>
      </c>
    </row>
    <row r="62" spans="1:17" ht="43.5" x14ac:dyDescent="0.35">
      <c r="A62" t="s">
        <v>0</v>
      </c>
      <c r="B62" t="s">
        <v>1566</v>
      </c>
      <c r="C62" t="s">
        <v>8</v>
      </c>
      <c r="D62" s="3" t="s">
        <v>9</v>
      </c>
      <c r="E62">
        <v>25795.48</v>
      </c>
      <c r="F62" s="19" t="s">
        <v>88</v>
      </c>
      <c r="G62" s="62">
        <v>45435</v>
      </c>
      <c r="H62" s="55" t="s">
        <v>89</v>
      </c>
      <c r="I62" s="55" t="s">
        <v>1683</v>
      </c>
      <c r="K62" t="s">
        <v>1684</v>
      </c>
      <c r="L62" t="s">
        <v>1685</v>
      </c>
      <c r="M62" t="s">
        <v>149</v>
      </c>
      <c r="Q62" s="3">
        <f t="shared" si="0"/>
        <v>25795.48</v>
      </c>
    </row>
    <row r="63" spans="1:17" ht="43.5" x14ac:dyDescent="0.35">
      <c r="A63" t="s">
        <v>0</v>
      </c>
      <c r="B63" t="s">
        <v>1566</v>
      </c>
      <c r="C63" t="s">
        <v>8</v>
      </c>
      <c r="D63" s="3" t="s">
        <v>9</v>
      </c>
      <c r="E63">
        <v>25793.86</v>
      </c>
      <c r="F63" s="19" t="s">
        <v>88</v>
      </c>
      <c r="G63" s="62">
        <v>45527</v>
      </c>
      <c r="H63" s="55" t="s">
        <v>89</v>
      </c>
      <c r="I63" s="55" t="s">
        <v>1686</v>
      </c>
      <c r="K63" t="s">
        <v>1687</v>
      </c>
      <c r="L63" t="s">
        <v>1688</v>
      </c>
      <c r="M63" t="s">
        <v>157</v>
      </c>
      <c r="Q63" s="3">
        <f t="shared" si="0"/>
        <v>25793.86</v>
      </c>
    </row>
    <row r="64" spans="1:17" ht="43.5" x14ac:dyDescent="0.35">
      <c r="A64" t="s">
        <v>0</v>
      </c>
      <c r="B64" t="s">
        <v>1543</v>
      </c>
      <c r="C64" t="s">
        <v>8</v>
      </c>
      <c r="D64" s="3" t="s">
        <v>9</v>
      </c>
      <c r="E64">
        <v>24315.73</v>
      </c>
      <c r="F64" s="19" t="s">
        <v>88</v>
      </c>
      <c r="G64" s="62">
        <v>45601</v>
      </c>
      <c r="H64" s="55" t="s">
        <v>89</v>
      </c>
      <c r="I64" s="55" t="s">
        <v>1689</v>
      </c>
      <c r="K64" t="s">
        <v>1690</v>
      </c>
      <c r="L64" t="s">
        <v>1691</v>
      </c>
      <c r="M64" t="s">
        <v>1546</v>
      </c>
      <c r="Q64" s="3">
        <f t="shared" si="0"/>
        <v>24315.73</v>
      </c>
    </row>
    <row r="65" spans="1:17" ht="43.5" x14ac:dyDescent="0.35">
      <c r="A65" t="s">
        <v>0</v>
      </c>
      <c r="B65" t="s">
        <v>1543</v>
      </c>
      <c r="C65" t="s">
        <v>8</v>
      </c>
      <c r="D65" s="3" t="s">
        <v>9</v>
      </c>
      <c r="E65">
        <v>24315.73</v>
      </c>
      <c r="F65" s="19" t="s">
        <v>88</v>
      </c>
      <c r="G65" s="62">
        <v>45601</v>
      </c>
      <c r="H65" s="55" t="s">
        <v>89</v>
      </c>
      <c r="I65" s="55" t="s">
        <v>1692</v>
      </c>
      <c r="K65" t="s">
        <v>1690</v>
      </c>
      <c r="L65" t="s">
        <v>1693</v>
      </c>
      <c r="M65" t="s">
        <v>1546</v>
      </c>
      <c r="Q65" s="3">
        <f t="shared" si="0"/>
        <v>24315.73</v>
      </c>
    </row>
    <row r="66" spans="1:17" ht="43.5" x14ac:dyDescent="0.35">
      <c r="A66" t="s">
        <v>0</v>
      </c>
      <c r="B66" t="s">
        <v>1543</v>
      </c>
      <c r="C66" t="s">
        <v>8</v>
      </c>
      <c r="D66" s="3" t="s">
        <v>9</v>
      </c>
      <c r="E66">
        <v>-24315.73</v>
      </c>
      <c r="F66" s="19" t="s">
        <v>88</v>
      </c>
      <c r="G66" s="62">
        <v>45611</v>
      </c>
      <c r="H66" s="55" t="s">
        <v>89</v>
      </c>
      <c r="I66" s="55" t="s">
        <v>1692</v>
      </c>
      <c r="K66" t="s">
        <v>1690</v>
      </c>
      <c r="L66" t="s">
        <v>1693</v>
      </c>
      <c r="M66" t="s">
        <v>1546</v>
      </c>
      <c r="Q66" s="3">
        <f t="shared" si="0"/>
        <v>24315.73</v>
      </c>
    </row>
    <row r="67" spans="1:17" ht="58" x14ac:dyDescent="0.35">
      <c r="A67" t="s">
        <v>0</v>
      </c>
      <c r="B67" t="s">
        <v>1543</v>
      </c>
      <c r="C67" t="s">
        <v>8</v>
      </c>
      <c r="D67" s="3" t="s">
        <v>9</v>
      </c>
      <c r="E67">
        <v>-24315.73</v>
      </c>
      <c r="F67" s="19" t="s">
        <v>88</v>
      </c>
      <c r="G67" s="62">
        <v>45615</v>
      </c>
      <c r="H67" s="55" t="s">
        <v>1052</v>
      </c>
      <c r="I67" s="55" t="s">
        <v>1692</v>
      </c>
      <c r="K67" t="s">
        <v>1690</v>
      </c>
      <c r="L67" t="s">
        <v>1693</v>
      </c>
      <c r="M67" t="s">
        <v>1546</v>
      </c>
      <c r="Q67" s="3">
        <f t="shared" si="0"/>
        <v>24315.73</v>
      </c>
    </row>
    <row r="68" spans="1:17" ht="29" x14ac:dyDescent="0.35">
      <c r="A68" t="s">
        <v>0</v>
      </c>
      <c r="B68" t="s">
        <v>1566</v>
      </c>
      <c r="C68" t="s">
        <v>8</v>
      </c>
      <c r="D68" s="3" t="s">
        <v>9</v>
      </c>
      <c r="E68">
        <v>24062.5</v>
      </c>
      <c r="F68" s="19" t="s">
        <v>88</v>
      </c>
      <c r="G68" s="62">
        <v>45642</v>
      </c>
      <c r="I68" s="55" t="s">
        <v>1694</v>
      </c>
      <c r="K68" s="55" t="s">
        <v>1269</v>
      </c>
      <c r="Q68" s="3">
        <f t="shared" si="0"/>
        <v>24062.5</v>
      </c>
    </row>
    <row r="69" spans="1:17" ht="29" x14ac:dyDescent="0.35">
      <c r="A69" t="s">
        <v>0</v>
      </c>
      <c r="B69" t="s">
        <v>1543</v>
      </c>
      <c r="C69" t="s">
        <v>8</v>
      </c>
      <c r="D69" s="3" t="s">
        <v>9</v>
      </c>
      <c r="E69">
        <v>24062.5</v>
      </c>
      <c r="F69" s="19" t="s">
        <v>88</v>
      </c>
      <c r="G69" s="62">
        <v>45642</v>
      </c>
      <c r="I69" s="55" t="s">
        <v>1695</v>
      </c>
      <c r="K69" s="55" t="s">
        <v>1269</v>
      </c>
      <c r="Q69" s="3">
        <f t="shared" si="0"/>
        <v>24062.5</v>
      </c>
    </row>
    <row r="70" spans="1:17" ht="43.5" x14ac:dyDescent="0.35">
      <c r="A70" t="s">
        <v>0</v>
      </c>
      <c r="B70" t="s">
        <v>1543</v>
      </c>
      <c r="C70" t="s">
        <v>8</v>
      </c>
      <c r="D70" s="3" t="s">
        <v>9</v>
      </c>
      <c r="E70">
        <v>24060.97</v>
      </c>
      <c r="F70" s="19" t="s">
        <v>88</v>
      </c>
      <c r="G70" s="62">
        <v>45447</v>
      </c>
      <c r="H70" s="55" t="s">
        <v>89</v>
      </c>
      <c r="I70" s="55" t="s">
        <v>1696</v>
      </c>
      <c r="K70" t="s">
        <v>101</v>
      </c>
      <c r="L70" t="s">
        <v>1697</v>
      </c>
      <c r="M70" t="s">
        <v>1698</v>
      </c>
      <c r="Q70" s="3">
        <f t="shared" si="0"/>
        <v>24060.97</v>
      </c>
    </row>
    <row r="71" spans="1:17" ht="43.5" x14ac:dyDescent="0.35">
      <c r="A71" t="s">
        <v>0</v>
      </c>
      <c r="B71" t="s">
        <v>1543</v>
      </c>
      <c r="C71" t="s">
        <v>8</v>
      </c>
      <c r="D71" s="3" t="s">
        <v>9</v>
      </c>
      <c r="E71">
        <v>24060.97</v>
      </c>
      <c r="F71" s="19" t="s">
        <v>88</v>
      </c>
      <c r="G71" s="62">
        <v>45455</v>
      </c>
      <c r="H71" s="55" t="s">
        <v>89</v>
      </c>
      <c r="I71" s="55" t="s">
        <v>1699</v>
      </c>
      <c r="K71" t="s">
        <v>101</v>
      </c>
      <c r="L71" t="s">
        <v>281</v>
      </c>
      <c r="M71" t="s">
        <v>1698</v>
      </c>
      <c r="Q71" s="3">
        <f t="shared" si="0"/>
        <v>24060.97</v>
      </c>
    </row>
    <row r="72" spans="1:17" ht="43.5" x14ac:dyDescent="0.35">
      <c r="A72" t="s">
        <v>0</v>
      </c>
      <c r="B72" t="s">
        <v>1543</v>
      </c>
      <c r="C72" t="s">
        <v>8</v>
      </c>
      <c r="D72" s="3" t="s">
        <v>9</v>
      </c>
      <c r="E72">
        <v>24060.97</v>
      </c>
      <c r="F72" s="19" t="s">
        <v>88</v>
      </c>
      <c r="G72" s="62">
        <v>45455</v>
      </c>
      <c r="H72" s="55" t="s">
        <v>89</v>
      </c>
      <c r="I72" s="55" t="s">
        <v>1700</v>
      </c>
      <c r="K72" t="s">
        <v>101</v>
      </c>
      <c r="L72" t="s">
        <v>1701</v>
      </c>
      <c r="M72" t="s">
        <v>1698</v>
      </c>
      <c r="Q72" s="3">
        <f t="shared" ref="Q72:Q135" si="1">ABS(E72)</f>
        <v>24060.97</v>
      </c>
    </row>
    <row r="73" spans="1:17" ht="43.5" x14ac:dyDescent="0.35">
      <c r="A73" t="s">
        <v>0</v>
      </c>
      <c r="B73" t="s">
        <v>1543</v>
      </c>
      <c r="C73" t="s">
        <v>8</v>
      </c>
      <c r="D73" s="3" t="s">
        <v>9</v>
      </c>
      <c r="E73">
        <v>24060.97</v>
      </c>
      <c r="F73" s="19" t="s">
        <v>88</v>
      </c>
      <c r="G73" s="62">
        <v>45455</v>
      </c>
      <c r="H73" s="55" t="s">
        <v>89</v>
      </c>
      <c r="I73" s="55" t="s">
        <v>1702</v>
      </c>
      <c r="K73" t="s">
        <v>101</v>
      </c>
      <c r="L73" t="s">
        <v>1064</v>
      </c>
      <c r="M73" t="s">
        <v>1698</v>
      </c>
      <c r="Q73" s="3">
        <f t="shared" si="1"/>
        <v>24060.97</v>
      </c>
    </row>
    <row r="74" spans="1:17" ht="43.5" x14ac:dyDescent="0.35">
      <c r="A74" t="s">
        <v>0</v>
      </c>
      <c r="B74" t="s">
        <v>1543</v>
      </c>
      <c r="C74" t="s">
        <v>8</v>
      </c>
      <c r="D74" s="3" t="s">
        <v>9</v>
      </c>
      <c r="E74">
        <v>24060.97</v>
      </c>
      <c r="F74" s="19" t="s">
        <v>88</v>
      </c>
      <c r="G74" s="62">
        <v>45455</v>
      </c>
      <c r="H74" s="55" t="s">
        <v>89</v>
      </c>
      <c r="I74" s="55" t="s">
        <v>1703</v>
      </c>
      <c r="K74" t="s">
        <v>101</v>
      </c>
      <c r="L74" t="s">
        <v>1704</v>
      </c>
      <c r="M74" t="s">
        <v>1698</v>
      </c>
      <c r="Q74" s="3">
        <f t="shared" si="1"/>
        <v>24060.97</v>
      </c>
    </row>
    <row r="75" spans="1:17" ht="43.5" x14ac:dyDescent="0.35">
      <c r="A75" t="s">
        <v>0</v>
      </c>
      <c r="B75" t="s">
        <v>1543</v>
      </c>
      <c r="C75" t="s">
        <v>8</v>
      </c>
      <c r="D75" s="3" t="s">
        <v>9</v>
      </c>
      <c r="E75">
        <v>24060.97</v>
      </c>
      <c r="F75" s="19" t="s">
        <v>88</v>
      </c>
      <c r="G75" s="62">
        <v>45614</v>
      </c>
      <c r="H75" s="55" t="s">
        <v>89</v>
      </c>
      <c r="I75" s="55" t="s">
        <v>1705</v>
      </c>
      <c r="K75" t="s">
        <v>1706</v>
      </c>
      <c r="L75" t="s">
        <v>1707</v>
      </c>
      <c r="M75" t="s">
        <v>1698</v>
      </c>
      <c r="Q75" s="3">
        <f t="shared" si="1"/>
        <v>24060.97</v>
      </c>
    </row>
    <row r="76" spans="1:17" ht="43.5" x14ac:dyDescent="0.35">
      <c r="A76" t="s">
        <v>0</v>
      </c>
      <c r="B76" t="s">
        <v>1543</v>
      </c>
      <c r="C76" t="s">
        <v>8</v>
      </c>
      <c r="D76" s="3" t="s">
        <v>9</v>
      </c>
      <c r="E76">
        <v>24060.97</v>
      </c>
      <c r="F76" s="19" t="s">
        <v>88</v>
      </c>
      <c r="G76" s="62">
        <v>45614</v>
      </c>
      <c r="H76" s="55" t="s">
        <v>89</v>
      </c>
      <c r="I76" s="55" t="s">
        <v>1708</v>
      </c>
      <c r="K76" t="s">
        <v>1709</v>
      </c>
      <c r="L76" t="s">
        <v>1710</v>
      </c>
      <c r="M76" t="s">
        <v>1698</v>
      </c>
      <c r="Q76" s="3">
        <f t="shared" si="1"/>
        <v>24060.97</v>
      </c>
    </row>
    <row r="77" spans="1:17" ht="43.5" x14ac:dyDescent="0.35">
      <c r="A77" t="s">
        <v>0</v>
      </c>
      <c r="B77" t="s">
        <v>1566</v>
      </c>
      <c r="C77" t="s">
        <v>8</v>
      </c>
      <c r="D77" s="3" t="s">
        <v>9</v>
      </c>
      <c r="E77">
        <v>24011.75</v>
      </c>
      <c r="F77" s="19" t="s">
        <v>88</v>
      </c>
      <c r="G77" s="62">
        <v>45429</v>
      </c>
      <c r="H77" s="55" t="s">
        <v>89</v>
      </c>
      <c r="I77" s="55" t="s">
        <v>1711</v>
      </c>
      <c r="K77" t="s">
        <v>1712</v>
      </c>
      <c r="L77" t="s">
        <v>1713</v>
      </c>
      <c r="M77" t="s">
        <v>1698</v>
      </c>
      <c r="Q77" s="3">
        <f t="shared" si="1"/>
        <v>24011.75</v>
      </c>
    </row>
    <row r="78" spans="1:17" ht="43.5" x14ac:dyDescent="0.35">
      <c r="A78" t="s">
        <v>0</v>
      </c>
      <c r="B78" t="s">
        <v>1566</v>
      </c>
      <c r="C78" t="s">
        <v>8</v>
      </c>
      <c r="D78" s="3" t="s">
        <v>9</v>
      </c>
      <c r="E78">
        <v>22571.040000000001</v>
      </c>
      <c r="F78" s="19" t="s">
        <v>88</v>
      </c>
      <c r="G78" s="62">
        <v>45434</v>
      </c>
      <c r="H78" s="55" t="s">
        <v>89</v>
      </c>
      <c r="I78" s="55" t="s">
        <v>1714</v>
      </c>
      <c r="K78" t="s">
        <v>1715</v>
      </c>
      <c r="L78" t="s">
        <v>1716</v>
      </c>
      <c r="M78" t="s">
        <v>149</v>
      </c>
      <c r="Q78" s="3">
        <f t="shared" si="1"/>
        <v>22571.040000000001</v>
      </c>
    </row>
    <row r="79" spans="1:17" ht="43.5" x14ac:dyDescent="0.35">
      <c r="A79" t="s">
        <v>0</v>
      </c>
      <c r="B79" t="s">
        <v>1566</v>
      </c>
      <c r="C79" t="s">
        <v>8</v>
      </c>
      <c r="D79" s="3" t="s">
        <v>9</v>
      </c>
      <c r="E79">
        <v>21953.599999999999</v>
      </c>
      <c r="F79" s="19" t="s">
        <v>88</v>
      </c>
      <c r="G79" s="62">
        <v>45637</v>
      </c>
      <c r="H79" s="55" t="s">
        <v>89</v>
      </c>
      <c r="I79" s="55" t="s">
        <v>1717</v>
      </c>
      <c r="K79" t="s">
        <v>1718</v>
      </c>
      <c r="L79" t="s">
        <v>1719</v>
      </c>
      <c r="M79" t="s">
        <v>1720</v>
      </c>
      <c r="Q79" s="3">
        <f t="shared" si="1"/>
        <v>21953.599999999999</v>
      </c>
    </row>
    <row r="80" spans="1:17" ht="43.5" x14ac:dyDescent="0.35">
      <c r="A80" t="s">
        <v>0</v>
      </c>
      <c r="B80" t="s">
        <v>1566</v>
      </c>
      <c r="C80" t="s">
        <v>8</v>
      </c>
      <c r="D80" s="3" t="s">
        <v>9</v>
      </c>
      <c r="E80">
        <v>19916.310000000001</v>
      </c>
      <c r="F80" s="19" t="s">
        <v>88</v>
      </c>
      <c r="G80" s="62">
        <v>45637</v>
      </c>
      <c r="H80" s="55" t="s">
        <v>89</v>
      </c>
      <c r="I80" s="55" t="s">
        <v>1721</v>
      </c>
      <c r="K80" t="s">
        <v>1722</v>
      </c>
      <c r="L80" t="s">
        <v>1723</v>
      </c>
      <c r="M80" t="s">
        <v>1546</v>
      </c>
      <c r="Q80" s="3">
        <f t="shared" si="1"/>
        <v>19916.310000000001</v>
      </c>
    </row>
    <row r="81" spans="1:17" ht="29" x14ac:dyDescent="0.35">
      <c r="A81" t="s">
        <v>0</v>
      </c>
      <c r="B81" t="s">
        <v>1566</v>
      </c>
      <c r="C81" t="s">
        <v>8</v>
      </c>
      <c r="D81" s="3" t="s">
        <v>9</v>
      </c>
      <c r="E81">
        <v>18700</v>
      </c>
      <c r="F81" s="19" t="s">
        <v>88</v>
      </c>
      <c r="G81" s="62">
        <v>45642</v>
      </c>
      <c r="I81" s="55" t="s">
        <v>1724</v>
      </c>
      <c r="K81" s="55" t="s">
        <v>1269</v>
      </c>
      <c r="Q81" s="3">
        <f t="shared" si="1"/>
        <v>18700</v>
      </c>
    </row>
    <row r="82" spans="1:17" ht="43.5" x14ac:dyDescent="0.35">
      <c r="A82" t="s">
        <v>0</v>
      </c>
      <c r="B82" t="s">
        <v>1566</v>
      </c>
      <c r="C82" t="s">
        <v>8</v>
      </c>
      <c r="D82" s="3" t="s">
        <v>9</v>
      </c>
      <c r="E82">
        <v>18515.87</v>
      </c>
      <c r="F82" s="19" t="s">
        <v>88</v>
      </c>
      <c r="G82" s="62">
        <v>45601</v>
      </c>
      <c r="H82" s="55" t="s">
        <v>89</v>
      </c>
      <c r="I82" s="55" t="s">
        <v>1725</v>
      </c>
      <c r="K82" t="s">
        <v>1609</v>
      </c>
      <c r="L82" t="s">
        <v>1726</v>
      </c>
      <c r="M82" t="s">
        <v>1546</v>
      </c>
      <c r="Q82" s="3">
        <f t="shared" si="1"/>
        <v>18515.87</v>
      </c>
    </row>
    <row r="83" spans="1:17" ht="43.5" x14ac:dyDescent="0.35">
      <c r="A83" t="s">
        <v>0</v>
      </c>
      <c r="B83" t="s">
        <v>1543</v>
      </c>
      <c r="C83" t="s">
        <v>8</v>
      </c>
      <c r="D83" s="3" t="s">
        <v>9</v>
      </c>
      <c r="E83">
        <v>18421.7</v>
      </c>
      <c r="F83" s="19" t="s">
        <v>88</v>
      </c>
      <c r="G83" s="62">
        <v>45413</v>
      </c>
      <c r="H83" s="55" t="s">
        <v>89</v>
      </c>
      <c r="I83" s="55" t="s">
        <v>1727</v>
      </c>
      <c r="K83" t="s">
        <v>1728</v>
      </c>
      <c r="L83" t="s">
        <v>1729</v>
      </c>
      <c r="M83" t="s">
        <v>1730</v>
      </c>
      <c r="Q83" s="3">
        <f t="shared" si="1"/>
        <v>18421.7</v>
      </c>
    </row>
    <row r="84" spans="1:17" ht="58" x14ac:dyDescent="0.35">
      <c r="A84" t="s">
        <v>0</v>
      </c>
      <c r="B84" t="s">
        <v>1543</v>
      </c>
      <c r="C84" t="s">
        <v>8</v>
      </c>
      <c r="D84" s="3" t="s">
        <v>9</v>
      </c>
      <c r="E84">
        <v>17487.43</v>
      </c>
      <c r="F84" s="19" t="s">
        <v>88</v>
      </c>
      <c r="G84" s="62">
        <v>45560</v>
      </c>
      <c r="H84" s="55" t="s">
        <v>1686</v>
      </c>
      <c r="I84" s="55" t="s">
        <v>1686</v>
      </c>
      <c r="Q84" s="3">
        <f t="shared" si="1"/>
        <v>17487.43</v>
      </c>
    </row>
    <row r="85" spans="1:17" ht="58" x14ac:dyDescent="0.35">
      <c r="A85" t="s">
        <v>0</v>
      </c>
      <c r="B85" t="s">
        <v>1566</v>
      </c>
      <c r="C85" t="s">
        <v>8</v>
      </c>
      <c r="D85" s="3" t="s">
        <v>9</v>
      </c>
      <c r="E85">
        <v>-17487.43</v>
      </c>
      <c r="F85" s="19" t="s">
        <v>88</v>
      </c>
      <c r="G85" s="62">
        <v>45560</v>
      </c>
      <c r="H85" s="55" t="s">
        <v>1686</v>
      </c>
      <c r="I85" s="55" t="s">
        <v>1686</v>
      </c>
      <c r="Q85" s="3">
        <f t="shared" si="1"/>
        <v>17487.43</v>
      </c>
    </row>
    <row r="86" spans="1:17" ht="43.5" x14ac:dyDescent="0.35">
      <c r="A86" t="s">
        <v>35</v>
      </c>
      <c r="B86" t="s">
        <v>1566</v>
      </c>
      <c r="C86" t="s">
        <v>8</v>
      </c>
      <c r="D86" s="3" t="s">
        <v>9</v>
      </c>
      <c r="E86">
        <v>17400.669999999998</v>
      </c>
      <c r="F86" s="19" t="s">
        <v>88</v>
      </c>
      <c r="G86" s="62">
        <v>45538</v>
      </c>
      <c r="H86" s="55" t="s">
        <v>89</v>
      </c>
      <c r="I86" s="55" t="s">
        <v>1731</v>
      </c>
      <c r="K86" t="s">
        <v>1732</v>
      </c>
      <c r="L86" t="s">
        <v>1733</v>
      </c>
      <c r="M86" t="s">
        <v>1734</v>
      </c>
      <c r="Q86" s="3">
        <f t="shared" si="1"/>
        <v>17400.669999999998</v>
      </c>
    </row>
    <row r="87" spans="1:17" ht="43.5" x14ac:dyDescent="0.35">
      <c r="A87" t="s">
        <v>0</v>
      </c>
      <c r="B87" t="s">
        <v>1566</v>
      </c>
      <c r="C87" t="s">
        <v>8</v>
      </c>
      <c r="D87" s="3" t="s">
        <v>9</v>
      </c>
      <c r="E87">
        <v>17359.97</v>
      </c>
      <c r="F87" s="19" t="s">
        <v>88</v>
      </c>
      <c r="G87" s="62">
        <v>45510</v>
      </c>
      <c r="H87" s="55" t="s">
        <v>89</v>
      </c>
      <c r="I87" s="55" t="s">
        <v>1735</v>
      </c>
      <c r="K87" t="s">
        <v>1736</v>
      </c>
      <c r="L87" t="s">
        <v>1737</v>
      </c>
      <c r="M87" t="s">
        <v>157</v>
      </c>
      <c r="Q87" s="3">
        <f t="shared" si="1"/>
        <v>17359.97</v>
      </c>
    </row>
    <row r="88" spans="1:17" ht="43.5" x14ac:dyDescent="0.35">
      <c r="A88" t="s">
        <v>0</v>
      </c>
      <c r="B88" t="s">
        <v>1566</v>
      </c>
      <c r="C88" t="s">
        <v>8</v>
      </c>
      <c r="D88" s="3" t="s">
        <v>9</v>
      </c>
      <c r="E88">
        <v>16465.2</v>
      </c>
      <c r="F88" s="19" t="s">
        <v>88</v>
      </c>
      <c r="G88" s="62">
        <v>45395</v>
      </c>
      <c r="H88" s="55" t="s">
        <v>89</v>
      </c>
      <c r="I88" s="55" t="s">
        <v>1738</v>
      </c>
      <c r="K88" t="s">
        <v>1739</v>
      </c>
      <c r="L88" t="s">
        <v>1740</v>
      </c>
      <c r="M88" t="s">
        <v>1720</v>
      </c>
      <c r="Q88" s="3">
        <f t="shared" si="1"/>
        <v>16465.2</v>
      </c>
    </row>
    <row r="89" spans="1:17" ht="43.5" x14ac:dyDescent="0.35">
      <c r="A89" t="s">
        <v>0</v>
      </c>
      <c r="B89" t="s">
        <v>1543</v>
      </c>
      <c r="C89" t="s">
        <v>8</v>
      </c>
      <c r="D89" s="3" t="s">
        <v>9</v>
      </c>
      <c r="E89">
        <v>16447.95</v>
      </c>
      <c r="F89" s="19" t="s">
        <v>88</v>
      </c>
      <c r="G89" s="62">
        <v>45429</v>
      </c>
      <c r="H89" s="55" t="s">
        <v>89</v>
      </c>
      <c r="I89" s="55" t="s">
        <v>1741</v>
      </c>
      <c r="K89" t="s">
        <v>1742</v>
      </c>
      <c r="L89" t="s">
        <v>1743</v>
      </c>
      <c r="M89" t="s">
        <v>187</v>
      </c>
      <c r="Q89" s="3">
        <f t="shared" si="1"/>
        <v>16447.95</v>
      </c>
    </row>
    <row r="90" spans="1:17" ht="43.5" x14ac:dyDescent="0.35">
      <c r="A90" t="s">
        <v>0</v>
      </c>
      <c r="B90" t="s">
        <v>1543</v>
      </c>
      <c r="C90" t="s">
        <v>8</v>
      </c>
      <c r="D90" s="3" t="s">
        <v>9</v>
      </c>
      <c r="E90">
        <v>15896.97</v>
      </c>
      <c r="F90" s="19" t="s">
        <v>88</v>
      </c>
      <c r="G90" s="62">
        <v>45601</v>
      </c>
      <c r="H90" s="55" t="s">
        <v>89</v>
      </c>
      <c r="I90" s="55" t="s">
        <v>1744</v>
      </c>
      <c r="K90" t="s">
        <v>1745</v>
      </c>
      <c r="L90" t="s">
        <v>1746</v>
      </c>
      <c r="M90" t="s">
        <v>1546</v>
      </c>
      <c r="Q90" s="3">
        <f t="shared" si="1"/>
        <v>15896.97</v>
      </c>
    </row>
    <row r="91" spans="1:17" ht="29" x14ac:dyDescent="0.35">
      <c r="A91" t="s">
        <v>0</v>
      </c>
      <c r="B91" t="s">
        <v>1566</v>
      </c>
      <c r="C91" t="s">
        <v>8</v>
      </c>
      <c r="D91" s="3" t="s">
        <v>9</v>
      </c>
      <c r="E91">
        <v>15812.5</v>
      </c>
      <c r="F91" s="19" t="s">
        <v>88</v>
      </c>
      <c r="G91" s="62">
        <v>45642</v>
      </c>
      <c r="I91" s="55" t="s">
        <v>1747</v>
      </c>
      <c r="K91" s="55" t="s">
        <v>1269</v>
      </c>
      <c r="Q91" s="3">
        <f t="shared" si="1"/>
        <v>15812.5</v>
      </c>
    </row>
    <row r="92" spans="1:17" ht="29" x14ac:dyDescent="0.35">
      <c r="A92" t="s">
        <v>0</v>
      </c>
      <c r="B92" t="s">
        <v>1543</v>
      </c>
      <c r="C92" t="s">
        <v>8</v>
      </c>
      <c r="D92" s="3" t="s">
        <v>9</v>
      </c>
      <c r="E92">
        <v>15812.5</v>
      </c>
      <c r="F92" s="19" t="s">
        <v>88</v>
      </c>
      <c r="G92" s="62">
        <v>45642</v>
      </c>
      <c r="I92" s="55" t="s">
        <v>1748</v>
      </c>
      <c r="K92" s="55" t="s">
        <v>1269</v>
      </c>
      <c r="Q92" s="3">
        <f t="shared" si="1"/>
        <v>15812.5</v>
      </c>
    </row>
    <row r="93" spans="1:17" ht="43.5" x14ac:dyDescent="0.35">
      <c r="A93" t="s">
        <v>0</v>
      </c>
      <c r="B93" t="s">
        <v>1543</v>
      </c>
      <c r="C93" t="s">
        <v>8</v>
      </c>
      <c r="D93" s="3" t="s">
        <v>9</v>
      </c>
      <c r="E93">
        <v>15811.49</v>
      </c>
      <c r="F93" s="19" t="s">
        <v>88</v>
      </c>
      <c r="G93" s="62">
        <v>45447</v>
      </c>
      <c r="H93" s="55" t="s">
        <v>89</v>
      </c>
      <c r="I93" s="55" t="s">
        <v>1749</v>
      </c>
      <c r="K93" t="s">
        <v>101</v>
      </c>
      <c r="L93" t="s">
        <v>1750</v>
      </c>
      <c r="M93" t="s">
        <v>1698</v>
      </c>
      <c r="Q93" s="3">
        <f t="shared" si="1"/>
        <v>15811.49</v>
      </c>
    </row>
    <row r="94" spans="1:17" ht="43.5" x14ac:dyDescent="0.35">
      <c r="A94" t="s">
        <v>0</v>
      </c>
      <c r="B94" t="s">
        <v>1543</v>
      </c>
      <c r="C94" t="s">
        <v>8</v>
      </c>
      <c r="D94" s="3" t="s">
        <v>9</v>
      </c>
      <c r="E94">
        <v>15811.49</v>
      </c>
      <c r="F94" s="19" t="s">
        <v>88</v>
      </c>
      <c r="G94" s="62">
        <v>45455</v>
      </c>
      <c r="H94" s="55" t="s">
        <v>89</v>
      </c>
      <c r="I94" s="55" t="s">
        <v>1751</v>
      </c>
      <c r="K94" t="s">
        <v>101</v>
      </c>
      <c r="L94" t="s">
        <v>1752</v>
      </c>
      <c r="M94" t="s">
        <v>1698</v>
      </c>
      <c r="Q94" s="3">
        <f t="shared" si="1"/>
        <v>15811.49</v>
      </c>
    </row>
    <row r="95" spans="1:17" ht="43.5" x14ac:dyDescent="0.35">
      <c r="A95" t="s">
        <v>0</v>
      </c>
      <c r="B95" t="s">
        <v>1543</v>
      </c>
      <c r="C95" t="s">
        <v>8</v>
      </c>
      <c r="D95" s="3" t="s">
        <v>9</v>
      </c>
      <c r="E95">
        <v>15811.49</v>
      </c>
      <c r="F95" s="19" t="s">
        <v>88</v>
      </c>
      <c r="G95" s="62">
        <v>45455</v>
      </c>
      <c r="H95" s="55" t="s">
        <v>89</v>
      </c>
      <c r="I95" s="55" t="s">
        <v>1753</v>
      </c>
      <c r="K95" t="s">
        <v>101</v>
      </c>
      <c r="L95" t="s">
        <v>1754</v>
      </c>
      <c r="M95" t="s">
        <v>1698</v>
      </c>
      <c r="Q95" s="3">
        <f t="shared" si="1"/>
        <v>15811.49</v>
      </c>
    </row>
    <row r="96" spans="1:17" ht="43.5" x14ac:dyDescent="0.35">
      <c r="A96" t="s">
        <v>0</v>
      </c>
      <c r="B96" t="s">
        <v>1543</v>
      </c>
      <c r="C96" t="s">
        <v>8</v>
      </c>
      <c r="D96" s="3" t="s">
        <v>9</v>
      </c>
      <c r="E96">
        <v>15811.49</v>
      </c>
      <c r="F96" s="19" t="s">
        <v>88</v>
      </c>
      <c r="G96" s="62">
        <v>45455</v>
      </c>
      <c r="H96" s="55" t="s">
        <v>89</v>
      </c>
      <c r="I96" s="55" t="s">
        <v>1755</v>
      </c>
      <c r="K96" t="s">
        <v>101</v>
      </c>
      <c r="L96" t="s">
        <v>1756</v>
      </c>
      <c r="M96" t="s">
        <v>1698</v>
      </c>
      <c r="Q96" s="3">
        <f t="shared" si="1"/>
        <v>15811.49</v>
      </c>
    </row>
    <row r="97" spans="1:17" ht="43.5" x14ac:dyDescent="0.35">
      <c r="A97" t="s">
        <v>0</v>
      </c>
      <c r="B97" t="s">
        <v>1543</v>
      </c>
      <c r="C97" t="s">
        <v>8</v>
      </c>
      <c r="D97" s="3" t="s">
        <v>9</v>
      </c>
      <c r="E97">
        <v>15811.49</v>
      </c>
      <c r="F97" s="19" t="s">
        <v>88</v>
      </c>
      <c r="G97" s="62">
        <v>45455</v>
      </c>
      <c r="H97" s="55" t="s">
        <v>89</v>
      </c>
      <c r="I97" s="55" t="s">
        <v>1757</v>
      </c>
      <c r="K97" t="s">
        <v>101</v>
      </c>
      <c r="L97" t="s">
        <v>1758</v>
      </c>
      <c r="M97" t="s">
        <v>1698</v>
      </c>
      <c r="Q97" s="3">
        <f t="shared" si="1"/>
        <v>15811.49</v>
      </c>
    </row>
    <row r="98" spans="1:17" ht="43.5" x14ac:dyDescent="0.35">
      <c r="A98" t="s">
        <v>0</v>
      </c>
      <c r="B98" t="s">
        <v>1543</v>
      </c>
      <c r="C98" t="s">
        <v>8</v>
      </c>
      <c r="D98" s="3" t="s">
        <v>9</v>
      </c>
      <c r="E98">
        <v>15811.49</v>
      </c>
      <c r="F98" s="19" t="s">
        <v>88</v>
      </c>
      <c r="G98" s="62">
        <v>45614</v>
      </c>
      <c r="H98" s="55" t="s">
        <v>89</v>
      </c>
      <c r="I98" s="55" t="s">
        <v>1759</v>
      </c>
      <c r="K98" t="s">
        <v>1760</v>
      </c>
      <c r="L98" t="s">
        <v>1761</v>
      </c>
      <c r="M98" t="s">
        <v>1698</v>
      </c>
      <c r="Q98" s="3">
        <f t="shared" si="1"/>
        <v>15811.49</v>
      </c>
    </row>
    <row r="99" spans="1:17" ht="43.5" x14ac:dyDescent="0.35">
      <c r="A99" t="s">
        <v>0</v>
      </c>
      <c r="B99" t="s">
        <v>1543</v>
      </c>
      <c r="C99" t="s">
        <v>8</v>
      </c>
      <c r="D99" s="3" t="s">
        <v>9</v>
      </c>
      <c r="E99">
        <v>15811.49</v>
      </c>
      <c r="F99" s="19" t="s">
        <v>88</v>
      </c>
      <c r="G99" s="62">
        <v>45614</v>
      </c>
      <c r="H99" s="55" t="s">
        <v>89</v>
      </c>
      <c r="I99" s="55" t="s">
        <v>1762</v>
      </c>
      <c r="K99" t="s">
        <v>1763</v>
      </c>
      <c r="L99" t="s">
        <v>1764</v>
      </c>
      <c r="M99" t="s">
        <v>1698</v>
      </c>
      <c r="Q99" s="3">
        <f t="shared" si="1"/>
        <v>15811.49</v>
      </c>
    </row>
    <row r="100" spans="1:17" ht="43.5" x14ac:dyDescent="0.35">
      <c r="A100" t="s">
        <v>0</v>
      </c>
      <c r="B100" t="s">
        <v>1566</v>
      </c>
      <c r="C100" t="s">
        <v>8</v>
      </c>
      <c r="D100" s="3" t="s">
        <v>9</v>
      </c>
      <c r="E100">
        <v>15779.15</v>
      </c>
      <c r="F100" s="19" t="s">
        <v>88</v>
      </c>
      <c r="G100" s="62">
        <v>45425</v>
      </c>
      <c r="H100" s="55" t="s">
        <v>89</v>
      </c>
      <c r="I100" s="55" t="s">
        <v>1765</v>
      </c>
      <c r="K100" t="s">
        <v>1766</v>
      </c>
      <c r="L100" t="s">
        <v>1767</v>
      </c>
      <c r="M100" t="s">
        <v>1698</v>
      </c>
      <c r="Q100" s="3">
        <f t="shared" si="1"/>
        <v>15779.15</v>
      </c>
    </row>
    <row r="101" spans="1:17" ht="43.5" x14ac:dyDescent="0.35">
      <c r="A101" t="s">
        <v>0</v>
      </c>
      <c r="B101" t="s">
        <v>744</v>
      </c>
      <c r="C101" t="s">
        <v>8</v>
      </c>
      <c r="D101" s="3" t="s">
        <v>9</v>
      </c>
      <c r="E101">
        <v>15738.87</v>
      </c>
      <c r="F101" s="19" t="s">
        <v>88</v>
      </c>
      <c r="G101" s="62">
        <v>45387</v>
      </c>
      <c r="H101" s="55" t="s">
        <v>89</v>
      </c>
      <c r="I101" s="55" t="s">
        <v>1768</v>
      </c>
      <c r="K101" t="s">
        <v>1769</v>
      </c>
      <c r="L101" t="s">
        <v>1770</v>
      </c>
      <c r="M101" t="s">
        <v>1771</v>
      </c>
      <c r="Q101" s="3">
        <f t="shared" si="1"/>
        <v>15738.87</v>
      </c>
    </row>
    <row r="102" spans="1:17" ht="43.5" x14ac:dyDescent="0.35">
      <c r="A102" t="s">
        <v>0</v>
      </c>
      <c r="B102" t="s">
        <v>1566</v>
      </c>
      <c r="C102" t="s">
        <v>8</v>
      </c>
      <c r="D102" s="3" t="s">
        <v>9</v>
      </c>
      <c r="E102">
        <v>15480.69</v>
      </c>
      <c r="F102" s="19" t="s">
        <v>88</v>
      </c>
      <c r="G102" s="62">
        <v>45478</v>
      </c>
      <c r="H102" s="55" t="s">
        <v>89</v>
      </c>
      <c r="I102" s="55" t="s">
        <v>1772</v>
      </c>
      <c r="K102" t="s">
        <v>101</v>
      </c>
      <c r="L102" t="s">
        <v>1773</v>
      </c>
      <c r="M102" t="s">
        <v>1546</v>
      </c>
      <c r="Q102" s="3">
        <f t="shared" si="1"/>
        <v>15480.69</v>
      </c>
    </row>
    <row r="103" spans="1:17" ht="43.5" x14ac:dyDescent="0.35">
      <c r="A103" t="s">
        <v>0</v>
      </c>
      <c r="B103" t="s">
        <v>1543</v>
      </c>
      <c r="C103" t="s">
        <v>8</v>
      </c>
      <c r="D103" s="3" t="s">
        <v>9</v>
      </c>
      <c r="E103">
        <v>14182.68</v>
      </c>
      <c r="F103" s="19" t="s">
        <v>88</v>
      </c>
      <c r="G103" s="62">
        <v>45629</v>
      </c>
      <c r="H103" s="55" t="s">
        <v>89</v>
      </c>
      <c r="I103" s="55" t="s">
        <v>1689</v>
      </c>
      <c r="K103" t="s">
        <v>1774</v>
      </c>
      <c r="L103" t="s">
        <v>1691</v>
      </c>
      <c r="M103" t="s">
        <v>1546</v>
      </c>
      <c r="Q103" s="3">
        <f t="shared" si="1"/>
        <v>14182.68</v>
      </c>
    </row>
    <row r="104" spans="1:17" ht="43.5" x14ac:dyDescent="0.35">
      <c r="A104" t="s">
        <v>0</v>
      </c>
      <c r="B104" t="s">
        <v>1566</v>
      </c>
      <c r="C104" t="s">
        <v>8</v>
      </c>
      <c r="D104" s="3" t="s">
        <v>9</v>
      </c>
      <c r="E104">
        <v>13832.12</v>
      </c>
      <c r="F104" s="19" t="s">
        <v>88</v>
      </c>
      <c r="G104" s="62">
        <v>45419</v>
      </c>
      <c r="H104" s="55" t="s">
        <v>89</v>
      </c>
      <c r="I104" s="55" t="s">
        <v>1775</v>
      </c>
      <c r="K104" t="s">
        <v>156</v>
      </c>
      <c r="L104" t="s">
        <v>1776</v>
      </c>
      <c r="M104" t="s">
        <v>157</v>
      </c>
      <c r="Q104" s="3">
        <f t="shared" si="1"/>
        <v>13832.12</v>
      </c>
    </row>
    <row r="105" spans="1:17" ht="87" x14ac:dyDescent="0.35">
      <c r="A105" t="s">
        <v>35</v>
      </c>
      <c r="B105" t="s">
        <v>1566</v>
      </c>
      <c r="C105" t="s">
        <v>8</v>
      </c>
      <c r="D105" s="3" t="s">
        <v>9</v>
      </c>
      <c r="E105">
        <v>13200</v>
      </c>
      <c r="F105" s="19" t="s">
        <v>88</v>
      </c>
      <c r="G105" s="62">
        <v>45642</v>
      </c>
      <c r="H105" s="55" t="s">
        <v>1269</v>
      </c>
      <c r="I105" s="55" t="s">
        <v>1777</v>
      </c>
      <c r="Q105" s="3">
        <f t="shared" si="1"/>
        <v>13200</v>
      </c>
    </row>
    <row r="106" spans="1:17" ht="43.5" x14ac:dyDescent="0.35">
      <c r="A106" t="s">
        <v>0</v>
      </c>
      <c r="B106" t="s">
        <v>1543</v>
      </c>
      <c r="C106" t="s">
        <v>8</v>
      </c>
      <c r="D106" s="3" t="s">
        <v>9</v>
      </c>
      <c r="E106">
        <v>12580.49</v>
      </c>
      <c r="F106" s="19" t="s">
        <v>88</v>
      </c>
      <c r="G106" s="62">
        <v>45384</v>
      </c>
      <c r="H106" s="55" t="s">
        <v>89</v>
      </c>
      <c r="I106" s="55" t="s">
        <v>184</v>
      </c>
      <c r="K106" t="s">
        <v>185</v>
      </c>
      <c r="L106" t="s">
        <v>186</v>
      </c>
      <c r="M106" t="s">
        <v>187</v>
      </c>
      <c r="Q106" s="3">
        <f t="shared" si="1"/>
        <v>12580.49</v>
      </c>
    </row>
    <row r="107" spans="1:17" ht="43.5" x14ac:dyDescent="0.35">
      <c r="A107" t="s">
        <v>0</v>
      </c>
      <c r="B107" t="s">
        <v>1543</v>
      </c>
      <c r="C107" t="s">
        <v>8</v>
      </c>
      <c r="D107" s="3" t="s">
        <v>9</v>
      </c>
      <c r="E107">
        <v>12580.49</v>
      </c>
      <c r="F107" s="19" t="s">
        <v>88</v>
      </c>
      <c r="G107" s="62">
        <v>45411</v>
      </c>
      <c r="H107" s="55" t="s">
        <v>89</v>
      </c>
      <c r="I107" s="55" t="s">
        <v>191</v>
      </c>
      <c r="K107" t="s">
        <v>192</v>
      </c>
      <c r="L107" t="s">
        <v>193</v>
      </c>
      <c r="M107" t="s">
        <v>187</v>
      </c>
      <c r="Q107" s="3">
        <f t="shared" si="1"/>
        <v>12580.49</v>
      </c>
    </row>
    <row r="108" spans="1:17" ht="43.5" x14ac:dyDescent="0.35">
      <c r="A108" t="s">
        <v>0</v>
      </c>
      <c r="B108" t="s">
        <v>1543</v>
      </c>
      <c r="C108" t="s">
        <v>8</v>
      </c>
      <c r="D108" s="3" t="s">
        <v>9</v>
      </c>
      <c r="E108">
        <v>12580.49</v>
      </c>
      <c r="F108" s="19" t="s">
        <v>88</v>
      </c>
      <c r="G108" s="62">
        <v>45413</v>
      </c>
      <c r="H108" s="55" t="s">
        <v>89</v>
      </c>
      <c r="I108" s="55" t="s">
        <v>184</v>
      </c>
      <c r="K108" t="s">
        <v>185</v>
      </c>
      <c r="L108" t="s">
        <v>186</v>
      </c>
      <c r="M108" t="s">
        <v>187</v>
      </c>
      <c r="Q108" s="3">
        <f t="shared" si="1"/>
        <v>12580.49</v>
      </c>
    </row>
    <row r="109" spans="1:17" ht="58" x14ac:dyDescent="0.35">
      <c r="A109" t="s">
        <v>0</v>
      </c>
      <c r="B109" t="s">
        <v>1543</v>
      </c>
      <c r="C109" t="s">
        <v>8</v>
      </c>
      <c r="D109" s="3" t="s">
        <v>9</v>
      </c>
      <c r="E109">
        <v>12580.49</v>
      </c>
      <c r="F109" s="19" t="s">
        <v>88</v>
      </c>
      <c r="G109" s="62">
        <v>45419</v>
      </c>
      <c r="H109" s="55" t="s">
        <v>1052</v>
      </c>
      <c r="I109" s="55" t="s">
        <v>191</v>
      </c>
      <c r="K109" t="s">
        <v>192</v>
      </c>
      <c r="L109" t="s">
        <v>193</v>
      </c>
      <c r="M109" t="s">
        <v>187</v>
      </c>
      <c r="Q109" s="3">
        <f t="shared" si="1"/>
        <v>12580.49</v>
      </c>
    </row>
    <row r="110" spans="1:17" ht="43.5" x14ac:dyDescent="0.35">
      <c r="A110" t="s">
        <v>0</v>
      </c>
      <c r="B110" t="s">
        <v>1543</v>
      </c>
      <c r="C110" t="s">
        <v>8</v>
      </c>
      <c r="D110" s="3" t="s">
        <v>9</v>
      </c>
      <c r="E110">
        <v>-12580.49</v>
      </c>
      <c r="F110" s="19" t="s">
        <v>88</v>
      </c>
      <c r="G110" s="62">
        <v>45384</v>
      </c>
      <c r="H110" s="55" t="s">
        <v>89</v>
      </c>
      <c r="I110" s="55" t="s">
        <v>191</v>
      </c>
      <c r="K110" t="s">
        <v>192</v>
      </c>
      <c r="L110" t="s">
        <v>193</v>
      </c>
      <c r="M110" t="s">
        <v>187</v>
      </c>
      <c r="Q110" s="3">
        <f t="shared" si="1"/>
        <v>12580.49</v>
      </c>
    </row>
    <row r="111" spans="1:17" ht="43.5" x14ac:dyDescent="0.35">
      <c r="A111" t="s">
        <v>0</v>
      </c>
      <c r="B111" t="s">
        <v>1543</v>
      </c>
      <c r="C111" t="s">
        <v>8</v>
      </c>
      <c r="D111" s="3" t="s">
        <v>9</v>
      </c>
      <c r="E111">
        <v>-12580.49</v>
      </c>
      <c r="F111" s="19" t="s">
        <v>88</v>
      </c>
      <c r="G111" s="62">
        <v>45411</v>
      </c>
      <c r="H111" s="55" t="s">
        <v>89</v>
      </c>
      <c r="I111" s="55" t="s">
        <v>184</v>
      </c>
      <c r="K111" t="s">
        <v>185</v>
      </c>
      <c r="L111" t="s">
        <v>186</v>
      </c>
      <c r="M111" t="s">
        <v>187</v>
      </c>
      <c r="Q111" s="3">
        <f t="shared" si="1"/>
        <v>12580.49</v>
      </c>
    </row>
    <row r="112" spans="1:17" ht="43.5" x14ac:dyDescent="0.35">
      <c r="A112" t="s">
        <v>0</v>
      </c>
      <c r="B112" t="s">
        <v>1543</v>
      </c>
      <c r="C112" t="s">
        <v>8</v>
      </c>
      <c r="D112" s="3" t="s">
        <v>9</v>
      </c>
      <c r="E112">
        <v>-12580.49</v>
      </c>
      <c r="F112" s="19" t="s">
        <v>88</v>
      </c>
      <c r="G112" s="62">
        <v>45413</v>
      </c>
      <c r="H112" s="55" t="s">
        <v>89</v>
      </c>
      <c r="I112" s="55" t="s">
        <v>191</v>
      </c>
      <c r="K112" t="s">
        <v>192</v>
      </c>
      <c r="L112" t="s">
        <v>193</v>
      </c>
      <c r="M112" t="s">
        <v>187</v>
      </c>
      <c r="Q112" s="3">
        <f t="shared" si="1"/>
        <v>12580.49</v>
      </c>
    </row>
    <row r="113" spans="1:17" ht="58" x14ac:dyDescent="0.35">
      <c r="A113" t="s">
        <v>0</v>
      </c>
      <c r="B113" t="s">
        <v>1543</v>
      </c>
      <c r="C113" t="s">
        <v>8</v>
      </c>
      <c r="D113" s="3" t="s">
        <v>9</v>
      </c>
      <c r="E113">
        <v>-12580.49</v>
      </c>
      <c r="F113" s="19" t="s">
        <v>88</v>
      </c>
      <c r="G113" s="62">
        <v>45419</v>
      </c>
      <c r="H113" s="55" t="s">
        <v>1052</v>
      </c>
      <c r="I113" s="55" t="s">
        <v>184</v>
      </c>
      <c r="K113" t="s">
        <v>185</v>
      </c>
      <c r="L113" t="s">
        <v>186</v>
      </c>
      <c r="M113" t="s">
        <v>187</v>
      </c>
      <c r="Q113" s="3">
        <f t="shared" si="1"/>
        <v>12580.49</v>
      </c>
    </row>
    <row r="114" spans="1:17" ht="43.5" x14ac:dyDescent="0.35">
      <c r="A114" t="s">
        <v>0</v>
      </c>
      <c r="B114" t="s">
        <v>1566</v>
      </c>
      <c r="C114" t="s">
        <v>8</v>
      </c>
      <c r="D114" s="3" t="s">
        <v>9</v>
      </c>
      <c r="E114">
        <v>12297.02</v>
      </c>
      <c r="F114" s="19" t="s">
        <v>88</v>
      </c>
      <c r="G114" s="62">
        <v>45512</v>
      </c>
      <c r="H114" s="55" t="s">
        <v>89</v>
      </c>
      <c r="I114" s="55" t="s">
        <v>1557</v>
      </c>
      <c r="K114" t="s">
        <v>1778</v>
      </c>
      <c r="L114" t="s">
        <v>1559</v>
      </c>
      <c r="M114" t="s">
        <v>1546</v>
      </c>
      <c r="Q114" s="3">
        <f t="shared" si="1"/>
        <v>12297.02</v>
      </c>
    </row>
    <row r="115" spans="1:17" ht="72.5" x14ac:dyDescent="0.35">
      <c r="A115" t="s">
        <v>0</v>
      </c>
      <c r="B115" t="s">
        <v>1566</v>
      </c>
      <c r="C115" t="s">
        <v>8</v>
      </c>
      <c r="D115" s="3" t="s">
        <v>9</v>
      </c>
      <c r="E115">
        <v>12071.87</v>
      </c>
      <c r="F115" s="19" t="s">
        <v>88</v>
      </c>
      <c r="G115" s="62">
        <v>45545</v>
      </c>
      <c r="H115" s="55" t="s">
        <v>1</v>
      </c>
      <c r="I115" s="55" t="s">
        <v>1779</v>
      </c>
      <c r="Q115" s="3">
        <f t="shared" si="1"/>
        <v>12071.87</v>
      </c>
    </row>
    <row r="116" spans="1:17" ht="43.5" x14ac:dyDescent="0.35">
      <c r="A116" t="s">
        <v>0</v>
      </c>
      <c r="B116" t="s">
        <v>1566</v>
      </c>
      <c r="C116" t="s">
        <v>8</v>
      </c>
      <c r="D116" s="3" t="s">
        <v>9</v>
      </c>
      <c r="E116">
        <v>12051.81</v>
      </c>
      <c r="F116" s="19" t="s">
        <v>88</v>
      </c>
      <c r="G116" s="62">
        <v>45636</v>
      </c>
      <c r="H116" s="55" t="s">
        <v>89</v>
      </c>
      <c r="I116" s="55" t="s">
        <v>1586</v>
      </c>
      <c r="K116" t="s">
        <v>1780</v>
      </c>
      <c r="L116" t="s">
        <v>1587</v>
      </c>
      <c r="M116" t="s">
        <v>1546</v>
      </c>
      <c r="Q116" s="3">
        <f t="shared" si="1"/>
        <v>12051.81</v>
      </c>
    </row>
    <row r="117" spans="1:17" ht="43.5" x14ac:dyDescent="0.35">
      <c r="A117" t="s">
        <v>0</v>
      </c>
      <c r="B117" t="s">
        <v>1566</v>
      </c>
      <c r="C117" t="s">
        <v>8</v>
      </c>
      <c r="D117" s="3" t="s">
        <v>9</v>
      </c>
      <c r="E117">
        <v>11854.94</v>
      </c>
      <c r="F117" s="19" t="s">
        <v>88</v>
      </c>
      <c r="G117" s="62">
        <v>45629</v>
      </c>
      <c r="H117" s="55" t="s">
        <v>89</v>
      </c>
      <c r="I117" s="55" t="s">
        <v>1781</v>
      </c>
      <c r="K117" t="s">
        <v>1782</v>
      </c>
      <c r="L117" t="s">
        <v>1783</v>
      </c>
      <c r="M117" t="s">
        <v>1784</v>
      </c>
      <c r="Q117" s="3">
        <f t="shared" si="1"/>
        <v>11854.94</v>
      </c>
    </row>
    <row r="118" spans="1:17" ht="43.5" x14ac:dyDescent="0.35">
      <c r="A118" t="s">
        <v>0</v>
      </c>
      <c r="B118" t="s">
        <v>1566</v>
      </c>
      <c r="C118" t="s">
        <v>8</v>
      </c>
      <c r="D118" s="3" t="s">
        <v>9</v>
      </c>
      <c r="E118">
        <v>11358.32</v>
      </c>
      <c r="F118" s="19" t="s">
        <v>88</v>
      </c>
      <c r="G118" s="62">
        <v>45443</v>
      </c>
      <c r="H118" s="55" t="s">
        <v>89</v>
      </c>
      <c r="I118" s="55" t="s">
        <v>1785</v>
      </c>
      <c r="K118" t="s">
        <v>156</v>
      </c>
      <c r="L118" t="s">
        <v>1786</v>
      </c>
      <c r="M118" t="s">
        <v>157</v>
      </c>
      <c r="Q118" s="3">
        <f t="shared" si="1"/>
        <v>11358.32</v>
      </c>
    </row>
    <row r="119" spans="1:17" ht="43.5" x14ac:dyDescent="0.35">
      <c r="A119" t="s">
        <v>0</v>
      </c>
      <c r="B119" t="s">
        <v>1543</v>
      </c>
      <c r="C119" t="s">
        <v>8</v>
      </c>
      <c r="D119" s="3" t="s">
        <v>9</v>
      </c>
      <c r="E119">
        <v>10999.3</v>
      </c>
      <c r="F119" s="19" t="s">
        <v>88</v>
      </c>
      <c r="G119" s="62">
        <v>45629</v>
      </c>
      <c r="H119" s="55" t="s">
        <v>89</v>
      </c>
      <c r="I119" s="55" t="s">
        <v>1787</v>
      </c>
      <c r="K119" t="s">
        <v>1788</v>
      </c>
      <c r="L119" t="s">
        <v>1789</v>
      </c>
      <c r="M119" t="s">
        <v>1546</v>
      </c>
      <c r="Q119" s="3">
        <f t="shared" si="1"/>
        <v>10999.3</v>
      </c>
    </row>
    <row r="120" spans="1:17" ht="43.5" x14ac:dyDescent="0.35">
      <c r="A120" t="s">
        <v>0</v>
      </c>
      <c r="B120" t="s">
        <v>1543</v>
      </c>
      <c r="C120" t="s">
        <v>8</v>
      </c>
      <c r="D120" s="3" t="s">
        <v>9</v>
      </c>
      <c r="E120">
        <v>10999.3</v>
      </c>
      <c r="F120" s="19" t="s">
        <v>88</v>
      </c>
      <c r="G120" s="62">
        <v>45629</v>
      </c>
      <c r="H120" s="55" t="s">
        <v>89</v>
      </c>
      <c r="I120" s="55" t="s">
        <v>1790</v>
      </c>
      <c r="K120" t="s">
        <v>1791</v>
      </c>
      <c r="L120" t="s">
        <v>1792</v>
      </c>
      <c r="M120" t="s">
        <v>1546</v>
      </c>
      <c r="Q120" s="3">
        <f t="shared" si="1"/>
        <v>10999.3</v>
      </c>
    </row>
    <row r="121" spans="1:17" ht="43.5" x14ac:dyDescent="0.35">
      <c r="A121" t="s">
        <v>0</v>
      </c>
      <c r="B121" t="s">
        <v>1543</v>
      </c>
      <c r="C121" t="s">
        <v>8</v>
      </c>
      <c r="D121" s="3" t="s">
        <v>9</v>
      </c>
      <c r="E121">
        <v>10999.3</v>
      </c>
      <c r="F121" s="19" t="s">
        <v>88</v>
      </c>
      <c r="G121" s="62">
        <v>45637</v>
      </c>
      <c r="H121" s="55" t="s">
        <v>89</v>
      </c>
      <c r="I121" s="55" t="s">
        <v>1793</v>
      </c>
      <c r="K121" t="s">
        <v>1794</v>
      </c>
      <c r="L121" t="s">
        <v>1795</v>
      </c>
      <c r="M121" t="s">
        <v>1796</v>
      </c>
      <c r="Q121" s="3">
        <f t="shared" si="1"/>
        <v>10999.3</v>
      </c>
    </row>
    <row r="122" spans="1:17" ht="43.5" x14ac:dyDescent="0.35">
      <c r="A122" t="s">
        <v>0</v>
      </c>
      <c r="B122" t="s">
        <v>1566</v>
      </c>
      <c r="C122" t="s">
        <v>8</v>
      </c>
      <c r="D122" s="3" t="s">
        <v>9</v>
      </c>
      <c r="E122">
        <v>10880</v>
      </c>
      <c r="F122" s="19" t="s">
        <v>88</v>
      </c>
      <c r="G122" s="62">
        <v>45637</v>
      </c>
      <c r="H122" s="55" t="s">
        <v>89</v>
      </c>
      <c r="I122" s="55" t="s">
        <v>1797</v>
      </c>
      <c r="K122" t="s">
        <v>1798</v>
      </c>
      <c r="L122" t="s">
        <v>1799</v>
      </c>
      <c r="M122" t="s">
        <v>183</v>
      </c>
      <c r="Q122" s="3">
        <f t="shared" si="1"/>
        <v>10880</v>
      </c>
    </row>
    <row r="123" spans="1:17" ht="43.5" x14ac:dyDescent="0.35">
      <c r="A123" t="s">
        <v>0</v>
      </c>
      <c r="B123" t="s">
        <v>1543</v>
      </c>
      <c r="C123" t="s">
        <v>8</v>
      </c>
      <c r="D123" s="3" t="s">
        <v>9</v>
      </c>
      <c r="E123">
        <v>10634.46</v>
      </c>
      <c r="F123" s="19" t="s">
        <v>88</v>
      </c>
      <c r="G123" s="62">
        <v>45547</v>
      </c>
      <c r="H123" s="55" t="s">
        <v>89</v>
      </c>
      <c r="I123" s="55" t="s">
        <v>1800</v>
      </c>
      <c r="K123" t="s">
        <v>1801</v>
      </c>
      <c r="L123" t="s">
        <v>1802</v>
      </c>
      <c r="M123" t="s">
        <v>1546</v>
      </c>
      <c r="Q123" s="3">
        <f t="shared" si="1"/>
        <v>10634.46</v>
      </c>
    </row>
    <row r="124" spans="1:17" ht="43.5" x14ac:dyDescent="0.35">
      <c r="A124" t="s">
        <v>0</v>
      </c>
      <c r="B124" t="s">
        <v>1566</v>
      </c>
      <c r="C124" t="s">
        <v>8</v>
      </c>
      <c r="D124" s="3" t="s">
        <v>9</v>
      </c>
      <c r="E124">
        <v>9520</v>
      </c>
      <c r="F124" s="19" t="s">
        <v>88</v>
      </c>
      <c r="G124" s="62">
        <v>45637</v>
      </c>
      <c r="H124" s="55" t="s">
        <v>89</v>
      </c>
      <c r="I124" s="55" t="s">
        <v>1803</v>
      </c>
      <c r="K124" t="s">
        <v>1804</v>
      </c>
      <c r="L124" t="s">
        <v>1805</v>
      </c>
      <c r="M124" t="s">
        <v>183</v>
      </c>
      <c r="Q124" s="3">
        <f t="shared" si="1"/>
        <v>9520</v>
      </c>
    </row>
    <row r="125" spans="1:17" ht="29" x14ac:dyDescent="0.35">
      <c r="A125" t="s">
        <v>0</v>
      </c>
      <c r="B125" t="s">
        <v>1566</v>
      </c>
      <c r="C125" t="s">
        <v>8</v>
      </c>
      <c r="D125" s="3" t="s">
        <v>9</v>
      </c>
      <c r="E125">
        <v>9350</v>
      </c>
      <c r="F125" s="19" t="s">
        <v>88</v>
      </c>
      <c r="G125" s="62">
        <v>45642</v>
      </c>
      <c r="I125" s="55" t="s">
        <v>1806</v>
      </c>
      <c r="K125" s="55" t="s">
        <v>1269</v>
      </c>
      <c r="Q125" s="3">
        <f t="shared" si="1"/>
        <v>9350</v>
      </c>
    </row>
    <row r="126" spans="1:17" x14ac:dyDescent="0.35">
      <c r="A126" t="s">
        <v>0</v>
      </c>
      <c r="B126" t="s">
        <v>1566</v>
      </c>
      <c r="C126" t="s">
        <v>8</v>
      </c>
      <c r="D126" s="3" t="s">
        <v>9</v>
      </c>
      <c r="E126">
        <v>9350</v>
      </c>
      <c r="F126" s="19" t="s">
        <v>88</v>
      </c>
      <c r="G126" s="62">
        <v>45642</v>
      </c>
      <c r="I126" s="55" t="s">
        <v>1807</v>
      </c>
      <c r="K126" s="55" t="s">
        <v>1269</v>
      </c>
      <c r="Q126" s="3">
        <f t="shared" si="1"/>
        <v>9350</v>
      </c>
    </row>
    <row r="127" spans="1:17" ht="29" x14ac:dyDescent="0.35">
      <c r="A127" t="s">
        <v>0</v>
      </c>
      <c r="B127" t="s">
        <v>1566</v>
      </c>
      <c r="C127" t="s">
        <v>8</v>
      </c>
      <c r="D127" s="3" t="s">
        <v>9</v>
      </c>
      <c r="E127">
        <v>9350</v>
      </c>
      <c r="F127" s="19" t="s">
        <v>88</v>
      </c>
      <c r="G127" s="62">
        <v>45642</v>
      </c>
      <c r="I127" s="55" t="s">
        <v>1808</v>
      </c>
      <c r="K127" s="55" t="s">
        <v>1269</v>
      </c>
      <c r="Q127" s="3">
        <f t="shared" si="1"/>
        <v>9350</v>
      </c>
    </row>
    <row r="128" spans="1:17" ht="43.5" x14ac:dyDescent="0.35">
      <c r="A128" t="s">
        <v>0</v>
      </c>
      <c r="B128" t="s">
        <v>1566</v>
      </c>
      <c r="C128" t="s">
        <v>8</v>
      </c>
      <c r="D128" s="3" t="s">
        <v>9</v>
      </c>
      <c r="E128">
        <v>9301.1299999999992</v>
      </c>
      <c r="F128" s="19" t="s">
        <v>88</v>
      </c>
      <c r="G128" s="62">
        <v>45614</v>
      </c>
      <c r="H128" s="55" t="s">
        <v>89</v>
      </c>
      <c r="I128" s="55" t="s">
        <v>1563</v>
      </c>
      <c r="K128" t="s">
        <v>1809</v>
      </c>
      <c r="L128" t="s">
        <v>1565</v>
      </c>
      <c r="M128" t="s">
        <v>1546</v>
      </c>
      <c r="Q128" s="3">
        <f t="shared" si="1"/>
        <v>9301.1299999999992</v>
      </c>
    </row>
    <row r="129" spans="1:17" ht="29" x14ac:dyDescent="0.35">
      <c r="A129" t="s">
        <v>0</v>
      </c>
      <c r="B129" t="s">
        <v>1566</v>
      </c>
      <c r="C129" t="s">
        <v>8</v>
      </c>
      <c r="D129" s="3" t="s">
        <v>9</v>
      </c>
      <c r="E129">
        <v>8800</v>
      </c>
      <c r="F129" s="19" t="s">
        <v>88</v>
      </c>
      <c r="G129" s="62">
        <v>45642</v>
      </c>
      <c r="I129" s="55" t="s">
        <v>1810</v>
      </c>
      <c r="K129" s="55" t="s">
        <v>1269</v>
      </c>
      <c r="Q129" s="3">
        <f t="shared" si="1"/>
        <v>8800</v>
      </c>
    </row>
    <row r="130" spans="1:17" ht="43.5" x14ac:dyDescent="0.35">
      <c r="A130" t="s">
        <v>0</v>
      </c>
      <c r="B130" t="s">
        <v>1543</v>
      </c>
      <c r="C130" t="s">
        <v>8</v>
      </c>
      <c r="D130" s="3" t="s">
        <v>9</v>
      </c>
      <c r="E130">
        <v>8799.44</v>
      </c>
      <c r="F130" s="19" t="s">
        <v>88</v>
      </c>
      <c r="G130" s="62">
        <v>45614</v>
      </c>
      <c r="H130" s="55" t="s">
        <v>89</v>
      </c>
      <c r="I130" s="55" t="s">
        <v>1811</v>
      </c>
      <c r="K130" t="s">
        <v>1812</v>
      </c>
      <c r="L130" t="s">
        <v>1813</v>
      </c>
      <c r="M130" t="s">
        <v>1546</v>
      </c>
      <c r="Q130" s="3">
        <f t="shared" si="1"/>
        <v>8799.44</v>
      </c>
    </row>
    <row r="131" spans="1:17" ht="43.5" x14ac:dyDescent="0.35">
      <c r="A131" t="s">
        <v>0</v>
      </c>
      <c r="B131" t="s">
        <v>1566</v>
      </c>
      <c r="C131" t="s">
        <v>8</v>
      </c>
      <c r="D131" s="3" t="s">
        <v>9</v>
      </c>
      <c r="E131">
        <v>8676.74</v>
      </c>
      <c r="F131" s="19" t="s">
        <v>88</v>
      </c>
      <c r="G131" s="62">
        <v>45436</v>
      </c>
      <c r="H131" s="55" t="s">
        <v>89</v>
      </c>
      <c r="I131" s="55" t="s">
        <v>1551</v>
      </c>
      <c r="K131" t="s">
        <v>1814</v>
      </c>
      <c r="L131" t="s">
        <v>1553</v>
      </c>
      <c r="M131" t="s">
        <v>1546</v>
      </c>
      <c r="Q131" s="3">
        <f t="shared" si="1"/>
        <v>8676.74</v>
      </c>
    </row>
    <row r="132" spans="1:17" ht="43.5" x14ac:dyDescent="0.35">
      <c r="A132" t="s">
        <v>0</v>
      </c>
      <c r="B132" t="s">
        <v>1566</v>
      </c>
      <c r="C132" t="s">
        <v>8</v>
      </c>
      <c r="D132" s="3" t="s">
        <v>9</v>
      </c>
      <c r="E132">
        <v>8600</v>
      </c>
      <c r="F132" s="19" t="s">
        <v>88</v>
      </c>
      <c r="G132" s="62">
        <v>45455</v>
      </c>
      <c r="H132" s="55" t="s">
        <v>89</v>
      </c>
      <c r="I132" s="55" t="s">
        <v>1815</v>
      </c>
      <c r="K132" t="s">
        <v>1816</v>
      </c>
      <c r="L132" t="s">
        <v>1817</v>
      </c>
      <c r="M132" t="s">
        <v>183</v>
      </c>
      <c r="Q132" s="3">
        <f t="shared" si="1"/>
        <v>8600</v>
      </c>
    </row>
    <row r="133" spans="1:17" ht="43.5" x14ac:dyDescent="0.35">
      <c r="A133" t="s">
        <v>0</v>
      </c>
      <c r="B133" t="s">
        <v>1566</v>
      </c>
      <c r="C133" t="s">
        <v>8</v>
      </c>
      <c r="D133" s="3" t="s">
        <v>9</v>
      </c>
      <c r="E133">
        <v>8600</v>
      </c>
      <c r="F133" s="19" t="s">
        <v>88</v>
      </c>
      <c r="G133" s="62">
        <v>45457</v>
      </c>
      <c r="H133" s="55" t="s">
        <v>89</v>
      </c>
      <c r="I133" s="55" t="s">
        <v>1818</v>
      </c>
      <c r="K133" t="s">
        <v>1819</v>
      </c>
      <c r="L133" t="s">
        <v>1820</v>
      </c>
      <c r="M133" t="s">
        <v>183</v>
      </c>
      <c r="Q133" s="3">
        <f t="shared" si="1"/>
        <v>8600</v>
      </c>
    </row>
    <row r="134" spans="1:17" ht="43.5" x14ac:dyDescent="0.35">
      <c r="A134" t="s">
        <v>0</v>
      </c>
      <c r="B134" t="s">
        <v>1566</v>
      </c>
      <c r="C134" t="s">
        <v>8</v>
      </c>
      <c r="D134" s="3" t="s">
        <v>9</v>
      </c>
      <c r="E134">
        <v>8470.93</v>
      </c>
      <c r="F134" s="19" t="s">
        <v>88</v>
      </c>
      <c r="G134" s="62">
        <v>45636</v>
      </c>
      <c r="H134" s="55" t="s">
        <v>89</v>
      </c>
      <c r="I134" s="55" t="s">
        <v>1594</v>
      </c>
      <c r="K134" t="s">
        <v>1821</v>
      </c>
      <c r="L134" t="s">
        <v>1596</v>
      </c>
      <c r="M134" t="s">
        <v>1546</v>
      </c>
      <c r="Q134" s="3">
        <f t="shared" si="1"/>
        <v>8470.93</v>
      </c>
    </row>
    <row r="135" spans="1:17" ht="43.5" x14ac:dyDescent="0.35">
      <c r="A135" t="s">
        <v>0</v>
      </c>
      <c r="B135" t="s">
        <v>1566</v>
      </c>
      <c r="C135" t="s">
        <v>8</v>
      </c>
      <c r="D135" s="3" t="s">
        <v>9</v>
      </c>
      <c r="E135">
        <v>8455.26</v>
      </c>
      <c r="F135" s="19" t="s">
        <v>88</v>
      </c>
      <c r="G135" s="62">
        <v>45436</v>
      </c>
      <c r="H135" s="55" t="s">
        <v>89</v>
      </c>
      <c r="I135" s="55" t="s">
        <v>1544</v>
      </c>
      <c r="K135" t="s">
        <v>101</v>
      </c>
      <c r="L135" t="s">
        <v>1545</v>
      </c>
      <c r="M135" t="s">
        <v>1546</v>
      </c>
      <c r="Q135" s="3">
        <f t="shared" si="1"/>
        <v>8455.26</v>
      </c>
    </row>
    <row r="136" spans="1:17" ht="43.5" x14ac:dyDescent="0.35">
      <c r="A136" t="s">
        <v>0</v>
      </c>
      <c r="B136" t="s">
        <v>1543</v>
      </c>
      <c r="C136" t="s">
        <v>8</v>
      </c>
      <c r="D136" s="3" t="s">
        <v>9</v>
      </c>
      <c r="E136">
        <v>8359.4699999999993</v>
      </c>
      <c r="F136" s="19" t="s">
        <v>88</v>
      </c>
      <c r="G136" s="62">
        <v>45478</v>
      </c>
      <c r="H136" s="55" t="s">
        <v>89</v>
      </c>
      <c r="I136" s="55" t="s">
        <v>1822</v>
      </c>
      <c r="K136" t="s">
        <v>101</v>
      </c>
      <c r="L136" t="s">
        <v>1823</v>
      </c>
      <c r="M136" t="s">
        <v>1546</v>
      </c>
      <c r="Q136" s="3">
        <f t="shared" ref="Q136:Q199" si="2">ABS(E136)</f>
        <v>8359.4699999999993</v>
      </c>
    </row>
    <row r="137" spans="1:17" ht="43.5" x14ac:dyDescent="0.35">
      <c r="A137" t="s">
        <v>0</v>
      </c>
      <c r="B137" t="s">
        <v>1566</v>
      </c>
      <c r="C137" t="s">
        <v>8</v>
      </c>
      <c r="D137" s="3" t="s">
        <v>9</v>
      </c>
      <c r="E137">
        <v>8199.6200000000008</v>
      </c>
      <c r="F137" s="19" t="s">
        <v>88</v>
      </c>
      <c r="G137" s="62">
        <v>45492</v>
      </c>
      <c r="H137" s="55" t="s">
        <v>89</v>
      </c>
      <c r="I137" s="55" t="s">
        <v>1554</v>
      </c>
      <c r="K137" t="s">
        <v>1824</v>
      </c>
      <c r="L137" t="s">
        <v>1556</v>
      </c>
      <c r="M137" t="s">
        <v>1546</v>
      </c>
      <c r="Q137" s="3">
        <f t="shared" si="2"/>
        <v>8199.6200000000008</v>
      </c>
    </row>
    <row r="138" spans="1:17" ht="43.5" x14ac:dyDescent="0.35">
      <c r="A138" t="s">
        <v>0</v>
      </c>
      <c r="B138" t="s">
        <v>1566</v>
      </c>
      <c r="C138" t="s">
        <v>8</v>
      </c>
      <c r="D138" s="3" t="s">
        <v>9</v>
      </c>
      <c r="E138">
        <v>8116.5</v>
      </c>
      <c r="F138" s="19" t="s">
        <v>88</v>
      </c>
      <c r="G138" s="62">
        <v>45554</v>
      </c>
      <c r="H138" s="55" t="s">
        <v>89</v>
      </c>
      <c r="I138" s="55" t="s">
        <v>1573</v>
      </c>
      <c r="K138" t="s">
        <v>1574</v>
      </c>
      <c r="L138" t="s">
        <v>1575</v>
      </c>
      <c r="M138" t="s">
        <v>1546</v>
      </c>
      <c r="Q138" s="3">
        <f t="shared" si="2"/>
        <v>8116.5</v>
      </c>
    </row>
    <row r="139" spans="1:17" ht="43.5" x14ac:dyDescent="0.35">
      <c r="A139" t="s">
        <v>0</v>
      </c>
      <c r="B139" t="s">
        <v>1543</v>
      </c>
      <c r="C139" t="s">
        <v>8</v>
      </c>
      <c r="D139" s="3" t="s">
        <v>9</v>
      </c>
      <c r="E139">
        <v>7859.92</v>
      </c>
      <c r="F139" s="19" t="s">
        <v>88</v>
      </c>
      <c r="G139" s="62">
        <v>45637</v>
      </c>
      <c r="H139" s="55" t="s">
        <v>89</v>
      </c>
      <c r="I139" s="55" t="s">
        <v>1825</v>
      </c>
      <c r="K139" t="s">
        <v>1826</v>
      </c>
      <c r="L139" t="s">
        <v>1827</v>
      </c>
      <c r="M139" t="s">
        <v>1546</v>
      </c>
      <c r="Q139" s="3">
        <f t="shared" si="2"/>
        <v>7859.92</v>
      </c>
    </row>
    <row r="140" spans="1:17" ht="43.5" x14ac:dyDescent="0.35">
      <c r="A140" t="s">
        <v>0</v>
      </c>
      <c r="B140" t="s">
        <v>1566</v>
      </c>
      <c r="C140" t="s">
        <v>8</v>
      </c>
      <c r="D140" s="3" t="s">
        <v>9</v>
      </c>
      <c r="E140">
        <v>7621.63</v>
      </c>
      <c r="F140" s="19" t="s">
        <v>88</v>
      </c>
      <c r="G140" s="62">
        <v>45601</v>
      </c>
      <c r="H140" s="55" t="s">
        <v>89</v>
      </c>
      <c r="I140" s="55" t="s">
        <v>1570</v>
      </c>
      <c r="K140" t="s">
        <v>1828</v>
      </c>
      <c r="L140" t="s">
        <v>1572</v>
      </c>
      <c r="M140" t="s">
        <v>1546</v>
      </c>
      <c r="Q140" s="3">
        <f t="shared" si="2"/>
        <v>7621.63</v>
      </c>
    </row>
    <row r="141" spans="1:17" ht="43.5" x14ac:dyDescent="0.35">
      <c r="A141" t="s">
        <v>0</v>
      </c>
      <c r="B141" t="s">
        <v>1566</v>
      </c>
      <c r="C141" t="s">
        <v>8</v>
      </c>
      <c r="D141" s="3" t="s">
        <v>9</v>
      </c>
      <c r="E141">
        <v>7244.69</v>
      </c>
      <c r="F141" s="19" t="s">
        <v>88</v>
      </c>
      <c r="G141" s="62">
        <v>45629</v>
      </c>
      <c r="H141" s="55" t="s">
        <v>89</v>
      </c>
      <c r="I141" s="55" t="s">
        <v>1829</v>
      </c>
      <c r="K141" t="s">
        <v>1830</v>
      </c>
      <c r="L141" t="s">
        <v>1831</v>
      </c>
      <c r="M141" t="s">
        <v>1832</v>
      </c>
      <c r="Q141" s="3">
        <f t="shared" si="2"/>
        <v>7244.69</v>
      </c>
    </row>
    <row r="142" spans="1:17" ht="43.5" x14ac:dyDescent="0.35">
      <c r="A142" t="s">
        <v>0</v>
      </c>
      <c r="B142" t="s">
        <v>1566</v>
      </c>
      <c r="C142" t="s">
        <v>8</v>
      </c>
      <c r="D142" s="3" t="s">
        <v>9</v>
      </c>
      <c r="E142">
        <v>6707.92</v>
      </c>
      <c r="F142" s="19" t="s">
        <v>88</v>
      </c>
      <c r="G142" s="62">
        <v>45449</v>
      </c>
      <c r="H142" s="55" t="s">
        <v>89</v>
      </c>
      <c r="I142" s="55" t="s">
        <v>1833</v>
      </c>
      <c r="K142" t="s">
        <v>101</v>
      </c>
      <c r="L142" t="s">
        <v>1834</v>
      </c>
      <c r="M142" t="s">
        <v>1784</v>
      </c>
      <c r="Q142" s="3">
        <f t="shared" si="2"/>
        <v>6707.92</v>
      </c>
    </row>
    <row r="143" spans="1:17" ht="43.5" x14ac:dyDescent="0.35">
      <c r="A143" t="s">
        <v>0</v>
      </c>
      <c r="B143" t="s">
        <v>1543</v>
      </c>
      <c r="C143" t="s">
        <v>8</v>
      </c>
      <c r="D143" s="3" t="s">
        <v>9</v>
      </c>
      <c r="E143">
        <v>6687.57</v>
      </c>
      <c r="F143" s="19" t="s">
        <v>88</v>
      </c>
      <c r="G143" s="62">
        <v>45425</v>
      </c>
      <c r="H143" s="55" t="s">
        <v>89</v>
      </c>
      <c r="I143" s="55" t="s">
        <v>1835</v>
      </c>
      <c r="K143" t="s">
        <v>1836</v>
      </c>
      <c r="L143" t="s">
        <v>1837</v>
      </c>
      <c r="M143" t="s">
        <v>1546</v>
      </c>
      <c r="Q143" s="3">
        <f t="shared" si="2"/>
        <v>6687.57</v>
      </c>
    </row>
    <row r="144" spans="1:17" ht="29" x14ac:dyDescent="0.35">
      <c r="A144" t="s">
        <v>35</v>
      </c>
      <c r="B144" t="s">
        <v>1566</v>
      </c>
      <c r="C144" t="s">
        <v>8</v>
      </c>
      <c r="D144" s="3" t="s">
        <v>9</v>
      </c>
      <c r="E144">
        <v>6256.09</v>
      </c>
      <c r="F144" s="19" t="s">
        <v>88</v>
      </c>
      <c r="G144" s="62">
        <v>45537</v>
      </c>
      <c r="H144" s="55" t="s">
        <v>94</v>
      </c>
      <c r="I144" s="55" t="s">
        <v>1838</v>
      </c>
      <c r="J144" s="55" t="s">
        <v>1839</v>
      </c>
      <c r="O144" t="s">
        <v>1840</v>
      </c>
      <c r="Q144" s="3">
        <f t="shared" si="2"/>
        <v>6256.09</v>
      </c>
    </row>
    <row r="145" spans="1:17" ht="29" x14ac:dyDescent="0.35">
      <c r="A145" t="s">
        <v>35</v>
      </c>
      <c r="B145" t="s">
        <v>622</v>
      </c>
      <c r="C145" t="s">
        <v>8</v>
      </c>
      <c r="D145" s="3" t="s">
        <v>9</v>
      </c>
      <c r="E145">
        <v>5697.27</v>
      </c>
      <c r="F145" s="19" t="s">
        <v>88</v>
      </c>
      <c r="G145" s="62">
        <v>45442</v>
      </c>
      <c r="H145" s="55" t="s">
        <v>94</v>
      </c>
      <c r="I145" s="55" t="s">
        <v>1841</v>
      </c>
      <c r="J145" s="55" t="s">
        <v>1842</v>
      </c>
      <c r="O145" t="s">
        <v>1843</v>
      </c>
      <c r="Q145" s="3">
        <f t="shared" si="2"/>
        <v>5697.27</v>
      </c>
    </row>
    <row r="146" spans="1:17" ht="43.5" x14ac:dyDescent="0.35">
      <c r="A146" t="s">
        <v>0</v>
      </c>
      <c r="B146" t="s">
        <v>1566</v>
      </c>
      <c r="C146" t="s">
        <v>8</v>
      </c>
      <c r="D146" s="3" t="s">
        <v>9</v>
      </c>
      <c r="E146">
        <v>5653.8</v>
      </c>
      <c r="F146" s="19" t="s">
        <v>88</v>
      </c>
      <c r="G146" s="62">
        <v>45637</v>
      </c>
      <c r="H146" s="55" t="s">
        <v>89</v>
      </c>
      <c r="I146" s="55" t="s">
        <v>1634</v>
      </c>
      <c r="K146" t="s">
        <v>1844</v>
      </c>
      <c r="L146" t="s">
        <v>1636</v>
      </c>
      <c r="M146" t="s">
        <v>1546</v>
      </c>
      <c r="Q146" s="3">
        <f t="shared" si="2"/>
        <v>5653.8</v>
      </c>
    </row>
    <row r="147" spans="1:17" ht="87" x14ac:dyDescent="0.35">
      <c r="A147" t="s">
        <v>0</v>
      </c>
      <c r="B147" t="s">
        <v>1543</v>
      </c>
      <c r="C147" t="s">
        <v>8</v>
      </c>
      <c r="D147" s="3" t="s">
        <v>9</v>
      </c>
      <c r="E147">
        <v>5500</v>
      </c>
      <c r="F147" s="19" t="s">
        <v>88</v>
      </c>
      <c r="G147" s="62">
        <v>45642</v>
      </c>
      <c r="H147" s="55" t="s">
        <v>1269</v>
      </c>
      <c r="I147" s="55" t="s">
        <v>1845</v>
      </c>
      <c r="Q147" s="3">
        <f t="shared" si="2"/>
        <v>5500</v>
      </c>
    </row>
    <row r="148" spans="1:17" ht="43.5" x14ac:dyDescent="0.35">
      <c r="A148" t="s">
        <v>0</v>
      </c>
      <c r="B148" t="s">
        <v>1543</v>
      </c>
      <c r="C148" t="s">
        <v>8</v>
      </c>
      <c r="D148" s="3" t="s">
        <v>9</v>
      </c>
      <c r="E148">
        <v>5224.67</v>
      </c>
      <c r="F148" s="19" t="s">
        <v>88</v>
      </c>
      <c r="G148" s="62">
        <v>45425</v>
      </c>
      <c r="H148" s="55" t="s">
        <v>89</v>
      </c>
      <c r="I148" s="55" t="s">
        <v>1846</v>
      </c>
      <c r="K148" t="s">
        <v>1847</v>
      </c>
      <c r="L148" t="s">
        <v>1848</v>
      </c>
      <c r="M148" t="s">
        <v>1546</v>
      </c>
      <c r="Q148" s="3">
        <f t="shared" si="2"/>
        <v>5224.67</v>
      </c>
    </row>
    <row r="149" spans="1:17" ht="43.5" x14ac:dyDescent="0.35">
      <c r="A149" t="s">
        <v>0</v>
      </c>
      <c r="B149" t="s">
        <v>1566</v>
      </c>
      <c r="C149" t="s">
        <v>8</v>
      </c>
      <c r="D149" s="3" t="s">
        <v>9</v>
      </c>
      <c r="E149">
        <v>5200</v>
      </c>
      <c r="F149" s="19" t="s">
        <v>88</v>
      </c>
      <c r="G149" s="62">
        <v>45457</v>
      </c>
      <c r="H149" s="55" t="s">
        <v>89</v>
      </c>
      <c r="I149" s="55" t="s">
        <v>1849</v>
      </c>
      <c r="K149" t="s">
        <v>101</v>
      </c>
      <c r="L149" t="s">
        <v>1850</v>
      </c>
      <c r="M149" t="s">
        <v>183</v>
      </c>
      <c r="Q149" s="3">
        <f t="shared" si="2"/>
        <v>5200</v>
      </c>
    </row>
    <row r="150" spans="1:17" ht="43.5" x14ac:dyDescent="0.35">
      <c r="A150" t="s">
        <v>0</v>
      </c>
      <c r="B150" t="s">
        <v>1566</v>
      </c>
      <c r="C150" t="s">
        <v>8</v>
      </c>
      <c r="D150" s="3" t="s">
        <v>9</v>
      </c>
      <c r="E150">
        <v>4930.92</v>
      </c>
      <c r="F150" s="19" t="s">
        <v>88</v>
      </c>
      <c r="G150" s="62">
        <v>45387</v>
      </c>
      <c r="H150" s="55" t="s">
        <v>89</v>
      </c>
      <c r="I150" s="55" t="s">
        <v>1851</v>
      </c>
      <c r="K150" t="s">
        <v>1852</v>
      </c>
      <c r="L150" t="s">
        <v>1853</v>
      </c>
      <c r="M150" t="s">
        <v>1698</v>
      </c>
      <c r="Q150" s="3">
        <f t="shared" si="2"/>
        <v>4930.92</v>
      </c>
    </row>
    <row r="151" spans="1:17" ht="43.5" x14ac:dyDescent="0.35">
      <c r="A151" t="s">
        <v>0</v>
      </c>
      <c r="B151" t="s">
        <v>1566</v>
      </c>
      <c r="C151" t="s">
        <v>8</v>
      </c>
      <c r="D151" s="3" t="s">
        <v>9</v>
      </c>
      <c r="E151">
        <v>4800</v>
      </c>
      <c r="F151" s="19" t="s">
        <v>88</v>
      </c>
      <c r="G151" s="62">
        <v>45395</v>
      </c>
      <c r="H151" s="55" t="s">
        <v>89</v>
      </c>
      <c r="I151" s="55" t="s">
        <v>1854</v>
      </c>
      <c r="K151" t="s">
        <v>1855</v>
      </c>
      <c r="L151" t="s">
        <v>1856</v>
      </c>
      <c r="M151" t="s">
        <v>183</v>
      </c>
      <c r="Q151" s="3">
        <f t="shared" si="2"/>
        <v>4800</v>
      </c>
    </row>
    <row r="152" spans="1:17" ht="43.5" x14ac:dyDescent="0.35">
      <c r="A152" t="s">
        <v>0</v>
      </c>
      <c r="B152" t="s">
        <v>1566</v>
      </c>
      <c r="C152" t="s">
        <v>8</v>
      </c>
      <c r="D152" s="3" t="s">
        <v>9</v>
      </c>
      <c r="E152">
        <v>4390.72</v>
      </c>
      <c r="F152" s="19" t="s">
        <v>88</v>
      </c>
      <c r="G152" s="62">
        <v>45629</v>
      </c>
      <c r="H152" s="55" t="s">
        <v>89</v>
      </c>
      <c r="I152" s="55" t="s">
        <v>1857</v>
      </c>
      <c r="K152" t="s">
        <v>1858</v>
      </c>
      <c r="L152" t="s">
        <v>1859</v>
      </c>
      <c r="M152" t="s">
        <v>1784</v>
      </c>
      <c r="Q152" s="3">
        <f t="shared" si="2"/>
        <v>4390.72</v>
      </c>
    </row>
    <row r="153" spans="1:17" ht="43.5" x14ac:dyDescent="0.35">
      <c r="A153" t="s">
        <v>0</v>
      </c>
      <c r="B153" t="s">
        <v>1566</v>
      </c>
      <c r="C153" t="s">
        <v>8</v>
      </c>
      <c r="D153" s="3" t="s">
        <v>9</v>
      </c>
      <c r="E153">
        <v>3796.9</v>
      </c>
      <c r="F153" s="19" t="s">
        <v>88</v>
      </c>
      <c r="G153" s="62">
        <v>45547</v>
      </c>
      <c r="H153" s="55" t="s">
        <v>89</v>
      </c>
      <c r="I153" s="55" t="s">
        <v>1800</v>
      </c>
      <c r="K153" t="s">
        <v>1860</v>
      </c>
      <c r="L153" t="s">
        <v>1802</v>
      </c>
      <c r="M153" t="s">
        <v>1546</v>
      </c>
      <c r="Q153" s="3">
        <f t="shared" si="2"/>
        <v>3796.9</v>
      </c>
    </row>
    <row r="154" spans="1:17" ht="58" x14ac:dyDescent="0.35">
      <c r="A154" t="s">
        <v>35</v>
      </c>
      <c r="B154" t="s">
        <v>1543</v>
      </c>
      <c r="C154" t="s">
        <v>8</v>
      </c>
      <c r="D154" s="3" t="s">
        <v>9</v>
      </c>
      <c r="E154">
        <v>3333.34</v>
      </c>
      <c r="F154" s="19" t="s">
        <v>88</v>
      </c>
      <c r="G154" s="62">
        <v>45641</v>
      </c>
      <c r="H154" s="55" t="s">
        <v>1260</v>
      </c>
      <c r="I154" s="55" t="s">
        <v>1861</v>
      </c>
      <c r="Q154" s="3">
        <f t="shared" si="2"/>
        <v>3333.34</v>
      </c>
    </row>
    <row r="155" spans="1:17" ht="58" x14ac:dyDescent="0.35">
      <c r="A155" t="s">
        <v>35</v>
      </c>
      <c r="B155" t="s">
        <v>1543</v>
      </c>
      <c r="C155" t="s">
        <v>8</v>
      </c>
      <c r="D155" s="3" t="s">
        <v>9</v>
      </c>
      <c r="E155">
        <v>3245.55</v>
      </c>
      <c r="F155" s="19" t="s">
        <v>88</v>
      </c>
      <c r="G155" s="62">
        <v>45403</v>
      </c>
      <c r="H155" s="55" t="s">
        <v>637</v>
      </c>
      <c r="I155" s="55" t="s">
        <v>208</v>
      </c>
      <c r="Q155" s="3">
        <f t="shared" si="2"/>
        <v>3245.55</v>
      </c>
    </row>
    <row r="156" spans="1:17" ht="58" x14ac:dyDescent="0.35">
      <c r="A156" t="s">
        <v>35</v>
      </c>
      <c r="B156" t="s">
        <v>1543</v>
      </c>
      <c r="C156" t="s">
        <v>8</v>
      </c>
      <c r="D156" s="3" t="s">
        <v>9</v>
      </c>
      <c r="E156">
        <v>3245.55</v>
      </c>
      <c r="F156" s="19" t="s">
        <v>88</v>
      </c>
      <c r="G156" s="62">
        <v>45439</v>
      </c>
      <c r="H156" s="55" t="s">
        <v>92</v>
      </c>
      <c r="I156" s="55" t="s">
        <v>208</v>
      </c>
      <c r="Q156" s="3">
        <f t="shared" si="2"/>
        <v>3245.55</v>
      </c>
    </row>
    <row r="157" spans="1:17" ht="58" x14ac:dyDescent="0.35">
      <c r="A157" t="s">
        <v>35</v>
      </c>
      <c r="B157" t="s">
        <v>1543</v>
      </c>
      <c r="C157" t="s">
        <v>8</v>
      </c>
      <c r="D157" s="3" t="s">
        <v>9</v>
      </c>
      <c r="E157">
        <v>3245.55</v>
      </c>
      <c r="F157" s="19" t="s">
        <v>88</v>
      </c>
      <c r="G157" s="62">
        <v>45467</v>
      </c>
      <c r="H157" s="55" t="s">
        <v>92</v>
      </c>
      <c r="I157" s="55" t="s">
        <v>208</v>
      </c>
      <c r="Q157" s="3">
        <f t="shared" si="2"/>
        <v>3245.55</v>
      </c>
    </row>
    <row r="158" spans="1:17" ht="72.5" x14ac:dyDescent="0.35">
      <c r="A158" t="s">
        <v>35</v>
      </c>
      <c r="B158" t="s">
        <v>1543</v>
      </c>
      <c r="C158" t="s">
        <v>8</v>
      </c>
      <c r="D158" s="3" t="s">
        <v>9</v>
      </c>
      <c r="E158">
        <v>3245.55</v>
      </c>
      <c r="F158" s="19" t="s">
        <v>88</v>
      </c>
      <c r="G158" s="62">
        <v>45498</v>
      </c>
      <c r="H158" s="55" t="s">
        <v>880</v>
      </c>
      <c r="I158" s="55" t="s">
        <v>208</v>
      </c>
      <c r="Q158" s="3">
        <f t="shared" si="2"/>
        <v>3245.55</v>
      </c>
    </row>
    <row r="159" spans="1:17" ht="72.5" x14ac:dyDescent="0.35">
      <c r="A159" t="s">
        <v>35</v>
      </c>
      <c r="B159" t="s">
        <v>1543</v>
      </c>
      <c r="C159" t="s">
        <v>8</v>
      </c>
      <c r="D159" s="3" t="s">
        <v>9</v>
      </c>
      <c r="E159">
        <v>3245.55</v>
      </c>
      <c r="F159" s="19" t="s">
        <v>88</v>
      </c>
      <c r="G159" s="62">
        <v>45526</v>
      </c>
      <c r="H159" s="55" t="s">
        <v>965</v>
      </c>
      <c r="I159" s="55" t="s">
        <v>208</v>
      </c>
      <c r="Q159" s="3">
        <f t="shared" si="2"/>
        <v>3245.55</v>
      </c>
    </row>
    <row r="160" spans="1:17" ht="72.5" x14ac:dyDescent="0.35">
      <c r="A160" t="s">
        <v>35</v>
      </c>
      <c r="B160" t="s">
        <v>1543</v>
      </c>
      <c r="C160" t="s">
        <v>8</v>
      </c>
      <c r="D160" s="3" t="s">
        <v>9</v>
      </c>
      <c r="E160">
        <v>3245.55</v>
      </c>
      <c r="F160" s="19" t="s">
        <v>88</v>
      </c>
      <c r="G160" s="62">
        <v>45558</v>
      </c>
      <c r="H160" s="55" t="s">
        <v>880</v>
      </c>
      <c r="I160" s="55" t="s">
        <v>208</v>
      </c>
      <c r="Q160" s="3">
        <f t="shared" si="2"/>
        <v>3245.55</v>
      </c>
    </row>
    <row r="161" spans="1:17" ht="72.5" x14ac:dyDescent="0.35">
      <c r="A161" t="s">
        <v>35</v>
      </c>
      <c r="B161" t="s">
        <v>1543</v>
      </c>
      <c r="C161" t="s">
        <v>8</v>
      </c>
      <c r="D161" s="3" t="s">
        <v>9</v>
      </c>
      <c r="E161">
        <v>3245.55</v>
      </c>
      <c r="F161" s="19" t="s">
        <v>88</v>
      </c>
      <c r="G161" s="62">
        <v>45591</v>
      </c>
      <c r="H161" s="55" t="s">
        <v>880</v>
      </c>
      <c r="I161" s="55" t="s">
        <v>208</v>
      </c>
      <c r="Q161" s="3">
        <f t="shared" si="2"/>
        <v>3245.55</v>
      </c>
    </row>
    <row r="162" spans="1:17" ht="72.5" x14ac:dyDescent="0.35">
      <c r="A162" t="s">
        <v>35</v>
      </c>
      <c r="B162" t="s">
        <v>1543</v>
      </c>
      <c r="C162" t="s">
        <v>8</v>
      </c>
      <c r="D162" s="3" t="s">
        <v>9</v>
      </c>
      <c r="E162">
        <v>3245.55</v>
      </c>
      <c r="F162" s="19" t="s">
        <v>88</v>
      </c>
      <c r="G162" s="62">
        <v>45620</v>
      </c>
      <c r="H162" s="55" t="s">
        <v>880</v>
      </c>
      <c r="I162" s="55" t="s">
        <v>1861</v>
      </c>
      <c r="Q162" s="3">
        <f t="shared" si="2"/>
        <v>3245.55</v>
      </c>
    </row>
    <row r="163" spans="1:17" ht="72.5" x14ac:dyDescent="0.35">
      <c r="A163" t="s">
        <v>35</v>
      </c>
      <c r="B163" t="s">
        <v>1543</v>
      </c>
      <c r="C163" t="s">
        <v>8</v>
      </c>
      <c r="D163" s="3" t="s">
        <v>9</v>
      </c>
      <c r="E163">
        <v>-3245.55</v>
      </c>
      <c r="F163" s="19" t="s">
        <v>88</v>
      </c>
      <c r="G163" s="62">
        <v>45628</v>
      </c>
      <c r="H163" s="55" t="s">
        <v>880</v>
      </c>
      <c r="I163" s="55" t="s">
        <v>1861</v>
      </c>
      <c r="Q163" s="3">
        <f t="shared" si="2"/>
        <v>3245.55</v>
      </c>
    </row>
    <row r="164" spans="1:17" ht="43.5" x14ac:dyDescent="0.35">
      <c r="A164" t="s">
        <v>0</v>
      </c>
      <c r="B164" t="s">
        <v>1566</v>
      </c>
      <c r="C164" t="s">
        <v>8</v>
      </c>
      <c r="D164" s="3" t="s">
        <v>9</v>
      </c>
      <c r="E164">
        <v>3097.91</v>
      </c>
      <c r="F164" s="19" t="s">
        <v>88</v>
      </c>
      <c r="G164" s="62">
        <v>45637</v>
      </c>
      <c r="H164" s="55" t="s">
        <v>89</v>
      </c>
      <c r="I164" s="55" t="s">
        <v>1825</v>
      </c>
      <c r="K164" t="s">
        <v>1722</v>
      </c>
      <c r="L164" t="s">
        <v>1827</v>
      </c>
      <c r="M164" t="s">
        <v>1546</v>
      </c>
      <c r="Q164" s="3">
        <f t="shared" si="2"/>
        <v>3097.91</v>
      </c>
    </row>
    <row r="165" spans="1:17" ht="43.5" x14ac:dyDescent="0.35">
      <c r="A165" t="s">
        <v>0</v>
      </c>
      <c r="B165" t="s">
        <v>1627</v>
      </c>
      <c r="C165" t="s">
        <v>8</v>
      </c>
      <c r="D165" s="3" t="s">
        <v>9</v>
      </c>
      <c r="E165">
        <v>3063.31</v>
      </c>
      <c r="F165" s="19" t="s">
        <v>88</v>
      </c>
      <c r="G165" s="62">
        <v>45566</v>
      </c>
      <c r="H165" s="55" t="s">
        <v>89</v>
      </c>
      <c r="I165" s="55" t="s">
        <v>1862</v>
      </c>
      <c r="K165" t="s">
        <v>1863</v>
      </c>
      <c r="L165" t="s">
        <v>1864</v>
      </c>
      <c r="M165" t="s">
        <v>1865</v>
      </c>
      <c r="Q165" s="3">
        <f t="shared" si="2"/>
        <v>3063.31</v>
      </c>
    </row>
    <row r="166" spans="1:17" ht="72.5" x14ac:dyDescent="0.35">
      <c r="A166" t="s">
        <v>0</v>
      </c>
      <c r="B166" t="s">
        <v>1566</v>
      </c>
      <c r="C166" t="s">
        <v>8</v>
      </c>
      <c r="D166" s="3" t="s">
        <v>9</v>
      </c>
      <c r="E166">
        <v>2858.96</v>
      </c>
      <c r="F166" s="19" t="s">
        <v>88</v>
      </c>
      <c r="G166" s="62">
        <v>45545</v>
      </c>
      <c r="H166" s="55" t="s">
        <v>1</v>
      </c>
      <c r="I166" s="55" t="s">
        <v>1866</v>
      </c>
      <c r="Q166" s="3">
        <f t="shared" si="2"/>
        <v>2858.96</v>
      </c>
    </row>
    <row r="167" spans="1:17" ht="72.5" x14ac:dyDescent="0.35">
      <c r="A167" t="s">
        <v>0</v>
      </c>
      <c r="B167" t="s">
        <v>1566</v>
      </c>
      <c r="C167" t="s">
        <v>8</v>
      </c>
      <c r="D167" s="3" t="s">
        <v>9</v>
      </c>
      <c r="E167">
        <v>2848.41</v>
      </c>
      <c r="F167" s="19" t="s">
        <v>88</v>
      </c>
      <c r="G167" s="62">
        <v>45545</v>
      </c>
      <c r="H167" s="55" t="s">
        <v>1</v>
      </c>
      <c r="I167" s="55" t="s">
        <v>1867</v>
      </c>
      <c r="Q167" s="3">
        <f t="shared" si="2"/>
        <v>2848.41</v>
      </c>
    </row>
    <row r="168" spans="1:17" ht="43.5" x14ac:dyDescent="0.35">
      <c r="A168" t="s">
        <v>0</v>
      </c>
      <c r="B168" t="s">
        <v>1543</v>
      </c>
      <c r="C168" t="s">
        <v>8</v>
      </c>
      <c r="D168" s="3" t="s">
        <v>9</v>
      </c>
      <c r="E168">
        <v>2500.12</v>
      </c>
      <c r="F168" s="19" t="s">
        <v>88</v>
      </c>
      <c r="G168" s="62">
        <v>45449</v>
      </c>
      <c r="H168" s="55" t="s">
        <v>89</v>
      </c>
      <c r="I168" s="55" t="s">
        <v>1868</v>
      </c>
      <c r="K168" t="s">
        <v>152</v>
      </c>
      <c r="L168" t="s">
        <v>1869</v>
      </c>
      <c r="M168" t="s">
        <v>153</v>
      </c>
      <c r="Q168" s="3">
        <f t="shared" si="2"/>
        <v>2500.12</v>
      </c>
    </row>
    <row r="169" spans="1:17" ht="72.5" x14ac:dyDescent="0.35">
      <c r="A169" t="s">
        <v>0</v>
      </c>
      <c r="B169" t="s">
        <v>1566</v>
      </c>
      <c r="C169" t="s">
        <v>8</v>
      </c>
      <c r="D169" s="3" t="s">
        <v>9</v>
      </c>
      <c r="E169">
        <v>2469.7800000000002</v>
      </c>
      <c r="F169" s="19" t="s">
        <v>88</v>
      </c>
      <c r="G169" s="62">
        <v>45545</v>
      </c>
      <c r="H169" s="55" t="s">
        <v>1</v>
      </c>
      <c r="I169" s="55" t="s">
        <v>1870</v>
      </c>
      <c r="Q169" s="3">
        <f t="shared" si="2"/>
        <v>2469.7800000000002</v>
      </c>
    </row>
    <row r="170" spans="1:17" ht="43.5" x14ac:dyDescent="0.35">
      <c r="A170" t="s">
        <v>0</v>
      </c>
      <c r="B170" t="s">
        <v>1566</v>
      </c>
      <c r="C170" t="s">
        <v>8</v>
      </c>
      <c r="D170" s="3" t="s">
        <v>9</v>
      </c>
      <c r="E170">
        <v>2366.84</v>
      </c>
      <c r="F170" s="19" t="s">
        <v>88</v>
      </c>
      <c r="G170" s="62">
        <v>45394</v>
      </c>
      <c r="H170" s="55" t="s">
        <v>89</v>
      </c>
      <c r="I170" s="55" t="s">
        <v>1871</v>
      </c>
      <c r="K170" t="s">
        <v>156</v>
      </c>
      <c r="L170" t="s">
        <v>1872</v>
      </c>
      <c r="M170" t="s">
        <v>157</v>
      </c>
      <c r="Q170" s="3">
        <f t="shared" si="2"/>
        <v>2366.84</v>
      </c>
    </row>
    <row r="171" spans="1:17" ht="72.5" x14ac:dyDescent="0.35">
      <c r="A171" t="s">
        <v>0</v>
      </c>
      <c r="B171" t="s">
        <v>1566</v>
      </c>
      <c r="C171" t="s">
        <v>8</v>
      </c>
      <c r="D171" s="3" t="s">
        <v>9</v>
      </c>
      <c r="E171">
        <v>2195.36</v>
      </c>
      <c r="F171" s="19" t="s">
        <v>88</v>
      </c>
      <c r="G171" s="62">
        <v>45545</v>
      </c>
      <c r="H171" s="55" t="s">
        <v>1</v>
      </c>
      <c r="I171" s="55" t="s">
        <v>1873</v>
      </c>
      <c r="Q171" s="3">
        <f t="shared" si="2"/>
        <v>2195.36</v>
      </c>
    </row>
    <row r="172" spans="1:17" ht="43.5" x14ac:dyDescent="0.35">
      <c r="A172" t="s">
        <v>0</v>
      </c>
      <c r="B172" t="s">
        <v>1566</v>
      </c>
      <c r="C172" t="s">
        <v>8</v>
      </c>
      <c r="D172" s="3" t="s">
        <v>9</v>
      </c>
      <c r="E172">
        <v>2041.4</v>
      </c>
      <c r="F172" s="19" t="s">
        <v>88</v>
      </c>
      <c r="G172" s="62">
        <v>45601</v>
      </c>
      <c r="H172" s="55" t="s">
        <v>89</v>
      </c>
      <c r="I172" s="55" t="s">
        <v>1744</v>
      </c>
      <c r="K172" t="s">
        <v>1874</v>
      </c>
      <c r="L172" t="s">
        <v>1746</v>
      </c>
      <c r="M172" t="s">
        <v>1546</v>
      </c>
      <c r="Q172" s="3">
        <f t="shared" si="2"/>
        <v>2041.4</v>
      </c>
    </row>
    <row r="173" spans="1:17" ht="43.5" x14ac:dyDescent="0.35">
      <c r="A173" t="s">
        <v>0</v>
      </c>
      <c r="B173" t="s">
        <v>1543</v>
      </c>
      <c r="C173" t="s">
        <v>8</v>
      </c>
      <c r="D173" s="3" t="s">
        <v>9</v>
      </c>
      <c r="E173">
        <v>1780.65</v>
      </c>
      <c r="F173" s="19" t="s">
        <v>88</v>
      </c>
      <c r="G173" s="62">
        <v>45573</v>
      </c>
      <c r="H173" s="55" t="s">
        <v>89</v>
      </c>
      <c r="I173" s="55" t="s">
        <v>1875</v>
      </c>
      <c r="K173" t="s">
        <v>160</v>
      </c>
      <c r="L173" t="s">
        <v>1876</v>
      </c>
      <c r="M173" t="s">
        <v>153</v>
      </c>
      <c r="Q173" s="3">
        <f t="shared" si="2"/>
        <v>1780.65</v>
      </c>
    </row>
    <row r="174" spans="1:17" ht="43.5" x14ac:dyDescent="0.35">
      <c r="A174" t="s">
        <v>0</v>
      </c>
      <c r="B174" t="s">
        <v>1543</v>
      </c>
      <c r="C174" t="s">
        <v>8</v>
      </c>
      <c r="D174" s="3" t="s">
        <v>9</v>
      </c>
      <c r="E174">
        <v>1745.29</v>
      </c>
      <c r="F174" s="19" t="s">
        <v>88</v>
      </c>
      <c r="G174" s="62">
        <v>45605</v>
      </c>
      <c r="H174" s="55" t="s">
        <v>89</v>
      </c>
      <c r="I174" s="55" t="s">
        <v>1877</v>
      </c>
      <c r="K174" t="s">
        <v>152</v>
      </c>
      <c r="L174" t="s">
        <v>1878</v>
      </c>
      <c r="M174" t="s">
        <v>153</v>
      </c>
      <c r="Q174" s="3">
        <f t="shared" si="2"/>
        <v>1745.29</v>
      </c>
    </row>
    <row r="175" spans="1:17" ht="29" x14ac:dyDescent="0.35">
      <c r="A175" t="s">
        <v>35</v>
      </c>
      <c r="B175" t="s">
        <v>1566</v>
      </c>
      <c r="C175" t="s">
        <v>8</v>
      </c>
      <c r="D175" s="3" t="s">
        <v>9</v>
      </c>
      <c r="E175">
        <v>1735.68</v>
      </c>
      <c r="F175" s="19" t="s">
        <v>88</v>
      </c>
      <c r="G175" s="62">
        <v>45468</v>
      </c>
      <c r="H175" s="55" t="s">
        <v>94</v>
      </c>
      <c r="I175" s="55" t="s">
        <v>204</v>
      </c>
      <c r="J175" s="55" t="s">
        <v>1879</v>
      </c>
      <c r="O175" t="s">
        <v>1880</v>
      </c>
      <c r="Q175" s="3">
        <f t="shared" si="2"/>
        <v>1735.68</v>
      </c>
    </row>
    <row r="176" spans="1:17" ht="29" x14ac:dyDescent="0.35">
      <c r="A176" t="s">
        <v>35</v>
      </c>
      <c r="B176" t="s">
        <v>1566</v>
      </c>
      <c r="C176" t="s">
        <v>8</v>
      </c>
      <c r="D176" s="3" t="s">
        <v>9</v>
      </c>
      <c r="E176">
        <v>1735.68</v>
      </c>
      <c r="F176" s="19" t="s">
        <v>88</v>
      </c>
      <c r="G176" s="62">
        <v>45468</v>
      </c>
      <c r="H176" s="55" t="s">
        <v>94</v>
      </c>
      <c r="I176" s="55" t="s">
        <v>204</v>
      </c>
      <c r="J176" s="55" t="s">
        <v>1881</v>
      </c>
      <c r="O176" t="s">
        <v>1880</v>
      </c>
      <c r="Q176" s="3">
        <f t="shared" si="2"/>
        <v>1735.68</v>
      </c>
    </row>
    <row r="177" spans="1:17" ht="43.5" x14ac:dyDescent="0.35">
      <c r="A177" t="s">
        <v>0</v>
      </c>
      <c r="B177" t="s">
        <v>1543</v>
      </c>
      <c r="C177" t="s">
        <v>8</v>
      </c>
      <c r="D177" s="3" t="s">
        <v>9</v>
      </c>
      <c r="E177">
        <v>1712.58</v>
      </c>
      <c r="F177" s="19" t="s">
        <v>88</v>
      </c>
      <c r="G177" s="62">
        <v>45392</v>
      </c>
      <c r="H177" s="55" t="s">
        <v>89</v>
      </c>
      <c r="I177" s="55" t="s">
        <v>1882</v>
      </c>
      <c r="K177" t="s">
        <v>152</v>
      </c>
      <c r="L177" t="s">
        <v>1883</v>
      </c>
      <c r="M177" t="s">
        <v>153</v>
      </c>
      <c r="Q177" s="3">
        <f t="shared" si="2"/>
        <v>1712.58</v>
      </c>
    </row>
    <row r="178" spans="1:17" ht="43.5" x14ac:dyDescent="0.35">
      <c r="A178" t="s">
        <v>35</v>
      </c>
      <c r="B178" t="s">
        <v>1884</v>
      </c>
      <c r="C178" t="s">
        <v>8</v>
      </c>
      <c r="D178" s="3" t="s">
        <v>9</v>
      </c>
      <c r="E178">
        <v>1643.51</v>
      </c>
      <c r="F178" s="19" t="s">
        <v>88</v>
      </c>
      <c r="G178" s="62">
        <v>45418</v>
      </c>
      <c r="H178" s="55" t="s">
        <v>89</v>
      </c>
      <c r="I178" s="55" t="s">
        <v>1885</v>
      </c>
      <c r="K178" t="s">
        <v>1886</v>
      </c>
      <c r="L178" t="s">
        <v>1887</v>
      </c>
      <c r="M178" t="s">
        <v>1888</v>
      </c>
      <c r="Q178" s="3">
        <f t="shared" si="2"/>
        <v>1643.51</v>
      </c>
    </row>
    <row r="179" spans="1:17" ht="43.5" x14ac:dyDescent="0.35">
      <c r="A179" t="s">
        <v>0</v>
      </c>
      <c r="B179" t="s">
        <v>1543</v>
      </c>
      <c r="C179" t="s">
        <v>8</v>
      </c>
      <c r="D179" s="3" t="s">
        <v>9</v>
      </c>
      <c r="E179">
        <v>1636.34</v>
      </c>
      <c r="F179" s="19" t="s">
        <v>88</v>
      </c>
      <c r="G179" s="62">
        <v>45635</v>
      </c>
      <c r="H179" s="55" t="s">
        <v>89</v>
      </c>
      <c r="I179" s="55" t="s">
        <v>1889</v>
      </c>
      <c r="K179" t="s">
        <v>1890</v>
      </c>
      <c r="L179" t="s">
        <v>1891</v>
      </c>
      <c r="M179" t="s">
        <v>179</v>
      </c>
      <c r="Q179" s="3">
        <f t="shared" si="2"/>
        <v>1636.34</v>
      </c>
    </row>
    <row r="180" spans="1:17" ht="43.5" x14ac:dyDescent="0.35">
      <c r="A180" t="s">
        <v>0</v>
      </c>
      <c r="B180" t="s">
        <v>1566</v>
      </c>
      <c r="C180" t="s">
        <v>8</v>
      </c>
      <c r="D180" s="3" t="s">
        <v>9</v>
      </c>
      <c r="E180">
        <v>1519.25</v>
      </c>
      <c r="F180" s="19" t="s">
        <v>88</v>
      </c>
      <c r="G180" s="62">
        <v>45629</v>
      </c>
      <c r="H180" s="55" t="s">
        <v>89</v>
      </c>
      <c r="I180" s="55" t="s">
        <v>1689</v>
      </c>
      <c r="K180" t="s">
        <v>1892</v>
      </c>
      <c r="L180" t="s">
        <v>1691</v>
      </c>
      <c r="M180" t="s">
        <v>1546</v>
      </c>
      <c r="Q180" s="3">
        <f t="shared" si="2"/>
        <v>1519.25</v>
      </c>
    </row>
    <row r="181" spans="1:17" ht="72.5" x14ac:dyDescent="0.35">
      <c r="A181" t="s">
        <v>0</v>
      </c>
      <c r="B181" t="s">
        <v>1566</v>
      </c>
      <c r="C181" t="s">
        <v>8</v>
      </c>
      <c r="D181" s="3" t="s">
        <v>9</v>
      </c>
      <c r="E181">
        <v>1500</v>
      </c>
      <c r="F181" s="19" t="s">
        <v>88</v>
      </c>
      <c r="G181" s="62">
        <v>45545</v>
      </c>
      <c r="H181" s="55" t="s">
        <v>1</v>
      </c>
      <c r="I181" s="55" t="s">
        <v>1893</v>
      </c>
      <c r="Q181" s="3">
        <f t="shared" si="2"/>
        <v>1500</v>
      </c>
    </row>
    <row r="182" spans="1:17" ht="43.5" x14ac:dyDescent="0.35">
      <c r="A182" t="s">
        <v>0</v>
      </c>
      <c r="B182" t="s">
        <v>1543</v>
      </c>
      <c r="C182" t="s">
        <v>8</v>
      </c>
      <c r="D182" s="3" t="s">
        <v>9</v>
      </c>
      <c r="E182">
        <v>1476.63</v>
      </c>
      <c r="F182" s="19" t="s">
        <v>88</v>
      </c>
      <c r="G182" s="62">
        <v>45601</v>
      </c>
      <c r="H182" s="55" t="s">
        <v>89</v>
      </c>
      <c r="I182" s="55" t="s">
        <v>1894</v>
      </c>
      <c r="K182" t="s">
        <v>1895</v>
      </c>
      <c r="L182" t="s">
        <v>1896</v>
      </c>
      <c r="M182" t="s">
        <v>1546</v>
      </c>
      <c r="Q182" s="3">
        <f t="shared" si="2"/>
        <v>1476.63</v>
      </c>
    </row>
    <row r="183" spans="1:17" ht="43.5" x14ac:dyDescent="0.35">
      <c r="A183" t="s">
        <v>0</v>
      </c>
      <c r="B183" t="s">
        <v>1566</v>
      </c>
      <c r="C183" t="s">
        <v>8</v>
      </c>
      <c r="D183" s="3" t="s">
        <v>9</v>
      </c>
      <c r="E183">
        <v>1421.91</v>
      </c>
      <c r="F183" s="19" t="s">
        <v>88</v>
      </c>
      <c r="G183" s="62">
        <v>45573</v>
      </c>
      <c r="H183" s="55" t="s">
        <v>89</v>
      </c>
      <c r="I183" s="55" t="s">
        <v>1897</v>
      </c>
      <c r="K183" t="s">
        <v>1898</v>
      </c>
      <c r="L183" t="s">
        <v>1899</v>
      </c>
      <c r="M183" t="s">
        <v>1888</v>
      </c>
      <c r="Q183" s="3">
        <f t="shared" si="2"/>
        <v>1421.91</v>
      </c>
    </row>
    <row r="184" spans="1:17" ht="43.5" x14ac:dyDescent="0.35">
      <c r="A184" t="s">
        <v>0</v>
      </c>
      <c r="B184" t="s">
        <v>1566</v>
      </c>
      <c r="C184" t="s">
        <v>8</v>
      </c>
      <c r="D184" s="3" t="s">
        <v>9</v>
      </c>
      <c r="E184">
        <v>1421.91</v>
      </c>
      <c r="F184" s="19" t="s">
        <v>88</v>
      </c>
      <c r="G184" s="62">
        <v>45602</v>
      </c>
      <c r="H184" s="55" t="s">
        <v>89</v>
      </c>
      <c r="I184" s="55" t="s">
        <v>1900</v>
      </c>
      <c r="K184" t="s">
        <v>1898</v>
      </c>
      <c r="L184" t="s">
        <v>1901</v>
      </c>
      <c r="M184" t="s">
        <v>1888</v>
      </c>
      <c r="Q184" s="3">
        <f t="shared" si="2"/>
        <v>1421.91</v>
      </c>
    </row>
    <row r="185" spans="1:17" ht="43.5" x14ac:dyDescent="0.35">
      <c r="A185" t="s">
        <v>0</v>
      </c>
      <c r="B185" t="s">
        <v>1543</v>
      </c>
      <c r="C185" t="s">
        <v>8</v>
      </c>
      <c r="D185" s="3" t="s">
        <v>9</v>
      </c>
      <c r="E185">
        <v>1255.54</v>
      </c>
      <c r="F185" s="19" t="s">
        <v>88</v>
      </c>
      <c r="G185" s="62">
        <v>45449</v>
      </c>
      <c r="H185" s="55" t="s">
        <v>89</v>
      </c>
      <c r="I185" s="55" t="s">
        <v>1902</v>
      </c>
      <c r="K185" t="s">
        <v>1903</v>
      </c>
      <c r="L185" t="s">
        <v>1904</v>
      </c>
      <c r="M185" t="s">
        <v>179</v>
      </c>
      <c r="Q185" s="3">
        <f t="shared" si="2"/>
        <v>1255.54</v>
      </c>
    </row>
    <row r="186" spans="1:17" ht="43.5" x14ac:dyDescent="0.35">
      <c r="A186" t="s">
        <v>0</v>
      </c>
      <c r="B186" t="s">
        <v>1543</v>
      </c>
      <c r="C186" t="s">
        <v>8</v>
      </c>
      <c r="D186" s="3" t="s">
        <v>9</v>
      </c>
      <c r="E186">
        <v>1248</v>
      </c>
      <c r="F186" s="19" t="s">
        <v>88</v>
      </c>
      <c r="G186" s="62">
        <v>45541</v>
      </c>
      <c r="H186" s="55" t="s">
        <v>89</v>
      </c>
      <c r="I186" s="55" t="s">
        <v>1905</v>
      </c>
      <c r="K186" t="s">
        <v>1906</v>
      </c>
      <c r="L186" t="s">
        <v>1907</v>
      </c>
      <c r="M186" t="s">
        <v>179</v>
      </c>
      <c r="Q186" s="3">
        <f t="shared" si="2"/>
        <v>1248</v>
      </c>
    </row>
    <row r="187" spans="1:17" ht="43.5" x14ac:dyDescent="0.35">
      <c r="A187" t="s">
        <v>0</v>
      </c>
      <c r="B187" t="s">
        <v>1543</v>
      </c>
      <c r="C187" t="s">
        <v>8</v>
      </c>
      <c r="D187" s="3" t="s">
        <v>9</v>
      </c>
      <c r="E187">
        <v>1235.07</v>
      </c>
      <c r="F187" s="19" t="s">
        <v>88</v>
      </c>
      <c r="G187" s="62">
        <v>45517</v>
      </c>
      <c r="H187" s="55" t="s">
        <v>89</v>
      </c>
      <c r="I187" s="55" t="s">
        <v>1908</v>
      </c>
      <c r="K187" t="s">
        <v>1909</v>
      </c>
      <c r="L187" t="s">
        <v>1910</v>
      </c>
      <c r="M187" t="s">
        <v>179</v>
      </c>
      <c r="Q187" s="3">
        <f t="shared" si="2"/>
        <v>1235.07</v>
      </c>
    </row>
    <row r="188" spans="1:17" ht="43.5" x14ac:dyDescent="0.35">
      <c r="A188" t="s">
        <v>0</v>
      </c>
      <c r="B188" t="s">
        <v>1543</v>
      </c>
      <c r="C188" t="s">
        <v>8</v>
      </c>
      <c r="D188" s="3" t="s">
        <v>9</v>
      </c>
      <c r="E188">
        <v>1228.1099999999999</v>
      </c>
      <c r="F188" s="19" t="s">
        <v>88</v>
      </c>
      <c r="G188" s="62">
        <v>45573</v>
      </c>
      <c r="H188" s="55" t="s">
        <v>89</v>
      </c>
      <c r="I188" s="55" t="s">
        <v>1911</v>
      </c>
      <c r="K188" t="s">
        <v>1912</v>
      </c>
      <c r="L188" t="s">
        <v>1913</v>
      </c>
      <c r="M188" t="s">
        <v>179</v>
      </c>
      <c r="Q188" s="3">
        <f t="shared" si="2"/>
        <v>1228.1099999999999</v>
      </c>
    </row>
    <row r="189" spans="1:17" ht="43.5" x14ac:dyDescent="0.35">
      <c r="A189" t="s">
        <v>0</v>
      </c>
      <c r="B189" t="s">
        <v>1543</v>
      </c>
      <c r="C189" t="s">
        <v>8</v>
      </c>
      <c r="D189" s="3" t="s">
        <v>9</v>
      </c>
      <c r="E189">
        <v>1227.26</v>
      </c>
      <c r="F189" s="19" t="s">
        <v>88</v>
      </c>
      <c r="G189" s="62">
        <v>45635</v>
      </c>
      <c r="H189" s="55" t="s">
        <v>89</v>
      </c>
      <c r="I189" s="55" t="s">
        <v>1914</v>
      </c>
      <c r="K189" t="s">
        <v>1915</v>
      </c>
      <c r="L189" t="s">
        <v>1916</v>
      </c>
      <c r="M189" t="s">
        <v>179</v>
      </c>
      <c r="Q189" s="3">
        <f t="shared" si="2"/>
        <v>1227.26</v>
      </c>
    </row>
    <row r="190" spans="1:17" ht="43.5" x14ac:dyDescent="0.35">
      <c r="A190" t="s">
        <v>0</v>
      </c>
      <c r="B190" t="s">
        <v>1543</v>
      </c>
      <c r="C190" t="s">
        <v>8</v>
      </c>
      <c r="D190" s="3" t="s">
        <v>9</v>
      </c>
      <c r="E190">
        <v>1225.98</v>
      </c>
      <c r="F190" s="19" t="s">
        <v>88</v>
      </c>
      <c r="G190" s="62">
        <v>45482</v>
      </c>
      <c r="H190" s="55" t="s">
        <v>89</v>
      </c>
      <c r="I190" s="55" t="s">
        <v>1917</v>
      </c>
      <c r="K190" t="s">
        <v>101</v>
      </c>
      <c r="L190" t="s">
        <v>1918</v>
      </c>
      <c r="M190" t="s">
        <v>179</v>
      </c>
      <c r="Q190" s="3">
        <f t="shared" si="2"/>
        <v>1225.98</v>
      </c>
    </row>
    <row r="191" spans="1:17" ht="43.5" x14ac:dyDescent="0.35">
      <c r="A191" t="s">
        <v>0</v>
      </c>
      <c r="B191" t="s">
        <v>1543</v>
      </c>
      <c r="C191" t="s">
        <v>8</v>
      </c>
      <c r="D191" s="3" t="s">
        <v>9</v>
      </c>
      <c r="E191">
        <v>1222.21</v>
      </c>
      <c r="F191" s="19" t="s">
        <v>88</v>
      </c>
      <c r="G191" s="62">
        <v>45614</v>
      </c>
      <c r="H191" s="55" t="s">
        <v>89</v>
      </c>
      <c r="I191" s="55" t="s">
        <v>1919</v>
      </c>
      <c r="K191" t="s">
        <v>1915</v>
      </c>
      <c r="L191" t="s">
        <v>1920</v>
      </c>
      <c r="M191" t="s">
        <v>179</v>
      </c>
      <c r="Q191" s="3">
        <f t="shared" si="2"/>
        <v>1222.21</v>
      </c>
    </row>
    <row r="192" spans="1:17" ht="72.5" x14ac:dyDescent="0.35">
      <c r="A192" t="s">
        <v>0</v>
      </c>
      <c r="B192" t="s">
        <v>1627</v>
      </c>
      <c r="C192" t="s">
        <v>8</v>
      </c>
      <c r="D192" s="3" t="s">
        <v>9</v>
      </c>
      <c r="E192">
        <v>1220.5899999999999</v>
      </c>
      <c r="F192" s="19" t="s">
        <v>88</v>
      </c>
      <c r="G192" s="62">
        <v>45474</v>
      </c>
      <c r="H192" s="55" t="s">
        <v>146</v>
      </c>
      <c r="I192" s="55" t="s">
        <v>1921</v>
      </c>
      <c r="Q192" s="3">
        <f t="shared" si="2"/>
        <v>1220.5899999999999</v>
      </c>
    </row>
    <row r="193" spans="1:21" ht="43.5" x14ac:dyDescent="0.35">
      <c r="A193" t="s">
        <v>0</v>
      </c>
      <c r="B193" t="s">
        <v>1543</v>
      </c>
      <c r="C193" t="s">
        <v>8</v>
      </c>
      <c r="D193" s="3" t="s">
        <v>9</v>
      </c>
      <c r="E193">
        <v>1192.05</v>
      </c>
      <c r="F193" s="19" t="s">
        <v>88</v>
      </c>
      <c r="G193" s="62">
        <v>45478</v>
      </c>
      <c r="H193" s="55" t="s">
        <v>89</v>
      </c>
      <c r="I193" s="55" t="s">
        <v>1922</v>
      </c>
      <c r="K193" t="s">
        <v>160</v>
      </c>
      <c r="L193" t="s">
        <v>1923</v>
      </c>
      <c r="M193" t="s">
        <v>153</v>
      </c>
      <c r="Q193" s="3">
        <f t="shared" si="2"/>
        <v>1192.05</v>
      </c>
    </row>
    <row r="194" spans="1:21" x14ac:dyDescent="0.35">
      <c r="A194" t="s">
        <v>35</v>
      </c>
      <c r="B194" t="s">
        <v>1566</v>
      </c>
      <c r="C194" t="s">
        <v>8</v>
      </c>
      <c r="D194" s="3" t="s">
        <v>9</v>
      </c>
      <c r="E194">
        <v>1100</v>
      </c>
      <c r="F194" s="19" t="s">
        <v>88</v>
      </c>
      <c r="G194" s="62">
        <v>45642</v>
      </c>
      <c r="I194" s="55" t="s">
        <v>1924</v>
      </c>
      <c r="K194" s="55" t="s">
        <v>1269</v>
      </c>
      <c r="Q194" s="3">
        <f t="shared" si="2"/>
        <v>1100</v>
      </c>
    </row>
    <row r="195" spans="1:21" ht="43.5" x14ac:dyDescent="0.35">
      <c r="A195" t="s">
        <v>0</v>
      </c>
      <c r="B195" t="s">
        <v>1543</v>
      </c>
      <c r="C195" t="s">
        <v>8</v>
      </c>
      <c r="D195" s="3" t="s">
        <v>9</v>
      </c>
      <c r="E195">
        <v>1099.93</v>
      </c>
      <c r="F195" s="19" t="s">
        <v>88</v>
      </c>
      <c r="G195" s="62">
        <v>45569</v>
      </c>
      <c r="H195" s="55" t="s">
        <v>89</v>
      </c>
      <c r="I195" s="55" t="s">
        <v>1925</v>
      </c>
      <c r="K195" t="s">
        <v>1673</v>
      </c>
      <c r="L195" t="s">
        <v>1926</v>
      </c>
      <c r="M195" t="s">
        <v>1674</v>
      </c>
      <c r="Q195" s="3">
        <f t="shared" si="2"/>
        <v>1099.93</v>
      </c>
    </row>
    <row r="196" spans="1:21" ht="43.5" x14ac:dyDescent="0.35">
      <c r="A196" t="s">
        <v>0</v>
      </c>
      <c r="B196" t="s">
        <v>1566</v>
      </c>
      <c r="C196" t="s">
        <v>8</v>
      </c>
      <c r="D196" s="3" t="s">
        <v>9</v>
      </c>
      <c r="E196">
        <v>1097.68</v>
      </c>
      <c r="F196" s="19" t="s">
        <v>88</v>
      </c>
      <c r="G196" s="62">
        <v>45566</v>
      </c>
      <c r="H196" s="55" t="s">
        <v>89</v>
      </c>
      <c r="I196" s="55" t="s">
        <v>1927</v>
      </c>
      <c r="K196" t="s">
        <v>1928</v>
      </c>
      <c r="L196" t="s">
        <v>1929</v>
      </c>
      <c r="M196" t="s">
        <v>1930</v>
      </c>
      <c r="Q196" s="3">
        <f t="shared" si="2"/>
        <v>1097.68</v>
      </c>
    </row>
    <row r="197" spans="1:21" ht="43.5" x14ac:dyDescent="0.35">
      <c r="A197" t="s">
        <v>0</v>
      </c>
      <c r="B197" t="s">
        <v>1627</v>
      </c>
      <c r="C197" t="s">
        <v>8</v>
      </c>
      <c r="D197" s="3" t="s">
        <v>9</v>
      </c>
      <c r="E197">
        <v>1000</v>
      </c>
      <c r="F197" s="19" t="s">
        <v>88</v>
      </c>
      <c r="G197" s="62">
        <v>45427</v>
      </c>
      <c r="I197" s="55" t="s">
        <v>1931</v>
      </c>
      <c r="K197" s="55" t="s">
        <v>1931</v>
      </c>
      <c r="Q197" s="3">
        <f t="shared" si="2"/>
        <v>1000</v>
      </c>
    </row>
    <row r="198" spans="1:21" ht="72.5" x14ac:dyDescent="0.35">
      <c r="A198" t="s">
        <v>0</v>
      </c>
      <c r="B198" t="s">
        <v>1566</v>
      </c>
      <c r="C198" t="s">
        <v>8</v>
      </c>
      <c r="D198" s="3" t="s">
        <v>9</v>
      </c>
      <c r="E198">
        <v>987.91</v>
      </c>
      <c r="F198" s="19" t="s">
        <v>88</v>
      </c>
      <c r="G198" s="62">
        <v>45545</v>
      </c>
      <c r="H198" s="55" t="s">
        <v>1</v>
      </c>
      <c r="I198" s="55" t="s">
        <v>1932</v>
      </c>
      <c r="Q198" s="3">
        <f t="shared" si="2"/>
        <v>987.91</v>
      </c>
    </row>
    <row r="199" spans="1:21" ht="72.5" x14ac:dyDescent="0.35">
      <c r="A199" t="s">
        <v>0</v>
      </c>
      <c r="B199" t="s">
        <v>1627</v>
      </c>
      <c r="C199" t="s">
        <v>8</v>
      </c>
      <c r="D199" s="3" t="s">
        <v>9</v>
      </c>
      <c r="E199">
        <v>970.32</v>
      </c>
      <c r="F199" s="19" t="s">
        <v>88</v>
      </c>
      <c r="G199" s="62">
        <v>45525</v>
      </c>
      <c r="H199" s="55" t="s">
        <v>146</v>
      </c>
      <c r="I199" s="55" t="s">
        <v>1933</v>
      </c>
      <c r="Q199" s="3">
        <f t="shared" si="2"/>
        <v>970.32</v>
      </c>
    </row>
    <row r="200" spans="1:21" ht="72.5" x14ac:dyDescent="0.35">
      <c r="A200" t="s">
        <v>0</v>
      </c>
      <c r="B200" t="s">
        <v>1627</v>
      </c>
      <c r="C200" t="s">
        <v>8</v>
      </c>
      <c r="D200" s="3" t="s">
        <v>9</v>
      </c>
      <c r="E200">
        <v>917.62</v>
      </c>
      <c r="F200" s="19" t="s">
        <v>88</v>
      </c>
      <c r="G200" s="62">
        <v>45525</v>
      </c>
      <c r="H200" s="55" t="s">
        <v>146</v>
      </c>
      <c r="I200" s="55" t="s">
        <v>1934</v>
      </c>
      <c r="Q200" s="3">
        <f t="shared" ref="Q200:Q263" si="3">ABS(E200)</f>
        <v>917.62</v>
      </c>
    </row>
    <row r="201" spans="1:21" ht="43.5" x14ac:dyDescent="0.35">
      <c r="A201" t="s">
        <v>35</v>
      </c>
      <c r="B201" t="s">
        <v>1543</v>
      </c>
      <c r="C201" t="s">
        <v>8</v>
      </c>
      <c r="D201" s="3" t="s">
        <v>9</v>
      </c>
      <c r="E201">
        <v>879.94</v>
      </c>
      <c r="F201" s="19" t="s">
        <v>88</v>
      </c>
      <c r="G201" s="62">
        <v>45573</v>
      </c>
      <c r="H201" s="55" t="s">
        <v>89</v>
      </c>
      <c r="I201" s="55" t="s">
        <v>1935</v>
      </c>
      <c r="K201" t="s">
        <v>1936</v>
      </c>
      <c r="L201" t="s">
        <v>1937</v>
      </c>
      <c r="M201" t="s">
        <v>1938</v>
      </c>
      <c r="Q201" s="3">
        <f t="shared" si="3"/>
        <v>879.94</v>
      </c>
      <c r="S201" t="s">
        <v>64</v>
      </c>
      <c r="T201" t="str">
        <f>B201</f>
        <v>AU032051</v>
      </c>
      <c r="U201">
        <f>E201</f>
        <v>879.94</v>
      </c>
    </row>
    <row r="202" spans="1:21" ht="72.5" x14ac:dyDescent="0.35">
      <c r="A202" t="s">
        <v>0</v>
      </c>
      <c r="B202" t="s">
        <v>1627</v>
      </c>
      <c r="C202" t="s">
        <v>8</v>
      </c>
      <c r="D202" s="3" t="s">
        <v>9</v>
      </c>
      <c r="E202">
        <v>841.8</v>
      </c>
      <c r="F202" s="19" t="s">
        <v>88</v>
      </c>
      <c r="G202" s="62">
        <v>45505</v>
      </c>
      <c r="H202" s="55" t="s">
        <v>146</v>
      </c>
      <c r="I202" s="55" t="s">
        <v>1939</v>
      </c>
      <c r="Q202" s="3">
        <f t="shared" si="3"/>
        <v>841.8</v>
      </c>
    </row>
    <row r="203" spans="1:21" ht="72.5" x14ac:dyDescent="0.35">
      <c r="A203" t="s">
        <v>0</v>
      </c>
      <c r="B203" t="s">
        <v>1627</v>
      </c>
      <c r="C203" t="s">
        <v>8</v>
      </c>
      <c r="D203" s="3" t="s">
        <v>9</v>
      </c>
      <c r="E203">
        <v>802.6</v>
      </c>
      <c r="F203" s="19" t="s">
        <v>88</v>
      </c>
      <c r="G203" s="62">
        <v>45474</v>
      </c>
      <c r="H203" s="55" t="s">
        <v>146</v>
      </c>
      <c r="I203" s="55" t="s">
        <v>1940</v>
      </c>
      <c r="Q203" s="3">
        <f t="shared" si="3"/>
        <v>802.6</v>
      </c>
    </row>
    <row r="204" spans="1:21" ht="72.5" x14ac:dyDescent="0.35">
      <c r="A204" t="s">
        <v>0</v>
      </c>
      <c r="B204" t="s">
        <v>1627</v>
      </c>
      <c r="C204" t="s">
        <v>8</v>
      </c>
      <c r="D204" s="3" t="s">
        <v>9</v>
      </c>
      <c r="E204">
        <v>802.47</v>
      </c>
      <c r="F204" s="19" t="s">
        <v>88</v>
      </c>
      <c r="G204" s="62">
        <v>45649</v>
      </c>
      <c r="H204" s="55" t="s">
        <v>146</v>
      </c>
      <c r="I204" s="55" t="s">
        <v>1941</v>
      </c>
      <c r="Q204" s="3">
        <f t="shared" si="3"/>
        <v>802.47</v>
      </c>
    </row>
    <row r="205" spans="1:21" ht="72.5" x14ac:dyDescent="0.35">
      <c r="A205" t="s">
        <v>0</v>
      </c>
      <c r="B205" t="s">
        <v>1627</v>
      </c>
      <c r="C205" t="s">
        <v>8</v>
      </c>
      <c r="D205" s="3" t="s">
        <v>9</v>
      </c>
      <c r="E205">
        <v>750</v>
      </c>
      <c r="F205" s="19" t="s">
        <v>88</v>
      </c>
      <c r="G205" s="62">
        <v>45582</v>
      </c>
      <c r="H205" s="55" t="s">
        <v>146</v>
      </c>
      <c r="I205" s="55" t="s">
        <v>1942</v>
      </c>
      <c r="Q205" s="3">
        <f t="shared" si="3"/>
        <v>750</v>
      </c>
    </row>
    <row r="206" spans="1:21" ht="29" x14ac:dyDescent="0.35">
      <c r="A206" t="s">
        <v>35</v>
      </c>
      <c r="B206" t="s">
        <v>1566</v>
      </c>
      <c r="C206" t="s">
        <v>8</v>
      </c>
      <c r="D206" s="3" t="s">
        <v>9</v>
      </c>
      <c r="E206">
        <v>707.74</v>
      </c>
      <c r="F206" s="19" t="s">
        <v>88</v>
      </c>
      <c r="G206" s="62">
        <v>45625</v>
      </c>
      <c r="H206" s="55" t="s">
        <v>94</v>
      </c>
      <c r="I206" s="55" t="s">
        <v>1943</v>
      </c>
      <c r="K206" s="55" t="s">
        <v>1944</v>
      </c>
      <c r="O206" t="s">
        <v>1945</v>
      </c>
      <c r="Q206" s="3">
        <f t="shared" si="3"/>
        <v>707.74</v>
      </c>
    </row>
    <row r="207" spans="1:21" ht="72.5" x14ac:dyDescent="0.35">
      <c r="A207" t="s">
        <v>0</v>
      </c>
      <c r="B207" t="s">
        <v>1627</v>
      </c>
      <c r="C207" t="s">
        <v>8</v>
      </c>
      <c r="D207" s="3" t="s">
        <v>9</v>
      </c>
      <c r="E207">
        <v>650</v>
      </c>
      <c r="F207" s="19" t="s">
        <v>88</v>
      </c>
      <c r="G207" s="62">
        <v>45572</v>
      </c>
      <c r="H207" s="55" t="s">
        <v>146</v>
      </c>
      <c r="I207" s="55" t="s">
        <v>1946</v>
      </c>
      <c r="Q207" s="3">
        <f t="shared" si="3"/>
        <v>650</v>
      </c>
    </row>
    <row r="208" spans="1:21" ht="43.5" x14ac:dyDescent="0.35">
      <c r="A208" t="s">
        <v>0</v>
      </c>
      <c r="B208" t="s">
        <v>1543</v>
      </c>
      <c r="C208" t="s">
        <v>8</v>
      </c>
      <c r="D208" s="3" t="s">
        <v>9</v>
      </c>
      <c r="E208">
        <v>602.72</v>
      </c>
      <c r="F208" s="19" t="s">
        <v>88</v>
      </c>
      <c r="G208" s="62">
        <v>45425</v>
      </c>
      <c r="H208" s="55" t="s">
        <v>89</v>
      </c>
      <c r="I208" s="55" t="s">
        <v>1947</v>
      </c>
      <c r="K208" t="s">
        <v>152</v>
      </c>
      <c r="L208" t="s">
        <v>1948</v>
      </c>
      <c r="M208" t="s">
        <v>153</v>
      </c>
      <c r="Q208" s="3">
        <f t="shared" si="3"/>
        <v>602.72</v>
      </c>
    </row>
    <row r="209" spans="1:21" ht="72.5" x14ac:dyDescent="0.35">
      <c r="A209" t="s">
        <v>0</v>
      </c>
      <c r="B209" t="s">
        <v>1627</v>
      </c>
      <c r="C209" t="s">
        <v>8</v>
      </c>
      <c r="D209" s="3" t="s">
        <v>9</v>
      </c>
      <c r="E209">
        <v>596.22</v>
      </c>
      <c r="F209" s="19" t="s">
        <v>88</v>
      </c>
      <c r="G209" s="62">
        <v>45525</v>
      </c>
      <c r="H209" s="55" t="s">
        <v>146</v>
      </c>
      <c r="I209" s="55" t="s">
        <v>1949</v>
      </c>
      <c r="Q209" s="3">
        <f t="shared" si="3"/>
        <v>596.22</v>
      </c>
    </row>
    <row r="210" spans="1:21" ht="72.5" x14ac:dyDescent="0.35">
      <c r="A210" t="s">
        <v>0</v>
      </c>
      <c r="B210" t="s">
        <v>1627</v>
      </c>
      <c r="C210" t="s">
        <v>8</v>
      </c>
      <c r="D210" s="3" t="s">
        <v>9</v>
      </c>
      <c r="E210">
        <v>563.09</v>
      </c>
      <c r="F210" s="19" t="s">
        <v>88</v>
      </c>
      <c r="G210" s="62">
        <v>45644</v>
      </c>
      <c r="H210" s="55" t="s">
        <v>146</v>
      </c>
      <c r="I210" s="55" t="s">
        <v>1950</v>
      </c>
      <c r="Q210" s="3">
        <f t="shared" si="3"/>
        <v>563.09</v>
      </c>
    </row>
    <row r="211" spans="1:21" ht="43.5" x14ac:dyDescent="0.35">
      <c r="A211" t="s">
        <v>0</v>
      </c>
      <c r="B211" t="s">
        <v>852</v>
      </c>
      <c r="C211" t="s">
        <v>8</v>
      </c>
      <c r="D211" s="3" t="s">
        <v>9</v>
      </c>
      <c r="E211">
        <v>548.86</v>
      </c>
      <c r="F211" s="19" t="s">
        <v>88</v>
      </c>
      <c r="G211" s="62">
        <v>45480</v>
      </c>
      <c r="H211" s="55" t="s">
        <v>89</v>
      </c>
      <c r="I211" s="55" t="s">
        <v>1951</v>
      </c>
      <c r="K211" t="s">
        <v>1952</v>
      </c>
      <c r="L211" t="s">
        <v>1953</v>
      </c>
      <c r="M211" t="s">
        <v>1954</v>
      </c>
      <c r="Q211" s="3">
        <f t="shared" si="3"/>
        <v>548.86</v>
      </c>
    </row>
    <row r="212" spans="1:21" x14ac:dyDescent="0.35">
      <c r="A212" t="s">
        <v>35</v>
      </c>
      <c r="B212" t="s">
        <v>1543</v>
      </c>
      <c r="C212" t="s">
        <v>8</v>
      </c>
      <c r="D212" s="3" t="s">
        <v>9</v>
      </c>
      <c r="E212">
        <v>534</v>
      </c>
      <c r="F212" s="19" t="s">
        <v>88</v>
      </c>
      <c r="G212" s="62">
        <v>45616</v>
      </c>
      <c r="H212" s="55" t="s">
        <v>94</v>
      </c>
      <c r="I212" s="55" t="s">
        <v>508</v>
      </c>
      <c r="J212" s="55" t="s">
        <v>1955</v>
      </c>
      <c r="O212" t="s">
        <v>1956</v>
      </c>
      <c r="Q212" s="3">
        <f t="shared" si="3"/>
        <v>534</v>
      </c>
      <c r="S212" t="s">
        <v>64</v>
      </c>
      <c r="T212" t="str">
        <f>B212</f>
        <v>AU032051</v>
      </c>
      <c r="U212">
        <f>E212</f>
        <v>534</v>
      </c>
    </row>
    <row r="213" spans="1:21" ht="72.5" x14ac:dyDescent="0.35">
      <c r="A213" t="s">
        <v>0</v>
      </c>
      <c r="B213" t="s">
        <v>1566</v>
      </c>
      <c r="C213" t="s">
        <v>8</v>
      </c>
      <c r="D213" s="3" t="s">
        <v>9</v>
      </c>
      <c r="E213">
        <v>500</v>
      </c>
      <c r="F213" s="19" t="s">
        <v>88</v>
      </c>
      <c r="G213" s="62">
        <v>45545</v>
      </c>
      <c r="H213" s="55" t="s">
        <v>1</v>
      </c>
      <c r="I213" s="55" t="s">
        <v>1957</v>
      </c>
      <c r="Q213" s="3">
        <f t="shared" si="3"/>
        <v>500</v>
      </c>
    </row>
    <row r="214" spans="1:21" ht="72.5" x14ac:dyDescent="0.35">
      <c r="A214" t="s">
        <v>0</v>
      </c>
      <c r="B214" t="s">
        <v>1566</v>
      </c>
      <c r="C214" t="s">
        <v>8</v>
      </c>
      <c r="D214" s="3" t="s">
        <v>9</v>
      </c>
      <c r="E214">
        <v>500</v>
      </c>
      <c r="F214" s="19" t="s">
        <v>88</v>
      </c>
      <c r="G214" s="62">
        <v>45545</v>
      </c>
      <c r="H214" s="55" t="s">
        <v>1</v>
      </c>
      <c r="I214" s="55" t="s">
        <v>1958</v>
      </c>
      <c r="Q214" s="3">
        <f t="shared" si="3"/>
        <v>500</v>
      </c>
    </row>
    <row r="215" spans="1:21" ht="72.5" x14ac:dyDescent="0.35">
      <c r="A215" t="s">
        <v>0</v>
      </c>
      <c r="B215" t="s">
        <v>1627</v>
      </c>
      <c r="C215" t="s">
        <v>8</v>
      </c>
      <c r="D215" s="3" t="s">
        <v>9</v>
      </c>
      <c r="E215">
        <v>500</v>
      </c>
      <c r="F215" s="19" t="s">
        <v>88</v>
      </c>
      <c r="G215" s="62">
        <v>45622</v>
      </c>
      <c r="H215" s="55" t="s">
        <v>146</v>
      </c>
      <c r="I215" s="55" t="s">
        <v>1959</v>
      </c>
      <c r="Q215" s="3">
        <f t="shared" si="3"/>
        <v>500</v>
      </c>
    </row>
    <row r="216" spans="1:21" ht="72.5" x14ac:dyDescent="0.35">
      <c r="A216" t="s">
        <v>0</v>
      </c>
      <c r="B216" t="s">
        <v>1566</v>
      </c>
      <c r="C216" t="s">
        <v>8</v>
      </c>
      <c r="D216" s="3" t="s">
        <v>9</v>
      </c>
      <c r="E216">
        <v>498.95</v>
      </c>
      <c r="F216" s="19" t="s">
        <v>88</v>
      </c>
      <c r="G216" s="62">
        <v>45545</v>
      </c>
      <c r="H216" s="55" t="s">
        <v>1</v>
      </c>
      <c r="I216" s="55" t="s">
        <v>1960</v>
      </c>
      <c r="Q216" s="3">
        <f t="shared" si="3"/>
        <v>498.95</v>
      </c>
    </row>
    <row r="217" spans="1:21" ht="43.5" x14ac:dyDescent="0.35">
      <c r="A217" t="s">
        <v>35</v>
      </c>
      <c r="B217" t="s">
        <v>1566</v>
      </c>
      <c r="C217" t="s">
        <v>8</v>
      </c>
      <c r="D217" s="3" t="s">
        <v>9</v>
      </c>
      <c r="E217">
        <v>495</v>
      </c>
      <c r="F217" s="19" t="s">
        <v>88</v>
      </c>
      <c r="G217" s="62">
        <v>45573</v>
      </c>
      <c r="H217" s="55" t="s">
        <v>89</v>
      </c>
      <c r="I217" s="55" t="s">
        <v>1961</v>
      </c>
      <c r="K217" t="s">
        <v>1962</v>
      </c>
      <c r="L217" t="s">
        <v>1963</v>
      </c>
      <c r="M217" t="s">
        <v>1964</v>
      </c>
      <c r="Q217" s="3">
        <f t="shared" si="3"/>
        <v>495</v>
      </c>
    </row>
    <row r="218" spans="1:21" ht="72.5" x14ac:dyDescent="0.35">
      <c r="A218" t="s">
        <v>0</v>
      </c>
      <c r="B218" t="s">
        <v>1627</v>
      </c>
      <c r="C218" t="s">
        <v>8</v>
      </c>
      <c r="D218" s="3" t="s">
        <v>9</v>
      </c>
      <c r="E218">
        <v>470.64</v>
      </c>
      <c r="F218" s="19" t="s">
        <v>88</v>
      </c>
      <c r="G218" s="62">
        <v>45384</v>
      </c>
      <c r="H218" s="55" t="s">
        <v>146</v>
      </c>
      <c r="I218" s="55" t="s">
        <v>1965</v>
      </c>
      <c r="Q218" s="3">
        <f t="shared" si="3"/>
        <v>470.64</v>
      </c>
    </row>
    <row r="219" spans="1:21" ht="72.5" x14ac:dyDescent="0.35">
      <c r="A219" t="s">
        <v>0</v>
      </c>
      <c r="B219" t="s">
        <v>1627</v>
      </c>
      <c r="C219" t="s">
        <v>8</v>
      </c>
      <c r="D219" s="3" t="s">
        <v>9</v>
      </c>
      <c r="E219">
        <v>466.01</v>
      </c>
      <c r="F219" s="19" t="s">
        <v>88</v>
      </c>
      <c r="G219" s="62">
        <v>45525</v>
      </c>
      <c r="H219" s="55" t="s">
        <v>146</v>
      </c>
      <c r="I219" s="55" t="s">
        <v>1966</v>
      </c>
      <c r="Q219" s="3">
        <f t="shared" si="3"/>
        <v>466.01</v>
      </c>
    </row>
    <row r="220" spans="1:21" ht="72.5" x14ac:dyDescent="0.35">
      <c r="A220" t="s">
        <v>0</v>
      </c>
      <c r="B220" t="s">
        <v>1627</v>
      </c>
      <c r="C220" t="s">
        <v>8</v>
      </c>
      <c r="D220" s="3" t="s">
        <v>9</v>
      </c>
      <c r="E220">
        <v>458.9</v>
      </c>
      <c r="F220" s="19" t="s">
        <v>88</v>
      </c>
      <c r="G220" s="62">
        <v>45384</v>
      </c>
      <c r="H220" s="55" t="s">
        <v>146</v>
      </c>
      <c r="I220" s="55" t="s">
        <v>1967</v>
      </c>
      <c r="Q220" s="3">
        <f t="shared" si="3"/>
        <v>458.9</v>
      </c>
    </row>
    <row r="221" spans="1:21" ht="72.5" x14ac:dyDescent="0.35">
      <c r="A221" t="s">
        <v>0</v>
      </c>
      <c r="B221" t="s">
        <v>1627</v>
      </c>
      <c r="C221" t="s">
        <v>8</v>
      </c>
      <c r="D221" s="3" t="s">
        <v>9</v>
      </c>
      <c r="E221">
        <v>458.79</v>
      </c>
      <c r="F221" s="19" t="s">
        <v>88</v>
      </c>
      <c r="G221" s="62">
        <v>45525</v>
      </c>
      <c r="H221" s="55" t="s">
        <v>146</v>
      </c>
      <c r="I221" s="55" t="s">
        <v>1968</v>
      </c>
      <c r="Q221" s="3">
        <f t="shared" si="3"/>
        <v>458.79</v>
      </c>
    </row>
    <row r="222" spans="1:21" ht="72.5" x14ac:dyDescent="0.35">
      <c r="A222" t="s">
        <v>0</v>
      </c>
      <c r="B222" t="s">
        <v>1627</v>
      </c>
      <c r="C222" t="s">
        <v>8</v>
      </c>
      <c r="D222" s="3" t="s">
        <v>9</v>
      </c>
      <c r="E222">
        <v>440.35</v>
      </c>
      <c r="F222" s="19" t="s">
        <v>88</v>
      </c>
      <c r="G222" s="62">
        <v>45397</v>
      </c>
      <c r="H222" s="55" t="s">
        <v>146</v>
      </c>
      <c r="I222" s="55" t="s">
        <v>1969</v>
      </c>
      <c r="Q222" s="3">
        <f t="shared" si="3"/>
        <v>440.35</v>
      </c>
    </row>
    <row r="223" spans="1:21" ht="72.5" x14ac:dyDescent="0.35">
      <c r="A223" t="s">
        <v>0</v>
      </c>
      <c r="B223" t="s">
        <v>1627</v>
      </c>
      <c r="C223" t="s">
        <v>8</v>
      </c>
      <c r="D223" s="3" t="s">
        <v>9</v>
      </c>
      <c r="E223">
        <v>440.35</v>
      </c>
      <c r="F223" s="19" t="s">
        <v>88</v>
      </c>
      <c r="G223" s="62">
        <v>45397</v>
      </c>
      <c r="H223" s="55" t="s">
        <v>146</v>
      </c>
      <c r="I223" s="55" t="s">
        <v>1970</v>
      </c>
      <c r="Q223" s="3">
        <f t="shared" si="3"/>
        <v>440.35</v>
      </c>
    </row>
    <row r="224" spans="1:21" ht="87" x14ac:dyDescent="0.35">
      <c r="A224" t="s">
        <v>35</v>
      </c>
      <c r="B224" t="s">
        <v>1566</v>
      </c>
      <c r="C224" t="s">
        <v>8</v>
      </c>
      <c r="D224" s="3" t="s">
        <v>9</v>
      </c>
      <c r="E224">
        <v>440</v>
      </c>
      <c r="F224" s="19" t="s">
        <v>88</v>
      </c>
      <c r="G224" s="62">
        <v>45642</v>
      </c>
      <c r="H224" s="55" t="s">
        <v>1269</v>
      </c>
      <c r="I224" s="55" t="s">
        <v>1971</v>
      </c>
      <c r="Q224" s="3">
        <f t="shared" si="3"/>
        <v>440</v>
      </c>
    </row>
    <row r="225" spans="1:29" ht="29" x14ac:dyDescent="0.35">
      <c r="A225" t="s">
        <v>35</v>
      </c>
      <c r="B225" t="s">
        <v>1566</v>
      </c>
      <c r="C225" t="s">
        <v>8</v>
      </c>
      <c r="D225" s="3" t="s">
        <v>9</v>
      </c>
      <c r="E225">
        <v>432.73</v>
      </c>
      <c r="F225" s="19" t="s">
        <v>88</v>
      </c>
      <c r="G225" s="62">
        <v>45552</v>
      </c>
      <c r="H225" s="55" t="s">
        <v>94</v>
      </c>
      <c r="I225" s="55" t="s">
        <v>204</v>
      </c>
      <c r="J225" s="55" t="s">
        <v>1972</v>
      </c>
      <c r="O225" t="s">
        <v>1973</v>
      </c>
      <c r="Q225" s="3">
        <f t="shared" si="3"/>
        <v>432.73</v>
      </c>
    </row>
    <row r="226" spans="1:29" ht="72.5" x14ac:dyDescent="0.35">
      <c r="A226" t="s">
        <v>0</v>
      </c>
      <c r="B226" t="s">
        <v>1627</v>
      </c>
      <c r="C226" t="s">
        <v>8</v>
      </c>
      <c r="D226" s="3" t="s">
        <v>9</v>
      </c>
      <c r="E226">
        <v>428.71</v>
      </c>
      <c r="F226" s="19" t="s">
        <v>88</v>
      </c>
      <c r="G226" s="62">
        <v>45413</v>
      </c>
      <c r="H226" s="55" t="s">
        <v>146</v>
      </c>
      <c r="I226" s="55" t="s">
        <v>1974</v>
      </c>
      <c r="Q226" s="3">
        <f t="shared" si="3"/>
        <v>428.71</v>
      </c>
    </row>
    <row r="227" spans="1:29" ht="87" x14ac:dyDescent="0.35">
      <c r="A227" t="s">
        <v>35</v>
      </c>
      <c r="B227" t="s">
        <v>622</v>
      </c>
      <c r="C227" t="s">
        <v>8</v>
      </c>
      <c r="D227" s="3" t="s">
        <v>9</v>
      </c>
      <c r="E227">
        <v>426.45</v>
      </c>
      <c r="F227" s="19" t="s">
        <v>88</v>
      </c>
      <c r="G227" s="62">
        <v>45517</v>
      </c>
      <c r="H227" s="55" t="s">
        <v>94</v>
      </c>
      <c r="I227" s="55" t="s">
        <v>1975</v>
      </c>
      <c r="J227" s="55" t="s">
        <v>1976</v>
      </c>
      <c r="O227" t="s">
        <v>1977</v>
      </c>
      <c r="Q227" s="3">
        <f t="shared" si="3"/>
        <v>426.45</v>
      </c>
      <c r="S227" s="55" t="s">
        <v>2101</v>
      </c>
      <c r="AC227" s="26">
        <f>Q227</f>
        <v>426.45</v>
      </c>
    </row>
    <row r="228" spans="1:29" ht="29" x14ac:dyDescent="0.35">
      <c r="A228" t="s">
        <v>35</v>
      </c>
      <c r="B228" t="s">
        <v>622</v>
      </c>
      <c r="C228" t="s">
        <v>8</v>
      </c>
      <c r="D228" s="3" t="s">
        <v>9</v>
      </c>
      <c r="E228">
        <v>423.03</v>
      </c>
      <c r="F228" s="19" t="s">
        <v>88</v>
      </c>
      <c r="G228" s="62">
        <v>45547</v>
      </c>
      <c r="H228" s="55" t="s">
        <v>94</v>
      </c>
      <c r="I228" s="55" t="s">
        <v>1841</v>
      </c>
      <c r="J228" s="55" t="s">
        <v>1978</v>
      </c>
      <c r="O228" t="s">
        <v>1979</v>
      </c>
      <c r="Q228" s="3">
        <f t="shared" si="3"/>
        <v>423.03</v>
      </c>
    </row>
    <row r="229" spans="1:29" ht="87" x14ac:dyDescent="0.35">
      <c r="A229" t="s">
        <v>35</v>
      </c>
      <c r="B229" t="s">
        <v>1566</v>
      </c>
      <c r="C229" t="s">
        <v>8</v>
      </c>
      <c r="D229" s="3" t="s">
        <v>9</v>
      </c>
      <c r="E229">
        <v>400</v>
      </c>
      <c r="F229" s="19" t="s">
        <v>88</v>
      </c>
      <c r="G229" s="62">
        <v>45642</v>
      </c>
      <c r="H229" s="55" t="s">
        <v>1269</v>
      </c>
      <c r="I229" s="55" t="s">
        <v>1980</v>
      </c>
      <c r="Q229" s="3">
        <f t="shared" si="3"/>
        <v>400</v>
      </c>
    </row>
    <row r="230" spans="1:29" ht="43.5" x14ac:dyDescent="0.35">
      <c r="A230" t="s">
        <v>0</v>
      </c>
      <c r="B230" t="s">
        <v>1566</v>
      </c>
      <c r="C230" t="s">
        <v>8</v>
      </c>
      <c r="D230" s="3" t="s">
        <v>9</v>
      </c>
      <c r="E230">
        <v>395.16</v>
      </c>
      <c r="F230" s="19" t="s">
        <v>88</v>
      </c>
      <c r="G230" s="62">
        <v>45629</v>
      </c>
      <c r="H230" s="55" t="s">
        <v>89</v>
      </c>
      <c r="I230" s="55" t="s">
        <v>1981</v>
      </c>
      <c r="K230" t="s">
        <v>1982</v>
      </c>
      <c r="L230" t="s">
        <v>1983</v>
      </c>
      <c r="M230" t="s">
        <v>1784</v>
      </c>
      <c r="Q230" s="3">
        <f t="shared" si="3"/>
        <v>395.16</v>
      </c>
    </row>
    <row r="231" spans="1:29" ht="43.5" x14ac:dyDescent="0.35">
      <c r="A231" t="s">
        <v>35</v>
      </c>
      <c r="B231" t="s">
        <v>598</v>
      </c>
      <c r="C231" t="s">
        <v>8</v>
      </c>
      <c r="D231" s="3" t="s">
        <v>9</v>
      </c>
      <c r="E231">
        <v>380</v>
      </c>
      <c r="F231" s="19" t="s">
        <v>88</v>
      </c>
      <c r="G231" s="62">
        <v>45631</v>
      </c>
      <c r="H231" s="55" t="s">
        <v>89</v>
      </c>
      <c r="I231" s="55" t="s">
        <v>1984</v>
      </c>
      <c r="K231" t="s">
        <v>1985</v>
      </c>
      <c r="L231" t="s">
        <v>1986</v>
      </c>
      <c r="M231" t="s">
        <v>230</v>
      </c>
      <c r="Q231" s="3">
        <f t="shared" si="3"/>
        <v>380</v>
      </c>
    </row>
    <row r="232" spans="1:29" ht="72.5" x14ac:dyDescent="0.35">
      <c r="A232" t="s">
        <v>0</v>
      </c>
      <c r="B232" t="s">
        <v>1627</v>
      </c>
      <c r="C232" t="s">
        <v>8</v>
      </c>
      <c r="D232" s="3" t="s">
        <v>9</v>
      </c>
      <c r="E232">
        <v>343.73</v>
      </c>
      <c r="F232" s="19" t="s">
        <v>88</v>
      </c>
      <c r="G232" s="62">
        <v>45505</v>
      </c>
      <c r="H232" s="55" t="s">
        <v>146</v>
      </c>
      <c r="I232" s="55" t="s">
        <v>1987</v>
      </c>
      <c r="Q232" s="3">
        <f t="shared" si="3"/>
        <v>343.73</v>
      </c>
    </row>
    <row r="233" spans="1:29" ht="72.5" x14ac:dyDescent="0.35">
      <c r="A233" t="s">
        <v>0</v>
      </c>
      <c r="B233" t="s">
        <v>1566</v>
      </c>
      <c r="C233" t="s">
        <v>8</v>
      </c>
      <c r="D233" s="3" t="s">
        <v>9</v>
      </c>
      <c r="E233">
        <v>300</v>
      </c>
      <c r="F233" s="19" t="s">
        <v>88</v>
      </c>
      <c r="G233" s="62">
        <v>45545</v>
      </c>
      <c r="H233" s="55" t="s">
        <v>1</v>
      </c>
      <c r="I233" s="55" t="s">
        <v>1988</v>
      </c>
      <c r="Q233" s="3">
        <f t="shared" si="3"/>
        <v>300</v>
      </c>
    </row>
    <row r="234" spans="1:29" ht="43.5" x14ac:dyDescent="0.35">
      <c r="A234" t="s">
        <v>0</v>
      </c>
      <c r="B234" t="s">
        <v>1543</v>
      </c>
      <c r="C234" t="s">
        <v>8</v>
      </c>
      <c r="D234" s="3" t="s">
        <v>9</v>
      </c>
      <c r="E234">
        <v>266.81</v>
      </c>
      <c r="F234" s="19" t="s">
        <v>88</v>
      </c>
      <c r="G234" s="62">
        <v>45635</v>
      </c>
      <c r="H234" s="55" t="s">
        <v>89</v>
      </c>
      <c r="I234" s="55" t="s">
        <v>1989</v>
      </c>
      <c r="K234" t="s">
        <v>160</v>
      </c>
      <c r="L234" t="s">
        <v>1990</v>
      </c>
      <c r="M234" t="s">
        <v>153</v>
      </c>
      <c r="Q234" s="3">
        <f t="shared" si="3"/>
        <v>266.81</v>
      </c>
    </row>
    <row r="235" spans="1:29" ht="43.5" x14ac:dyDescent="0.35">
      <c r="A235" t="s">
        <v>0</v>
      </c>
      <c r="B235" t="s">
        <v>1543</v>
      </c>
      <c r="C235" t="s">
        <v>8</v>
      </c>
      <c r="D235" s="3" t="s">
        <v>9</v>
      </c>
      <c r="E235">
        <v>264.42</v>
      </c>
      <c r="F235" s="19" t="s">
        <v>88</v>
      </c>
      <c r="G235" s="62">
        <v>45541</v>
      </c>
      <c r="H235" s="55" t="s">
        <v>89</v>
      </c>
      <c r="I235" s="55" t="s">
        <v>1991</v>
      </c>
      <c r="K235" t="s">
        <v>152</v>
      </c>
      <c r="L235" t="s">
        <v>1992</v>
      </c>
      <c r="M235" t="s">
        <v>153</v>
      </c>
      <c r="Q235" s="3">
        <f t="shared" si="3"/>
        <v>264.42</v>
      </c>
    </row>
    <row r="236" spans="1:29" ht="43.5" x14ac:dyDescent="0.35">
      <c r="A236" t="s">
        <v>0</v>
      </c>
      <c r="B236" t="s">
        <v>1543</v>
      </c>
      <c r="C236" t="s">
        <v>8</v>
      </c>
      <c r="D236" s="3" t="s">
        <v>9</v>
      </c>
      <c r="E236">
        <v>264.37</v>
      </c>
      <c r="F236" s="19" t="s">
        <v>88</v>
      </c>
      <c r="G236" s="62">
        <v>45506</v>
      </c>
      <c r="H236" s="55" t="s">
        <v>89</v>
      </c>
      <c r="I236" s="55" t="s">
        <v>1993</v>
      </c>
      <c r="K236" t="s">
        <v>160</v>
      </c>
      <c r="L236" t="s">
        <v>1994</v>
      </c>
      <c r="M236" t="s">
        <v>153</v>
      </c>
      <c r="Q236" s="3">
        <f t="shared" si="3"/>
        <v>264.37</v>
      </c>
    </row>
    <row r="237" spans="1:29" ht="43.5" x14ac:dyDescent="0.35">
      <c r="A237" t="s">
        <v>0</v>
      </c>
      <c r="B237" t="s">
        <v>1995</v>
      </c>
      <c r="C237" t="s">
        <v>8</v>
      </c>
      <c r="D237" s="3" t="s">
        <v>9</v>
      </c>
      <c r="E237">
        <v>260.67</v>
      </c>
      <c r="F237" s="19" t="s">
        <v>88</v>
      </c>
      <c r="G237" s="62">
        <v>45384</v>
      </c>
      <c r="H237" s="55" t="s">
        <v>89</v>
      </c>
      <c r="I237" s="55" t="s">
        <v>1996</v>
      </c>
      <c r="K237" t="s">
        <v>1997</v>
      </c>
      <c r="L237" t="s">
        <v>1998</v>
      </c>
      <c r="M237" t="s">
        <v>158</v>
      </c>
      <c r="Q237" s="3">
        <f t="shared" si="3"/>
        <v>260.67</v>
      </c>
    </row>
    <row r="238" spans="1:29" ht="43.5" x14ac:dyDescent="0.35">
      <c r="A238" t="s">
        <v>0</v>
      </c>
      <c r="B238" t="s">
        <v>1566</v>
      </c>
      <c r="C238" t="s">
        <v>8</v>
      </c>
      <c r="D238" s="3" t="s">
        <v>9</v>
      </c>
      <c r="E238">
        <v>219.54</v>
      </c>
      <c r="F238" s="19" t="s">
        <v>88</v>
      </c>
      <c r="G238" s="62">
        <v>45538</v>
      </c>
      <c r="H238" s="55" t="s">
        <v>89</v>
      </c>
      <c r="I238" s="55" t="s">
        <v>1999</v>
      </c>
      <c r="K238" t="s">
        <v>2000</v>
      </c>
      <c r="L238" t="s">
        <v>2001</v>
      </c>
      <c r="M238" t="s">
        <v>2002</v>
      </c>
      <c r="Q238" s="3">
        <f t="shared" si="3"/>
        <v>219.54</v>
      </c>
    </row>
    <row r="239" spans="1:29" ht="72.5" x14ac:dyDescent="0.35">
      <c r="A239" t="s">
        <v>0</v>
      </c>
      <c r="B239" t="s">
        <v>1627</v>
      </c>
      <c r="C239" t="s">
        <v>8</v>
      </c>
      <c r="D239" s="3" t="s">
        <v>9</v>
      </c>
      <c r="E239">
        <v>200</v>
      </c>
      <c r="F239" s="19" t="s">
        <v>88</v>
      </c>
      <c r="G239" s="62">
        <v>45421</v>
      </c>
      <c r="H239" s="55" t="s">
        <v>146</v>
      </c>
      <c r="I239" s="55" t="s">
        <v>2003</v>
      </c>
      <c r="Q239" s="3">
        <f t="shared" si="3"/>
        <v>200</v>
      </c>
    </row>
    <row r="240" spans="1:29" ht="72.5" x14ac:dyDescent="0.35">
      <c r="A240" t="s">
        <v>0</v>
      </c>
      <c r="B240" t="s">
        <v>1627</v>
      </c>
      <c r="C240" t="s">
        <v>8</v>
      </c>
      <c r="D240" s="3" t="s">
        <v>9</v>
      </c>
      <c r="E240">
        <v>200</v>
      </c>
      <c r="F240" s="19" t="s">
        <v>88</v>
      </c>
      <c r="G240" s="62">
        <v>45526</v>
      </c>
      <c r="H240" s="55" t="s">
        <v>146</v>
      </c>
      <c r="I240" s="55" t="s">
        <v>2004</v>
      </c>
      <c r="Q240" s="3">
        <f t="shared" si="3"/>
        <v>200</v>
      </c>
    </row>
    <row r="241" spans="1:19" ht="72.5" x14ac:dyDescent="0.35">
      <c r="A241" t="s">
        <v>0</v>
      </c>
      <c r="B241" t="s">
        <v>1627</v>
      </c>
      <c r="C241" t="s">
        <v>8</v>
      </c>
      <c r="D241" s="3" t="s">
        <v>9</v>
      </c>
      <c r="E241">
        <v>200</v>
      </c>
      <c r="F241" s="19" t="s">
        <v>88</v>
      </c>
      <c r="G241" s="62">
        <v>45642</v>
      </c>
      <c r="H241" s="55" t="s">
        <v>146</v>
      </c>
      <c r="I241" s="55" t="s">
        <v>2005</v>
      </c>
      <c r="Q241" s="3">
        <f t="shared" si="3"/>
        <v>200</v>
      </c>
    </row>
    <row r="242" spans="1:19" ht="58" x14ac:dyDescent="0.35">
      <c r="A242" t="s">
        <v>35</v>
      </c>
      <c r="B242" t="s">
        <v>622</v>
      </c>
      <c r="C242" t="s">
        <v>8</v>
      </c>
      <c r="D242" s="3" t="s">
        <v>9</v>
      </c>
      <c r="E242">
        <v>193.36</v>
      </c>
      <c r="F242" s="19" t="s">
        <v>88</v>
      </c>
      <c r="G242" s="62">
        <v>45517</v>
      </c>
      <c r="H242" s="55" t="s">
        <v>94</v>
      </c>
      <c r="I242" s="55" t="s">
        <v>1975</v>
      </c>
      <c r="J242" s="55" t="s">
        <v>2006</v>
      </c>
      <c r="O242" t="s">
        <v>2007</v>
      </c>
      <c r="Q242" s="3">
        <f t="shared" si="3"/>
        <v>193.36</v>
      </c>
      <c r="S242" s="55" t="s">
        <v>2100</v>
      </c>
    </row>
    <row r="243" spans="1:19" ht="58" x14ac:dyDescent="0.35">
      <c r="A243" t="s">
        <v>35</v>
      </c>
      <c r="B243" t="s">
        <v>622</v>
      </c>
      <c r="C243" t="s">
        <v>8</v>
      </c>
      <c r="D243" s="3" t="s">
        <v>9</v>
      </c>
      <c r="E243">
        <v>-193.36</v>
      </c>
      <c r="F243" s="19" t="s">
        <v>88</v>
      </c>
      <c r="G243" s="62">
        <v>45517</v>
      </c>
      <c r="H243" s="55" t="s">
        <v>94</v>
      </c>
      <c r="I243" s="55" t="s">
        <v>1975</v>
      </c>
      <c r="J243" s="55" t="s">
        <v>2099</v>
      </c>
      <c r="O243" t="s">
        <v>2007</v>
      </c>
      <c r="Q243" s="3">
        <f t="shared" si="3"/>
        <v>193.36</v>
      </c>
      <c r="S243" s="55" t="s">
        <v>2100</v>
      </c>
    </row>
    <row r="244" spans="1:19" ht="29" x14ac:dyDescent="0.35">
      <c r="A244" t="s">
        <v>35</v>
      </c>
      <c r="B244" t="s">
        <v>947</v>
      </c>
      <c r="C244" t="s">
        <v>8</v>
      </c>
      <c r="D244" s="3" t="s">
        <v>9</v>
      </c>
      <c r="E244">
        <v>184.45</v>
      </c>
      <c r="F244" s="19" t="s">
        <v>88</v>
      </c>
      <c r="G244" s="62">
        <v>45386</v>
      </c>
      <c r="H244" s="55" t="s">
        <v>94</v>
      </c>
      <c r="I244" s="55" t="s">
        <v>2008</v>
      </c>
      <c r="J244" s="55" t="s">
        <v>2009</v>
      </c>
      <c r="O244" t="s">
        <v>2010</v>
      </c>
      <c r="Q244" s="3">
        <f t="shared" si="3"/>
        <v>184.45</v>
      </c>
    </row>
    <row r="245" spans="1:19" ht="72.5" x14ac:dyDescent="0.35">
      <c r="A245" t="s">
        <v>0</v>
      </c>
      <c r="B245" t="s">
        <v>1627</v>
      </c>
      <c r="C245" t="s">
        <v>8</v>
      </c>
      <c r="D245" s="3" t="s">
        <v>9</v>
      </c>
      <c r="E245">
        <v>154.25</v>
      </c>
      <c r="F245" s="19" t="s">
        <v>88</v>
      </c>
      <c r="G245" s="62">
        <v>45413</v>
      </c>
      <c r="H245" s="55" t="s">
        <v>146</v>
      </c>
      <c r="I245" s="55" t="s">
        <v>2011</v>
      </c>
      <c r="Q245" s="3">
        <f t="shared" si="3"/>
        <v>154.25</v>
      </c>
    </row>
    <row r="246" spans="1:19" ht="72.5" x14ac:dyDescent="0.35">
      <c r="A246" t="s">
        <v>0</v>
      </c>
      <c r="B246" t="s">
        <v>1627</v>
      </c>
      <c r="C246" t="s">
        <v>8</v>
      </c>
      <c r="D246" s="3" t="s">
        <v>9</v>
      </c>
      <c r="E246">
        <v>150</v>
      </c>
      <c r="F246" s="19" t="s">
        <v>88</v>
      </c>
      <c r="G246" s="62">
        <v>45558</v>
      </c>
      <c r="H246" s="55" t="s">
        <v>146</v>
      </c>
      <c r="I246" s="55" t="s">
        <v>2012</v>
      </c>
      <c r="Q246" s="3">
        <f t="shared" si="3"/>
        <v>150</v>
      </c>
    </row>
    <row r="247" spans="1:19" ht="29" x14ac:dyDescent="0.35">
      <c r="A247" t="s">
        <v>35</v>
      </c>
      <c r="B247" t="s">
        <v>622</v>
      </c>
      <c r="C247" t="s">
        <v>8</v>
      </c>
      <c r="D247" s="3" t="s">
        <v>9</v>
      </c>
      <c r="E247">
        <v>149.99</v>
      </c>
      <c r="F247" s="19" t="s">
        <v>88</v>
      </c>
      <c r="G247" s="62">
        <v>45517</v>
      </c>
      <c r="H247" s="55" t="s">
        <v>94</v>
      </c>
      <c r="I247" s="55" t="s">
        <v>1841</v>
      </c>
      <c r="J247" s="55" t="s">
        <v>2013</v>
      </c>
      <c r="O247" t="s">
        <v>2014</v>
      </c>
      <c r="Q247" s="3">
        <f t="shared" si="3"/>
        <v>149.99</v>
      </c>
    </row>
    <row r="248" spans="1:19" ht="29" x14ac:dyDescent="0.35">
      <c r="A248" t="s">
        <v>35</v>
      </c>
      <c r="B248" t="s">
        <v>622</v>
      </c>
      <c r="C248" t="s">
        <v>8</v>
      </c>
      <c r="D248" s="3" t="s">
        <v>9</v>
      </c>
      <c r="E248">
        <v>141.01</v>
      </c>
      <c r="F248" s="19" t="s">
        <v>88</v>
      </c>
      <c r="G248" s="62">
        <v>45523</v>
      </c>
      <c r="H248" s="55" t="s">
        <v>94</v>
      </c>
      <c r="I248" s="55" t="s">
        <v>1841</v>
      </c>
      <c r="J248" s="55" t="s">
        <v>2015</v>
      </c>
      <c r="O248" t="s">
        <v>2016</v>
      </c>
      <c r="Q248" s="3">
        <f t="shared" si="3"/>
        <v>141.01</v>
      </c>
    </row>
    <row r="249" spans="1:19" ht="72.5" x14ac:dyDescent="0.35">
      <c r="A249" t="s">
        <v>0</v>
      </c>
      <c r="B249" t="s">
        <v>1627</v>
      </c>
      <c r="C249" t="s">
        <v>8</v>
      </c>
      <c r="D249" s="3" t="s">
        <v>9</v>
      </c>
      <c r="E249">
        <v>139.41</v>
      </c>
      <c r="F249" s="19" t="s">
        <v>88</v>
      </c>
      <c r="G249" s="62">
        <v>45566</v>
      </c>
      <c r="H249" s="55" t="s">
        <v>146</v>
      </c>
      <c r="I249" s="55" t="s">
        <v>2017</v>
      </c>
      <c r="Q249" s="3">
        <f t="shared" si="3"/>
        <v>139.41</v>
      </c>
    </row>
    <row r="250" spans="1:19" ht="29" x14ac:dyDescent="0.35">
      <c r="A250" t="s">
        <v>35</v>
      </c>
      <c r="B250" t="s">
        <v>622</v>
      </c>
      <c r="C250" t="s">
        <v>8</v>
      </c>
      <c r="D250" s="3" t="s">
        <v>9</v>
      </c>
      <c r="E250">
        <v>138.52000000000001</v>
      </c>
      <c r="F250" s="19" t="s">
        <v>88</v>
      </c>
      <c r="G250" s="62">
        <v>45517</v>
      </c>
      <c r="H250" s="55" t="s">
        <v>94</v>
      </c>
      <c r="I250" s="55" t="s">
        <v>1841</v>
      </c>
      <c r="J250" s="55" t="s">
        <v>2018</v>
      </c>
      <c r="O250" t="s">
        <v>2016</v>
      </c>
      <c r="Q250" s="3">
        <f t="shared" si="3"/>
        <v>138.52000000000001</v>
      </c>
    </row>
    <row r="251" spans="1:19" ht="29" x14ac:dyDescent="0.35">
      <c r="A251" t="s">
        <v>35</v>
      </c>
      <c r="B251" t="s">
        <v>947</v>
      </c>
      <c r="C251" t="s">
        <v>8</v>
      </c>
      <c r="D251" s="3" t="s">
        <v>9</v>
      </c>
      <c r="E251">
        <v>136.94999999999999</v>
      </c>
      <c r="F251" s="19" t="s">
        <v>88</v>
      </c>
      <c r="G251" s="62">
        <v>45386</v>
      </c>
      <c r="H251" s="55" t="s">
        <v>94</v>
      </c>
      <c r="I251" s="55" t="s">
        <v>2019</v>
      </c>
      <c r="J251" s="55" t="s">
        <v>2020</v>
      </c>
      <c r="O251" t="s">
        <v>2021</v>
      </c>
      <c r="Q251" s="3">
        <f t="shared" si="3"/>
        <v>136.94999999999999</v>
      </c>
    </row>
    <row r="252" spans="1:19" ht="29" x14ac:dyDescent="0.35">
      <c r="A252" t="s">
        <v>35</v>
      </c>
      <c r="B252" t="s">
        <v>947</v>
      </c>
      <c r="C252" t="s">
        <v>8</v>
      </c>
      <c r="D252" s="3" t="s">
        <v>9</v>
      </c>
      <c r="E252">
        <v>136.94999999999999</v>
      </c>
      <c r="F252" s="19" t="s">
        <v>88</v>
      </c>
      <c r="G252" s="62">
        <v>45386</v>
      </c>
      <c r="H252" s="55" t="s">
        <v>94</v>
      </c>
      <c r="I252" s="55" t="s">
        <v>2019</v>
      </c>
      <c r="J252" s="55" t="s">
        <v>2022</v>
      </c>
      <c r="O252" t="s">
        <v>2021</v>
      </c>
      <c r="Q252" s="3">
        <f t="shared" si="3"/>
        <v>136.94999999999999</v>
      </c>
    </row>
    <row r="253" spans="1:19" ht="72.5" x14ac:dyDescent="0.35">
      <c r="A253" t="s">
        <v>0</v>
      </c>
      <c r="B253" t="s">
        <v>1627</v>
      </c>
      <c r="C253" t="s">
        <v>8</v>
      </c>
      <c r="D253" s="3" t="s">
        <v>9</v>
      </c>
      <c r="E253">
        <v>128.31</v>
      </c>
      <c r="F253" s="19" t="s">
        <v>88</v>
      </c>
      <c r="G253" s="62">
        <v>45476</v>
      </c>
      <c r="H253" s="55" t="s">
        <v>146</v>
      </c>
      <c r="I253" s="55" t="s">
        <v>2023</v>
      </c>
      <c r="Q253" s="3">
        <f t="shared" si="3"/>
        <v>128.31</v>
      </c>
    </row>
    <row r="254" spans="1:19" ht="29" x14ac:dyDescent="0.35">
      <c r="A254" t="s">
        <v>35</v>
      </c>
      <c r="B254" t="s">
        <v>622</v>
      </c>
      <c r="C254" t="s">
        <v>8</v>
      </c>
      <c r="D254" s="3" t="s">
        <v>9</v>
      </c>
      <c r="E254">
        <v>114.55</v>
      </c>
      <c r="F254" s="19" t="s">
        <v>88</v>
      </c>
      <c r="G254" s="62">
        <v>45523</v>
      </c>
      <c r="H254" s="55" t="s">
        <v>94</v>
      </c>
      <c r="I254" s="55" t="s">
        <v>2024</v>
      </c>
      <c r="J254" s="55" t="s">
        <v>2025</v>
      </c>
      <c r="O254" t="s">
        <v>2016</v>
      </c>
      <c r="Q254" s="3">
        <f t="shared" si="3"/>
        <v>114.55</v>
      </c>
    </row>
    <row r="255" spans="1:19" ht="72.5" x14ac:dyDescent="0.35">
      <c r="A255" t="s">
        <v>0</v>
      </c>
      <c r="B255" t="s">
        <v>1566</v>
      </c>
      <c r="C255" t="s">
        <v>8</v>
      </c>
      <c r="D255" s="3" t="s">
        <v>9</v>
      </c>
      <c r="E255">
        <v>105.55</v>
      </c>
      <c r="F255" s="19" t="s">
        <v>88</v>
      </c>
      <c r="G255" s="62">
        <v>45545</v>
      </c>
      <c r="H255" s="55" t="s">
        <v>1</v>
      </c>
      <c r="I255" s="55" t="s">
        <v>2026</v>
      </c>
      <c r="Q255" s="3">
        <f t="shared" si="3"/>
        <v>105.55</v>
      </c>
    </row>
    <row r="256" spans="1:19" ht="72.5" x14ac:dyDescent="0.35">
      <c r="A256" t="s">
        <v>0</v>
      </c>
      <c r="B256" t="s">
        <v>1627</v>
      </c>
      <c r="C256" t="s">
        <v>8</v>
      </c>
      <c r="D256" s="3" t="s">
        <v>9</v>
      </c>
      <c r="E256">
        <v>105.5</v>
      </c>
      <c r="F256" s="19" t="s">
        <v>88</v>
      </c>
      <c r="G256" s="62">
        <v>45525</v>
      </c>
      <c r="H256" s="55" t="s">
        <v>146</v>
      </c>
      <c r="I256" s="55" t="s">
        <v>2027</v>
      </c>
      <c r="Q256" s="3">
        <f t="shared" si="3"/>
        <v>105.5</v>
      </c>
    </row>
    <row r="257" spans="1:19" ht="72.5" x14ac:dyDescent="0.35">
      <c r="A257" t="s">
        <v>0</v>
      </c>
      <c r="B257" t="s">
        <v>1627</v>
      </c>
      <c r="C257" t="s">
        <v>8</v>
      </c>
      <c r="D257" s="3" t="s">
        <v>9</v>
      </c>
      <c r="E257">
        <v>100</v>
      </c>
      <c r="F257" s="19" t="s">
        <v>88</v>
      </c>
      <c r="G257" s="62">
        <v>45400</v>
      </c>
      <c r="H257" s="55" t="s">
        <v>146</v>
      </c>
      <c r="I257" s="55" t="s">
        <v>2028</v>
      </c>
      <c r="Q257" s="3">
        <f t="shared" si="3"/>
        <v>100</v>
      </c>
    </row>
    <row r="258" spans="1:19" ht="72.5" x14ac:dyDescent="0.35">
      <c r="A258" t="s">
        <v>0</v>
      </c>
      <c r="B258" t="s">
        <v>1627</v>
      </c>
      <c r="C258" t="s">
        <v>8</v>
      </c>
      <c r="D258" s="3" t="s">
        <v>9</v>
      </c>
      <c r="E258">
        <v>100</v>
      </c>
      <c r="F258" s="19" t="s">
        <v>88</v>
      </c>
      <c r="G258" s="62">
        <v>45632</v>
      </c>
      <c r="H258" s="55" t="s">
        <v>146</v>
      </c>
      <c r="I258" s="55" t="s">
        <v>2029</v>
      </c>
      <c r="Q258" s="3">
        <f t="shared" si="3"/>
        <v>100</v>
      </c>
    </row>
    <row r="259" spans="1:19" ht="72.5" x14ac:dyDescent="0.35">
      <c r="A259" t="s">
        <v>0</v>
      </c>
      <c r="B259" t="s">
        <v>1627</v>
      </c>
      <c r="C259" t="s">
        <v>8</v>
      </c>
      <c r="D259" s="3" t="s">
        <v>9</v>
      </c>
      <c r="E259">
        <v>100</v>
      </c>
      <c r="F259" s="19" t="s">
        <v>88</v>
      </c>
      <c r="G259" s="62">
        <v>45649</v>
      </c>
      <c r="H259" s="55" t="s">
        <v>146</v>
      </c>
      <c r="I259" s="55" t="s">
        <v>2030</v>
      </c>
      <c r="Q259" s="3">
        <f t="shared" si="3"/>
        <v>100</v>
      </c>
    </row>
    <row r="260" spans="1:19" ht="43.5" x14ac:dyDescent="0.35">
      <c r="A260" t="s">
        <v>35</v>
      </c>
      <c r="B260" t="s">
        <v>2031</v>
      </c>
      <c r="C260" t="s">
        <v>8</v>
      </c>
      <c r="D260" s="3" t="s">
        <v>9</v>
      </c>
      <c r="E260">
        <v>98.36</v>
      </c>
      <c r="F260" s="19" t="s">
        <v>88</v>
      </c>
      <c r="G260" s="62">
        <v>45439</v>
      </c>
      <c r="H260" s="55" t="s">
        <v>94</v>
      </c>
      <c r="I260" s="55" t="s">
        <v>2032</v>
      </c>
      <c r="J260" s="55" t="s">
        <v>2033</v>
      </c>
      <c r="O260" t="s">
        <v>2034</v>
      </c>
      <c r="Q260" s="3">
        <f t="shared" si="3"/>
        <v>98.36</v>
      </c>
      <c r="S260" s="55" t="s">
        <v>1287</v>
      </c>
    </row>
    <row r="261" spans="1:19" ht="72.5" x14ac:dyDescent="0.35">
      <c r="A261" t="s">
        <v>0</v>
      </c>
      <c r="B261" t="s">
        <v>1627</v>
      </c>
      <c r="C261" t="s">
        <v>8</v>
      </c>
      <c r="D261" s="3" t="s">
        <v>9</v>
      </c>
      <c r="E261">
        <v>87.6</v>
      </c>
      <c r="F261" s="19" t="s">
        <v>88</v>
      </c>
      <c r="G261" s="62">
        <v>45525</v>
      </c>
      <c r="H261" s="55" t="s">
        <v>146</v>
      </c>
      <c r="I261" s="55" t="s">
        <v>2035</v>
      </c>
      <c r="Q261" s="3">
        <f t="shared" si="3"/>
        <v>87.6</v>
      </c>
    </row>
    <row r="262" spans="1:19" ht="72.5" x14ac:dyDescent="0.35">
      <c r="A262" t="s">
        <v>0</v>
      </c>
      <c r="B262" t="s">
        <v>1627</v>
      </c>
      <c r="C262" t="s">
        <v>8</v>
      </c>
      <c r="D262" s="3" t="s">
        <v>9</v>
      </c>
      <c r="E262">
        <v>76.709999999999994</v>
      </c>
      <c r="F262" s="19" t="s">
        <v>88</v>
      </c>
      <c r="G262" s="62">
        <v>45657</v>
      </c>
      <c r="H262" s="55" t="s">
        <v>146</v>
      </c>
      <c r="I262" s="55" t="s">
        <v>2036</v>
      </c>
      <c r="Q262" s="3">
        <f t="shared" si="3"/>
        <v>76.709999999999994</v>
      </c>
    </row>
    <row r="263" spans="1:19" ht="72.5" x14ac:dyDescent="0.35">
      <c r="A263" t="s">
        <v>0</v>
      </c>
      <c r="B263" t="s">
        <v>1627</v>
      </c>
      <c r="C263" t="s">
        <v>8</v>
      </c>
      <c r="D263" s="3" t="s">
        <v>9</v>
      </c>
      <c r="E263">
        <v>75</v>
      </c>
      <c r="F263" s="19" t="s">
        <v>88</v>
      </c>
      <c r="G263" s="62">
        <v>45394</v>
      </c>
      <c r="H263" s="55" t="s">
        <v>146</v>
      </c>
      <c r="I263" s="55" t="s">
        <v>2037</v>
      </c>
      <c r="Q263" s="3">
        <f t="shared" si="3"/>
        <v>75</v>
      </c>
    </row>
    <row r="264" spans="1:19" ht="72.5" x14ac:dyDescent="0.35">
      <c r="A264" t="s">
        <v>0</v>
      </c>
      <c r="B264" t="s">
        <v>1627</v>
      </c>
      <c r="C264" t="s">
        <v>8</v>
      </c>
      <c r="D264" s="3" t="s">
        <v>9</v>
      </c>
      <c r="E264">
        <v>75</v>
      </c>
      <c r="F264" s="19" t="s">
        <v>88</v>
      </c>
      <c r="G264" s="62">
        <v>45398</v>
      </c>
      <c r="H264" s="55" t="s">
        <v>146</v>
      </c>
      <c r="I264" s="55" t="s">
        <v>2038</v>
      </c>
      <c r="Q264" s="3">
        <f t="shared" ref="Q264:Q327" si="4">ABS(E264)</f>
        <v>75</v>
      </c>
    </row>
    <row r="265" spans="1:19" ht="72.5" x14ac:dyDescent="0.35">
      <c r="A265" t="s">
        <v>0</v>
      </c>
      <c r="B265" t="s">
        <v>1627</v>
      </c>
      <c r="C265" t="s">
        <v>8</v>
      </c>
      <c r="D265" s="3" t="s">
        <v>9</v>
      </c>
      <c r="E265">
        <v>75</v>
      </c>
      <c r="F265" s="19" t="s">
        <v>88</v>
      </c>
      <c r="G265" s="62">
        <v>45404</v>
      </c>
      <c r="H265" s="55" t="s">
        <v>146</v>
      </c>
      <c r="I265" s="55" t="s">
        <v>2039</v>
      </c>
      <c r="Q265" s="3">
        <f t="shared" si="4"/>
        <v>75</v>
      </c>
    </row>
    <row r="266" spans="1:19" ht="72.5" x14ac:dyDescent="0.35">
      <c r="A266" t="s">
        <v>0</v>
      </c>
      <c r="B266" t="s">
        <v>1627</v>
      </c>
      <c r="C266" t="s">
        <v>8</v>
      </c>
      <c r="D266" s="3" t="s">
        <v>9</v>
      </c>
      <c r="E266">
        <v>75</v>
      </c>
      <c r="F266" s="19" t="s">
        <v>88</v>
      </c>
      <c r="G266" s="62">
        <v>45405</v>
      </c>
      <c r="H266" s="55" t="s">
        <v>146</v>
      </c>
      <c r="I266" s="55" t="s">
        <v>2040</v>
      </c>
      <c r="Q266" s="3">
        <f t="shared" si="4"/>
        <v>75</v>
      </c>
    </row>
    <row r="267" spans="1:19" ht="72.5" x14ac:dyDescent="0.35">
      <c r="A267" t="s">
        <v>0</v>
      </c>
      <c r="B267" t="s">
        <v>1627</v>
      </c>
      <c r="C267" t="s">
        <v>8</v>
      </c>
      <c r="D267" s="3" t="s">
        <v>9</v>
      </c>
      <c r="E267">
        <v>75</v>
      </c>
      <c r="F267" s="19" t="s">
        <v>88</v>
      </c>
      <c r="G267" s="62">
        <v>45425</v>
      </c>
      <c r="H267" s="55" t="s">
        <v>146</v>
      </c>
      <c r="I267" s="55" t="s">
        <v>2041</v>
      </c>
      <c r="Q267" s="3">
        <f t="shared" si="4"/>
        <v>75</v>
      </c>
    </row>
    <row r="268" spans="1:19" ht="72.5" x14ac:dyDescent="0.35">
      <c r="A268" t="s">
        <v>0</v>
      </c>
      <c r="B268" t="s">
        <v>1627</v>
      </c>
      <c r="C268" t="s">
        <v>8</v>
      </c>
      <c r="D268" s="3" t="s">
        <v>9</v>
      </c>
      <c r="E268">
        <v>75</v>
      </c>
      <c r="F268" s="19" t="s">
        <v>88</v>
      </c>
      <c r="G268" s="62">
        <v>45454</v>
      </c>
      <c r="H268" s="55" t="s">
        <v>146</v>
      </c>
      <c r="I268" s="55" t="s">
        <v>2042</v>
      </c>
      <c r="Q268" s="3">
        <f t="shared" si="4"/>
        <v>75</v>
      </c>
    </row>
    <row r="269" spans="1:19" ht="72.5" x14ac:dyDescent="0.35">
      <c r="A269" t="s">
        <v>0</v>
      </c>
      <c r="B269" t="s">
        <v>1627</v>
      </c>
      <c r="C269" t="s">
        <v>8</v>
      </c>
      <c r="D269" s="3" t="s">
        <v>9</v>
      </c>
      <c r="E269">
        <v>75</v>
      </c>
      <c r="F269" s="19" t="s">
        <v>88</v>
      </c>
      <c r="G269" s="62">
        <v>45455</v>
      </c>
      <c r="H269" s="55" t="s">
        <v>146</v>
      </c>
      <c r="I269" s="55" t="s">
        <v>2043</v>
      </c>
      <c r="Q269" s="3">
        <f t="shared" si="4"/>
        <v>75</v>
      </c>
    </row>
    <row r="270" spans="1:19" ht="72.5" x14ac:dyDescent="0.35">
      <c r="A270" t="s">
        <v>0</v>
      </c>
      <c r="B270" t="s">
        <v>1627</v>
      </c>
      <c r="C270" t="s">
        <v>8</v>
      </c>
      <c r="D270" s="3" t="s">
        <v>9</v>
      </c>
      <c r="E270">
        <v>75</v>
      </c>
      <c r="F270" s="19" t="s">
        <v>88</v>
      </c>
      <c r="G270" s="62">
        <v>45490</v>
      </c>
      <c r="H270" s="55" t="s">
        <v>146</v>
      </c>
      <c r="I270" s="55" t="s">
        <v>2044</v>
      </c>
      <c r="Q270" s="3">
        <f t="shared" si="4"/>
        <v>75</v>
      </c>
    </row>
    <row r="271" spans="1:19" ht="72.5" x14ac:dyDescent="0.35">
      <c r="A271" t="s">
        <v>0</v>
      </c>
      <c r="B271" t="s">
        <v>1627</v>
      </c>
      <c r="C271" t="s">
        <v>8</v>
      </c>
      <c r="D271" s="3" t="s">
        <v>9</v>
      </c>
      <c r="E271">
        <v>75</v>
      </c>
      <c r="F271" s="19" t="s">
        <v>88</v>
      </c>
      <c r="G271" s="62">
        <v>45495</v>
      </c>
      <c r="H271" s="55" t="s">
        <v>146</v>
      </c>
      <c r="I271" s="55" t="s">
        <v>2045</v>
      </c>
      <c r="Q271" s="3">
        <f t="shared" si="4"/>
        <v>75</v>
      </c>
    </row>
    <row r="272" spans="1:19" ht="72.5" x14ac:dyDescent="0.35">
      <c r="A272" t="s">
        <v>0</v>
      </c>
      <c r="B272" t="s">
        <v>1627</v>
      </c>
      <c r="C272" t="s">
        <v>8</v>
      </c>
      <c r="D272" s="3" t="s">
        <v>9</v>
      </c>
      <c r="E272">
        <v>75</v>
      </c>
      <c r="F272" s="19" t="s">
        <v>88</v>
      </c>
      <c r="G272" s="62">
        <v>45497</v>
      </c>
      <c r="H272" s="55" t="s">
        <v>146</v>
      </c>
      <c r="I272" s="55" t="s">
        <v>2046</v>
      </c>
      <c r="Q272" s="3">
        <f t="shared" si="4"/>
        <v>75</v>
      </c>
    </row>
    <row r="273" spans="1:17" ht="72.5" x14ac:dyDescent="0.35">
      <c r="A273" t="s">
        <v>0</v>
      </c>
      <c r="B273" t="s">
        <v>1627</v>
      </c>
      <c r="C273" t="s">
        <v>8</v>
      </c>
      <c r="D273" s="3" t="s">
        <v>9</v>
      </c>
      <c r="E273">
        <v>75</v>
      </c>
      <c r="F273" s="19" t="s">
        <v>88</v>
      </c>
      <c r="G273" s="62">
        <v>45520</v>
      </c>
      <c r="H273" s="55" t="s">
        <v>146</v>
      </c>
      <c r="I273" s="55" t="s">
        <v>2047</v>
      </c>
      <c r="Q273" s="3">
        <f t="shared" si="4"/>
        <v>75</v>
      </c>
    </row>
    <row r="274" spans="1:17" ht="72.5" x14ac:dyDescent="0.35">
      <c r="A274" t="s">
        <v>0</v>
      </c>
      <c r="B274" t="s">
        <v>1627</v>
      </c>
      <c r="C274" t="s">
        <v>8</v>
      </c>
      <c r="D274" s="3" t="s">
        <v>9</v>
      </c>
      <c r="E274">
        <v>75</v>
      </c>
      <c r="F274" s="19" t="s">
        <v>88</v>
      </c>
      <c r="G274" s="62">
        <v>45523</v>
      </c>
      <c r="H274" s="55" t="s">
        <v>146</v>
      </c>
      <c r="I274" s="55" t="s">
        <v>2048</v>
      </c>
      <c r="Q274" s="3">
        <f t="shared" si="4"/>
        <v>75</v>
      </c>
    </row>
    <row r="275" spans="1:17" ht="72.5" x14ac:dyDescent="0.35">
      <c r="A275" t="s">
        <v>0</v>
      </c>
      <c r="B275" t="s">
        <v>1627</v>
      </c>
      <c r="C275" t="s">
        <v>8</v>
      </c>
      <c r="D275" s="3" t="s">
        <v>9</v>
      </c>
      <c r="E275">
        <v>75</v>
      </c>
      <c r="F275" s="19" t="s">
        <v>88</v>
      </c>
      <c r="G275" s="62">
        <v>45530</v>
      </c>
      <c r="H275" s="55" t="s">
        <v>146</v>
      </c>
      <c r="I275" s="55" t="s">
        <v>2049</v>
      </c>
      <c r="Q275" s="3">
        <f t="shared" si="4"/>
        <v>75</v>
      </c>
    </row>
    <row r="276" spans="1:17" ht="72.5" x14ac:dyDescent="0.35">
      <c r="A276" t="s">
        <v>0</v>
      </c>
      <c r="B276" t="s">
        <v>1627</v>
      </c>
      <c r="C276" t="s">
        <v>8</v>
      </c>
      <c r="D276" s="3" t="s">
        <v>9</v>
      </c>
      <c r="E276">
        <v>75</v>
      </c>
      <c r="F276" s="19" t="s">
        <v>88</v>
      </c>
      <c r="G276" s="62">
        <v>45530</v>
      </c>
      <c r="H276" s="55" t="s">
        <v>146</v>
      </c>
      <c r="I276" s="55" t="s">
        <v>2050</v>
      </c>
      <c r="Q276" s="3">
        <f t="shared" si="4"/>
        <v>75</v>
      </c>
    </row>
    <row r="277" spans="1:17" ht="72.5" x14ac:dyDescent="0.35">
      <c r="A277" t="s">
        <v>0</v>
      </c>
      <c r="B277" t="s">
        <v>1627</v>
      </c>
      <c r="C277" t="s">
        <v>8</v>
      </c>
      <c r="D277" s="3" t="s">
        <v>9</v>
      </c>
      <c r="E277">
        <v>75</v>
      </c>
      <c r="F277" s="19" t="s">
        <v>88</v>
      </c>
      <c r="G277" s="62">
        <v>45530</v>
      </c>
      <c r="H277" s="55" t="s">
        <v>146</v>
      </c>
      <c r="I277" s="55" t="s">
        <v>2051</v>
      </c>
      <c r="Q277" s="3">
        <f t="shared" si="4"/>
        <v>75</v>
      </c>
    </row>
    <row r="278" spans="1:17" ht="72.5" x14ac:dyDescent="0.35">
      <c r="A278" t="s">
        <v>0</v>
      </c>
      <c r="B278" t="s">
        <v>1627</v>
      </c>
      <c r="C278" t="s">
        <v>8</v>
      </c>
      <c r="D278" s="3" t="s">
        <v>9</v>
      </c>
      <c r="E278">
        <v>75</v>
      </c>
      <c r="F278" s="19" t="s">
        <v>88</v>
      </c>
      <c r="G278" s="62">
        <v>45531</v>
      </c>
      <c r="H278" s="55" t="s">
        <v>146</v>
      </c>
      <c r="I278" s="55" t="s">
        <v>2052</v>
      </c>
      <c r="Q278" s="3">
        <f t="shared" si="4"/>
        <v>75</v>
      </c>
    </row>
    <row r="279" spans="1:17" ht="72.5" x14ac:dyDescent="0.35">
      <c r="A279" t="s">
        <v>0</v>
      </c>
      <c r="B279" t="s">
        <v>1627</v>
      </c>
      <c r="C279" t="s">
        <v>8</v>
      </c>
      <c r="D279" s="3" t="s">
        <v>9</v>
      </c>
      <c r="E279">
        <v>75</v>
      </c>
      <c r="F279" s="19" t="s">
        <v>88</v>
      </c>
      <c r="G279" s="62">
        <v>45534</v>
      </c>
      <c r="H279" s="55" t="s">
        <v>146</v>
      </c>
      <c r="I279" s="55" t="s">
        <v>2053</v>
      </c>
      <c r="Q279" s="3">
        <f t="shared" si="4"/>
        <v>75</v>
      </c>
    </row>
    <row r="280" spans="1:17" ht="72.5" x14ac:dyDescent="0.35">
      <c r="A280" t="s">
        <v>0</v>
      </c>
      <c r="B280" t="s">
        <v>1627</v>
      </c>
      <c r="C280" t="s">
        <v>8</v>
      </c>
      <c r="D280" s="3" t="s">
        <v>9</v>
      </c>
      <c r="E280">
        <v>75</v>
      </c>
      <c r="F280" s="19" t="s">
        <v>88</v>
      </c>
      <c r="G280" s="62">
        <v>45539</v>
      </c>
      <c r="H280" s="55" t="s">
        <v>146</v>
      </c>
      <c r="I280" s="55" t="s">
        <v>2054</v>
      </c>
      <c r="Q280" s="3">
        <f t="shared" si="4"/>
        <v>75</v>
      </c>
    </row>
    <row r="281" spans="1:17" ht="72.5" x14ac:dyDescent="0.35">
      <c r="A281" t="s">
        <v>0</v>
      </c>
      <c r="B281" t="s">
        <v>1627</v>
      </c>
      <c r="C281" t="s">
        <v>8</v>
      </c>
      <c r="D281" s="3" t="s">
        <v>9</v>
      </c>
      <c r="E281">
        <v>75</v>
      </c>
      <c r="F281" s="19" t="s">
        <v>88</v>
      </c>
      <c r="G281" s="62">
        <v>45541</v>
      </c>
      <c r="H281" s="55" t="s">
        <v>146</v>
      </c>
      <c r="I281" s="55" t="s">
        <v>2055</v>
      </c>
      <c r="Q281" s="3">
        <f t="shared" si="4"/>
        <v>75</v>
      </c>
    </row>
    <row r="282" spans="1:17" ht="72.5" x14ac:dyDescent="0.35">
      <c r="A282" t="s">
        <v>0</v>
      </c>
      <c r="B282" t="s">
        <v>1627</v>
      </c>
      <c r="C282" t="s">
        <v>8</v>
      </c>
      <c r="D282" s="3" t="s">
        <v>9</v>
      </c>
      <c r="E282">
        <v>75</v>
      </c>
      <c r="F282" s="19" t="s">
        <v>88</v>
      </c>
      <c r="G282" s="62">
        <v>45552</v>
      </c>
      <c r="H282" s="55" t="s">
        <v>146</v>
      </c>
      <c r="I282" s="55" t="s">
        <v>2056</v>
      </c>
      <c r="Q282" s="3">
        <f t="shared" si="4"/>
        <v>75</v>
      </c>
    </row>
    <row r="283" spans="1:17" ht="72.5" x14ac:dyDescent="0.35">
      <c r="A283" t="s">
        <v>0</v>
      </c>
      <c r="B283" t="s">
        <v>1627</v>
      </c>
      <c r="C283" t="s">
        <v>8</v>
      </c>
      <c r="D283" s="3" t="s">
        <v>9</v>
      </c>
      <c r="E283">
        <v>75</v>
      </c>
      <c r="F283" s="19" t="s">
        <v>88</v>
      </c>
      <c r="G283" s="62">
        <v>45562</v>
      </c>
      <c r="H283" s="55" t="s">
        <v>146</v>
      </c>
      <c r="I283" s="55" t="s">
        <v>2057</v>
      </c>
      <c r="Q283" s="3">
        <f t="shared" si="4"/>
        <v>75</v>
      </c>
    </row>
    <row r="284" spans="1:17" ht="72.5" x14ac:dyDescent="0.35">
      <c r="A284" t="s">
        <v>0</v>
      </c>
      <c r="B284" t="s">
        <v>1627</v>
      </c>
      <c r="C284" t="s">
        <v>8</v>
      </c>
      <c r="D284" s="3" t="s">
        <v>9</v>
      </c>
      <c r="E284">
        <v>75</v>
      </c>
      <c r="F284" s="19" t="s">
        <v>88</v>
      </c>
      <c r="G284" s="62">
        <v>45566</v>
      </c>
      <c r="H284" s="55" t="s">
        <v>146</v>
      </c>
      <c r="I284" s="55" t="s">
        <v>2058</v>
      </c>
      <c r="Q284" s="3">
        <f t="shared" si="4"/>
        <v>75</v>
      </c>
    </row>
    <row r="285" spans="1:17" ht="72.5" x14ac:dyDescent="0.35">
      <c r="A285" t="s">
        <v>0</v>
      </c>
      <c r="B285" t="s">
        <v>1627</v>
      </c>
      <c r="C285" t="s">
        <v>8</v>
      </c>
      <c r="D285" s="3" t="s">
        <v>9</v>
      </c>
      <c r="E285">
        <v>75</v>
      </c>
      <c r="F285" s="19" t="s">
        <v>88</v>
      </c>
      <c r="G285" s="62">
        <v>45580</v>
      </c>
      <c r="H285" s="55" t="s">
        <v>146</v>
      </c>
      <c r="I285" s="55" t="s">
        <v>2059</v>
      </c>
      <c r="Q285" s="3">
        <f t="shared" si="4"/>
        <v>75</v>
      </c>
    </row>
    <row r="286" spans="1:17" ht="72.5" x14ac:dyDescent="0.35">
      <c r="A286" t="s">
        <v>0</v>
      </c>
      <c r="B286" t="s">
        <v>1627</v>
      </c>
      <c r="C286" t="s">
        <v>8</v>
      </c>
      <c r="D286" s="3" t="s">
        <v>9</v>
      </c>
      <c r="E286">
        <v>75</v>
      </c>
      <c r="F286" s="19" t="s">
        <v>88</v>
      </c>
      <c r="G286" s="62">
        <v>45582</v>
      </c>
      <c r="H286" s="55" t="s">
        <v>146</v>
      </c>
      <c r="I286" s="55" t="s">
        <v>2060</v>
      </c>
      <c r="Q286" s="3">
        <f t="shared" si="4"/>
        <v>75</v>
      </c>
    </row>
    <row r="287" spans="1:17" ht="72.5" x14ac:dyDescent="0.35">
      <c r="A287" t="s">
        <v>0</v>
      </c>
      <c r="B287" t="s">
        <v>1627</v>
      </c>
      <c r="C287" t="s">
        <v>8</v>
      </c>
      <c r="D287" s="3" t="s">
        <v>9</v>
      </c>
      <c r="E287">
        <v>75</v>
      </c>
      <c r="F287" s="19" t="s">
        <v>88</v>
      </c>
      <c r="G287" s="62">
        <v>45582</v>
      </c>
      <c r="H287" s="55" t="s">
        <v>146</v>
      </c>
      <c r="I287" s="55" t="s">
        <v>2061</v>
      </c>
      <c r="Q287" s="3">
        <f t="shared" si="4"/>
        <v>75</v>
      </c>
    </row>
    <row r="288" spans="1:17" ht="72.5" x14ac:dyDescent="0.35">
      <c r="A288" t="s">
        <v>0</v>
      </c>
      <c r="B288" t="s">
        <v>1627</v>
      </c>
      <c r="C288" t="s">
        <v>8</v>
      </c>
      <c r="D288" s="3" t="s">
        <v>9</v>
      </c>
      <c r="E288">
        <v>75</v>
      </c>
      <c r="F288" s="19" t="s">
        <v>88</v>
      </c>
      <c r="G288" s="62">
        <v>45590</v>
      </c>
      <c r="H288" s="55" t="s">
        <v>146</v>
      </c>
      <c r="I288" s="55" t="s">
        <v>2062</v>
      </c>
      <c r="Q288" s="3">
        <f t="shared" si="4"/>
        <v>75</v>
      </c>
    </row>
    <row r="289" spans="1:17" ht="72.5" x14ac:dyDescent="0.35">
      <c r="A289" t="s">
        <v>0</v>
      </c>
      <c r="B289" t="s">
        <v>1627</v>
      </c>
      <c r="C289" t="s">
        <v>8</v>
      </c>
      <c r="D289" s="3" t="s">
        <v>9</v>
      </c>
      <c r="E289">
        <v>75</v>
      </c>
      <c r="F289" s="19" t="s">
        <v>88</v>
      </c>
      <c r="G289" s="62">
        <v>45607</v>
      </c>
      <c r="H289" s="55" t="s">
        <v>146</v>
      </c>
      <c r="I289" s="55" t="s">
        <v>2063</v>
      </c>
      <c r="Q289" s="3">
        <f t="shared" si="4"/>
        <v>75</v>
      </c>
    </row>
    <row r="290" spans="1:17" ht="72.5" x14ac:dyDescent="0.35">
      <c r="A290" t="s">
        <v>0</v>
      </c>
      <c r="B290" t="s">
        <v>1627</v>
      </c>
      <c r="C290" t="s">
        <v>8</v>
      </c>
      <c r="D290" s="3" t="s">
        <v>9</v>
      </c>
      <c r="E290">
        <v>75</v>
      </c>
      <c r="F290" s="19" t="s">
        <v>88</v>
      </c>
      <c r="G290" s="62">
        <v>45615</v>
      </c>
      <c r="H290" s="55" t="s">
        <v>146</v>
      </c>
      <c r="I290" s="55" t="s">
        <v>2064</v>
      </c>
      <c r="Q290" s="3">
        <f t="shared" si="4"/>
        <v>75</v>
      </c>
    </row>
    <row r="291" spans="1:17" ht="72.5" x14ac:dyDescent="0.35">
      <c r="A291" t="s">
        <v>0</v>
      </c>
      <c r="B291" t="s">
        <v>1627</v>
      </c>
      <c r="C291" t="s">
        <v>8</v>
      </c>
      <c r="D291" s="3" t="s">
        <v>9</v>
      </c>
      <c r="E291">
        <v>75</v>
      </c>
      <c r="F291" s="19" t="s">
        <v>88</v>
      </c>
      <c r="G291" s="62">
        <v>45623</v>
      </c>
      <c r="H291" s="55" t="s">
        <v>146</v>
      </c>
      <c r="I291" s="55" t="s">
        <v>2065</v>
      </c>
      <c r="Q291" s="3">
        <f t="shared" si="4"/>
        <v>75</v>
      </c>
    </row>
    <row r="292" spans="1:17" ht="72.5" x14ac:dyDescent="0.35">
      <c r="A292" t="s">
        <v>0</v>
      </c>
      <c r="B292" t="s">
        <v>1627</v>
      </c>
      <c r="C292" t="s">
        <v>8</v>
      </c>
      <c r="D292" s="3" t="s">
        <v>9</v>
      </c>
      <c r="E292">
        <v>74.010000000000005</v>
      </c>
      <c r="F292" s="19" t="s">
        <v>88</v>
      </c>
      <c r="G292" s="62">
        <v>45384</v>
      </c>
      <c r="H292" s="55" t="s">
        <v>146</v>
      </c>
      <c r="I292" s="55" t="s">
        <v>2066</v>
      </c>
      <c r="Q292" s="3">
        <f t="shared" si="4"/>
        <v>74.010000000000005</v>
      </c>
    </row>
    <row r="293" spans="1:17" ht="72.5" x14ac:dyDescent="0.35">
      <c r="A293" t="s">
        <v>0</v>
      </c>
      <c r="B293" t="s">
        <v>1627</v>
      </c>
      <c r="C293" t="s">
        <v>8</v>
      </c>
      <c r="D293" s="3" t="s">
        <v>9</v>
      </c>
      <c r="E293">
        <v>70</v>
      </c>
      <c r="F293" s="19" t="s">
        <v>88</v>
      </c>
      <c r="G293" s="62">
        <v>45580</v>
      </c>
      <c r="H293" s="55" t="s">
        <v>146</v>
      </c>
      <c r="I293" s="55" t="s">
        <v>2067</v>
      </c>
      <c r="Q293" s="3">
        <f t="shared" si="4"/>
        <v>70</v>
      </c>
    </row>
    <row r="294" spans="1:17" ht="29" x14ac:dyDescent="0.35">
      <c r="A294" t="s">
        <v>35</v>
      </c>
      <c r="B294" t="s">
        <v>622</v>
      </c>
      <c r="C294" t="s">
        <v>8</v>
      </c>
      <c r="D294" s="3" t="s">
        <v>9</v>
      </c>
      <c r="E294">
        <v>63.62</v>
      </c>
      <c r="F294" s="19" t="s">
        <v>88</v>
      </c>
      <c r="G294" s="62">
        <v>45517</v>
      </c>
      <c r="H294" s="55" t="s">
        <v>94</v>
      </c>
      <c r="I294" s="55" t="s">
        <v>1841</v>
      </c>
      <c r="J294" s="55" t="s">
        <v>2068</v>
      </c>
      <c r="O294" t="s">
        <v>1104</v>
      </c>
      <c r="Q294" s="3">
        <f t="shared" si="4"/>
        <v>63.62</v>
      </c>
    </row>
    <row r="295" spans="1:17" ht="43.5" x14ac:dyDescent="0.35">
      <c r="A295" t="s">
        <v>35</v>
      </c>
      <c r="B295" t="s">
        <v>2031</v>
      </c>
      <c r="C295" t="s">
        <v>8</v>
      </c>
      <c r="D295" s="3" t="s">
        <v>9</v>
      </c>
      <c r="E295">
        <v>60.91</v>
      </c>
      <c r="F295" s="19" t="s">
        <v>88</v>
      </c>
      <c r="G295" s="62">
        <v>45581</v>
      </c>
      <c r="H295" s="55" t="s">
        <v>94</v>
      </c>
      <c r="I295" s="55" t="s">
        <v>2032</v>
      </c>
      <c r="J295" s="55" t="s">
        <v>2069</v>
      </c>
      <c r="O295" t="s">
        <v>2070</v>
      </c>
      <c r="Q295" s="3">
        <f t="shared" si="4"/>
        <v>60.91</v>
      </c>
    </row>
    <row r="296" spans="1:17" ht="72.5" x14ac:dyDescent="0.35">
      <c r="A296" t="s">
        <v>0</v>
      </c>
      <c r="B296" t="s">
        <v>1627</v>
      </c>
      <c r="C296" t="s">
        <v>8</v>
      </c>
      <c r="D296" s="3" t="s">
        <v>9</v>
      </c>
      <c r="E296">
        <v>60</v>
      </c>
      <c r="F296" s="19" t="s">
        <v>88</v>
      </c>
      <c r="G296" s="62">
        <v>45638</v>
      </c>
      <c r="H296" s="55" t="s">
        <v>146</v>
      </c>
      <c r="I296" s="55" t="s">
        <v>2071</v>
      </c>
      <c r="Q296" s="3">
        <f t="shared" si="4"/>
        <v>60</v>
      </c>
    </row>
    <row r="297" spans="1:17" ht="72.5" x14ac:dyDescent="0.35">
      <c r="A297" t="s">
        <v>0</v>
      </c>
      <c r="B297" t="s">
        <v>1627</v>
      </c>
      <c r="C297" t="s">
        <v>8</v>
      </c>
      <c r="D297" s="3" t="s">
        <v>9</v>
      </c>
      <c r="E297">
        <v>50</v>
      </c>
      <c r="F297" s="19" t="s">
        <v>88</v>
      </c>
      <c r="G297" s="62">
        <v>45415</v>
      </c>
      <c r="H297" s="55" t="s">
        <v>146</v>
      </c>
      <c r="I297" s="55" t="s">
        <v>2072</v>
      </c>
      <c r="Q297" s="3">
        <f t="shared" si="4"/>
        <v>50</v>
      </c>
    </row>
    <row r="298" spans="1:17" ht="72.5" x14ac:dyDescent="0.35">
      <c r="A298" t="s">
        <v>0</v>
      </c>
      <c r="B298" t="s">
        <v>1627</v>
      </c>
      <c r="C298" t="s">
        <v>8</v>
      </c>
      <c r="D298" s="3" t="s">
        <v>9</v>
      </c>
      <c r="E298">
        <v>50</v>
      </c>
      <c r="F298" s="19" t="s">
        <v>88</v>
      </c>
      <c r="G298" s="62">
        <v>45555</v>
      </c>
      <c r="H298" s="55" t="s">
        <v>146</v>
      </c>
      <c r="I298" s="55" t="s">
        <v>2073</v>
      </c>
      <c r="Q298" s="3">
        <f t="shared" si="4"/>
        <v>50</v>
      </c>
    </row>
    <row r="299" spans="1:17" ht="72.5" x14ac:dyDescent="0.35">
      <c r="A299" t="s">
        <v>0</v>
      </c>
      <c r="B299" t="s">
        <v>1627</v>
      </c>
      <c r="C299" t="s">
        <v>8</v>
      </c>
      <c r="D299" s="3" t="s">
        <v>9</v>
      </c>
      <c r="E299">
        <v>44.1</v>
      </c>
      <c r="F299" s="19" t="s">
        <v>88</v>
      </c>
      <c r="G299" s="62">
        <v>45443</v>
      </c>
      <c r="H299" s="55" t="s">
        <v>146</v>
      </c>
      <c r="I299" s="55" t="s">
        <v>2074</v>
      </c>
      <c r="Q299" s="3">
        <f t="shared" si="4"/>
        <v>44.1</v>
      </c>
    </row>
    <row r="300" spans="1:17" ht="29" x14ac:dyDescent="0.35">
      <c r="A300" t="s">
        <v>35</v>
      </c>
      <c r="B300" t="s">
        <v>2031</v>
      </c>
      <c r="C300" t="s">
        <v>8</v>
      </c>
      <c r="D300" s="3" t="s">
        <v>9</v>
      </c>
      <c r="E300">
        <v>39.82</v>
      </c>
      <c r="F300" s="19" t="s">
        <v>88</v>
      </c>
      <c r="G300" s="62">
        <v>45581</v>
      </c>
      <c r="H300" s="55" t="s">
        <v>94</v>
      </c>
      <c r="I300" s="55" t="s">
        <v>450</v>
      </c>
      <c r="J300" s="55" t="s">
        <v>2075</v>
      </c>
      <c r="O300" t="s">
        <v>2076</v>
      </c>
      <c r="Q300" s="3">
        <f t="shared" si="4"/>
        <v>39.82</v>
      </c>
    </row>
    <row r="301" spans="1:17" ht="72.5" x14ac:dyDescent="0.35">
      <c r="A301" t="s">
        <v>0</v>
      </c>
      <c r="B301" t="s">
        <v>1566</v>
      </c>
      <c r="C301" t="s">
        <v>8</v>
      </c>
      <c r="D301" s="3" t="s">
        <v>9</v>
      </c>
      <c r="E301">
        <v>36.67</v>
      </c>
      <c r="F301" s="19" t="s">
        <v>88</v>
      </c>
      <c r="G301" s="62">
        <v>45545</v>
      </c>
      <c r="H301" s="55" t="s">
        <v>1</v>
      </c>
      <c r="I301" s="55" t="s">
        <v>2077</v>
      </c>
      <c r="Q301" s="3">
        <f t="shared" si="4"/>
        <v>36.67</v>
      </c>
    </row>
    <row r="302" spans="1:17" ht="72.5" x14ac:dyDescent="0.35">
      <c r="A302" t="s">
        <v>0</v>
      </c>
      <c r="B302" t="s">
        <v>1627</v>
      </c>
      <c r="C302" t="s">
        <v>8</v>
      </c>
      <c r="D302" s="3" t="s">
        <v>9</v>
      </c>
      <c r="E302">
        <v>35</v>
      </c>
      <c r="F302" s="19" t="s">
        <v>88</v>
      </c>
      <c r="G302" s="62">
        <v>45422</v>
      </c>
      <c r="H302" s="55" t="s">
        <v>146</v>
      </c>
      <c r="I302" s="55" t="s">
        <v>2078</v>
      </c>
      <c r="Q302" s="3">
        <f t="shared" si="4"/>
        <v>35</v>
      </c>
    </row>
    <row r="303" spans="1:17" ht="72.5" x14ac:dyDescent="0.35">
      <c r="A303" t="s">
        <v>0</v>
      </c>
      <c r="B303" t="s">
        <v>1627</v>
      </c>
      <c r="C303" t="s">
        <v>8</v>
      </c>
      <c r="D303" s="3" t="s">
        <v>9</v>
      </c>
      <c r="E303">
        <v>35</v>
      </c>
      <c r="F303" s="19" t="s">
        <v>88</v>
      </c>
      <c r="G303" s="62">
        <v>45580</v>
      </c>
      <c r="H303" s="55" t="s">
        <v>146</v>
      </c>
      <c r="I303" s="55" t="s">
        <v>2079</v>
      </c>
      <c r="Q303" s="3">
        <f t="shared" si="4"/>
        <v>35</v>
      </c>
    </row>
    <row r="304" spans="1:17" ht="43.5" x14ac:dyDescent="0.35">
      <c r="A304" t="s">
        <v>0</v>
      </c>
      <c r="B304" t="s">
        <v>633</v>
      </c>
      <c r="C304" t="s">
        <v>8</v>
      </c>
      <c r="D304" s="3" t="s">
        <v>9</v>
      </c>
      <c r="E304">
        <v>32.18</v>
      </c>
      <c r="F304" s="19" t="s">
        <v>88</v>
      </c>
      <c r="G304" s="62">
        <v>45404</v>
      </c>
      <c r="H304" s="55" t="s">
        <v>89</v>
      </c>
      <c r="I304" s="55" t="s">
        <v>2080</v>
      </c>
      <c r="K304" t="s">
        <v>2081</v>
      </c>
      <c r="L304" t="s">
        <v>2082</v>
      </c>
      <c r="M304" t="s">
        <v>158</v>
      </c>
      <c r="Q304" s="3">
        <f t="shared" si="4"/>
        <v>32.18</v>
      </c>
    </row>
    <row r="305" spans="1:17" ht="29" x14ac:dyDescent="0.35">
      <c r="A305" t="s">
        <v>35</v>
      </c>
      <c r="B305" t="s">
        <v>969</v>
      </c>
      <c r="C305" t="s">
        <v>8</v>
      </c>
      <c r="D305" s="3" t="s">
        <v>9</v>
      </c>
      <c r="E305">
        <v>27.27</v>
      </c>
      <c r="F305" s="19" t="s">
        <v>88</v>
      </c>
      <c r="G305" s="62">
        <v>45443</v>
      </c>
      <c r="H305" s="55" t="s">
        <v>94</v>
      </c>
      <c r="I305" s="55" t="s">
        <v>2083</v>
      </c>
      <c r="J305" s="55" t="s">
        <v>2084</v>
      </c>
      <c r="O305" t="s">
        <v>2085</v>
      </c>
      <c r="Q305" s="3">
        <f t="shared" si="4"/>
        <v>27.27</v>
      </c>
    </row>
    <row r="306" spans="1:17" ht="29" x14ac:dyDescent="0.35">
      <c r="A306" t="s">
        <v>35</v>
      </c>
      <c r="B306" t="s">
        <v>1566</v>
      </c>
      <c r="C306" t="s">
        <v>8</v>
      </c>
      <c r="D306" s="3" t="s">
        <v>9</v>
      </c>
      <c r="E306">
        <v>26.85</v>
      </c>
      <c r="F306" s="19" t="s">
        <v>88</v>
      </c>
      <c r="G306" s="62">
        <v>45443</v>
      </c>
      <c r="H306" s="55" t="s">
        <v>94</v>
      </c>
      <c r="I306" s="55" t="s">
        <v>2086</v>
      </c>
      <c r="J306" s="55" t="s">
        <v>2087</v>
      </c>
      <c r="O306" t="s">
        <v>2088</v>
      </c>
      <c r="Q306" s="3">
        <f t="shared" si="4"/>
        <v>26.85</v>
      </c>
    </row>
    <row r="307" spans="1:17" ht="72.5" x14ac:dyDescent="0.35">
      <c r="A307" t="s">
        <v>0</v>
      </c>
      <c r="B307" t="s">
        <v>1627</v>
      </c>
      <c r="C307" t="s">
        <v>8</v>
      </c>
      <c r="D307" s="3" t="s">
        <v>9</v>
      </c>
      <c r="E307">
        <v>20</v>
      </c>
      <c r="F307" s="19" t="s">
        <v>88</v>
      </c>
      <c r="G307" s="62">
        <v>45649</v>
      </c>
      <c r="H307" s="55" t="s">
        <v>146</v>
      </c>
      <c r="I307" s="55" t="s">
        <v>2089</v>
      </c>
      <c r="Q307" s="3">
        <f t="shared" si="4"/>
        <v>20</v>
      </c>
    </row>
    <row r="308" spans="1:17" ht="72.5" x14ac:dyDescent="0.35">
      <c r="A308" t="s">
        <v>0</v>
      </c>
      <c r="B308" t="s">
        <v>1627</v>
      </c>
      <c r="C308" t="s">
        <v>8</v>
      </c>
      <c r="D308" s="3" t="s">
        <v>9</v>
      </c>
      <c r="E308">
        <v>19.260000000000002</v>
      </c>
      <c r="F308" s="19" t="s">
        <v>88</v>
      </c>
      <c r="G308" s="62">
        <v>45386</v>
      </c>
      <c r="H308" s="55" t="s">
        <v>146</v>
      </c>
      <c r="I308" s="55" t="s">
        <v>2090</v>
      </c>
      <c r="Q308" s="3">
        <f t="shared" si="4"/>
        <v>19.260000000000002</v>
      </c>
    </row>
    <row r="309" spans="1:17" ht="43.5" x14ac:dyDescent="0.35">
      <c r="A309" t="s">
        <v>35</v>
      </c>
      <c r="B309" t="s">
        <v>2031</v>
      </c>
      <c r="C309" t="s">
        <v>8</v>
      </c>
      <c r="D309" s="3" t="s">
        <v>9</v>
      </c>
      <c r="E309">
        <v>18.18</v>
      </c>
      <c r="F309" s="19" t="s">
        <v>88</v>
      </c>
      <c r="G309" s="62">
        <v>45581</v>
      </c>
      <c r="H309" s="55" t="s">
        <v>94</v>
      </c>
      <c r="I309" s="55" t="s">
        <v>2091</v>
      </c>
      <c r="J309" s="55" t="s">
        <v>2092</v>
      </c>
      <c r="O309" t="s">
        <v>2093</v>
      </c>
      <c r="Q309" s="3">
        <f t="shared" si="4"/>
        <v>18.18</v>
      </c>
    </row>
    <row r="310" spans="1:17" ht="58" x14ac:dyDescent="0.35">
      <c r="A310" t="s">
        <v>0</v>
      </c>
      <c r="B310" t="s">
        <v>1543</v>
      </c>
      <c r="C310" t="s">
        <v>8</v>
      </c>
      <c r="D310" s="3" t="s">
        <v>9</v>
      </c>
      <c r="E310">
        <v>14.53</v>
      </c>
      <c r="F310" s="19" t="s">
        <v>88</v>
      </c>
      <c r="G310" s="62">
        <v>45504</v>
      </c>
      <c r="H310" s="55" t="s">
        <v>181</v>
      </c>
      <c r="I310" s="55" t="s">
        <v>182</v>
      </c>
      <c r="Q310" s="3">
        <f t="shared" si="4"/>
        <v>14.53</v>
      </c>
    </row>
    <row r="311" spans="1:17" ht="58" x14ac:dyDescent="0.35">
      <c r="A311" t="s">
        <v>0</v>
      </c>
      <c r="B311" t="s">
        <v>1543</v>
      </c>
      <c r="C311" t="s">
        <v>8</v>
      </c>
      <c r="D311" s="3" t="s">
        <v>9</v>
      </c>
      <c r="E311">
        <v>-11.710000000000008</v>
      </c>
      <c r="F311" s="19" t="s">
        <v>88</v>
      </c>
      <c r="G311" s="62">
        <v>45638</v>
      </c>
      <c r="H311" s="55" t="s">
        <v>181</v>
      </c>
      <c r="I311" s="55" t="s">
        <v>182</v>
      </c>
      <c r="Q311" s="3">
        <f t="shared" si="4"/>
        <v>11.710000000000008</v>
      </c>
    </row>
    <row r="312" spans="1:17" ht="58" x14ac:dyDescent="0.35">
      <c r="A312" t="s">
        <v>0</v>
      </c>
      <c r="B312" t="s">
        <v>1543</v>
      </c>
      <c r="C312" t="s">
        <v>8</v>
      </c>
      <c r="D312" s="3" t="s">
        <v>9</v>
      </c>
      <c r="E312">
        <v>-10.89</v>
      </c>
      <c r="F312" s="19" t="s">
        <v>88</v>
      </c>
      <c r="G312" s="62">
        <v>45518</v>
      </c>
      <c r="H312" s="55" t="s">
        <v>181</v>
      </c>
      <c r="I312" s="55" t="s">
        <v>182</v>
      </c>
      <c r="Q312" s="3">
        <f t="shared" si="4"/>
        <v>10.89</v>
      </c>
    </row>
    <row r="313" spans="1:17" ht="58" x14ac:dyDescent="0.35">
      <c r="A313" t="s">
        <v>0</v>
      </c>
      <c r="B313" t="s">
        <v>1543</v>
      </c>
      <c r="C313" t="s">
        <v>8</v>
      </c>
      <c r="D313" s="3" t="s">
        <v>9</v>
      </c>
      <c r="E313">
        <v>-10.730000000000004</v>
      </c>
      <c r="F313" s="19" t="s">
        <v>88</v>
      </c>
      <c r="G313" s="62">
        <v>45645</v>
      </c>
      <c r="H313" s="55" t="s">
        <v>181</v>
      </c>
      <c r="I313" s="55" t="s">
        <v>182</v>
      </c>
      <c r="Q313" s="3">
        <f t="shared" si="4"/>
        <v>10.730000000000004</v>
      </c>
    </row>
    <row r="314" spans="1:17" ht="72.5" x14ac:dyDescent="0.35">
      <c r="A314" t="s">
        <v>0</v>
      </c>
      <c r="B314" t="s">
        <v>1627</v>
      </c>
      <c r="C314" t="s">
        <v>8</v>
      </c>
      <c r="D314" s="3" t="s">
        <v>9</v>
      </c>
      <c r="E314">
        <v>9.4499999999999993</v>
      </c>
      <c r="F314" s="19" t="s">
        <v>88</v>
      </c>
      <c r="G314" s="62">
        <v>45418</v>
      </c>
      <c r="H314" s="55" t="s">
        <v>146</v>
      </c>
      <c r="I314" s="55" t="s">
        <v>2094</v>
      </c>
      <c r="Q314" s="3">
        <f t="shared" si="4"/>
        <v>9.4499999999999993</v>
      </c>
    </row>
    <row r="315" spans="1:17" ht="58" x14ac:dyDescent="0.35">
      <c r="A315" t="s">
        <v>0</v>
      </c>
      <c r="B315" t="s">
        <v>1543</v>
      </c>
      <c r="C315" t="s">
        <v>8</v>
      </c>
      <c r="D315" s="3" t="s">
        <v>9</v>
      </c>
      <c r="E315">
        <v>-9.42</v>
      </c>
      <c r="F315" s="19" t="s">
        <v>88</v>
      </c>
      <c r="G315" s="62">
        <v>45483</v>
      </c>
      <c r="H315" s="55" t="s">
        <v>181</v>
      </c>
      <c r="I315" s="55" t="s">
        <v>182</v>
      </c>
      <c r="Q315" s="3">
        <f t="shared" si="4"/>
        <v>9.42</v>
      </c>
    </row>
    <row r="316" spans="1:17" ht="58" x14ac:dyDescent="0.35">
      <c r="A316" t="s">
        <v>0</v>
      </c>
      <c r="B316" t="s">
        <v>1543</v>
      </c>
      <c r="C316" t="s">
        <v>8</v>
      </c>
      <c r="D316" s="3" t="s">
        <v>9</v>
      </c>
      <c r="E316">
        <v>8.86</v>
      </c>
      <c r="F316" s="19" t="s">
        <v>88</v>
      </c>
      <c r="G316" s="62">
        <v>45498</v>
      </c>
      <c r="H316" s="55" t="s">
        <v>181</v>
      </c>
      <c r="I316" s="55" t="s">
        <v>182</v>
      </c>
      <c r="Q316" s="3">
        <f t="shared" si="4"/>
        <v>8.86</v>
      </c>
    </row>
    <row r="317" spans="1:17" ht="58" x14ac:dyDescent="0.35">
      <c r="A317" t="s">
        <v>0</v>
      </c>
      <c r="B317" t="s">
        <v>1543</v>
      </c>
      <c r="C317" t="s">
        <v>8</v>
      </c>
      <c r="D317" s="3" t="s">
        <v>9</v>
      </c>
      <c r="E317">
        <v>8.81</v>
      </c>
      <c r="F317" s="19" t="s">
        <v>88</v>
      </c>
      <c r="G317" s="62">
        <v>45623</v>
      </c>
      <c r="H317" s="55" t="s">
        <v>181</v>
      </c>
      <c r="I317" s="55" t="s">
        <v>182</v>
      </c>
      <c r="Q317" s="3">
        <f t="shared" si="4"/>
        <v>8.81</v>
      </c>
    </row>
    <row r="318" spans="1:17" ht="58" x14ac:dyDescent="0.35">
      <c r="A318" t="s">
        <v>0</v>
      </c>
      <c r="B318" t="s">
        <v>1543</v>
      </c>
      <c r="C318" t="s">
        <v>8</v>
      </c>
      <c r="D318" s="3" t="s">
        <v>9</v>
      </c>
      <c r="E318">
        <v>-7.83</v>
      </c>
      <c r="F318" s="19" t="s">
        <v>88</v>
      </c>
      <c r="G318" s="62">
        <v>45501</v>
      </c>
      <c r="H318" s="55" t="s">
        <v>181</v>
      </c>
      <c r="I318" s="55" t="s">
        <v>182</v>
      </c>
      <c r="Q318" s="3">
        <f t="shared" si="4"/>
        <v>7.83</v>
      </c>
    </row>
    <row r="319" spans="1:17" ht="58" x14ac:dyDescent="0.35">
      <c r="A319" t="s">
        <v>0</v>
      </c>
      <c r="B319" t="s">
        <v>1543</v>
      </c>
      <c r="C319" t="s">
        <v>8</v>
      </c>
      <c r="D319" s="3" t="s">
        <v>9</v>
      </c>
      <c r="E319">
        <v>-7.78</v>
      </c>
      <c r="F319" s="19" t="s">
        <v>88</v>
      </c>
      <c r="G319" s="62">
        <v>45574</v>
      </c>
      <c r="H319" s="55" t="s">
        <v>181</v>
      </c>
      <c r="I319" s="55" t="s">
        <v>182</v>
      </c>
      <c r="Q319" s="3">
        <f t="shared" si="4"/>
        <v>7.78</v>
      </c>
    </row>
    <row r="320" spans="1:17" ht="58" x14ac:dyDescent="0.35">
      <c r="A320" t="s">
        <v>0</v>
      </c>
      <c r="B320" t="s">
        <v>1543</v>
      </c>
      <c r="C320" t="s">
        <v>8</v>
      </c>
      <c r="D320" s="3" t="s">
        <v>9</v>
      </c>
      <c r="E320">
        <v>-7.6999999999999886</v>
      </c>
      <c r="F320" s="19" t="s">
        <v>88</v>
      </c>
      <c r="G320" s="62">
        <v>45657</v>
      </c>
      <c r="H320" s="55" t="s">
        <v>181</v>
      </c>
      <c r="I320" s="55" t="s">
        <v>182</v>
      </c>
      <c r="Q320" s="3">
        <f t="shared" si="4"/>
        <v>7.6999999999999886</v>
      </c>
    </row>
    <row r="321" spans="1:17" ht="58" x14ac:dyDescent="0.35">
      <c r="A321" t="s">
        <v>0</v>
      </c>
      <c r="B321" t="s">
        <v>1543</v>
      </c>
      <c r="C321" t="s">
        <v>8</v>
      </c>
      <c r="D321" s="3" t="s">
        <v>9</v>
      </c>
      <c r="E321">
        <v>7.1099999999999994</v>
      </c>
      <c r="F321" s="19" t="s">
        <v>88</v>
      </c>
      <c r="G321" s="62">
        <v>45656</v>
      </c>
      <c r="H321" s="55" t="s">
        <v>181</v>
      </c>
      <c r="I321" s="55" t="s">
        <v>182</v>
      </c>
      <c r="Q321" s="3">
        <f t="shared" si="4"/>
        <v>7.1099999999999994</v>
      </c>
    </row>
    <row r="322" spans="1:17" ht="58" x14ac:dyDescent="0.35">
      <c r="A322" t="s">
        <v>0</v>
      </c>
      <c r="B322" t="s">
        <v>1543</v>
      </c>
      <c r="C322" t="s">
        <v>8</v>
      </c>
      <c r="D322" s="3" t="s">
        <v>9</v>
      </c>
      <c r="E322">
        <v>6.8099999999999952</v>
      </c>
      <c r="F322" s="19" t="s">
        <v>88</v>
      </c>
      <c r="G322" s="62">
        <v>45642</v>
      </c>
      <c r="H322" s="55" t="s">
        <v>181</v>
      </c>
      <c r="I322" s="55" t="s">
        <v>182</v>
      </c>
      <c r="Q322" s="3">
        <f t="shared" si="4"/>
        <v>6.8099999999999952</v>
      </c>
    </row>
    <row r="323" spans="1:17" ht="58" x14ac:dyDescent="0.35">
      <c r="A323" t="s">
        <v>0</v>
      </c>
      <c r="B323" t="s">
        <v>1543</v>
      </c>
      <c r="C323" t="s">
        <v>8</v>
      </c>
      <c r="D323" s="3" t="s">
        <v>9</v>
      </c>
      <c r="E323">
        <v>-6.4</v>
      </c>
      <c r="F323" s="19" t="s">
        <v>88</v>
      </c>
      <c r="G323" s="62">
        <v>45469</v>
      </c>
      <c r="H323" s="55" t="s">
        <v>181</v>
      </c>
      <c r="I323" s="55" t="s">
        <v>182</v>
      </c>
      <c r="Q323" s="3">
        <f t="shared" si="4"/>
        <v>6.4</v>
      </c>
    </row>
    <row r="324" spans="1:17" ht="58" x14ac:dyDescent="0.35">
      <c r="A324" t="s">
        <v>0</v>
      </c>
      <c r="B324" t="s">
        <v>1543</v>
      </c>
      <c r="C324" t="s">
        <v>8</v>
      </c>
      <c r="D324" s="3" t="s">
        <v>9</v>
      </c>
      <c r="E324">
        <v>6.17</v>
      </c>
      <c r="F324" s="19" t="s">
        <v>88</v>
      </c>
      <c r="G324" s="62">
        <v>45524</v>
      </c>
      <c r="H324" s="55" t="s">
        <v>181</v>
      </c>
      <c r="I324" s="55" t="s">
        <v>182</v>
      </c>
      <c r="Q324" s="3">
        <f t="shared" si="4"/>
        <v>6.17</v>
      </c>
    </row>
    <row r="325" spans="1:17" ht="58" x14ac:dyDescent="0.35">
      <c r="A325" t="s">
        <v>0</v>
      </c>
      <c r="B325" t="s">
        <v>1543</v>
      </c>
      <c r="C325" t="s">
        <v>8</v>
      </c>
      <c r="D325" s="3" t="s">
        <v>9</v>
      </c>
      <c r="E325">
        <v>5.84</v>
      </c>
      <c r="F325" s="19" t="s">
        <v>88</v>
      </c>
      <c r="G325" s="62">
        <v>45594</v>
      </c>
      <c r="H325" s="55" t="s">
        <v>181</v>
      </c>
      <c r="I325" s="55" t="s">
        <v>182</v>
      </c>
      <c r="Q325" s="3">
        <f t="shared" si="4"/>
        <v>5.84</v>
      </c>
    </row>
    <row r="326" spans="1:17" ht="58" x14ac:dyDescent="0.35">
      <c r="A326" t="s">
        <v>0</v>
      </c>
      <c r="B326" t="s">
        <v>1543</v>
      </c>
      <c r="C326" t="s">
        <v>8</v>
      </c>
      <c r="D326" s="3" t="s">
        <v>9</v>
      </c>
      <c r="E326">
        <v>5.230000000000004</v>
      </c>
      <c r="F326" s="19" t="s">
        <v>88</v>
      </c>
      <c r="G326" s="62">
        <v>45652</v>
      </c>
      <c r="H326" s="55" t="s">
        <v>181</v>
      </c>
      <c r="I326" s="55" t="s">
        <v>182</v>
      </c>
      <c r="Q326" s="3">
        <f t="shared" si="4"/>
        <v>5.230000000000004</v>
      </c>
    </row>
    <row r="327" spans="1:17" ht="58" x14ac:dyDescent="0.35">
      <c r="A327" t="s">
        <v>0</v>
      </c>
      <c r="B327" t="s">
        <v>1543</v>
      </c>
      <c r="C327" t="s">
        <v>8</v>
      </c>
      <c r="D327" s="3" t="s">
        <v>9</v>
      </c>
      <c r="E327">
        <v>-4.7</v>
      </c>
      <c r="F327" s="19" t="s">
        <v>88</v>
      </c>
      <c r="G327" s="62">
        <v>45547</v>
      </c>
      <c r="H327" s="55" t="s">
        <v>181</v>
      </c>
      <c r="I327" s="55" t="s">
        <v>182</v>
      </c>
      <c r="Q327" s="3">
        <f t="shared" si="4"/>
        <v>4.7</v>
      </c>
    </row>
    <row r="328" spans="1:17" ht="58" x14ac:dyDescent="0.35">
      <c r="A328" t="s">
        <v>0</v>
      </c>
      <c r="B328" t="s">
        <v>1543</v>
      </c>
      <c r="C328" t="s">
        <v>8</v>
      </c>
      <c r="D328" s="3" t="s">
        <v>9</v>
      </c>
      <c r="E328">
        <v>-4.6399999999999997</v>
      </c>
      <c r="F328" s="19" t="s">
        <v>88</v>
      </c>
      <c r="G328" s="62">
        <v>45461</v>
      </c>
      <c r="H328" s="55" t="s">
        <v>181</v>
      </c>
      <c r="I328" s="55" t="s">
        <v>182</v>
      </c>
      <c r="Q328" s="3">
        <f t="shared" ref="Q328:Q391" si="5">ABS(E328)</f>
        <v>4.6399999999999997</v>
      </c>
    </row>
    <row r="329" spans="1:17" ht="72.5" x14ac:dyDescent="0.35">
      <c r="A329" t="s">
        <v>0</v>
      </c>
      <c r="B329" t="s">
        <v>1627</v>
      </c>
      <c r="C329" t="s">
        <v>8</v>
      </c>
      <c r="D329" s="3" t="s">
        <v>9</v>
      </c>
      <c r="E329">
        <v>4.59</v>
      </c>
      <c r="F329" s="19" t="s">
        <v>88</v>
      </c>
      <c r="G329" s="62">
        <v>45525</v>
      </c>
      <c r="H329" s="55" t="s">
        <v>146</v>
      </c>
      <c r="I329" s="55" t="s">
        <v>2095</v>
      </c>
      <c r="Q329" s="3">
        <f t="shared" si="5"/>
        <v>4.59</v>
      </c>
    </row>
    <row r="330" spans="1:17" ht="58" x14ac:dyDescent="0.35">
      <c r="A330" t="s">
        <v>0</v>
      </c>
      <c r="B330" t="s">
        <v>1543</v>
      </c>
      <c r="C330" t="s">
        <v>8</v>
      </c>
      <c r="D330" s="3" t="s">
        <v>9</v>
      </c>
      <c r="E330">
        <v>4.4400000000000004</v>
      </c>
      <c r="F330" s="19" t="s">
        <v>88</v>
      </c>
      <c r="G330" s="62">
        <v>45533</v>
      </c>
      <c r="H330" s="55" t="s">
        <v>181</v>
      </c>
      <c r="I330" s="55" t="s">
        <v>182</v>
      </c>
      <c r="Q330" s="3">
        <f t="shared" si="5"/>
        <v>4.4400000000000004</v>
      </c>
    </row>
    <row r="331" spans="1:17" ht="58" x14ac:dyDescent="0.35">
      <c r="A331" t="s">
        <v>0</v>
      </c>
      <c r="B331" t="s">
        <v>1543</v>
      </c>
      <c r="C331" t="s">
        <v>8</v>
      </c>
      <c r="D331" s="3" t="s">
        <v>9</v>
      </c>
      <c r="E331">
        <v>-4.4000000000000004</v>
      </c>
      <c r="F331" s="19" t="s">
        <v>88</v>
      </c>
      <c r="G331" s="62">
        <v>45617</v>
      </c>
      <c r="H331" s="55" t="s">
        <v>181</v>
      </c>
      <c r="I331" s="55" t="s">
        <v>182</v>
      </c>
      <c r="Q331" s="3">
        <f t="shared" si="5"/>
        <v>4.4000000000000004</v>
      </c>
    </row>
    <row r="332" spans="1:17" ht="58" x14ac:dyDescent="0.35">
      <c r="A332" t="s">
        <v>0</v>
      </c>
      <c r="B332" t="s">
        <v>1543</v>
      </c>
      <c r="C332" t="s">
        <v>8</v>
      </c>
      <c r="D332" s="3" t="s">
        <v>9</v>
      </c>
      <c r="E332">
        <v>-4.26</v>
      </c>
      <c r="F332" s="19" t="s">
        <v>88</v>
      </c>
      <c r="G332" s="62">
        <v>45488</v>
      </c>
      <c r="H332" s="55" t="s">
        <v>181</v>
      </c>
      <c r="I332" s="55" t="s">
        <v>182</v>
      </c>
      <c r="Q332" s="3">
        <f t="shared" si="5"/>
        <v>4.26</v>
      </c>
    </row>
    <row r="333" spans="1:17" ht="58" x14ac:dyDescent="0.35">
      <c r="A333" t="s">
        <v>0</v>
      </c>
      <c r="B333" t="s">
        <v>1543</v>
      </c>
      <c r="C333" t="s">
        <v>8</v>
      </c>
      <c r="D333" s="3" t="s">
        <v>9</v>
      </c>
      <c r="E333">
        <v>4.1900000000000004</v>
      </c>
      <c r="F333" s="19" t="s">
        <v>88</v>
      </c>
      <c r="G333" s="62">
        <v>45490</v>
      </c>
      <c r="H333" s="55" t="s">
        <v>181</v>
      </c>
      <c r="I333" s="55" t="s">
        <v>182</v>
      </c>
      <c r="Q333" s="3">
        <f t="shared" si="5"/>
        <v>4.1900000000000004</v>
      </c>
    </row>
    <row r="334" spans="1:17" ht="58" x14ac:dyDescent="0.35">
      <c r="A334" t="s">
        <v>0</v>
      </c>
      <c r="B334" t="s">
        <v>1543</v>
      </c>
      <c r="C334" t="s">
        <v>8</v>
      </c>
      <c r="D334" s="3" t="s">
        <v>9</v>
      </c>
      <c r="E334">
        <v>-3.9599999999999937</v>
      </c>
      <c r="F334" s="19" t="s">
        <v>88</v>
      </c>
      <c r="G334" s="62">
        <v>45648</v>
      </c>
      <c r="H334" s="55" t="s">
        <v>181</v>
      </c>
      <c r="I334" s="55" t="s">
        <v>182</v>
      </c>
      <c r="Q334" s="3">
        <f t="shared" si="5"/>
        <v>3.9599999999999937</v>
      </c>
    </row>
    <row r="335" spans="1:17" ht="58" x14ac:dyDescent="0.35">
      <c r="A335" t="s">
        <v>0</v>
      </c>
      <c r="B335" t="s">
        <v>1543</v>
      </c>
      <c r="C335" t="s">
        <v>8</v>
      </c>
      <c r="D335" s="3" t="s">
        <v>9</v>
      </c>
      <c r="E335">
        <v>3.84</v>
      </c>
      <c r="F335" s="19" t="s">
        <v>88</v>
      </c>
      <c r="G335" s="62">
        <v>45622</v>
      </c>
      <c r="H335" s="55" t="s">
        <v>181</v>
      </c>
      <c r="I335" s="55" t="s">
        <v>182</v>
      </c>
      <c r="Q335" s="3">
        <f t="shared" si="5"/>
        <v>3.84</v>
      </c>
    </row>
    <row r="336" spans="1:17" ht="58" x14ac:dyDescent="0.35">
      <c r="A336" t="s">
        <v>0</v>
      </c>
      <c r="B336" t="s">
        <v>1543</v>
      </c>
      <c r="C336" t="s">
        <v>8</v>
      </c>
      <c r="D336" s="3" t="s">
        <v>9</v>
      </c>
      <c r="E336">
        <v>-3.61</v>
      </c>
      <c r="F336" s="19" t="s">
        <v>88</v>
      </c>
      <c r="G336" s="62">
        <v>45561</v>
      </c>
      <c r="H336" s="55" t="s">
        <v>181</v>
      </c>
      <c r="I336" s="55" t="s">
        <v>182</v>
      </c>
      <c r="Q336" s="3">
        <f t="shared" si="5"/>
        <v>3.61</v>
      </c>
    </row>
    <row r="337" spans="1:17" ht="58" x14ac:dyDescent="0.35">
      <c r="A337" t="s">
        <v>0</v>
      </c>
      <c r="B337" t="s">
        <v>1543</v>
      </c>
      <c r="C337" t="s">
        <v>8</v>
      </c>
      <c r="D337" s="3" t="s">
        <v>9</v>
      </c>
      <c r="E337">
        <v>-3.59</v>
      </c>
      <c r="F337" s="19" t="s">
        <v>88</v>
      </c>
      <c r="G337" s="62">
        <v>45551</v>
      </c>
      <c r="H337" s="55" t="s">
        <v>181</v>
      </c>
      <c r="I337" s="55" t="s">
        <v>182</v>
      </c>
      <c r="Q337" s="3">
        <f t="shared" si="5"/>
        <v>3.59</v>
      </c>
    </row>
    <row r="338" spans="1:17" ht="58" x14ac:dyDescent="0.35">
      <c r="A338" t="s">
        <v>0</v>
      </c>
      <c r="B338" t="s">
        <v>1543</v>
      </c>
      <c r="C338" t="s">
        <v>8</v>
      </c>
      <c r="D338" s="3" t="s">
        <v>9</v>
      </c>
      <c r="E338">
        <v>-3.48</v>
      </c>
      <c r="F338" s="19" t="s">
        <v>88</v>
      </c>
      <c r="G338" s="62">
        <v>45462</v>
      </c>
      <c r="H338" s="55" t="s">
        <v>181</v>
      </c>
      <c r="I338" s="55" t="s">
        <v>182</v>
      </c>
      <c r="Q338" s="3">
        <f t="shared" si="5"/>
        <v>3.48</v>
      </c>
    </row>
    <row r="339" spans="1:17" ht="58" x14ac:dyDescent="0.35">
      <c r="A339" t="s">
        <v>0</v>
      </c>
      <c r="B339" t="s">
        <v>1543</v>
      </c>
      <c r="C339" t="s">
        <v>8</v>
      </c>
      <c r="D339" s="3" t="s">
        <v>9</v>
      </c>
      <c r="E339">
        <v>3.16</v>
      </c>
      <c r="F339" s="19" t="s">
        <v>88</v>
      </c>
      <c r="G339" s="62">
        <v>45565</v>
      </c>
      <c r="H339" s="55" t="s">
        <v>181</v>
      </c>
      <c r="I339" s="55" t="s">
        <v>182</v>
      </c>
      <c r="Q339" s="3">
        <f t="shared" si="5"/>
        <v>3.16</v>
      </c>
    </row>
    <row r="340" spans="1:17" ht="58" x14ac:dyDescent="0.35">
      <c r="A340" t="s">
        <v>0</v>
      </c>
      <c r="B340" t="s">
        <v>1543</v>
      </c>
      <c r="C340" t="s">
        <v>8</v>
      </c>
      <c r="D340" s="3" t="s">
        <v>9</v>
      </c>
      <c r="E340">
        <v>3.16</v>
      </c>
      <c r="F340" s="19" t="s">
        <v>88</v>
      </c>
      <c r="G340" s="62">
        <v>45595</v>
      </c>
      <c r="H340" s="55" t="s">
        <v>181</v>
      </c>
      <c r="I340" s="55" t="s">
        <v>182</v>
      </c>
      <c r="Q340" s="3">
        <f t="shared" si="5"/>
        <v>3.16</v>
      </c>
    </row>
    <row r="341" spans="1:17" ht="72.5" x14ac:dyDescent="0.35">
      <c r="A341" t="s">
        <v>0</v>
      </c>
      <c r="B341" t="s">
        <v>1627</v>
      </c>
      <c r="C341" t="s">
        <v>8</v>
      </c>
      <c r="D341" s="3" t="s">
        <v>9</v>
      </c>
      <c r="E341">
        <v>3.15</v>
      </c>
      <c r="F341" s="19" t="s">
        <v>88</v>
      </c>
      <c r="G341" s="62">
        <v>45415</v>
      </c>
      <c r="H341" s="55" t="s">
        <v>146</v>
      </c>
      <c r="I341" s="55" t="s">
        <v>2096</v>
      </c>
      <c r="Q341" s="3">
        <f t="shared" si="5"/>
        <v>3.15</v>
      </c>
    </row>
    <row r="342" spans="1:17" ht="58" x14ac:dyDescent="0.35">
      <c r="A342" t="s">
        <v>0</v>
      </c>
      <c r="B342" t="s">
        <v>1543</v>
      </c>
      <c r="C342" t="s">
        <v>8</v>
      </c>
      <c r="D342" s="3" t="s">
        <v>9</v>
      </c>
      <c r="E342">
        <v>3.11</v>
      </c>
      <c r="F342" s="19" t="s">
        <v>88</v>
      </c>
      <c r="G342" s="62">
        <v>45586</v>
      </c>
      <c r="H342" s="55" t="s">
        <v>181</v>
      </c>
      <c r="I342" s="55" t="s">
        <v>182</v>
      </c>
      <c r="Q342" s="3">
        <f t="shared" si="5"/>
        <v>3.11</v>
      </c>
    </row>
    <row r="343" spans="1:17" ht="58" x14ac:dyDescent="0.35">
      <c r="A343" t="s">
        <v>0</v>
      </c>
      <c r="B343" t="s">
        <v>1543</v>
      </c>
      <c r="C343" t="s">
        <v>8</v>
      </c>
      <c r="D343" s="3" t="s">
        <v>9</v>
      </c>
      <c r="E343">
        <v>3.0799999999999983</v>
      </c>
      <c r="F343" s="19" t="s">
        <v>88</v>
      </c>
      <c r="G343" s="62">
        <v>45650</v>
      </c>
      <c r="H343" s="55" t="s">
        <v>181</v>
      </c>
      <c r="I343" s="55" t="s">
        <v>182</v>
      </c>
      <c r="Q343" s="3">
        <f t="shared" si="5"/>
        <v>3.0799999999999983</v>
      </c>
    </row>
    <row r="344" spans="1:17" ht="58" x14ac:dyDescent="0.35">
      <c r="A344" t="s">
        <v>0</v>
      </c>
      <c r="B344" t="s">
        <v>1543</v>
      </c>
      <c r="C344" t="s">
        <v>8</v>
      </c>
      <c r="D344" s="3" t="s">
        <v>9</v>
      </c>
      <c r="E344">
        <v>-3.07</v>
      </c>
      <c r="F344" s="19" t="s">
        <v>88</v>
      </c>
      <c r="G344" s="62">
        <v>45620</v>
      </c>
      <c r="H344" s="55" t="s">
        <v>181</v>
      </c>
      <c r="I344" s="55" t="s">
        <v>182</v>
      </c>
      <c r="Q344" s="3">
        <f t="shared" si="5"/>
        <v>3.07</v>
      </c>
    </row>
    <row r="345" spans="1:17" ht="58" x14ac:dyDescent="0.35">
      <c r="A345" t="s">
        <v>0</v>
      </c>
      <c r="B345" t="s">
        <v>1543</v>
      </c>
      <c r="C345" t="s">
        <v>8</v>
      </c>
      <c r="D345" s="3" t="s">
        <v>9</v>
      </c>
      <c r="E345">
        <v>-2.8900000000000006</v>
      </c>
      <c r="F345" s="19" t="s">
        <v>88</v>
      </c>
      <c r="G345" s="62">
        <v>45651</v>
      </c>
      <c r="H345" s="55" t="s">
        <v>181</v>
      </c>
      <c r="I345" s="55" t="s">
        <v>182</v>
      </c>
      <c r="Q345" s="3">
        <f t="shared" si="5"/>
        <v>2.8900000000000006</v>
      </c>
    </row>
    <row r="346" spans="1:17" ht="58" x14ac:dyDescent="0.35">
      <c r="A346" t="s">
        <v>0</v>
      </c>
      <c r="B346" t="s">
        <v>1543</v>
      </c>
      <c r="C346" t="s">
        <v>8</v>
      </c>
      <c r="D346" s="3" t="s">
        <v>9</v>
      </c>
      <c r="E346">
        <v>-2.88</v>
      </c>
      <c r="F346" s="19" t="s">
        <v>88</v>
      </c>
      <c r="G346" s="62">
        <v>45585</v>
      </c>
      <c r="H346" s="55" t="s">
        <v>181</v>
      </c>
      <c r="I346" s="55" t="s">
        <v>182</v>
      </c>
      <c r="Q346" s="3">
        <f t="shared" si="5"/>
        <v>2.88</v>
      </c>
    </row>
    <row r="347" spans="1:17" ht="58" x14ac:dyDescent="0.35">
      <c r="A347" t="s">
        <v>0</v>
      </c>
      <c r="B347" t="s">
        <v>1543</v>
      </c>
      <c r="C347" t="s">
        <v>8</v>
      </c>
      <c r="D347" s="3" t="s">
        <v>9</v>
      </c>
      <c r="E347">
        <v>2.81</v>
      </c>
      <c r="F347" s="19" t="s">
        <v>88</v>
      </c>
      <c r="G347" s="62">
        <v>45466</v>
      </c>
      <c r="H347" s="55" t="s">
        <v>181</v>
      </c>
      <c r="I347" s="55" t="s">
        <v>182</v>
      </c>
      <c r="Q347" s="3">
        <f t="shared" si="5"/>
        <v>2.81</v>
      </c>
    </row>
    <row r="348" spans="1:17" ht="58" x14ac:dyDescent="0.35">
      <c r="A348" t="s">
        <v>0</v>
      </c>
      <c r="B348" t="s">
        <v>1543</v>
      </c>
      <c r="C348" t="s">
        <v>8</v>
      </c>
      <c r="D348" s="3" t="s">
        <v>9</v>
      </c>
      <c r="E348">
        <v>2.81</v>
      </c>
      <c r="F348" s="19" t="s">
        <v>88</v>
      </c>
      <c r="G348" s="62">
        <v>45526</v>
      </c>
      <c r="H348" s="55" t="s">
        <v>181</v>
      </c>
      <c r="I348" s="55" t="s">
        <v>182</v>
      </c>
      <c r="Q348" s="3">
        <f t="shared" si="5"/>
        <v>2.81</v>
      </c>
    </row>
    <row r="349" spans="1:17" ht="58" x14ac:dyDescent="0.35">
      <c r="A349" t="s">
        <v>0</v>
      </c>
      <c r="B349" t="s">
        <v>1543</v>
      </c>
      <c r="C349" t="s">
        <v>8</v>
      </c>
      <c r="D349" s="3" t="s">
        <v>9</v>
      </c>
      <c r="E349">
        <v>-2.81</v>
      </c>
      <c r="F349" s="19" t="s">
        <v>88</v>
      </c>
      <c r="G349" s="62">
        <v>45535</v>
      </c>
      <c r="H349" s="55" t="s">
        <v>181</v>
      </c>
      <c r="I349" s="55" t="s">
        <v>9</v>
      </c>
      <c r="Q349" s="3">
        <f t="shared" si="5"/>
        <v>2.81</v>
      </c>
    </row>
    <row r="350" spans="1:17" ht="58" x14ac:dyDescent="0.35">
      <c r="A350" t="s">
        <v>0</v>
      </c>
      <c r="B350" t="s">
        <v>1543</v>
      </c>
      <c r="C350" t="s">
        <v>8</v>
      </c>
      <c r="D350" s="3" t="s">
        <v>9</v>
      </c>
      <c r="E350">
        <v>-2.68</v>
      </c>
      <c r="F350" s="19" t="s">
        <v>88</v>
      </c>
      <c r="G350" s="62">
        <v>45596</v>
      </c>
      <c r="H350" s="55" t="s">
        <v>181</v>
      </c>
      <c r="I350" s="55" t="s">
        <v>182</v>
      </c>
      <c r="Q350" s="3">
        <f t="shared" si="5"/>
        <v>2.68</v>
      </c>
    </row>
    <row r="351" spans="1:17" ht="58" x14ac:dyDescent="0.35">
      <c r="A351" t="s">
        <v>0</v>
      </c>
      <c r="B351" t="s">
        <v>1543</v>
      </c>
      <c r="C351" t="s">
        <v>8</v>
      </c>
      <c r="D351" s="3" t="s">
        <v>9</v>
      </c>
      <c r="E351">
        <v>2.54</v>
      </c>
      <c r="F351" s="19" t="s">
        <v>88</v>
      </c>
      <c r="G351" s="62">
        <v>45550</v>
      </c>
      <c r="H351" s="55" t="s">
        <v>181</v>
      </c>
      <c r="I351" s="55" t="s">
        <v>182</v>
      </c>
      <c r="Q351" s="3">
        <f t="shared" si="5"/>
        <v>2.54</v>
      </c>
    </row>
    <row r="352" spans="1:17" ht="58" x14ac:dyDescent="0.35">
      <c r="A352" t="s">
        <v>0</v>
      </c>
      <c r="B352" t="s">
        <v>1543</v>
      </c>
      <c r="C352" t="s">
        <v>8</v>
      </c>
      <c r="D352" s="3" t="s">
        <v>9</v>
      </c>
      <c r="E352">
        <v>-2.38</v>
      </c>
      <c r="F352" s="19" t="s">
        <v>88</v>
      </c>
      <c r="G352" s="62">
        <v>45546</v>
      </c>
      <c r="H352" s="55" t="s">
        <v>181</v>
      </c>
      <c r="I352" s="55" t="s">
        <v>182</v>
      </c>
      <c r="Q352" s="3">
        <f t="shared" si="5"/>
        <v>2.38</v>
      </c>
    </row>
    <row r="353" spans="1:17" ht="58" x14ac:dyDescent="0.35">
      <c r="A353" t="s">
        <v>0</v>
      </c>
      <c r="B353" t="s">
        <v>1543</v>
      </c>
      <c r="C353" t="s">
        <v>8</v>
      </c>
      <c r="D353" s="3" t="s">
        <v>9</v>
      </c>
      <c r="E353">
        <v>2.37</v>
      </c>
      <c r="F353" s="19" t="s">
        <v>88</v>
      </c>
      <c r="G353" s="62">
        <v>45580</v>
      </c>
      <c r="H353" s="55" t="s">
        <v>181</v>
      </c>
      <c r="I353" s="55" t="s">
        <v>182</v>
      </c>
      <c r="Q353" s="3">
        <f t="shared" si="5"/>
        <v>2.37</v>
      </c>
    </row>
    <row r="354" spans="1:17" ht="58" x14ac:dyDescent="0.35">
      <c r="A354" t="s">
        <v>0</v>
      </c>
      <c r="B354" t="s">
        <v>1543</v>
      </c>
      <c r="C354" t="s">
        <v>8</v>
      </c>
      <c r="D354" s="3" t="s">
        <v>9</v>
      </c>
      <c r="E354">
        <v>2.31</v>
      </c>
      <c r="F354" s="19" t="s">
        <v>88</v>
      </c>
      <c r="G354" s="62">
        <v>45559</v>
      </c>
      <c r="H354" s="55" t="s">
        <v>181</v>
      </c>
      <c r="I354" s="55" t="s">
        <v>182</v>
      </c>
      <c r="Q354" s="3">
        <f t="shared" si="5"/>
        <v>2.31</v>
      </c>
    </row>
    <row r="355" spans="1:17" ht="58" x14ac:dyDescent="0.35">
      <c r="A355" t="s">
        <v>0</v>
      </c>
      <c r="B355" t="s">
        <v>1543</v>
      </c>
      <c r="C355" t="s">
        <v>8</v>
      </c>
      <c r="D355" s="3" t="s">
        <v>9</v>
      </c>
      <c r="E355">
        <v>-2.25</v>
      </c>
      <c r="F355" s="19" t="s">
        <v>88</v>
      </c>
      <c r="G355" s="62">
        <v>45616</v>
      </c>
      <c r="H355" s="55" t="s">
        <v>181</v>
      </c>
      <c r="I355" s="55" t="s">
        <v>182</v>
      </c>
      <c r="Q355" s="3">
        <f t="shared" si="5"/>
        <v>2.25</v>
      </c>
    </row>
    <row r="356" spans="1:17" ht="58" x14ac:dyDescent="0.35">
      <c r="A356" t="s">
        <v>0</v>
      </c>
      <c r="B356" t="s">
        <v>1543</v>
      </c>
      <c r="C356" t="s">
        <v>8</v>
      </c>
      <c r="D356" s="3" t="s">
        <v>9</v>
      </c>
      <c r="E356">
        <v>2.2200000000000002</v>
      </c>
      <c r="F356" s="19" t="s">
        <v>88</v>
      </c>
      <c r="G356" s="62">
        <v>45529</v>
      </c>
      <c r="H356" s="55" t="s">
        <v>181</v>
      </c>
      <c r="I356" s="55" t="s">
        <v>9</v>
      </c>
      <c r="Q356" s="3">
        <f t="shared" si="5"/>
        <v>2.2200000000000002</v>
      </c>
    </row>
    <row r="357" spans="1:17" ht="58" x14ac:dyDescent="0.35">
      <c r="A357" t="s">
        <v>0</v>
      </c>
      <c r="B357" t="s">
        <v>1543</v>
      </c>
      <c r="C357" t="s">
        <v>8</v>
      </c>
      <c r="D357" s="3" t="s">
        <v>9</v>
      </c>
      <c r="E357">
        <v>2.2099999999999973</v>
      </c>
      <c r="F357" s="19" t="s">
        <v>88</v>
      </c>
      <c r="G357" s="62">
        <v>45644</v>
      </c>
      <c r="H357" s="55" t="s">
        <v>181</v>
      </c>
      <c r="I357" s="55" t="s">
        <v>182</v>
      </c>
      <c r="Q357" s="3">
        <f t="shared" si="5"/>
        <v>2.2099999999999973</v>
      </c>
    </row>
    <row r="358" spans="1:17" ht="58" x14ac:dyDescent="0.35">
      <c r="A358" t="s">
        <v>0</v>
      </c>
      <c r="B358" t="s">
        <v>1543</v>
      </c>
      <c r="C358" t="s">
        <v>8</v>
      </c>
      <c r="D358" s="3" t="s">
        <v>9</v>
      </c>
      <c r="E358">
        <v>2.2000000000000002</v>
      </c>
      <c r="F358" s="19" t="s">
        <v>88</v>
      </c>
      <c r="G358" s="62">
        <v>45578</v>
      </c>
      <c r="H358" s="55" t="s">
        <v>181</v>
      </c>
      <c r="I358" s="55" t="s">
        <v>182</v>
      </c>
      <c r="Q358" s="3">
        <f t="shared" si="5"/>
        <v>2.2000000000000002</v>
      </c>
    </row>
    <row r="359" spans="1:17" ht="58" x14ac:dyDescent="0.35">
      <c r="A359" t="s">
        <v>0</v>
      </c>
      <c r="B359" t="s">
        <v>1543</v>
      </c>
      <c r="C359" t="s">
        <v>8</v>
      </c>
      <c r="D359" s="3" t="s">
        <v>9</v>
      </c>
      <c r="E359">
        <v>2.14</v>
      </c>
      <c r="F359" s="19" t="s">
        <v>88</v>
      </c>
      <c r="G359" s="62">
        <v>45503</v>
      </c>
      <c r="H359" s="55" t="s">
        <v>181</v>
      </c>
      <c r="I359" s="55" t="s">
        <v>182</v>
      </c>
      <c r="Q359" s="3">
        <f t="shared" si="5"/>
        <v>2.14</v>
      </c>
    </row>
    <row r="360" spans="1:17" ht="58" x14ac:dyDescent="0.35">
      <c r="A360" t="s">
        <v>0</v>
      </c>
      <c r="B360" t="s">
        <v>1543</v>
      </c>
      <c r="C360" t="s">
        <v>8</v>
      </c>
      <c r="D360" s="3" t="s">
        <v>9</v>
      </c>
      <c r="E360">
        <v>-2.09</v>
      </c>
      <c r="F360" s="19" t="s">
        <v>88</v>
      </c>
      <c r="G360" s="62">
        <v>45463</v>
      </c>
      <c r="H360" s="55" t="s">
        <v>181</v>
      </c>
      <c r="I360" s="55" t="s">
        <v>182</v>
      </c>
      <c r="Q360" s="3">
        <f t="shared" si="5"/>
        <v>2.09</v>
      </c>
    </row>
    <row r="361" spans="1:17" ht="58" x14ac:dyDescent="0.35">
      <c r="A361" t="s">
        <v>0</v>
      </c>
      <c r="B361" t="s">
        <v>1543</v>
      </c>
      <c r="C361" t="s">
        <v>8</v>
      </c>
      <c r="D361" s="3" t="s">
        <v>9</v>
      </c>
      <c r="E361">
        <v>-2.0699999999999998</v>
      </c>
      <c r="F361" s="19" t="s">
        <v>88</v>
      </c>
      <c r="G361" s="62">
        <v>45455</v>
      </c>
      <c r="H361" s="55" t="s">
        <v>181</v>
      </c>
      <c r="I361" s="55" t="s">
        <v>182</v>
      </c>
      <c r="Q361" s="3">
        <f t="shared" si="5"/>
        <v>2.0699999999999998</v>
      </c>
    </row>
    <row r="362" spans="1:17" ht="58" x14ac:dyDescent="0.35">
      <c r="A362" t="s">
        <v>0</v>
      </c>
      <c r="B362" t="s">
        <v>1543</v>
      </c>
      <c r="C362" t="s">
        <v>8</v>
      </c>
      <c r="D362" s="3" t="s">
        <v>9</v>
      </c>
      <c r="E362">
        <v>-2.06</v>
      </c>
      <c r="F362" s="19" t="s">
        <v>88</v>
      </c>
      <c r="G362" s="62">
        <v>45497</v>
      </c>
      <c r="H362" s="55" t="s">
        <v>181</v>
      </c>
      <c r="I362" s="55" t="s">
        <v>182</v>
      </c>
      <c r="Q362" s="3">
        <f t="shared" si="5"/>
        <v>2.06</v>
      </c>
    </row>
    <row r="363" spans="1:17" ht="58" x14ac:dyDescent="0.35">
      <c r="A363" t="s">
        <v>0</v>
      </c>
      <c r="B363" t="s">
        <v>1543</v>
      </c>
      <c r="C363" t="s">
        <v>8</v>
      </c>
      <c r="D363" s="3" t="s">
        <v>9</v>
      </c>
      <c r="E363">
        <v>-2.04</v>
      </c>
      <c r="F363" s="19" t="s">
        <v>88</v>
      </c>
      <c r="G363" s="62">
        <v>45494</v>
      </c>
      <c r="H363" s="55" t="s">
        <v>181</v>
      </c>
      <c r="I363" s="55" t="s">
        <v>182</v>
      </c>
      <c r="Q363" s="3">
        <f t="shared" si="5"/>
        <v>2.04</v>
      </c>
    </row>
    <row r="364" spans="1:17" ht="58" x14ac:dyDescent="0.35">
      <c r="A364" t="s">
        <v>0</v>
      </c>
      <c r="B364" t="s">
        <v>1543</v>
      </c>
      <c r="C364" t="s">
        <v>8</v>
      </c>
      <c r="D364" s="3" t="s">
        <v>9</v>
      </c>
      <c r="E364">
        <v>-1.97</v>
      </c>
      <c r="F364" s="19" t="s">
        <v>88</v>
      </c>
      <c r="G364" s="62">
        <v>45460</v>
      </c>
      <c r="H364" s="55" t="s">
        <v>181</v>
      </c>
      <c r="I364" s="55" t="s">
        <v>182</v>
      </c>
      <c r="Q364" s="3">
        <f t="shared" si="5"/>
        <v>1.97</v>
      </c>
    </row>
    <row r="365" spans="1:17" ht="58" x14ac:dyDescent="0.35">
      <c r="A365" t="s">
        <v>0</v>
      </c>
      <c r="B365" t="s">
        <v>1543</v>
      </c>
      <c r="C365" t="s">
        <v>8</v>
      </c>
      <c r="D365" s="3" t="s">
        <v>9</v>
      </c>
      <c r="E365">
        <v>-1.97</v>
      </c>
      <c r="F365" s="19" t="s">
        <v>88</v>
      </c>
      <c r="G365" s="62">
        <v>45588</v>
      </c>
      <c r="H365" s="55" t="s">
        <v>181</v>
      </c>
      <c r="I365" s="55" t="s">
        <v>182</v>
      </c>
      <c r="Q365" s="3">
        <f t="shared" si="5"/>
        <v>1.97</v>
      </c>
    </row>
    <row r="366" spans="1:17" ht="58" x14ac:dyDescent="0.35">
      <c r="A366" t="s">
        <v>0</v>
      </c>
      <c r="B366" t="s">
        <v>1543</v>
      </c>
      <c r="C366" t="s">
        <v>8</v>
      </c>
      <c r="D366" s="3" t="s">
        <v>9</v>
      </c>
      <c r="E366">
        <v>1.67</v>
      </c>
      <c r="F366" s="19" t="s">
        <v>88</v>
      </c>
      <c r="G366" s="62">
        <v>45531</v>
      </c>
      <c r="H366" s="55" t="s">
        <v>181</v>
      </c>
      <c r="I366" s="55" t="s">
        <v>182</v>
      </c>
      <c r="Q366" s="3">
        <f t="shared" si="5"/>
        <v>1.67</v>
      </c>
    </row>
    <row r="367" spans="1:17" ht="58" x14ac:dyDescent="0.35">
      <c r="A367" t="s">
        <v>0</v>
      </c>
      <c r="B367" t="s">
        <v>1543</v>
      </c>
      <c r="C367" t="s">
        <v>8</v>
      </c>
      <c r="D367" s="3" t="s">
        <v>9</v>
      </c>
      <c r="E367">
        <v>1.58</v>
      </c>
      <c r="F367" s="19" t="s">
        <v>88</v>
      </c>
      <c r="G367" s="62">
        <v>45532</v>
      </c>
      <c r="H367" s="55" t="s">
        <v>181</v>
      </c>
      <c r="I367" s="55" t="s">
        <v>182</v>
      </c>
      <c r="Q367" s="3">
        <f t="shared" si="5"/>
        <v>1.58</v>
      </c>
    </row>
    <row r="368" spans="1:17" ht="58" x14ac:dyDescent="0.35">
      <c r="A368" t="s">
        <v>0</v>
      </c>
      <c r="B368" t="s">
        <v>1543</v>
      </c>
      <c r="C368" t="s">
        <v>8</v>
      </c>
      <c r="D368" s="3" t="s">
        <v>9</v>
      </c>
      <c r="E368">
        <v>-1.58</v>
      </c>
      <c r="F368" s="19" t="s">
        <v>88</v>
      </c>
      <c r="G368" s="62">
        <v>45554</v>
      </c>
      <c r="H368" s="55" t="s">
        <v>181</v>
      </c>
      <c r="I368" s="55" t="s">
        <v>182</v>
      </c>
      <c r="Q368" s="3">
        <f t="shared" si="5"/>
        <v>1.58</v>
      </c>
    </row>
    <row r="369" spans="1:17" ht="58" x14ac:dyDescent="0.35">
      <c r="A369" t="s">
        <v>0</v>
      </c>
      <c r="B369" t="s">
        <v>1543</v>
      </c>
      <c r="C369" t="s">
        <v>8</v>
      </c>
      <c r="D369" s="3" t="s">
        <v>9</v>
      </c>
      <c r="E369">
        <v>-1.53</v>
      </c>
      <c r="F369" s="19" t="s">
        <v>88</v>
      </c>
      <c r="G369" s="62">
        <v>45459</v>
      </c>
      <c r="H369" s="55" t="s">
        <v>181</v>
      </c>
      <c r="I369" s="55" t="s">
        <v>182</v>
      </c>
      <c r="Q369" s="3">
        <f t="shared" si="5"/>
        <v>1.53</v>
      </c>
    </row>
    <row r="370" spans="1:17" ht="58" x14ac:dyDescent="0.35">
      <c r="A370" t="s">
        <v>0</v>
      </c>
      <c r="B370" t="s">
        <v>1543</v>
      </c>
      <c r="C370" t="s">
        <v>8</v>
      </c>
      <c r="D370" s="3" t="s">
        <v>9</v>
      </c>
      <c r="E370">
        <v>-1.5</v>
      </c>
      <c r="F370" s="19" t="s">
        <v>88</v>
      </c>
      <c r="G370" s="62">
        <v>45502</v>
      </c>
      <c r="H370" s="55" t="s">
        <v>181</v>
      </c>
      <c r="I370" s="55" t="s">
        <v>182</v>
      </c>
      <c r="Q370" s="3">
        <f t="shared" si="5"/>
        <v>1.5</v>
      </c>
    </row>
    <row r="371" spans="1:17" ht="58" x14ac:dyDescent="0.35">
      <c r="A371" t="s">
        <v>0</v>
      </c>
      <c r="B371" t="s">
        <v>1543</v>
      </c>
      <c r="C371" t="s">
        <v>8</v>
      </c>
      <c r="D371" s="3" t="s">
        <v>9</v>
      </c>
      <c r="E371">
        <v>1.47</v>
      </c>
      <c r="F371" s="19" t="s">
        <v>88</v>
      </c>
      <c r="G371" s="62">
        <v>45530</v>
      </c>
      <c r="H371" s="55" t="s">
        <v>181</v>
      </c>
      <c r="I371" s="55" t="s">
        <v>182</v>
      </c>
      <c r="Q371" s="3">
        <f t="shared" si="5"/>
        <v>1.47</v>
      </c>
    </row>
    <row r="372" spans="1:17" ht="58" x14ac:dyDescent="0.35">
      <c r="A372" t="s">
        <v>0</v>
      </c>
      <c r="B372" t="s">
        <v>1543</v>
      </c>
      <c r="C372" t="s">
        <v>8</v>
      </c>
      <c r="D372" s="3" t="s">
        <v>9</v>
      </c>
      <c r="E372">
        <v>-1.44</v>
      </c>
      <c r="F372" s="19" t="s">
        <v>88</v>
      </c>
      <c r="G372" s="62">
        <v>45468</v>
      </c>
      <c r="H372" s="55" t="s">
        <v>181</v>
      </c>
      <c r="I372" s="55" t="s">
        <v>182</v>
      </c>
      <c r="Q372" s="3">
        <f t="shared" si="5"/>
        <v>1.44</v>
      </c>
    </row>
    <row r="373" spans="1:17" ht="58" x14ac:dyDescent="0.35">
      <c r="A373" t="s">
        <v>0</v>
      </c>
      <c r="B373" t="s">
        <v>1543</v>
      </c>
      <c r="C373" t="s">
        <v>8</v>
      </c>
      <c r="D373" s="3" t="s">
        <v>9</v>
      </c>
      <c r="E373">
        <v>-1.36</v>
      </c>
      <c r="F373" s="19" t="s">
        <v>88</v>
      </c>
      <c r="G373" s="62">
        <v>45582</v>
      </c>
      <c r="H373" s="55" t="s">
        <v>181</v>
      </c>
      <c r="I373" s="55" t="s">
        <v>182</v>
      </c>
      <c r="Q373" s="3">
        <f t="shared" si="5"/>
        <v>1.36</v>
      </c>
    </row>
    <row r="374" spans="1:17" ht="58" x14ac:dyDescent="0.35">
      <c r="A374" t="s">
        <v>0</v>
      </c>
      <c r="B374" t="s">
        <v>1543</v>
      </c>
      <c r="C374" t="s">
        <v>8</v>
      </c>
      <c r="D374" s="3" t="s">
        <v>9</v>
      </c>
      <c r="E374">
        <v>1.21</v>
      </c>
      <c r="F374" s="19" t="s">
        <v>88</v>
      </c>
      <c r="G374" s="62">
        <v>45522</v>
      </c>
      <c r="H374" s="55" t="s">
        <v>181</v>
      </c>
      <c r="I374" s="55" t="s">
        <v>182</v>
      </c>
      <c r="Q374" s="3">
        <f t="shared" si="5"/>
        <v>1.21</v>
      </c>
    </row>
    <row r="375" spans="1:17" ht="58" x14ac:dyDescent="0.35">
      <c r="A375" t="s">
        <v>0</v>
      </c>
      <c r="B375" t="s">
        <v>1543</v>
      </c>
      <c r="C375" t="s">
        <v>8</v>
      </c>
      <c r="D375" s="3" t="s">
        <v>9</v>
      </c>
      <c r="E375">
        <v>1.1499999999999999</v>
      </c>
      <c r="F375" s="19" t="s">
        <v>88</v>
      </c>
      <c r="G375" s="62">
        <v>45489</v>
      </c>
      <c r="H375" s="55" t="s">
        <v>181</v>
      </c>
      <c r="I375" s="55" t="s">
        <v>182</v>
      </c>
      <c r="Q375" s="3">
        <f t="shared" si="5"/>
        <v>1.1499999999999999</v>
      </c>
    </row>
    <row r="376" spans="1:17" ht="58" x14ac:dyDescent="0.35">
      <c r="A376" t="s">
        <v>0</v>
      </c>
      <c r="B376" t="s">
        <v>1543</v>
      </c>
      <c r="C376" t="s">
        <v>8</v>
      </c>
      <c r="D376" s="3" t="s">
        <v>9</v>
      </c>
      <c r="E376">
        <v>-1.1200000000000001</v>
      </c>
      <c r="F376" s="19" t="s">
        <v>88</v>
      </c>
      <c r="G376" s="62">
        <v>45575</v>
      </c>
      <c r="H376" s="55" t="s">
        <v>181</v>
      </c>
      <c r="I376" s="55" t="s">
        <v>182</v>
      </c>
      <c r="Q376" s="3">
        <f t="shared" si="5"/>
        <v>1.1200000000000001</v>
      </c>
    </row>
    <row r="377" spans="1:17" ht="58" x14ac:dyDescent="0.35">
      <c r="A377" t="s">
        <v>0</v>
      </c>
      <c r="B377" t="s">
        <v>1543</v>
      </c>
      <c r="C377" t="s">
        <v>8</v>
      </c>
      <c r="D377" s="3" t="s">
        <v>9</v>
      </c>
      <c r="E377">
        <v>1.06</v>
      </c>
      <c r="F377" s="19" t="s">
        <v>88</v>
      </c>
      <c r="G377" s="62">
        <v>45560</v>
      </c>
      <c r="H377" s="55" t="s">
        <v>181</v>
      </c>
      <c r="I377" s="55" t="s">
        <v>182</v>
      </c>
      <c r="Q377" s="3">
        <f t="shared" si="5"/>
        <v>1.06</v>
      </c>
    </row>
    <row r="378" spans="1:17" ht="58" x14ac:dyDescent="0.35">
      <c r="A378" t="s">
        <v>0</v>
      </c>
      <c r="B378" t="s">
        <v>1543</v>
      </c>
      <c r="C378" t="s">
        <v>8</v>
      </c>
      <c r="D378" s="3" t="s">
        <v>9</v>
      </c>
      <c r="E378">
        <v>-0.97</v>
      </c>
      <c r="F378" s="19" t="s">
        <v>88</v>
      </c>
      <c r="G378" s="62">
        <v>45467</v>
      </c>
      <c r="H378" s="55" t="s">
        <v>181</v>
      </c>
      <c r="I378" s="55" t="s">
        <v>182</v>
      </c>
      <c r="Q378" s="3">
        <f t="shared" si="5"/>
        <v>0.97</v>
      </c>
    </row>
    <row r="379" spans="1:17" ht="58" x14ac:dyDescent="0.35">
      <c r="A379" t="s">
        <v>0</v>
      </c>
      <c r="B379" t="s">
        <v>1543</v>
      </c>
      <c r="C379" t="s">
        <v>8</v>
      </c>
      <c r="D379" s="3" t="s">
        <v>9</v>
      </c>
      <c r="E379">
        <v>-0.97</v>
      </c>
      <c r="F379" s="19" t="s">
        <v>88</v>
      </c>
      <c r="G379" s="62">
        <v>45553</v>
      </c>
      <c r="H379" s="55" t="s">
        <v>181</v>
      </c>
      <c r="I379" s="55" t="s">
        <v>182</v>
      </c>
      <c r="Q379" s="3">
        <f t="shared" si="5"/>
        <v>0.97</v>
      </c>
    </row>
    <row r="380" spans="1:17" ht="58" x14ac:dyDescent="0.35">
      <c r="A380" t="s">
        <v>0</v>
      </c>
      <c r="B380" t="s">
        <v>1543</v>
      </c>
      <c r="C380" t="s">
        <v>8</v>
      </c>
      <c r="D380" s="3" t="s">
        <v>9</v>
      </c>
      <c r="E380">
        <v>-0.93</v>
      </c>
      <c r="F380" s="19" t="s">
        <v>88</v>
      </c>
      <c r="G380" s="62">
        <v>45552</v>
      </c>
      <c r="H380" s="55" t="s">
        <v>181</v>
      </c>
      <c r="I380" s="55" t="s">
        <v>182</v>
      </c>
      <c r="Q380" s="3">
        <f t="shared" si="5"/>
        <v>0.93</v>
      </c>
    </row>
    <row r="381" spans="1:17" ht="58" x14ac:dyDescent="0.35">
      <c r="A381" t="s">
        <v>0</v>
      </c>
      <c r="B381" t="s">
        <v>1543</v>
      </c>
      <c r="C381" t="s">
        <v>8</v>
      </c>
      <c r="D381" s="3" t="s">
        <v>9</v>
      </c>
      <c r="E381">
        <v>0.88999999999999968</v>
      </c>
      <c r="F381" s="19" t="s">
        <v>88</v>
      </c>
      <c r="G381" s="62">
        <v>45649</v>
      </c>
      <c r="H381" s="55" t="s">
        <v>181</v>
      </c>
      <c r="I381" s="55" t="s">
        <v>182</v>
      </c>
      <c r="Q381" s="3">
        <f t="shared" si="5"/>
        <v>0.88999999999999968</v>
      </c>
    </row>
    <row r="382" spans="1:17" ht="58" x14ac:dyDescent="0.35">
      <c r="A382" t="s">
        <v>0</v>
      </c>
      <c r="B382" t="s">
        <v>1543</v>
      </c>
      <c r="C382" t="s">
        <v>8</v>
      </c>
      <c r="D382" s="3" t="s">
        <v>9</v>
      </c>
      <c r="E382">
        <v>0.85</v>
      </c>
      <c r="F382" s="19" t="s">
        <v>88</v>
      </c>
      <c r="G382" s="62">
        <v>45589</v>
      </c>
      <c r="H382" s="55" t="s">
        <v>181</v>
      </c>
      <c r="I382" s="55" t="s">
        <v>182</v>
      </c>
      <c r="Q382" s="3">
        <f t="shared" si="5"/>
        <v>0.85</v>
      </c>
    </row>
    <row r="383" spans="1:17" ht="58" x14ac:dyDescent="0.35">
      <c r="A383" t="s">
        <v>0</v>
      </c>
      <c r="B383" t="s">
        <v>1543</v>
      </c>
      <c r="C383" t="s">
        <v>8</v>
      </c>
      <c r="D383" s="3" t="s">
        <v>9</v>
      </c>
      <c r="E383">
        <v>-0.77</v>
      </c>
      <c r="F383" s="19" t="s">
        <v>88</v>
      </c>
      <c r="G383" s="62">
        <v>45491</v>
      </c>
      <c r="H383" s="55" t="s">
        <v>181</v>
      </c>
      <c r="I383" s="55" t="s">
        <v>182</v>
      </c>
      <c r="Q383" s="3">
        <f t="shared" si="5"/>
        <v>0.77</v>
      </c>
    </row>
    <row r="384" spans="1:17" ht="58" x14ac:dyDescent="0.35">
      <c r="A384" t="s">
        <v>0</v>
      </c>
      <c r="B384" t="s">
        <v>1543</v>
      </c>
      <c r="C384" t="s">
        <v>8</v>
      </c>
      <c r="D384" s="3" t="s">
        <v>9</v>
      </c>
      <c r="E384">
        <v>-0.77</v>
      </c>
      <c r="F384" s="19" t="s">
        <v>88</v>
      </c>
      <c r="G384" s="62">
        <v>45558</v>
      </c>
      <c r="H384" s="55" t="s">
        <v>181</v>
      </c>
      <c r="I384" s="55" t="s">
        <v>182</v>
      </c>
      <c r="Q384" s="3">
        <f t="shared" si="5"/>
        <v>0.77</v>
      </c>
    </row>
    <row r="385" spans="1:17" ht="58" x14ac:dyDescent="0.35">
      <c r="A385" t="s">
        <v>0</v>
      </c>
      <c r="B385" t="s">
        <v>1543</v>
      </c>
      <c r="C385" t="s">
        <v>8</v>
      </c>
      <c r="D385" s="3" t="s">
        <v>9</v>
      </c>
      <c r="E385">
        <v>0.59</v>
      </c>
      <c r="F385" s="19" t="s">
        <v>88</v>
      </c>
      <c r="G385" s="62">
        <v>45581</v>
      </c>
      <c r="H385" s="55" t="s">
        <v>181</v>
      </c>
      <c r="I385" s="55" t="s">
        <v>182</v>
      </c>
      <c r="Q385" s="3">
        <f t="shared" si="5"/>
        <v>0.59</v>
      </c>
    </row>
    <row r="386" spans="1:17" ht="58" x14ac:dyDescent="0.35">
      <c r="A386" t="s">
        <v>0</v>
      </c>
      <c r="B386" t="s">
        <v>1543</v>
      </c>
      <c r="C386" t="s">
        <v>8</v>
      </c>
      <c r="D386" s="3" t="s">
        <v>9</v>
      </c>
      <c r="E386">
        <v>-0.55000000000000004</v>
      </c>
      <c r="F386" s="19" t="s">
        <v>88</v>
      </c>
      <c r="G386" s="62">
        <v>45592</v>
      </c>
      <c r="H386" s="55" t="s">
        <v>181</v>
      </c>
      <c r="I386" s="55" t="s">
        <v>182</v>
      </c>
      <c r="Q386" s="3">
        <f t="shared" si="5"/>
        <v>0.55000000000000004</v>
      </c>
    </row>
    <row r="387" spans="1:17" ht="58" x14ac:dyDescent="0.35">
      <c r="A387" t="s">
        <v>0</v>
      </c>
      <c r="B387" t="s">
        <v>1543</v>
      </c>
      <c r="C387" t="s">
        <v>8</v>
      </c>
      <c r="D387" s="3" t="s">
        <v>9</v>
      </c>
      <c r="E387">
        <v>0.51</v>
      </c>
      <c r="F387" s="19" t="s">
        <v>88</v>
      </c>
      <c r="G387" s="62">
        <v>45456</v>
      </c>
      <c r="H387" s="55" t="s">
        <v>181</v>
      </c>
      <c r="I387" s="55" t="s">
        <v>182</v>
      </c>
      <c r="Q387" s="3">
        <f t="shared" si="5"/>
        <v>0.51</v>
      </c>
    </row>
    <row r="388" spans="1:17" ht="58" x14ac:dyDescent="0.35">
      <c r="A388" t="s">
        <v>0</v>
      </c>
      <c r="B388" t="s">
        <v>1543</v>
      </c>
      <c r="C388" t="s">
        <v>8</v>
      </c>
      <c r="D388" s="3" t="s">
        <v>9</v>
      </c>
      <c r="E388">
        <v>-0.47</v>
      </c>
      <c r="F388" s="19" t="s">
        <v>88</v>
      </c>
      <c r="G388" s="62">
        <v>45523</v>
      </c>
      <c r="H388" s="55" t="s">
        <v>181</v>
      </c>
      <c r="I388" s="55" t="s">
        <v>182</v>
      </c>
      <c r="Q388" s="3">
        <f t="shared" si="5"/>
        <v>0.47</v>
      </c>
    </row>
    <row r="389" spans="1:17" ht="58" x14ac:dyDescent="0.35">
      <c r="A389" t="s">
        <v>0</v>
      </c>
      <c r="B389" t="s">
        <v>1543</v>
      </c>
      <c r="C389" t="s">
        <v>8</v>
      </c>
      <c r="D389" s="3" t="s">
        <v>9</v>
      </c>
      <c r="E389">
        <v>-0.47</v>
      </c>
      <c r="F389" s="19" t="s">
        <v>88</v>
      </c>
      <c r="G389" s="62">
        <v>45525</v>
      </c>
      <c r="H389" s="55" t="s">
        <v>181</v>
      </c>
      <c r="I389" s="55" t="s">
        <v>182</v>
      </c>
      <c r="Q389" s="3">
        <f t="shared" si="5"/>
        <v>0.47</v>
      </c>
    </row>
    <row r="390" spans="1:17" ht="58" x14ac:dyDescent="0.35">
      <c r="A390" t="s">
        <v>0</v>
      </c>
      <c r="B390" t="s">
        <v>1543</v>
      </c>
      <c r="C390" t="s">
        <v>8</v>
      </c>
      <c r="D390" s="3" t="s">
        <v>9</v>
      </c>
      <c r="E390">
        <v>0.4</v>
      </c>
      <c r="F390" s="19" t="s">
        <v>88</v>
      </c>
      <c r="G390" s="62">
        <v>45626</v>
      </c>
      <c r="H390" s="55" t="s">
        <v>181</v>
      </c>
      <c r="I390" s="55" t="s">
        <v>182</v>
      </c>
      <c r="Q390" s="3">
        <f t="shared" si="5"/>
        <v>0.4</v>
      </c>
    </row>
    <row r="391" spans="1:17" ht="58" x14ac:dyDescent="0.35">
      <c r="A391" t="s">
        <v>0</v>
      </c>
      <c r="B391" t="s">
        <v>1543</v>
      </c>
      <c r="C391" t="s">
        <v>8</v>
      </c>
      <c r="D391" s="3" t="s">
        <v>9</v>
      </c>
      <c r="E391">
        <v>0.39</v>
      </c>
      <c r="F391" s="19" t="s">
        <v>88</v>
      </c>
      <c r="G391" s="62">
        <v>45624</v>
      </c>
      <c r="H391" s="55" t="s">
        <v>181</v>
      </c>
      <c r="I391" s="55" t="s">
        <v>182</v>
      </c>
      <c r="Q391" s="3">
        <f t="shared" si="5"/>
        <v>0.39</v>
      </c>
    </row>
    <row r="392" spans="1:17" ht="58" x14ac:dyDescent="0.35">
      <c r="A392" t="s">
        <v>0</v>
      </c>
      <c r="B392" t="s">
        <v>1543</v>
      </c>
      <c r="C392" t="s">
        <v>8</v>
      </c>
      <c r="D392" s="3" t="s">
        <v>9</v>
      </c>
      <c r="E392">
        <v>0.37999999999999989</v>
      </c>
      <c r="F392" s="19" t="s">
        <v>88</v>
      </c>
      <c r="G392" s="62">
        <v>45655</v>
      </c>
      <c r="H392" s="55" t="s">
        <v>181</v>
      </c>
      <c r="I392" s="55" t="s">
        <v>182</v>
      </c>
      <c r="Q392" s="3">
        <f t="shared" ref="Q392:Q408" si="6">ABS(E392)</f>
        <v>0.37999999999999989</v>
      </c>
    </row>
    <row r="393" spans="1:17" ht="58" x14ac:dyDescent="0.35">
      <c r="A393" t="s">
        <v>0</v>
      </c>
      <c r="B393" t="s">
        <v>1543</v>
      </c>
      <c r="C393" t="s">
        <v>8</v>
      </c>
      <c r="D393" s="3" t="s">
        <v>9</v>
      </c>
      <c r="E393">
        <v>0.34</v>
      </c>
      <c r="F393" s="19" t="s">
        <v>88</v>
      </c>
      <c r="G393" s="62">
        <v>45557</v>
      </c>
      <c r="H393" s="55" t="s">
        <v>181</v>
      </c>
      <c r="I393" s="55" t="s">
        <v>182</v>
      </c>
      <c r="Q393" s="3">
        <f t="shared" si="6"/>
        <v>0.34</v>
      </c>
    </row>
    <row r="394" spans="1:17" ht="58" x14ac:dyDescent="0.35">
      <c r="A394" t="s">
        <v>0</v>
      </c>
      <c r="B394" t="s">
        <v>1543</v>
      </c>
      <c r="C394" t="s">
        <v>8</v>
      </c>
      <c r="D394" s="3" t="s">
        <v>9</v>
      </c>
      <c r="E394">
        <v>0.33</v>
      </c>
      <c r="F394" s="19" t="s">
        <v>88</v>
      </c>
      <c r="G394" s="62">
        <v>45487</v>
      </c>
      <c r="H394" s="55" t="s">
        <v>181</v>
      </c>
      <c r="I394" s="55" t="s">
        <v>182</v>
      </c>
      <c r="Q394" s="3">
        <f t="shared" si="6"/>
        <v>0.33</v>
      </c>
    </row>
    <row r="395" spans="1:17" ht="58" x14ac:dyDescent="0.35">
      <c r="A395" t="s">
        <v>0</v>
      </c>
      <c r="B395" t="s">
        <v>1543</v>
      </c>
      <c r="C395" t="s">
        <v>8</v>
      </c>
      <c r="D395" s="3" t="s">
        <v>9</v>
      </c>
      <c r="E395">
        <v>0.33</v>
      </c>
      <c r="F395" s="19" t="s">
        <v>88</v>
      </c>
      <c r="G395" s="62">
        <v>45587</v>
      </c>
      <c r="H395" s="55" t="s">
        <v>181</v>
      </c>
      <c r="I395" s="55" t="s">
        <v>182</v>
      </c>
      <c r="Q395" s="3">
        <f t="shared" si="6"/>
        <v>0.33</v>
      </c>
    </row>
    <row r="396" spans="1:17" ht="72.5" x14ac:dyDescent="0.35">
      <c r="A396" t="s">
        <v>0</v>
      </c>
      <c r="B396" t="s">
        <v>1627</v>
      </c>
      <c r="C396" t="s">
        <v>8</v>
      </c>
      <c r="D396" s="3" t="s">
        <v>9</v>
      </c>
      <c r="E396">
        <v>0.27</v>
      </c>
      <c r="F396" s="19" t="s">
        <v>88</v>
      </c>
      <c r="G396" s="62">
        <v>45558</v>
      </c>
      <c r="H396" s="55" t="s">
        <v>146</v>
      </c>
      <c r="I396" s="55" t="s">
        <v>2097</v>
      </c>
      <c r="Q396" s="3">
        <f t="shared" si="6"/>
        <v>0.27</v>
      </c>
    </row>
    <row r="397" spans="1:17" ht="58" x14ac:dyDescent="0.35">
      <c r="A397" t="s">
        <v>0</v>
      </c>
      <c r="B397" t="s">
        <v>1543</v>
      </c>
      <c r="C397" t="s">
        <v>8</v>
      </c>
      <c r="D397" s="3" t="s">
        <v>9</v>
      </c>
      <c r="E397">
        <v>0.26</v>
      </c>
      <c r="F397" s="19" t="s">
        <v>88</v>
      </c>
      <c r="G397" s="62">
        <v>45564</v>
      </c>
      <c r="H397" s="55" t="s">
        <v>181</v>
      </c>
      <c r="I397" s="55" t="s">
        <v>182</v>
      </c>
      <c r="Q397" s="3">
        <f t="shared" si="6"/>
        <v>0.26</v>
      </c>
    </row>
    <row r="398" spans="1:17" ht="58" x14ac:dyDescent="0.35">
      <c r="A398" t="s">
        <v>0</v>
      </c>
      <c r="B398" t="s">
        <v>1543</v>
      </c>
      <c r="C398" t="s">
        <v>8</v>
      </c>
      <c r="D398" s="3" t="s">
        <v>9</v>
      </c>
      <c r="E398">
        <v>0.25</v>
      </c>
      <c r="F398" s="19" t="s">
        <v>88</v>
      </c>
      <c r="G398" s="62">
        <v>45621</v>
      </c>
      <c r="H398" s="55" t="s">
        <v>181</v>
      </c>
      <c r="I398" s="55" t="s">
        <v>182</v>
      </c>
      <c r="Q398" s="3">
        <f t="shared" si="6"/>
        <v>0.25</v>
      </c>
    </row>
    <row r="399" spans="1:17" ht="58" x14ac:dyDescent="0.35">
      <c r="A399" t="s">
        <v>0</v>
      </c>
      <c r="B399" t="s">
        <v>1543</v>
      </c>
      <c r="C399" t="s">
        <v>8</v>
      </c>
      <c r="D399" s="3" t="s">
        <v>9</v>
      </c>
      <c r="E399">
        <v>0.2</v>
      </c>
      <c r="F399" s="19" t="s">
        <v>88</v>
      </c>
      <c r="G399" s="62">
        <v>45473</v>
      </c>
      <c r="H399" s="55" t="s">
        <v>181</v>
      </c>
      <c r="I399" s="55" t="s">
        <v>182</v>
      </c>
      <c r="Q399" s="3">
        <f t="shared" si="6"/>
        <v>0.2</v>
      </c>
    </row>
    <row r="400" spans="1:17" ht="58" x14ac:dyDescent="0.35">
      <c r="A400" t="s">
        <v>0</v>
      </c>
      <c r="B400" t="s">
        <v>1543</v>
      </c>
      <c r="C400" t="s">
        <v>8</v>
      </c>
      <c r="D400" s="3" t="s">
        <v>9</v>
      </c>
      <c r="E400">
        <v>-0.19999999999999996</v>
      </c>
      <c r="F400" s="19" t="s">
        <v>88</v>
      </c>
      <c r="G400" s="62">
        <v>45641</v>
      </c>
      <c r="H400" s="55" t="s">
        <v>181</v>
      </c>
      <c r="I400" s="55" t="s">
        <v>182</v>
      </c>
      <c r="Q400" s="3">
        <f t="shared" si="6"/>
        <v>0.19999999999999996</v>
      </c>
    </row>
    <row r="401" spans="1:17" ht="58" x14ac:dyDescent="0.35">
      <c r="A401" t="s">
        <v>0</v>
      </c>
      <c r="B401" t="s">
        <v>1543</v>
      </c>
      <c r="C401" t="s">
        <v>8</v>
      </c>
      <c r="D401" s="3" t="s">
        <v>9</v>
      </c>
      <c r="E401">
        <v>0.16</v>
      </c>
      <c r="F401" s="19" t="s">
        <v>88</v>
      </c>
      <c r="G401" s="62">
        <v>45484</v>
      </c>
      <c r="H401" s="55" t="s">
        <v>181</v>
      </c>
      <c r="I401" s="55" t="s">
        <v>182</v>
      </c>
      <c r="Q401" s="3">
        <f t="shared" si="6"/>
        <v>0.16</v>
      </c>
    </row>
    <row r="402" spans="1:17" ht="58" x14ac:dyDescent="0.35">
      <c r="A402" t="s">
        <v>0</v>
      </c>
      <c r="B402" t="s">
        <v>1543</v>
      </c>
      <c r="C402" t="s">
        <v>8</v>
      </c>
      <c r="D402" s="3" t="s">
        <v>9</v>
      </c>
      <c r="E402">
        <v>-0.16</v>
      </c>
      <c r="F402" s="19" t="s">
        <v>88</v>
      </c>
      <c r="G402" s="62">
        <v>45496</v>
      </c>
      <c r="H402" s="55" t="s">
        <v>181</v>
      </c>
      <c r="I402" s="55" t="s">
        <v>182</v>
      </c>
      <c r="Q402" s="3">
        <f t="shared" si="6"/>
        <v>0.16</v>
      </c>
    </row>
    <row r="403" spans="1:17" ht="58" x14ac:dyDescent="0.35">
      <c r="A403" t="s">
        <v>0</v>
      </c>
      <c r="B403" t="s">
        <v>1543</v>
      </c>
      <c r="C403" t="s">
        <v>8</v>
      </c>
      <c r="D403" s="3" t="s">
        <v>9</v>
      </c>
      <c r="E403">
        <v>-0.15</v>
      </c>
      <c r="F403" s="19" t="s">
        <v>88</v>
      </c>
      <c r="G403" s="62">
        <v>45593</v>
      </c>
      <c r="H403" s="55" t="s">
        <v>181</v>
      </c>
      <c r="I403" s="55" t="s">
        <v>182</v>
      </c>
      <c r="Q403" s="3">
        <f t="shared" si="6"/>
        <v>0.15</v>
      </c>
    </row>
    <row r="404" spans="1:17" ht="72.5" x14ac:dyDescent="0.35">
      <c r="A404" t="s">
        <v>0</v>
      </c>
      <c r="B404" t="s">
        <v>1627</v>
      </c>
      <c r="C404" t="s">
        <v>8</v>
      </c>
      <c r="D404" s="3" t="s">
        <v>9</v>
      </c>
      <c r="E404">
        <v>0.1</v>
      </c>
      <c r="F404" s="19" t="s">
        <v>88</v>
      </c>
      <c r="G404" s="62">
        <v>45525</v>
      </c>
      <c r="H404" s="55" t="s">
        <v>146</v>
      </c>
      <c r="I404" s="55" t="s">
        <v>2098</v>
      </c>
      <c r="Q404" s="3">
        <f t="shared" si="6"/>
        <v>0.1</v>
      </c>
    </row>
    <row r="405" spans="1:17" ht="58" x14ac:dyDescent="0.35">
      <c r="A405" t="s">
        <v>0</v>
      </c>
      <c r="B405" t="s">
        <v>1543</v>
      </c>
      <c r="C405" t="s">
        <v>8</v>
      </c>
      <c r="D405" s="3" t="s">
        <v>9</v>
      </c>
      <c r="E405">
        <v>-9.9999999999999978E-2</v>
      </c>
      <c r="F405" s="19" t="s">
        <v>88</v>
      </c>
      <c r="G405" s="62">
        <v>45643</v>
      </c>
      <c r="H405" s="55" t="s">
        <v>181</v>
      </c>
      <c r="I405" s="55" t="s">
        <v>182</v>
      </c>
      <c r="Q405" s="3">
        <f t="shared" si="6"/>
        <v>9.9999999999999978E-2</v>
      </c>
    </row>
    <row r="406" spans="1:17" ht="58" x14ac:dyDescent="0.35">
      <c r="A406" t="s">
        <v>0</v>
      </c>
      <c r="B406" t="s">
        <v>1543</v>
      </c>
      <c r="C406" t="s">
        <v>8</v>
      </c>
      <c r="D406" s="3" t="s">
        <v>9</v>
      </c>
      <c r="E406">
        <v>-0.08</v>
      </c>
      <c r="F406" s="19" t="s">
        <v>88</v>
      </c>
      <c r="G406" s="62">
        <v>45519</v>
      </c>
      <c r="H406" s="55" t="s">
        <v>181</v>
      </c>
      <c r="I406" s="55" t="s">
        <v>182</v>
      </c>
      <c r="Q406" s="3">
        <f t="shared" si="6"/>
        <v>0.08</v>
      </c>
    </row>
    <row r="407" spans="1:17" ht="58" x14ac:dyDescent="0.35">
      <c r="A407" t="s">
        <v>0</v>
      </c>
      <c r="B407" t="s">
        <v>1543</v>
      </c>
      <c r="C407" t="s">
        <v>8</v>
      </c>
      <c r="D407" s="3" t="s">
        <v>9</v>
      </c>
      <c r="E407">
        <v>-0.04</v>
      </c>
      <c r="F407" s="19" t="s">
        <v>88</v>
      </c>
      <c r="G407" s="62">
        <v>45495</v>
      </c>
      <c r="H407" s="55" t="s">
        <v>181</v>
      </c>
      <c r="I407" s="55" t="s">
        <v>182</v>
      </c>
      <c r="Q407" s="3">
        <f t="shared" si="6"/>
        <v>0.04</v>
      </c>
    </row>
    <row r="408" spans="1:17" ht="58" x14ac:dyDescent="0.35">
      <c r="A408" t="s">
        <v>0</v>
      </c>
      <c r="B408" t="s">
        <v>1543</v>
      </c>
      <c r="C408" t="s">
        <v>8</v>
      </c>
      <c r="D408" s="3" t="s">
        <v>9</v>
      </c>
      <c r="E408">
        <v>0.01</v>
      </c>
      <c r="F408" s="19" t="s">
        <v>88</v>
      </c>
      <c r="G408" s="62">
        <v>45579</v>
      </c>
      <c r="H408" s="55" t="s">
        <v>181</v>
      </c>
      <c r="I408" s="55" t="s">
        <v>182</v>
      </c>
      <c r="Q408" s="3">
        <f t="shared" si="6"/>
        <v>0.01</v>
      </c>
    </row>
  </sheetData>
  <autoFilter ref="A7:AE408" xr:uid="{28CC21F0-0324-4086-AF0C-38A836393CB2}"/>
  <sortState xmlns:xlrd2="http://schemas.microsoft.com/office/spreadsheetml/2017/richdata2" ref="A7:Q123">
    <sortCondition descending="1" ref="Q7:Q123"/>
  </sortState>
  <mergeCells count="1">
    <mergeCell ref="AC6:AD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32FA4-D3EC-4F64-A083-9751B57421DF}">
  <sheetPr>
    <tabColor rgb="FF00B050"/>
  </sheetPr>
  <dimension ref="A1:AC9"/>
  <sheetViews>
    <sheetView workbookViewId="0"/>
  </sheetViews>
  <sheetFormatPr defaultRowHeight="14.5" x14ac:dyDescent="0.35"/>
  <cols>
    <col min="3" max="3" width="11.7265625" customWidth="1"/>
    <col min="6" max="6" width="10.7265625" style="19" bestFit="1" customWidth="1"/>
    <col min="8" max="8" width="16.81640625" style="55" customWidth="1"/>
    <col min="9" max="9" width="19.54296875" style="55" customWidth="1"/>
    <col min="10" max="12" width="8.7265625" style="55"/>
    <col min="14" max="14" width="5.81640625" style="5" customWidth="1"/>
    <col min="16" max="17" width="16.26953125" style="55" customWidth="1"/>
  </cols>
  <sheetData>
    <row r="1" spans="1:29" x14ac:dyDescent="0.35">
      <c r="A1" t="s">
        <v>69</v>
      </c>
      <c r="C1">
        <f>Summary!A12</f>
        <v>5160006000</v>
      </c>
      <c r="D1" s="3"/>
      <c r="O1" s="3"/>
    </row>
    <row r="2" spans="1:29" x14ac:dyDescent="0.35">
      <c r="A2" t="s">
        <v>70</v>
      </c>
      <c r="C2" t="str">
        <f>Summary!B12</f>
        <v>Opening jubilees own buildin</v>
      </c>
      <c r="D2" s="3"/>
      <c r="G2" t="s">
        <v>141</v>
      </c>
      <c r="O2" s="3"/>
    </row>
    <row r="3" spans="1:29" x14ac:dyDescent="0.35">
      <c r="A3" t="s">
        <v>71</v>
      </c>
      <c r="C3" s="22" t="e">
        <f>SUMIFS(#REF!,#REF!,C1)</f>
        <v>#REF!</v>
      </c>
      <c r="D3" s="3"/>
      <c r="G3" t="s">
        <v>2102</v>
      </c>
      <c r="O3" s="3"/>
    </row>
    <row r="4" spans="1:29" x14ac:dyDescent="0.35">
      <c r="A4" t="s">
        <v>45</v>
      </c>
      <c r="C4" s="99">
        <f>SUM(D:D)</f>
        <v>0</v>
      </c>
      <c r="D4" s="3"/>
      <c r="O4" s="3"/>
      <c r="R4" s="24" t="s">
        <v>0</v>
      </c>
      <c r="S4" s="3">
        <f>SUMIF($A$10:$A$23974,"AU001",S9:S23973)</f>
        <v>0</v>
      </c>
    </row>
    <row r="5" spans="1:29" ht="15" thickBot="1" x14ac:dyDescent="0.4">
      <c r="A5" t="s">
        <v>72</v>
      </c>
      <c r="C5" s="3" t="e">
        <f>C3-C4</f>
        <v>#REF!</v>
      </c>
      <c r="D5" s="3"/>
      <c r="O5" s="30"/>
      <c r="P5" s="57"/>
      <c r="R5" s="24" t="s">
        <v>35</v>
      </c>
      <c r="S5" s="3">
        <f>SUMIF($A$10:$A$23975,"AU052",S9:S23974)</f>
        <v>0</v>
      </c>
    </row>
    <row r="6" spans="1:29" ht="15" thickBot="1" x14ac:dyDescent="0.4">
      <c r="D6" s="3"/>
      <c r="G6" s="19"/>
      <c r="O6" s="3"/>
      <c r="AA6" s="191" t="s">
        <v>44</v>
      </c>
      <c r="AB6" s="192"/>
    </row>
    <row r="7" spans="1:29" ht="78.650000000000006" customHeight="1" thickBot="1" x14ac:dyDescent="0.4">
      <c r="A7" s="36" t="s">
        <v>74</v>
      </c>
      <c r="B7" s="36" t="s">
        <v>75</v>
      </c>
      <c r="C7" s="36" t="s">
        <v>76</v>
      </c>
      <c r="D7" s="37" t="s">
        <v>77</v>
      </c>
      <c r="E7" s="36" t="s">
        <v>78</v>
      </c>
      <c r="F7" s="38" t="s">
        <v>79</v>
      </c>
      <c r="G7" s="36" t="s">
        <v>80</v>
      </c>
      <c r="H7" s="36" t="s">
        <v>81</v>
      </c>
      <c r="I7" s="36" t="s">
        <v>82</v>
      </c>
      <c r="J7" s="36" t="s">
        <v>83</v>
      </c>
      <c r="K7" s="36" t="s">
        <v>84</v>
      </c>
      <c r="L7" s="36" t="s">
        <v>85</v>
      </c>
      <c r="M7" s="36" t="s">
        <v>86</v>
      </c>
      <c r="O7" s="31" t="s">
        <v>136</v>
      </c>
      <c r="P7" s="25" t="s">
        <v>87</v>
      </c>
      <c r="Q7" s="8" t="s">
        <v>46</v>
      </c>
      <c r="R7" s="7" t="s">
        <v>47</v>
      </c>
      <c r="S7" s="8" t="s">
        <v>48</v>
      </c>
      <c r="T7" s="9" t="s">
        <v>49</v>
      </c>
      <c r="U7" s="10" t="s">
        <v>50</v>
      </c>
      <c r="V7" s="11" t="s">
        <v>51</v>
      </c>
      <c r="W7" s="12" t="s">
        <v>52</v>
      </c>
      <c r="X7" s="13" t="s">
        <v>53</v>
      </c>
      <c r="Y7" s="13" t="s">
        <v>54</v>
      </c>
      <c r="Z7" s="13" t="s">
        <v>55</v>
      </c>
      <c r="AA7" s="14" t="s">
        <v>56</v>
      </c>
      <c r="AB7" s="14" t="s">
        <v>57</v>
      </c>
      <c r="AC7" s="15" t="s">
        <v>58</v>
      </c>
    </row>
    <row r="8" spans="1:29" x14ac:dyDescent="0.35">
      <c r="A8" s="32"/>
      <c r="B8" s="32"/>
      <c r="C8" s="32"/>
      <c r="D8" s="32"/>
      <c r="E8" s="32"/>
      <c r="F8" s="29"/>
      <c r="G8" s="32"/>
      <c r="H8" s="59"/>
      <c r="I8" s="59"/>
      <c r="J8" s="59"/>
      <c r="K8" s="59"/>
      <c r="L8" s="59"/>
      <c r="M8" s="32"/>
    </row>
    <row r="9" spans="1:29" x14ac:dyDescent="0.35">
      <c r="A9" s="32"/>
      <c r="B9" s="32"/>
      <c r="C9" s="32"/>
      <c r="D9" s="32"/>
      <c r="E9" s="32"/>
      <c r="F9" s="29"/>
      <c r="G9" s="32"/>
      <c r="H9" s="59"/>
      <c r="I9" s="59"/>
      <c r="J9" s="59"/>
      <c r="K9" s="59"/>
      <c r="L9" s="59"/>
      <c r="M9" s="32"/>
    </row>
  </sheetData>
  <mergeCells count="1">
    <mergeCell ref="AA6:AB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5927B-35BD-499F-95EC-E8ABF7104F17}">
  <sheetPr>
    <tabColor rgb="FF00B050"/>
  </sheetPr>
  <dimension ref="A1:AE77"/>
  <sheetViews>
    <sheetView workbookViewId="0">
      <selection activeCell="C3" sqref="C3"/>
    </sheetView>
  </sheetViews>
  <sheetFormatPr defaultRowHeight="14.5" x14ac:dyDescent="0.35"/>
  <cols>
    <col min="1" max="2" width="5.7265625" customWidth="1"/>
    <col min="3" max="3" width="17.453125" bestFit="1" customWidth="1"/>
    <col min="4" max="4" width="4.7265625" style="3" customWidth="1"/>
    <col min="5" max="5" width="4.7265625" customWidth="1"/>
    <col min="6" max="7" width="4.7265625" style="19" customWidth="1"/>
    <col min="8" max="8" width="4.7265625" customWidth="1"/>
    <col min="9" max="9" width="16.54296875" style="55" customWidth="1"/>
    <col min="10" max="10" width="23.453125" style="55" customWidth="1"/>
    <col min="11" max="11" width="24.54296875" style="55" customWidth="1"/>
    <col min="12" max="12" width="11.54296875" style="55" customWidth="1"/>
    <col min="13" max="13" width="28.81640625" style="55" customWidth="1"/>
    <col min="14" max="14" width="10.453125" style="55" customWidth="1"/>
    <col min="15" max="15" width="10" style="55" customWidth="1"/>
    <col min="16" max="16" width="4.453125" style="5" customWidth="1"/>
    <col min="17" max="17" width="11.1796875" style="3" bestFit="1" customWidth="1"/>
    <col min="18" max="18" width="1.81640625" style="55" customWidth="1"/>
    <col min="19" max="19" width="13.453125" style="55" customWidth="1"/>
    <col min="20" max="20" width="6.1796875" customWidth="1"/>
    <col min="22" max="28" width="2.453125" customWidth="1"/>
  </cols>
  <sheetData>
    <row r="1" spans="1:31" x14ac:dyDescent="0.35">
      <c r="A1" t="s">
        <v>69</v>
      </c>
      <c r="C1">
        <f>Summary!A13</f>
        <v>5160007000</v>
      </c>
    </row>
    <row r="2" spans="1:31" x14ac:dyDescent="0.35">
      <c r="A2" t="s">
        <v>70</v>
      </c>
      <c r="C2" t="str">
        <f>Summary!B13</f>
        <v>Sponsoring</v>
      </c>
      <c r="G2" s="19" t="s">
        <v>141</v>
      </c>
      <c r="T2" s="24" t="s">
        <v>0</v>
      </c>
      <c r="U2" s="3">
        <f>SUMIF($A$10:$A$23974,"AU001",U9:U23973)</f>
        <v>0</v>
      </c>
      <c r="AB2" t="s">
        <v>0</v>
      </c>
      <c r="AC2" s="3">
        <f>SUMIF($A$8:$A$408,"AU001",AC8:AC408)</f>
        <v>0</v>
      </c>
      <c r="AD2" s="3">
        <f>SUMIF($A$8:$A$408,"AU001",AD8:AD408)</f>
        <v>0</v>
      </c>
    </row>
    <row r="3" spans="1:31" x14ac:dyDescent="0.35">
      <c r="A3" t="s">
        <v>71</v>
      </c>
      <c r="C3" s="22">
        <v>975192.62000000011</v>
      </c>
      <c r="G3" s="19" t="s">
        <v>257</v>
      </c>
      <c r="T3" s="24" t="s">
        <v>35</v>
      </c>
      <c r="U3" s="3">
        <f>SUMIF($A$10:$A$23975,"AU052",U9:U23974)</f>
        <v>0</v>
      </c>
      <c r="AB3" t="s">
        <v>35</v>
      </c>
      <c r="AC3" s="3">
        <f>SUMIF($A$8:$A$408,"AU052",AC8:AC408)</f>
        <v>0</v>
      </c>
      <c r="AD3" s="3">
        <f>SUMIF($A$8:$A$408,"AU052",AD8:AD408)</f>
        <v>407.73</v>
      </c>
    </row>
    <row r="4" spans="1:31" x14ac:dyDescent="0.35">
      <c r="A4" t="s">
        <v>45</v>
      </c>
      <c r="C4" s="22">
        <f>SUM(E:E)</f>
        <v>975192.62000000011</v>
      </c>
      <c r="G4" s="19" t="s">
        <v>2313</v>
      </c>
    </row>
    <row r="5" spans="1:31" ht="15" thickBot="1" x14ac:dyDescent="0.4">
      <c r="A5" t="s">
        <v>72</v>
      </c>
      <c r="C5" s="3">
        <f>C3-C4</f>
        <v>0</v>
      </c>
      <c r="Q5" s="30"/>
      <c r="R5" s="57"/>
    </row>
    <row r="6" spans="1:31" ht="15" thickBot="1" x14ac:dyDescent="0.4">
      <c r="AC6" s="191" t="s">
        <v>44</v>
      </c>
      <c r="AD6" s="192"/>
    </row>
    <row r="7" spans="1:31" ht="76" customHeight="1" thickBot="1" x14ac:dyDescent="0.4">
      <c r="A7" s="1" t="s">
        <v>74</v>
      </c>
      <c r="B7" s="2" t="s">
        <v>597</v>
      </c>
      <c r="C7" s="2" t="s">
        <v>75</v>
      </c>
      <c r="D7" s="2" t="s">
        <v>76</v>
      </c>
      <c r="E7" s="2" t="s">
        <v>77</v>
      </c>
      <c r="F7" s="2" t="s">
        <v>78</v>
      </c>
      <c r="G7" s="162" t="s">
        <v>79</v>
      </c>
      <c r="H7" s="2" t="s">
        <v>80</v>
      </c>
      <c r="I7" s="157" t="s">
        <v>81</v>
      </c>
      <c r="J7" s="157" t="s">
        <v>82</v>
      </c>
      <c r="K7" s="157" t="s">
        <v>83</v>
      </c>
      <c r="L7" s="157" t="s">
        <v>84</v>
      </c>
      <c r="M7" s="157" t="s">
        <v>85</v>
      </c>
      <c r="N7" s="157" t="s">
        <v>86</v>
      </c>
      <c r="O7" s="160" t="s">
        <v>585</v>
      </c>
      <c r="Q7" s="31" t="s">
        <v>136</v>
      </c>
      <c r="R7" s="25" t="s">
        <v>87</v>
      </c>
      <c r="S7" s="8" t="s">
        <v>46</v>
      </c>
      <c r="T7" s="7" t="s">
        <v>47</v>
      </c>
      <c r="U7" s="8" t="s">
        <v>48</v>
      </c>
      <c r="V7" s="9" t="s">
        <v>49</v>
      </c>
      <c r="W7" s="10" t="s">
        <v>50</v>
      </c>
      <c r="X7" s="11" t="s">
        <v>51</v>
      </c>
      <c r="Y7" s="12" t="s">
        <v>52</v>
      </c>
      <c r="Z7" s="13" t="s">
        <v>53</v>
      </c>
      <c r="AA7" s="13" t="s">
        <v>54</v>
      </c>
      <c r="AB7" s="13" t="s">
        <v>55</v>
      </c>
      <c r="AC7" s="14" t="s">
        <v>56</v>
      </c>
      <c r="AD7" s="14" t="s">
        <v>57</v>
      </c>
      <c r="AE7" s="15" t="s">
        <v>58</v>
      </c>
    </row>
    <row r="8" spans="1:31" ht="29" x14ac:dyDescent="0.35">
      <c r="A8" t="s">
        <v>0</v>
      </c>
      <c r="B8" t="s">
        <v>623</v>
      </c>
      <c r="C8" t="s">
        <v>10</v>
      </c>
      <c r="D8" t="s">
        <v>11</v>
      </c>
      <c r="E8">
        <v>192250.62</v>
      </c>
      <c r="F8" t="s">
        <v>88</v>
      </c>
      <c r="G8" s="19">
        <v>45384</v>
      </c>
      <c r="H8" t="s">
        <v>89</v>
      </c>
      <c r="I8" s="55" t="s">
        <v>2103</v>
      </c>
      <c r="K8" s="55" t="s">
        <v>2104</v>
      </c>
      <c r="L8" s="55" t="s">
        <v>2105</v>
      </c>
      <c r="M8" s="55" t="s">
        <v>2106</v>
      </c>
      <c r="Q8" s="63">
        <f>ABS(E8)</f>
        <v>192250.62</v>
      </c>
    </row>
    <row r="9" spans="1:31" ht="29" x14ac:dyDescent="0.35">
      <c r="A9" t="s">
        <v>0</v>
      </c>
      <c r="B9" t="s">
        <v>623</v>
      </c>
      <c r="C9" t="s">
        <v>10</v>
      </c>
      <c r="D9" t="s">
        <v>11</v>
      </c>
      <c r="E9">
        <v>720.25</v>
      </c>
      <c r="F9" t="s">
        <v>88</v>
      </c>
      <c r="G9" s="19">
        <v>45385</v>
      </c>
      <c r="H9" t="s">
        <v>89</v>
      </c>
      <c r="I9" s="55" t="s">
        <v>2107</v>
      </c>
      <c r="K9" s="55" t="s">
        <v>2108</v>
      </c>
      <c r="L9" s="55" t="s">
        <v>2109</v>
      </c>
      <c r="M9" s="55" t="s">
        <v>1771</v>
      </c>
      <c r="Q9" s="63">
        <f t="shared" ref="Q9:Q72" si="0">ABS(E9)</f>
        <v>720.25</v>
      </c>
    </row>
    <row r="10" spans="1:31" ht="29" x14ac:dyDescent="0.35">
      <c r="A10" t="s">
        <v>35</v>
      </c>
      <c r="B10" t="s">
        <v>756</v>
      </c>
      <c r="C10" t="s">
        <v>10</v>
      </c>
      <c r="D10" t="s">
        <v>11</v>
      </c>
      <c r="E10">
        <v>111.82</v>
      </c>
      <c r="F10" t="s">
        <v>88</v>
      </c>
      <c r="G10" s="19">
        <v>45385</v>
      </c>
      <c r="H10" t="s">
        <v>94</v>
      </c>
      <c r="I10" s="55" t="s">
        <v>2110</v>
      </c>
      <c r="J10" s="55" t="s">
        <v>2111</v>
      </c>
      <c r="M10" s="55" t="s">
        <v>2112</v>
      </c>
      <c r="Q10" s="63">
        <f t="shared" si="0"/>
        <v>111.82</v>
      </c>
      <c r="S10" s="55" t="s">
        <v>2314</v>
      </c>
      <c r="AD10">
        <f>E10</f>
        <v>111.82</v>
      </c>
    </row>
    <row r="11" spans="1:31" ht="29" x14ac:dyDescent="0.35">
      <c r="A11" t="s">
        <v>35</v>
      </c>
      <c r="B11" t="s">
        <v>1221</v>
      </c>
      <c r="C11" t="s">
        <v>10</v>
      </c>
      <c r="D11" t="s">
        <v>11</v>
      </c>
      <c r="E11">
        <v>500</v>
      </c>
      <c r="F11" t="s">
        <v>88</v>
      </c>
      <c r="G11" s="19">
        <v>45390</v>
      </c>
      <c r="H11" t="s">
        <v>89</v>
      </c>
      <c r="I11" s="55" t="s">
        <v>2113</v>
      </c>
      <c r="K11" s="55" t="s">
        <v>2114</v>
      </c>
      <c r="L11" s="55" t="s">
        <v>2115</v>
      </c>
      <c r="M11" s="55" t="s">
        <v>2116</v>
      </c>
      <c r="Q11" s="63">
        <f t="shared" si="0"/>
        <v>500</v>
      </c>
    </row>
    <row r="12" spans="1:31" ht="29" x14ac:dyDescent="0.35">
      <c r="A12" t="s">
        <v>35</v>
      </c>
      <c r="B12" t="s">
        <v>1221</v>
      </c>
      <c r="C12" t="s">
        <v>10</v>
      </c>
      <c r="D12" t="s">
        <v>11</v>
      </c>
      <c r="E12">
        <v>1494.45</v>
      </c>
      <c r="F12" t="s">
        <v>88</v>
      </c>
      <c r="G12" s="19">
        <v>45390</v>
      </c>
      <c r="H12" t="s">
        <v>89</v>
      </c>
      <c r="I12" s="55" t="s">
        <v>2117</v>
      </c>
      <c r="K12" s="55" t="s">
        <v>2118</v>
      </c>
      <c r="L12" s="55" t="s">
        <v>2119</v>
      </c>
      <c r="M12" s="55" t="s">
        <v>2120</v>
      </c>
      <c r="Q12" s="63">
        <f t="shared" si="0"/>
        <v>1494.45</v>
      </c>
    </row>
    <row r="13" spans="1:31" ht="29" x14ac:dyDescent="0.35">
      <c r="A13" t="s">
        <v>35</v>
      </c>
      <c r="B13" t="s">
        <v>1221</v>
      </c>
      <c r="C13" t="s">
        <v>10</v>
      </c>
      <c r="D13" t="s">
        <v>11</v>
      </c>
      <c r="E13">
        <v>464.65</v>
      </c>
      <c r="F13" t="s">
        <v>88</v>
      </c>
      <c r="G13" s="19">
        <v>45391</v>
      </c>
      <c r="H13" t="s">
        <v>94</v>
      </c>
      <c r="I13" s="55" t="s">
        <v>1247</v>
      </c>
      <c r="J13" s="55" t="s">
        <v>2121</v>
      </c>
      <c r="M13" s="55" t="s">
        <v>2122</v>
      </c>
      <c r="Q13" s="63">
        <f t="shared" si="0"/>
        <v>464.65</v>
      </c>
    </row>
    <row r="14" spans="1:31" ht="29" x14ac:dyDescent="0.35">
      <c r="A14" t="s">
        <v>0</v>
      </c>
      <c r="B14" t="s">
        <v>2123</v>
      </c>
      <c r="C14" t="s">
        <v>10</v>
      </c>
      <c r="D14" t="s">
        <v>11</v>
      </c>
      <c r="E14">
        <v>2200</v>
      </c>
      <c r="F14" t="s">
        <v>88</v>
      </c>
      <c r="G14" s="19">
        <v>45392</v>
      </c>
      <c r="H14" t="s">
        <v>89</v>
      </c>
      <c r="I14" s="55" t="s">
        <v>2124</v>
      </c>
      <c r="K14" s="55" t="s">
        <v>2125</v>
      </c>
      <c r="L14" s="55" t="s">
        <v>2126</v>
      </c>
      <c r="M14" s="55" t="s">
        <v>2127</v>
      </c>
      <c r="Q14" s="63">
        <f t="shared" si="0"/>
        <v>2200</v>
      </c>
    </row>
    <row r="15" spans="1:31" ht="29" x14ac:dyDescent="0.35">
      <c r="A15" t="s">
        <v>35</v>
      </c>
      <c r="B15" t="s">
        <v>1491</v>
      </c>
      <c r="C15" t="s">
        <v>10</v>
      </c>
      <c r="D15" t="s">
        <v>11</v>
      </c>
      <c r="E15">
        <v>681.82</v>
      </c>
      <c r="F15" t="s">
        <v>88</v>
      </c>
      <c r="G15" s="19">
        <v>45394</v>
      </c>
      <c r="H15" t="s">
        <v>94</v>
      </c>
      <c r="I15" s="55" t="s">
        <v>2128</v>
      </c>
      <c r="J15" s="55" t="s">
        <v>2129</v>
      </c>
      <c r="M15" s="55" t="s">
        <v>2130</v>
      </c>
      <c r="Q15" s="63">
        <f t="shared" si="0"/>
        <v>681.82</v>
      </c>
    </row>
    <row r="16" spans="1:31" ht="43.5" x14ac:dyDescent="0.35">
      <c r="A16" t="s">
        <v>35</v>
      </c>
      <c r="B16" t="s">
        <v>724</v>
      </c>
      <c r="C16" t="s">
        <v>10</v>
      </c>
      <c r="D16" t="s">
        <v>11</v>
      </c>
      <c r="E16">
        <v>102.73</v>
      </c>
      <c r="F16" t="s">
        <v>88</v>
      </c>
      <c r="G16" s="19">
        <v>45394</v>
      </c>
      <c r="H16" t="s">
        <v>94</v>
      </c>
      <c r="I16" s="55" t="s">
        <v>236</v>
      </c>
      <c r="J16" s="55" t="s">
        <v>2131</v>
      </c>
      <c r="M16" s="55" t="s">
        <v>2132</v>
      </c>
      <c r="Q16" s="63">
        <f t="shared" si="0"/>
        <v>102.73</v>
      </c>
      <c r="S16" s="55" t="s">
        <v>2315</v>
      </c>
    </row>
    <row r="17" spans="1:17" ht="29" x14ac:dyDescent="0.35">
      <c r="A17" t="s">
        <v>35</v>
      </c>
      <c r="B17" t="s">
        <v>2031</v>
      </c>
      <c r="C17" t="s">
        <v>10</v>
      </c>
      <c r="D17" t="s">
        <v>11</v>
      </c>
      <c r="E17">
        <v>45.45</v>
      </c>
      <c r="F17" t="s">
        <v>88</v>
      </c>
      <c r="G17" s="19">
        <v>45398</v>
      </c>
      <c r="H17" t="s">
        <v>94</v>
      </c>
      <c r="I17" s="55" t="s">
        <v>215</v>
      </c>
      <c r="J17" s="55" t="s">
        <v>2133</v>
      </c>
      <c r="M17" s="55" t="s">
        <v>2134</v>
      </c>
      <c r="Q17" s="63">
        <f t="shared" si="0"/>
        <v>45.45</v>
      </c>
    </row>
    <row r="18" spans="1:17" ht="29" x14ac:dyDescent="0.35">
      <c r="A18" t="s">
        <v>35</v>
      </c>
      <c r="B18" t="s">
        <v>713</v>
      </c>
      <c r="C18" t="s">
        <v>10</v>
      </c>
      <c r="D18" t="s">
        <v>11</v>
      </c>
      <c r="E18">
        <v>1590.91</v>
      </c>
      <c r="F18" t="s">
        <v>88</v>
      </c>
      <c r="G18" s="19">
        <v>45432</v>
      </c>
      <c r="H18" t="s">
        <v>94</v>
      </c>
      <c r="I18" s="55" t="s">
        <v>128</v>
      </c>
      <c r="J18" s="55" t="s">
        <v>2135</v>
      </c>
      <c r="M18" s="55" t="s">
        <v>2136</v>
      </c>
      <c r="Q18" s="63">
        <f t="shared" si="0"/>
        <v>1590.91</v>
      </c>
    </row>
    <row r="19" spans="1:17" ht="29" x14ac:dyDescent="0.35">
      <c r="A19" t="s">
        <v>35</v>
      </c>
      <c r="B19" t="s">
        <v>1221</v>
      </c>
      <c r="C19" t="s">
        <v>10</v>
      </c>
      <c r="D19" t="s">
        <v>11</v>
      </c>
      <c r="E19">
        <v>450</v>
      </c>
      <c r="F19" t="s">
        <v>88</v>
      </c>
      <c r="G19" s="19">
        <v>45440</v>
      </c>
      <c r="H19" t="s">
        <v>89</v>
      </c>
      <c r="I19" s="55" t="s">
        <v>2137</v>
      </c>
      <c r="K19" s="55" t="s">
        <v>101</v>
      </c>
      <c r="L19" s="55" t="s">
        <v>2138</v>
      </c>
      <c r="M19" s="55" t="s">
        <v>2139</v>
      </c>
      <c r="Q19" s="63">
        <f t="shared" si="0"/>
        <v>450</v>
      </c>
    </row>
    <row r="20" spans="1:17" ht="29" x14ac:dyDescent="0.35">
      <c r="A20" t="s">
        <v>0</v>
      </c>
      <c r="B20" t="s">
        <v>2140</v>
      </c>
      <c r="C20" t="s">
        <v>10</v>
      </c>
      <c r="D20" t="s">
        <v>11</v>
      </c>
      <c r="E20">
        <v>4617.3599999999997</v>
      </c>
      <c r="F20" t="s">
        <v>88</v>
      </c>
      <c r="G20" s="19">
        <v>45447</v>
      </c>
      <c r="H20" t="s">
        <v>89</v>
      </c>
      <c r="I20" s="55" t="s">
        <v>2141</v>
      </c>
      <c r="K20" s="55" t="s">
        <v>101</v>
      </c>
      <c r="L20" s="55" t="s">
        <v>2142</v>
      </c>
      <c r="M20" s="55" t="s">
        <v>2143</v>
      </c>
      <c r="Q20" s="63">
        <f t="shared" si="0"/>
        <v>4617.3599999999997</v>
      </c>
    </row>
    <row r="21" spans="1:17" x14ac:dyDescent="0.35">
      <c r="A21" t="s">
        <v>35</v>
      </c>
      <c r="B21" t="s">
        <v>642</v>
      </c>
      <c r="C21" t="s">
        <v>10</v>
      </c>
      <c r="D21" t="s">
        <v>11</v>
      </c>
      <c r="E21">
        <v>7000</v>
      </c>
      <c r="F21" t="s">
        <v>88</v>
      </c>
      <c r="G21" s="19">
        <v>45449</v>
      </c>
      <c r="H21" t="s">
        <v>89</v>
      </c>
      <c r="I21" s="55" t="s">
        <v>2144</v>
      </c>
      <c r="K21" s="55" t="s">
        <v>2145</v>
      </c>
      <c r="L21" s="55" t="s">
        <v>2146</v>
      </c>
      <c r="M21" s="55" t="s">
        <v>2147</v>
      </c>
      <c r="Q21" s="63">
        <f t="shared" si="0"/>
        <v>7000</v>
      </c>
    </row>
    <row r="22" spans="1:17" ht="29" x14ac:dyDescent="0.35">
      <c r="A22" t="s">
        <v>35</v>
      </c>
      <c r="B22" t="s">
        <v>653</v>
      </c>
      <c r="C22" t="s">
        <v>10</v>
      </c>
      <c r="D22" t="s">
        <v>11</v>
      </c>
      <c r="E22">
        <v>8382.86</v>
      </c>
      <c r="F22" t="s">
        <v>88</v>
      </c>
      <c r="G22" s="19">
        <v>45457</v>
      </c>
      <c r="H22" t="s">
        <v>89</v>
      </c>
      <c r="I22" s="55" t="s">
        <v>2148</v>
      </c>
      <c r="K22" s="55" t="s">
        <v>2149</v>
      </c>
      <c r="L22" s="55" t="s">
        <v>2150</v>
      </c>
      <c r="M22" s="55" t="s">
        <v>2151</v>
      </c>
      <c r="Q22" s="63">
        <f t="shared" si="0"/>
        <v>8382.86</v>
      </c>
    </row>
    <row r="23" spans="1:17" ht="29" x14ac:dyDescent="0.35">
      <c r="A23" t="s">
        <v>0</v>
      </c>
      <c r="B23" t="s">
        <v>934</v>
      </c>
      <c r="C23" t="s">
        <v>10</v>
      </c>
      <c r="D23" t="s">
        <v>11</v>
      </c>
      <c r="E23">
        <v>6515.79</v>
      </c>
      <c r="F23" t="s">
        <v>88</v>
      </c>
      <c r="G23" s="19">
        <v>45461</v>
      </c>
      <c r="H23" t="s">
        <v>89</v>
      </c>
      <c r="I23" s="55" t="s">
        <v>2152</v>
      </c>
      <c r="K23" s="55" t="s">
        <v>101</v>
      </c>
      <c r="L23" s="55" t="s">
        <v>2153</v>
      </c>
      <c r="M23" s="55" t="s">
        <v>2154</v>
      </c>
      <c r="Q23" s="63">
        <f t="shared" si="0"/>
        <v>6515.79</v>
      </c>
    </row>
    <row r="24" spans="1:17" ht="29" x14ac:dyDescent="0.35">
      <c r="A24" t="s">
        <v>35</v>
      </c>
      <c r="B24" t="s">
        <v>655</v>
      </c>
      <c r="C24" t="s">
        <v>10</v>
      </c>
      <c r="D24" t="s">
        <v>11</v>
      </c>
      <c r="E24">
        <v>1650</v>
      </c>
      <c r="F24" t="s">
        <v>88</v>
      </c>
      <c r="G24" s="19">
        <v>45463</v>
      </c>
      <c r="H24" t="s">
        <v>89</v>
      </c>
      <c r="I24" s="55" t="s">
        <v>2155</v>
      </c>
      <c r="K24" s="55" t="s">
        <v>101</v>
      </c>
      <c r="L24" s="55" t="s">
        <v>2156</v>
      </c>
      <c r="M24" s="55" t="s">
        <v>2157</v>
      </c>
      <c r="Q24" s="63">
        <f t="shared" si="0"/>
        <v>1650</v>
      </c>
    </row>
    <row r="25" spans="1:17" x14ac:dyDescent="0.35">
      <c r="A25" t="s">
        <v>0</v>
      </c>
      <c r="B25" t="s">
        <v>2158</v>
      </c>
      <c r="C25" t="s">
        <v>10</v>
      </c>
      <c r="D25" t="s">
        <v>11</v>
      </c>
      <c r="E25">
        <v>2775.1</v>
      </c>
      <c r="F25" t="s">
        <v>88</v>
      </c>
      <c r="G25" s="19">
        <v>45481</v>
      </c>
      <c r="H25" t="s">
        <v>89</v>
      </c>
      <c r="I25" s="55" t="s">
        <v>2159</v>
      </c>
      <c r="K25" s="55" t="s">
        <v>101</v>
      </c>
      <c r="L25" s="55" t="s">
        <v>2160</v>
      </c>
      <c r="M25" s="55" t="s">
        <v>2161</v>
      </c>
      <c r="Q25" s="63">
        <f t="shared" si="0"/>
        <v>2775.1</v>
      </c>
    </row>
    <row r="26" spans="1:17" ht="29" x14ac:dyDescent="0.35">
      <c r="A26" t="s">
        <v>0</v>
      </c>
      <c r="B26" t="s">
        <v>2162</v>
      </c>
      <c r="C26" t="s">
        <v>10</v>
      </c>
      <c r="D26" t="s">
        <v>11</v>
      </c>
      <c r="E26">
        <v>7631.54</v>
      </c>
      <c r="F26" t="s">
        <v>88</v>
      </c>
      <c r="G26" s="19">
        <v>45488</v>
      </c>
      <c r="H26" t="s">
        <v>89</v>
      </c>
      <c r="I26" s="55" t="s">
        <v>2163</v>
      </c>
      <c r="K26" s="55" t="s">
        <v>101</v>
      </c>
      <c r="L26" s="55" t="s">
        <v>2164</v>
      </c>
      <c r="M26" s="55" t="s">
        <v>2165</v>
      </c>
      <c r="Q26" s="63">
        <f t="shared" si="0"/>
        <v>7631.54</v>
      </c>
    </row>
    <row r="27" spans="1:17" ht="29" x14ac:dyDescent="0.35">
      <c r="A27" t="s">
        <v>0</v>
      </c>
      <c r="B27" t="s">
        <v>642</v>
      </c>
      <c r="C27" t="s">
        <v>10</v>
      </c>
      <c r="D27" t="s">
        <v>11</v>
      </c>
      <c r="E27">
        <v>2000</v>
      </c>
      <c r="F27" t="s">
        <v>88</v>
      </c>
      <c r="G27" s="19">
        <v>45490</v>
      </c>
      <c r="H27" t="s">
        <v>89</v>
      </c>
      <c r="I27" s="55" t="s">
        <v>2166</v>
      </c>
      <c r="K27" s="55" t="s">
        <v>2167</v>
      </c>
      <c r="L27" s="55" t="s">
        <v>2168</v>
      </c>
      <c r="M27" s="55" t="s">
        <v>2169</v>
      </c>
      <c r="Q27" s="63">
        <f t="shared" si="0"/>
        <v>2000</v>
      </c>
    </row>
    <row r="28" spans="1:17" ht="29" x14ac:dyDescent="0.35">
      <c r="A28" t="s">
        <v>35</v>
      </c>
      <c r="B28" t="s">
        <v>653</v>
      </c>
      <c r="C28" t="s">
        <v>10</v>
      </c>
      <c r="D28" t="s">
        <v>11</v>
      </c>
      <c r="E28">
        <v>-8382.86</v>
      </c>
      <c r="F28" t="s">
        <v>88</v>
      </c>
      <c r="G28" s="19">
        <v>45504</v>
      </c>
      <c r="H28" t="s">
        <v>901</v>
      </c>
      <c r="I28" s="55" t="s">
        <v>901</v>
      </c>
      <c r="Q28" s="63">
        <f t="shared" si="0"/>
        <v>8382.86</v>
      </c>
    </row>
    <row r="29" spans="1:17" ht="29" x14ac:dyDescent="0.35">
      <c r="A29" t="s">
        <v>35</v>
      </c>
      <c r="B29" t="s">
        <v>655</v>
      </c>
      <c r="C29" t="s">
        <v>10</v>
      </c>
      <c r="D29" t="s">
        <v>11</v>
      </c>
      <c r="E29">
        <v>8382.86</v>
      </c>
      <c r="F29" t="s">
        <v>88</v>
      </c>
      <c r="G29" s="19">
        <v>45504</v>
      </c>
      <c r="H29" t="s">
        <v>901</v>
      </c>
      <c r="I29" s="55" t="s">
        <v>901</v>
      </c>
      <c r="Q29" s="63">
        <f t="shared" si="0"/>
        <v>8382.86</v>
      </c>
    </row>
    <row r="30" spans="1:17" ht="29" x14ac:dyDescent="0.35">
      <c r="A30" t="s">
        <v>0</v>
      </c>
      <c r="B30" t="s">
        <v>2170</v>
      </c>
      <c r="C30" t="s">
        <v>10</v>
      </c>
      <c r="D30" t="s">
        <v>11</v>
      </c>
      <c r="E30">
        <v>2969.85</v>
      </c>
      <c r="F30" t="s">
        <v>88</v>
      </c>
      <c r="G30" s="19">
        <v>45511</v>
      </c>
      <c r="H30" t="s">
        <v>89</v>
      </c>
      <c r="I30" s="55" t="s">
        <v>2171</v>
      </c>
      <c r="K30" s="55" t="s">
        <v>2172</v>
      </c>
      <c r="L30" s="55" t="s">
        <v>2173</v>
      </c>
      <c r="M30" s="55" t="s">
        <v>2174</v>
      </c>
      <c r="Q30" s="63">
        <f t="shared" si="0"/>
        <v>2969.85</v>
      </c>
    </row>
    <row r="31" spans="1:17" x14ac:dyDescent="0.35">
      <c r="A31" t="s">
        <v>0</v>
      </c>
      <c r="B31" t="s">
        <v>2158</v>
      </c>
      <c r="C31" t="s">
        <v>10</v>
      </c>
      <c r="D31" t="s">
        <v>11</v>
      </c>
      <c r="E31">
        <v>4959.0200000000004</v>
      </c>
      <c r="F31" t="s">
        <v>88</v>
      </c>
      <c r="G31" s="19">
        <v>45511</v>
      </c>
      <c r="H31" t="s">
        <v>89</v>
      </c>
      <c r="I31" s="55" t="s">
        <v>2171</v>
      </c>
      <c r="K31" s="55" t="s">
        <v>2175</v>
      </c>
      <c r="L31" s="55" t="s">
        <v>2173</v>
      </c>
      <c r="M31" s="55" t="s">
        <v>2174</v>
      </c>
      <c r="Q31" s="63">
        <f t="shared" si="0"/>
        <v>4959.0200000000004</v>
      </c>
    </row>
    <row r="32" spans="1:17" ht="29" x14ac:dyDescent="0.35">
      <c r="A32" t="s">
        <v>35</v>
      </c>
      <c r="B32" t="s">
        <v>2031</v>
      </c>
      <c r="C32" t="s">
        <v>10</v>
      </c>
      <c r="D32" t="s">
        <v>11</v>
      </c>
      <c r="E32">
        <v>454.55</v>
      </c>
      <c r="F32" t="s">
        <v>88</v>
      </c>
      <c r="G32" s="19">
        <v>45511</v>
      </c>
      <c r="H32" t="s">
        <v>94</v>
      </c>
      <c r="I32" s="55" t="s">
        <v>2176</v>
      </c>
      <c r="J32" s="55" t="s">
        <v>2177</v>
      </c>
      <c r="M32" s="55" t="s">
        <v>2178</v>
      </c>
      <c r="Q32" s="63">
        <f t="shared" si="0"/>
        <v>454.55</v>
      </c>
    </row>
    <row r="33" spans="1:30" ht="29" x14ac:dyDescent="0.35">
      <c r="A33" t="s">
        <v>0</v>
      </c>
      <c r="B33" t="s">
        <v>623</v>
      </c>
      <c r="C33" t="s">
        <v>10</v>
      </c>
      <c r="D33" t="s">
        <v>11</v>
      </c>
      <c r="E33">
        <v>54511</v>
      </c>
      <c r="F33" t="s">
        <v>88</v>
      </c>
      <c r="G33" s="19">
        <v>45516</v>
      </c>
      <c r="H33" t="s">
        <v>89</v>
      </c>
      <c r="I33" s="55" t="s">
        <v>2179</v>
      </c>
      <c r="K33" s="55" t="s">
        <v>2180</v>
      </c>
      <c r="L33" s="55" t="s">
        <v>2181</v>
      </c>
      <c r="M33" s="55" t="s">
        <v>2182</v>
      </c>
      <c r="Q33" s="63">
        <f t="shared" si="0"/>
        <v>54511</v>
      </c>
    </row>
    <row r="34" spans="1:30" ht="43.5" x14ac:dyDescent="0.35">
      <c r="A34" t="s">
        <v>35</v>
      </c>
      <c r="B34" t="s">
        <v>655</v>
      </c>
      <c r="C34" t="s">
        <v>10</v>
      </c>
      <c r="D34" t="s">
        <v>11</v>
      </c>
      <c r="E34">
        <v>7958.78</v>
      </c>
      <c r="F34" t="s">
        <v>88</v>
      </c>
      <c r="G34" s="19">
        <v>45516</v>
      </c>
      <c r="H34" t="s">
        <v>94</v>
      </c>
      <c r="I34" s="55" t="s">
        <v>2183</v>
      </c>
      <c r="J34" s="55" t="s">
        <v>2184</v>
      </c>
      <c r="M34" s="55" t="s">
        <v>2185</v>
      </c>
      <c r="Q34" s="63">
        <f t="shared" si="0"/>
        <v>7958.78</v>
      </c>
    </row>
    <row r="35" spans="1:30" ht="29" x14ac:dyDescent="0.35">
      <c r="A35" t="s">
        <v>35</v>
      </c>
      <c r="B35" t="s">
        <v>1423</v>
      </c>
      <c r="C35" t="s">
        <v>10</v>
      </c>
      <c r="D35" t="s">
        <v>11</v>
      </c>
      <c r="E35">
        <v>1500</v>
      </c>
      <c r="F35" t="s">
        <v>88</v>
      </c>
      <c r="G35" s="19">
        <v>45519</v>
      </c>
      <c r="H35" t="s">
        <v>89</v>
      </c>
      <c r="I35" s="55" t="s">
        <v>2186</v>
      </c>
      <c r="K35" s="55" t="s">
        <v>2187</v>
      </c>
      <c r="L35" s="55" t="s">
        <v>2188</v>
      </c>
      <c r="M35" s="55" t="s">
        <v>2189</v>
      </c>
      <c r="Q35" s="63">
        <f t="shared" si="0"/>
        <v>1500</v>
      </c>
    </row>
    <row r="36" spans="1:30" ht="29" x14ac:dyDescent="0.35">
      <c r="A36" t="s">
        <v>35</v>
      </c>
      <c r="B36" t="s">
        <v>1566</v>
      </c>
      <c r="C36" t="s">
        <v>10</v>
      </c>
      <c r="D36" t="s">
        <v>11</v>
      </c>
      <c r="E36">
        <v>126233.2</v>
      </c>
      <c r="F36" t="s">
        <v>88</v>
      </c>
      <c r="G36" s="19">
        <v>45530</v>
      </c>
      <c r="H36" t="s">
        <v>89</v>
      </c>
      <c r="I36" s="55" t="s">
        <v>2190</v>
      </c>
      <c r="K36" s="55" t="s">
        <v>2191</v>
      </c>
      <c r="L36" s="55" t="s">
        <v>2192</v>
      </c>
      <c r="M36" s="55" t="s">
        <v>2193</v>
      </c>
      <c r="Q36" s="63">
        <f t="shared" si="0"/>
        <v>126233.2</v>
      </c>
    </row>
    <row r="37" spans="1:30" ht="29" x14ac:dyDescent="0.35">
      <c r="A37" t="s">
        <v>35</v>
      </c>
      <c r="B37" t="s">
        <v>1566</v>
      </c>
      <c r="C37" t="s">
        <v>10</v>
      </c>
      <c r="D37" t="s">
        <v>11</v>
      </c>
      <c r="E37">
        <v>131721.60000000001</v>
      </c>
      <c r="F37" t="s">
        <v>88</v>
      </c>
      <c r="G37" s="19">
        <v>45530</v>
      </c>
      <c r="H37" t="s">
        <v>89</v>
      </c>
      <c r="I37" s="55" t="s">
        <v>2194</v>
      </c>
      <c r="K37" s="55" t="s">
        <v>2195</v>
      </c>
      <c r="L37" s="55" t="s">
        <v>2196</v>
      </c>
      <c r="M37" s="55" t="s">
        <v>2193</v>
      </c>
      <c r="Q37" s="63">
        <f t="shared" si="0"/>
        <v>131721.60000000001</v>
      </c>
    </row>
    <row r="38" spans="1:30" ht="29" x14ac:dyDescent="0.35">
      <c r="A38" t="s">
        <v>0</v>
      </c>
      <c r="B38" t="s">
        <v>642</v>
      </c>
      <c r="C38" t="s">
        <v>10</v>
      </c>
      <c r="D38" t="s">
        <v>11</v>
      </c>
      <c r="E38">
        <v>10000</v>
      </c>
      <c r="F38" t="s">
        <v>88</v>
      </c>
      <c r="G38" s="19">
        <v>45540</v>
      </c>
      <c r="H38" t="s">
        <v>89</v>
      </c>
      <c r="I38" s="55" t="s">
        <v>2197</v>
      </c>
      <c r="K38" s="55" t="s">
        <v>2198</v>
      </c>
      <c r="L38" s="55" t="s">
        <v>2199</v>
      </c>
      <c r="M38" s="55" t="s">
        <v>2200</v>
      </c>
      <c r="Q38" s="63">
        <f t="shared" si="0"/>
        <v>10000</v>
      </c>
    </row>
    <row r="39" spans="1:30" x14ac:dyDescent="0.35">
      <c r="A39" t="s">
        <v>35</v>
      </c>
      <c r="B39" t="s">
        <v>653</v>
      </c>
      <c r="C39" t="s">
        <v>10</v>
      </c>
      <c r="D39" t="s">
        <v>11</v>
      </c>
      <c r="E39">
        <v>0</v>
      </c>
      <c r="F39" t="s">
        <v>88</v>
      </c>
      <c r="G39" s="19">
        <v>45544</v>
      </c>
      <c r="H39" t="s">
        <v>973</v>
      </c>
      <c r="I39" s="55" t="s">
        <v>973</v>
      </c>
      <c r="Q39" s="63">
        <f t="shared" si="0"/>
        <v>0</v>
      </c>
    </row>
    <row r="40" spans="1:30" ht="29" x14ac:dyDescent="0.35">
      <c r="A40" t="s">
        <v>0</v>
      </c>
      <c r="B40" t="s">
        <v>618</v>
      </c>
      <c r="C40" t="s">
        <v>10</v>
      </c>
      <c r="D40" t="s">
        <v>11</v>
      </c>
      <c r="E40">
        <v>1493.82</v>
      </c>
      <c r="F40" t="s">
        <v>88</v>
      </c>
      <c r="G40" s="19">
        <v>45545</v>
      </c>
      <c r="H40" t="s">
        <v>89</v>
      </c>
      <c r="I40" s="55" t="s">
        <v>2201</v>
      </c>
      <c r="K40" s="55" t="s">
        <v>2202</v>
      </c>
      <c r="L40" s="55" t="s">
        <v>2203</v>
      </c>
      <c r="M40" s="55" t="s">
        <v>2204</v>
      </c>
      <c r="Q40" s="63">
        <f t="shared" si="0"/>
        <v>1493.82</v>
      </c>
    </row>
    <row r="41" spans="1:30" ht="29" x14ac:dyDescent="0.35">
      <c r="A41" t="s">
        <v>35</v>
      </c>
      <c r="B41" t="s">
        <v>642</v>
      </c>
      <c r="C41" t="s">
        <v>10</v>
      </c>
      <c r="D41" t="s">
        <v>11</v>
      </c>
      <c r="E41">
        <v>145.91</v>
      </c>
      <c r="F41" t="s">
        <v>88</v>
      </c>
      <c r="G41" s="19">
        <v>45545</v>
      </c>
      <c r="H41" t="s">
        <v>94</v>
      </c>
      <c r="I41" s="55" t="s">
        <v>2205</v>
      </c>
      <c r="J41" s="55" t="s">
        <v>2206</v>
      </c>
      <c r="M41" s="55" t="s">
        <v>2207</v>
      </c>
      <c r="Q41" s="63">
        <f t="shared" si="0"/>
        <v>145.91</v>
      </c>
      <c r="S41" s="55" t="s">
        <v>2314</v>
      </c>
      <c r="AD41">
        <f>E41</f>
        <v>145.91</v>
      </c>
    </row>
    <row r="42" spans="1:30" ht="29" x14ac:dyDescent="0.35">
      <c r="A42" t="s">
        <v>35</v>
      </c>
      <c r="B42" t="s">
        <v>2208</v>
      </c>
      <c r="C42" t="s">
        <v>10</v>
      </c>
      <c r="D42" t="s">
        <v>11</v>
      </c>
      <c r="E42">
        <v>150</v>
      </c>
      <c r="F42" t="s">
        <v>88</v>
      </c>
      <c r="G42" s="19">
        <v>45554</v>
      </c>
      <c r="H42" t="s">
        <v>94</v>
      </c>
      <c r="I42" s="55" t="s">
        <v>2209</v>
      </c>
      <c r="J42" s="55" t="s">
        <v>2210</v>
      </c>
      <c r="M42" s="55" t="s">
        <v>2211</v>
      </c>
      <c r="Q42" s="63">
        <f t="shared" si="0"/>
        <v>150</v>
      </c>
      <c r="S42" s="55" t="s">
        <v>2314</v>
      </c>
      <c r="AD42">
        <f>E42</f>
        <v>150</v>
      </c>
    </row>
    <row r="43" spans="1:30" ht="29" x14ac:dyDescent="0.35">
      <c r="A43" t="s">
        <v>0</v>
      </c>
      <c r="B43" t="s">
        <v>642</v>
      </c>
      <c r="C43" t="s">
        <v>10</v>
      </c>
      <c r="D43" t="s">
        <v>11</v>
      </c>
      <c r="E43">
        <v>1320</v>
      </c>
      <c r="F43" t="s">
        <v>88</v>
      </c>
      <c r="G43" s="19">
        <v>45558</v>
      </c>
      <c r="H43" t="s">
        <v>89</v>
      </c>
      <c r="I43" s="55" t="s">
        <v>2212</v>
      </c>
      <c r="K43" s="55" t="s">
        <v>2213</v>
      </c>
      <c r="L43" s="55" t="s">
        <v>2214</v>
      </c>
      <c r="M43" s="55" t="s">
        <v>2215</v>
      </c>
      <c r="Q43" s="63">
        <f t="shared" si="0"/>
        <v>1320</v>
      </c>
    </row>
    <row r="44" spans="1:30" ht="29" x14ac:dyDescent="0.35">
      <c r="A44" t="s">
        <v>0</v>
      </c>
      <c r="B44" t="s">
        <v>698</v>
      </c>
      <c r="C44" t="s">
        <v>10</v>
      </c>
      <c r="D44" t="s">
        <v>11</v>
      </c>
      <c r="E44">
        <v>500</v>
      </c>
      <c r="F44" t="s">
        <v>88</v>
      </c>
      <c r="G44" s="19">
        <v>45558</v>
      </c>
      <c r="H44" t="s">
        <v>89</v>
      </c>
      <c r="I44" s="55" t="s">
        <v>2216</v>
      </c>
      <c r="K44" s="55" t="s">
        <v>2217</v>
      </c>
      <c r="L44" s="55" t="s">
        <v>90</v>
      </c>
      <c r="M44" s="55" t="s">
        <v>2218</v>
      </c>
      <c r="Q44" s="63">
        <f t="shared" si="0"/>
        <v>500</v>
      </c>
    </row>
    <row r="45" spans="1:30" ht="43.5" x14ac:dyDescent="0.35">
      <c r="A45" t="s">
        <v>35</v>
      </c>
      <c r="B45" t="s">
        <v>1053</v>
      </c>
      <c r="C45" t="s">
        <v>10</v>
      </c>
      <c r="D45" t="s">
        <v>11</v>
      </c>
      <c r="E45">
        <v>381.82</v>
      </c>
      <c r="F45" t="s">
        <v>88</v>
      </c>
      <c r="G45" s="19">
        <v>45565</v>
      </c>
      <c r="H45" t="s">
        <v>94</v>
      </c>
      <c r="I45" s="55" t="s">
        <v>2219</v>
      </c>
      <c r="J45" s="55" t="s">
        <v>2220</v>
      </c>
      <c r="M45" s="55" t="s">
        <v>2221</v>
      </c>
      <c r="Q45" s="63">
        <f t="shared" si="0"/>
        <v>381.82</v>
      </c>
    </row>
    <row r="46" spans="1:30" ht="29" x14ac:dyDescent="0.35">
      <c r="A46" t="s">
        <v>0</v>
      </c>
      <c r="B46" t="s">
        <v>2222</v>
      </c>
      <c r="C46" t="s">
        <v>10</v>
      </c>
      <c r="D46" t="s">
        <v>11</v>
      </c>
      <c r="E46">
        <v>196.24</v>
      </c>
      <c r="F46" t="s">
        <v>88</v>
      </c>
      <c r="G46" s="19">
        <v>45568</v>
      </c>
      <c r="H46" t="s">
        <v>89</v>
      </c>
      <c r="I46" s="55" t="s">
        <v>2223</v>
      </c>
      <c r="K46" s="55" t="s">
        <v>2224</v>
      </c>
      <c r="L46" s="55" t="s">
        <v>2225</v>
      </c>
      <c r="M46" s="55" t="s">
        <v>364</v>
      </c>
      <c r="Q46" s="63">
        <f t="shared" si="0"/>
        <v>196.24</v>
      </c>
    </row>
    <row r="47" spans="1:30" ht="29" x14ac:dyDescent="0.35">
      <c r="A47" t="s">
        <v>35</v>
      </c>
      <c r="B47" t="s">
        <v>2226</v>
      </c>
      <c r="C47" t="s">
        <v>10</v>
      </c>
      <c r="D47" t="s">
        <v>11</v>
      </c>
      <c r="E47">
        <v>1100</v>
      </c>
      <c r="F47" t="s">
        <v>88</v>
      </c>
      <c r="G47" s="19">
        <v>45573</v>
      </c>
      <c r="H47" t="s">
        <v>94</v>
      </c>
      <c r="I47" s="55" t="s">
        <v>2227</v>
      </c>
      <c r="J47" s="55" t="s">
        <v>2228</v>
      </c>
      <c r="M47" s="55" t="s">
        <v>2229</v>
      </c>
      <c r="Q47" s="63">
        <f t="shared" si="0"/>
        <v>1100</v>
      </c>
    </row>
    <row r="48" spans="1:30" ht="29" x14ac:dyDescent="0.35">
      <c r="A48" t="s">
        <v>35</v>
      </c>
      <c r="B48" t="s">
        <v>852</v>
      </c>
      <c r="C48" t="s">
        <v>10</v>
      </c>
      <c r="D48" t="s">
        <v>11</v>
      </c>
      <c r="E48">
        <v>121.18</v>
      </c>
      <c r="F48" t="s">
        <v>88</v>
      </c>
      <c r="G48" s="19">
        <v>45594</v>
      </c>
      <c r="H48" t="s">
        <v>94</v>
      </c>
      <c r="I48" s="55" t="s">
        <v>428</v>
      </c>
      <c r="J48" s="55" t="s">
        <v>2230</v>
      </c>
      <c r="M48" s="55" t="s">
        <v>2231</v>
      </c>
      <c r="Q48" s="63">
        <f t="shared" si="0"/>
        <v>121.18</v>
      </c>
    </row>
    <row r="49" spans="1:17" ht="29" x14ac:dyDescent="0.35">
      <c r="A49" t="s">
        <v>35</v>
      </c>
      <c r="B49" t="s">
        <v>852</v>
      </c>
      <c r="C49" t="s">
        <v>10</v>
      </c>
      <c r="D49" t="s">
        <v>11</v>
      </c>
      <c r="E49">
        <v>121.8</v>
      </c>
      <c r="F49" t="s">
        <v>88</v>
      </c>
      <c r="G49" s="19">
        <v>45594</v>
      </c>
      <c r="H49" t="s">
        <v>94</v>
      </c>
      <c r="I49" s="55" t="s">
        <v>428</v>
      </c>
      <c r="J49" s="55" t="s">
        <v>2232</v>
      </c>
      <c r="M49" s="55" t="s">
        <v>2233</v>
      </c>
      <c r="Q49" s="63">
        <f t="shared" si="0"/>
        <v>121.8</v>
      </c>
    </row>
    <row r="50" spans="1:17" ht="29" x14ac:dyDescent="0.35">
      <c r="A50" t="s">
        <v>35</v>
      </c>
      <c r="B50" t="s">
        <v>1032</v>
      </c>
      <c r="C50" t="s">
        <v>10</v>
      </c>
      <c r="D50" t="s">
        <v>11</v>
      </c>
      <c r="E50">
        <v>132.85</v>
      </c>
      <c r="F50" t="s">
        <v>88</v>
      </c>
      <c r="G50" s="19">
        <v>45595</v>
      </c>
      <c r="H50" t="s">
        <v>94</v>
      </c>
      <c r="I50" s="55" t="s">
        <v>2234</v>
      </c>
      <c r="J50" s="55" t="s">
        <v>2235</v>
      </c>
      <c r="M50" s="55" t="s">
        <v>2236</v>
      </c>
      <c r="Q50" s="63">
        <f t="shared" si="0"/>
        <v>132.85</v>
      </c>
    </row>
    <row r="51" spans="1:17" ht="29" x14ac:dyDescent="0.35">
      <c r="A51" t="s">
        <v>0</v>
      </c>
      <c r="B51" t="s">
        <v>614</v>
      </c>
      <c r="C51" t="s">
        <v>10</v>
      </c>
      <c r="D51" t="s">
        <v>11</v>
      </c>
      <c r="E51">
        <v>10313.77</v>
      </c>
      <c r="F51" t="s">
        <v>88</v>
      </c>
      <c r="G51" s="19">
        <v>45597</v>
      </c>
      <c r="H51" t="s">
        <v>89</v>
      </c>
      <c r="I51" s="55" t="s">
        <v>2237</v>
      </c>
      <c r="K51" s="55" t="s">
        <v>2238</v>
      </c>
      <c r="L51" s="55" t="s">
        <v>2239</v>
      </c>
      <c r="M51" s="55" t="s">
        <v>163</v>
      </c>
      <c r="Q51" s="63">
        <f t="shared" si="0"/>
        <v>10313.77</v>
      </c>
    </row>
    <row r="52" spans="1:17" ht="43.5" x14ac:dyDescent="0.35">
      <c r="A52" t="s">
        <v>35</v>
      </c>
      <c r="B52" t="s">
        <v>867</v>
      </c>
      <c r="C52" t="s">
        <v>10</v>
      </c>
      <c r="D52" t="s">
        <v>11</v>
      </c>
      <c r="E52">
        <v>92.36</v>
      </c>
      <c r="F52" t="s">
        <v>88</v>
      </c>
      <c r="G52" s="19">
        <v>45618</v>
      </c>
      <c r="H52" t="s">
        <v>94</v>
      </c>
      <c r="I52" s="55" t="s">
        <v>2240</v>
      </c>
      <c r="J52" s="55" t="s">
        <v>2241</v>
      </c>
      <c r="M52" s="55" t="s">
        <v>2242</v>
      </c>
      <c r="Q52" s="63">
        <f t="shared" si="0"/>
        <v>92.36</v>
      </c>
    </row>
    <row r="53" spans="1:17" ht="29" x14ac:dyDescent="0.35">
      <c r="A53" t="s">
        <v>0</v>
      </c>
      <c r="B53" t="s">
        <v>623</v>
      </c>
      <c r="C53" t="s">
        <v>10</v>
      </c>
      <c r="D53" t="s">
        <v>11</v>
      </c>
      <c r="E53">
        <v>4360.88</v>
      </c>
      <c r="F53" t="s">
        <v>88</v>
      </c>
      <c r="G53" s="19">
        <v>45621</v>
      </c>
      <c r="H53" t="s">
        <v>89</v>
      </c>
      <c r="I53" s="55" t="s">
        <v>2243</v>
      </c>
      <c r="K53" s="55" t="s">
        <v>2244</v>
      </c>
      <c r="L53" s="55" t="s">
        <v>2245</v>
      </c>
      <c r="M53" s="55" t="s">
        <v>2182</v>
      </c>
      <c r="Q53" s="63">
        <f t="shared" si="0"/>
        <v>4360.88</v>
      </c>
    </row>
    <row r="54" spans="1:17" ht="29" x14ac:dyDescent="0.35">
      <c r="A54" t="s">
        <v>0</v>
      </c>
      <c r="B54" t="s">
        <v>642</v>
      </c>
      <c r="C54" t="s">
        <v>10</v>
      </c>
      <c r="D54" t="s">
        <v>11</v>
      </c>
      <c r="E54">
        <v>20000</v>
      </c>
      <c r="F54" t="s">
        <v>88</v>
      </c>
      <c r="G54" s="19">
        <v>45621</v>
      </c>
      <c r="H54" t="s">
        <v>89</v>
      </c>
      <c r="I54" s="55" t="s">
        <v>2246</v>
      </c>
      <c r="K54" s="55" t="s">
        <v>2247</v>
      </c>
      <c r="L54" s="55" t="s">
        <v>2248</v>
      </c>
      <c r="M54" s="55" t="s">
        <v>2249</v>
      </c>
      <c r="Q54" s="63">
        <f t="shared" si="0"/>
        <v>20000</v>
      </c>
    </row>
    <row r="55" spans="1:17" ht="29" x14ac:dyDescent="0.35">
      <c r="A55" t="s">
        <v>0</v>
      </c>
      <c r="B55" t="s">
        <v>2158</v>
      </c>
      <c r="C55" t="s">
        <v>10</v>
      </c>
      <c r="D55" t="s">
        <v>11</v>
      </c>
      <c r="E55">
        <v>9911.09</v>
      </c>
      <c r="F55" t="s">
        <v>88</v>
      </c>
      <c r="G55" s="19">
        <v>45628</v>
      </c>
      <c r="H55" t="s">
        <v>89</v>
      </c>
      <c r="I55" s="55" t="s">
        <v>2250</v>
      </c>
      <c r="K55" s="55" t="s">
        <v>2251</v>
      </c>
      <c r="L55" s="55" t="s">
        <v>2252</v>
      </c>
      <c r="M55" s="55" t="s">
        <v>2253</v>
      </c>
      <c r="Q55" s="63">
        <f t="shared" si="0"/>
        <v>9911.09</v>
      </c>
    </row>
    <row r="56" spans="1:17" ht="29" x14ac:dyDescent="0.35">
      <c r="A56" t="s">
        <v>0</v>
      </c>
      <c r="B56" t="s">
        <v>732</v>
      </c>
      <c r="C56" t="s">
        <v>10</v>
      </c>
      <c r="D56" t="s">
        <v>11</v>
      </c>
      <c r="E56">
        <v>14866.64</v>
      </c>
      <c r="F56" t="s">
        <v>88</v>
      </c>
      <c r="G56" s="19">
        <v>45628</v>
      </c>
      <c r="H56" t="s">
        <v>89</v>
      </c>
      <c r="I56" s="55" t="s">
        <v>2254</v>
      </c>
      <c r="K56" s="55" t="s">
        <v>2255</v>
      </c>
      <c r="L56" s="55" t="s">
        <v>2256</v>
      </c>
      <c r="M56" s="55" t="s">
        <v>2257</v>
      </c>
      <c r="Q56" s="63">
        <f t="shared" si="0"/>
        <v>14866.64</v>
      </c>
    </row>
    <row r="57" spans="1:17" ht="29" x14ac:dyDescent="0.35">
      <c r="A57" t="s">
        <v>0</v>
      </c>
      <c r="B57" t="s">
        <v>2258</v>
      </c>
      <c r="C57" t="s">
        <v>10</v>
      </c>
      <c r="D57" t="s">
        <v>11</v>
      </c>
      <c r="E57">
        <v>8919.98</v>
      </c>
      <c r="F57" t="s">
        <v>88</v>
      </c>
      <c r="G57" s="19">
        <v>45628</v>
      </c>
      <c r="H57" t="s">
        <v>89</v>
      </c>
      <c r="I57" s="55" t="s">
        <v>2254</v>
      </c>
      <c r="K57" s="55" t="s">
        <v>2255</v>
      </c>
      <c r="L57" s="55" t="s">
        <v>2256</v>
      </c>
      <c r="M57" s="55" t="s">
        <v>2257</v>
      </c>
      <c r="Q57" s="63">
        <f t="shared" si="0"/>
        <v>8919.98</v>
      </c>
    </row>
    <row r="58" spans="1:17" ht="29" x14ac:dyDescent="0.35">
      <c r="A58" t="s">
        <v>35</v>
      </c>
      <c r="B58" t="s">
        <v>1221</v>
      </c>
      <c r="C58" t="s">
        <v>10</v>
      </c>
      <c r="D58" t="s">
        <v>11</v>
      </c>
      <c r="E58">
        <v>1646.86</v>
      </c>
      <c r="F58" t="s">
        <v>88</v>
      </c>
      <c r="G58" s="19">
        <v>45628</v>
      </c>
      <c r="H58" t="s">
        <v>89</v>
      </c>
      <c r="I58" s="55" t="s">
        <v>2259</v>
      </c>
      <c r="K58" s="55" t="s">
        <v>2260</v>
      </c>
      <c r="L58" s="55" t="s">
        <v>2261</v>
      </c>
      <c r="M58" s="55" t="s">
        <v>2262</v>
      </c>
      <c r="Q58" s="63">
        <f t="shared" si="0"/>
        <v>1646.86</v>
      </c>
    </row>
    <row r="59" spans="1:17" ht="29" x14ac:dyDescent="0.35">
      <c r="A59" t="s">
        <v>0</v>
      </c>
      <c r="B59" t="s">
        <v>2263</v>
      </c>
      <c r="C59" t="s">
        <v>10</v>
      </c>
      <c r="D59" t="s">
        <v>11</v>
      </c>
      <c r="E59">
        <v>7928.87</v>
      </c>
      <c r="F59" t="s">
        <v>88</v>
      </c>
      <c r="G59" s="19">
        <v>45629</v>
      </c>
      <c r="H59" t="s">
        <v>89</v>
      </c>
      <c r="I59" s="55" t="s">
        <v>2264</v>
      </c>
      <c r="K59" s="55" t="s">
        <v>2265</v>
      </c>
      <c r="L59" s="55" t="s">
        <v>2266</v>
      </c>
      <c r="M59" s="55" t="s">
        <v>2267</v>
      </c>
      <c r="Q59" s="63">
        <f t="shared" si="0"/>
        <v>7928.87</v>
      </c>
    </row>
    <row r="60" spans="1:17" ht="29" x14ac:dyDescent="0.35">
      <c r="A60" t="s">
        <v>0</v>
      </c>
      <c r="B60" t="s">
        <v>623</v>
      </c>
      <c r="C60" t="s">
        <v>10</v>
      </c>
      <c r="D60" t="s">
        <v>11</v>
      </c>
      <c r="E60">
        <v>19822.18</v>
      </c>
      <c r="F60" t="s">
        <v>88</v>
      </c>
      <c r="G60" s="19">
        <v>45629</v>
      </c>
      <c r="H60" t="s">
        <v>89</v>
      </c>
      <c r="I60" s="55" t="s">
        <v>2268</v>
      </c>
      <c r="K60" s="55" t="s">
        <v>2269</v>
      </c>
      <c r="L60" s="55" t="s">
        <v>2270</v>
      </c>
      <c r="M60" s="55" t="s">
        <v>2174</v>
      </c>
      <c r="Q60" s="63">
        <f t="shared" si="0"/>
        <v>19822.18</v>
      </c>
    </row>
    <row r="61" spans="1:17" ht="29" x14ac:dyDescent="0.35">
      <c r="A61" t="s">
        <v>0</v>
      </c>
      <c r="B61" t="s">
        <v>2263</v>
      </c>
      <c r="C61" t="s">
        <v>10</v>
      </c>
      <c r="D61" t="s">
        <v>11</v>
      </c>
      <c r="E61">
        <v>14866.63</v>
      </c>
      <c r="F61" t="s">
        <v>88</v>
      </c>
      <c r="G61" s="19">
        <v>45629</v>
      </c>
      <c r="H61" t="s">
        <v>89</v>
      </c>
      <c r="I61" s="55" t="s">
        <v>2271</v>
      </c>
      <c r="K61" s="55" t="s">
        <v>2272</v>
      </c>
      <c r="L61" s="55" t="s">
        <v>2273</v>
      </c>
      <c r="M61" s="55" t="s">
        <v>2106</v>
      </c>
      <c r="Q61" s="63">
        <f t="shared" si="0"/>
        <v>14866.63</v>
      </c>
    </row>
    <row r="62" spans="1:17" ht="29" x14ac:dyDescent="0.35">
      <c r="A62" t="s">
        <v>0</v>
      </c>
      <c r="B62" t="s">
        <v>623</v>
      </c>
      <c r="C62" t="s">
        <v>10</v>
      </c>
      <c r="D62" t="s">
        <v>11</v>
      </c>
      <c r="E62">
        <v>87217.61</v>
      </c>
      <c r="F62" t="s">
        <v>88</v>
      </c>
      <c r="G62" s="19">
        <v>45629</v>
      </c>
      <c r="H62" t="s">
        <v>89</v>
      </c>
      <c r="I62" s="55" t="s">
        <v>2271</v>
      </c>
      <c r="K62" s="55" t="s">
        <v>2274</v>
      </c>
      <c r="L62" s="55" t="s">
        <v>2273</v>
      </c>
      <c r="M62" s="55" t="s">
        <v>2106</v>
      </c>
      <c r="Q62" s="63">
        <f t="shared" si="0"/>
        <v>87217.61</v>
      </c>
    </row>
    <row r="63" spans="1:17" ht="29" x14ac:dyDescent="0.35">
      <c r="A63" t="s">
        <v>0</v>
      </c>
      <c r="B63" t="s">
        <v>2158</v>
      </c>
      <c r="C63" t="s">
        <v>10</v>
      </c>
      <c r="D63" t="s">
        <v>11</v>
      </c>
      <c r="E63">
        <v>1090.22</v>
      </c>
      <c r="F63" t="s">
        <v>88</v>
      </c>
      <c r="G63" s="19">
        <v>45631</v>
      </c>
      <c r="H63" t="s">
        <v>89</v>
      </c>
      <c r="I63" s="55" t="s">
        <v>2275</v>
      </c>
      <c r="K63" s="55" t="s">
        <v>2276</v>
      </c>
      <c r="L63" s="55" t="s">
        <v>2277</v>
      </c>
      <c r="M63" s="55" t="s">
        <v>2278</v>
      </c>
      <c r="Q63" s="63">
        <f t="shared" si="0"/>
        <v>1090.22</v>
      </c>
    </row>
    <row r="64" spans="1:17" ht="29" x14ac:dyDescent="0.35">
      <c r="A64" t="s">
        <v>0</v>
      </c>
      <c r="B64" t="s">
        <v>2258</v>
      </c>
      <c r="C64" t="s">
        <v>10</v>
      </c>
      <c r="D64" t="s">
        <v>11</v>
      </c>
      <c r="E64">
        <v>12500</v>
      </c>
      <c r="F64" t="s">
        <v>88</v>
      </c>
      <c r="G64" s="19">
        <v>45631</v>
      </c>
      <c r="H64" t="s">
        <v>89</v>
      </c>
      <c r="I64" s="55" t="s">
        <v>2279</v>
      </c>
      <c r="K64" s="55" t="s">
        <v>2280</v>
      </c>
      <c r="L64" s="55" t="s">
        <v>2281</v>
      </c>
      <c r="M64" s="55" t="s">
        <v>2282</v>
      </c>
      <c r="Q64" s="63">
        <f t="shared" si="0"/>
        <v>12500</v>
      </c>
    </row>
    <row r="65" spans="1:17" ht="29" x14ac:dyDescent="0.35">
      <c r="A65" t="s">
        <v>35</v>
      </c>
      <c r="B65" t="s">
        <v>599</v>
      </c>
      <c r="C65" t="s">
        <v>10</v>
      </c>
      <c r="D65" t="s">
        <v>11</v>
      </c>
      <c r="E65">
        <v>490</v>
      </c>
      <c r="F65" t="s">
        <v>88</v>
      </c>
      <c r="G65" s="19">
        <v>45631</v>
      </c>
      <c r="H65" t="s">
        <v>94</v>
      </c>
      <c r="I65" s="55" t="s">
        <v>135</v>
      </c>
      <c r="J65" s="55" t="s">
        <v>2283</v>
      </c>
      <c r="M65" s="55" t="s">
        <v>2284</v>
      </c>
      <c r="Q65" s="63">
        <f t="shared" si="0"/>
        <v>490</v>
      </c>
    </row>
    <row r="66" spans="1:17" ht="29" x14ac:dyDescent="0.35">
      <c r="A66" t="s">
        <v>35</v>
      </c>
      <c r="B66" t="s">
        <v>599</v>
      </c>
      <c r="C66" t="s">
        <v>10</v>
      </c>
      <c r="D66" t="s">
        <v>11</v>
      </c>
      <c r="E66">
        <v>70</v>
      </c>
      <c r="F66" t="s">
        <v>88</v>
      </c>
      <c r="G66" s="19">
        <v>45631</v>
      </c>
      <c r="H66" t="s">
        <v>94</v>
      </c>
      <c r="I66" s="55" t="s">
        <v>135</v>
      </c>
      <c r="J66" s="55" t="s">
        <v>2285</v>
      </c>
      <c r="M66" s="55" t="s">
        <v>2284</v>
      </c>
      <c r="Q66" s="63">
        <f t="shared" si="0"/>
        <v>70</v>
      </c>
    </row>
    <row r="67" spans="1:17" ht="29" x14ac:dyDescent="0.35">
      <c r="A67" t="s">
        <v>35</v>
      </c>
      <c r="B67" t="s">
        <v>599</v>
      </c>
      <c r="C67" t="s">
        <v>10</v>
      </c>
      <c r="D67" t="s">
        <v>11</v>
      </c>
      <c r="E67">
        <v>70</v>
      </c>
      <c r="F67" t="s">
        <v>88</v>
      </c>
      <c r="G67" s="19">
        <v>45631</v>
      </c>
      <c r="H67" t="s">
        <v>94</v>
      </c>
      <c r="I67" s="55" t="s">
        <v>135</v>
      </c>
      <c r="J67" s="55" t="s">
        <v>2286</v>
      </c>
      <c r="M67" s="55" t="s">
        <v>2284</v>
      </c>
      <c r="Q67" s="63">
        <f t="shared" si="0"/>
        <v>70</v>
      </c>
    </row>
    <row r="68" spans="1:17" ht="29" x14ac:dyDescent="0.35">
      <c r="A68" t="s">
        <v>0</v>
      </c>
      <c r="B68" t="s">
        <v>2162</v>
      </c>
      <c r="C68" t="s">
        <v>10</v>
      </c>
      <c r="D68" t="s">
        <v>11</v>
      </c>
      <c r="E68">
        <v>3270.66</v>
      </c>
      <c r="F68" t="s">
        <v>88</v>
      </c>
      <c r="G68" s="19">
        <v>45632</v>
      </c>
      <c r="H68" t="s">
        <v>89</v>
      </c>
      <c r="I68" s="55" t="s">
        <v>2287</v>
      </c>
      <c r="K68" s="55" t="s">
        <v>2288</v>
      </c>
      <c r="L68" s="55" t="s">
        <v>2289</v>
      </c>
      <c r="M68" s="55" t="s">
        <v>2290</v>
      </c>
      <c r="Q68" s="63">
        <f t="shared" si="0"/>
        <v>3270.66</v>
      </c>
    </row>
    <row r="69" spans="1:17" ht="29" x14ac:dyDescent="0.35">
      <c r="A69" t="s">
        <v>0</v>
      </c>
      <c r="B69" t="s">
        <v>2162</v>
      </c>
      <c r="C69" t="s">
        <v>10</v>
      </c>
      <c r="D69" t="s">
        <v>11</v>
      </c>
      <c r="E69">
        <v>7928.87</v>
      </c>
      <c r="F69" t="s">
        <v>88</v>
      </c>
      <c r="G69" s="19">
        <v>45632</v>
      </c>
      <c r="H69" t="s">
        <v>89</v>
      </c>
      <c r="I69" s="55" t="s">
        <v>2291</v>
      </c>
      <c r="K69" s="55" t="s">
        <v>2255</v>
      </c>
      <c r="L69" s="55" t="s">
        <v>2292</v>
      </c>
      <c r="M69" s="55" t="s">
        <v>2257</v>
      </c>
      <c r="Q69" s="63">
        <f t="shared" si="0"/>
        <v>7928.87</v>
      </c>
    </row>
    <row r="70" spans="1:17" ht="29" x14ac:dyDescent="0.35">
      <c r="A70" t="s">
        <v>0</v>
      </c>
      <c r="B70" t="s">
        <v>2170</v>
      </c>
      <c r="C70" t="s">
        <v>10</v>
      </c>
      <c r="D70" t="s">
        <v>11</v>
      </c>
      <c r="E70">
        <v>20000</v>
      </c>
      <c r="F70" t="s">
        <v>88</v>
      </c>
      <c r="G70" s="19">
        <v>45632</v>
      </c>
      <c r="H70" t="s">
        <v>89</v>
      </c>
      <c r="I70" s="55" t="s">
        <v>2293</v>
      </c>
      <c r="K70" s="55" t="s">
        <v>2294</v>
      </c>
      <c r="L70" s="55" t="s">
        <v>2295</v>
      </c>
      <c r="M70" s="55" t="s">
        <v>2296</v>
      </c>
      <c r="Q70" s="63">
        <f t="shared" si="0"/>
        <v>20000</v>
      </c>
    </row>
    <row r="71" spans="1:17" ht="29" x14ac:dyDescent="0.35">
      <c r="A71" t="s">
        <v>0</v>
      </c>
      <c r="B71" t="s">
        <v>2158</v>
      </c>
      <c r="C71" t="s">
        <v>10</v>
      </c>
      <c r="D71" t="s">
        <v>11</v>
      </c>
      <c r="E71">
        <v>2000</v>
      </c>
      <c r="F71" t="s">
        <v>88</v>
      </c>
      <c r="G71" s="19">
        <v>45632</v>
      </c>
      <c r="H71" t="s">
        <v>89</v>
      </c>
      <c r="I71" s="55" t="s">
        <v>2293</v>
      </c>
      <c r="K71" s="55" t="s">
        <v>2294</v>
      </c>
      <c r="L71" s="55" t="s">
        <v>2295</v>
      </c>
      <c r="M71" s="55" t="s">
        <v>2296</v>
      </c>
      <c r="Q71" s="63">
        <f t="shared" si="0"/>
        <v>2000</v>
      </c>
    </row>
    <row r="72" spans="1:17" ht="29" x14ac:dyDescent="0.35">
      <c r="A72" t="s">
        <v>0</v>
      </c>
      <c r="B72" t="s">
        <v>2158</v>
      </c>
      <c r="C72" t="s">
        <v>10</v>
      </c>
      <c r="D72" t="s">
        <v>11</v>
      </c>
      <c r="E72">
        <v>2180.44</v>
      </c>
      <c r="F72" t="s">
        <v>88</v>
      </c>
      <c r="G72" s="19">
        <v>45635</v>
      </c>
      <c r="H72" t="s">
        <v>89</v>
      </c>
      <c r="I72" s="55" t="s">
        <v>2297</v>
      </c>
      <c r="K72" s="55" t="s">
        <v>2298</v>
      </c>
      <c r="L72" s="55" t="s">
        <v>2299</v>
      </c>
      <c r="M72" s="55" t="s">
        <v>2278</v>
      </c>
      <c r="Q72" s="63">
        <f t="shared" si="0"/>
        <v>2180.44</v>
      </c>
    </row>
    <row r="73" spans="1:17" ht="58" x14ac:dyDescent="0.35">
      <c r="A73" t="s">
        <v>35</v>
      </c>
      <c r="B73" t="s">
        <v>1123</v>
      </c>
      <c r="C73" t="s">
        <v>10</v>
      </c>
      <c r="D73" t="s">
        <v>11</v>
      </c>
      <c r="E73">
        <v>57.66</v>
      </c>
      <c r="F73" t="s">
        <v>88</v>
      </c>
      <c r="G73" s="19">
        <v>45635</v>
      </c>
      <c r="H73" t="s">
        <v>94</v>
      </c>
      <c r="I73" s="55" t="s">
        <v>1129</v>
      </c>
      <c r="K73" s="55" t="s">
        <v>2300</v>
      </c>
      <c r="M73" s="55" t="s">
        <v>2301</v>
      </c>
      <c r="Q73" s="63">
        <f t="shared" ref="Q73:Q77" si="1">ABS(E73)</f>
        <v>57.66</v>
      </c>
    </row>
    <row r="74" spans="1:17" ht="29" x14ac:dyDescent="0.35">
      <c r="A74" t="s">
        <v>0</v>
      </c>
      <c r="B74" t="s">
        <v>934</v>
      </c>
      <c r="C74" t="s">
        <v>10</v>
      </c>
      <c r="D74" t="s">
        <v>11</v>
      </c>
      <c r="E74">
        <v>109509</v>
      </c>
      <c r="F74" t="s">
        <v>88</v>
      </c>
      <c r="G74" s="19">
        <v>45636</v>
      </c>
      <c r="H74" t="s">
        <v>89</v>
      </c>
      <c r="I74" s="55" t="s">
        <v>2302</v>
      </c>
      <c r="K74" s="55" t="s">
        <v>2303</v>
      </c>
      <c r="L74" s="55" t="s">
        <v>2289</v>
      </c>
      <c r="M74" s="55" t="s">
        <v>2304</v>
      </c>
      <c r="Q74" s="63">
        <f t="shared" si="1"/>
        <v>109509</v>
      </c>
    </row>
    <row r="75" spans="1:17" ht="29" x14ac:dyDescent="0.35">
      <c r="A75" t="s">
        <v>0</v>
      </c>
      <c r="B75" t="s">
        <v>2305</v>
      </c>
      <c r="C75" t="s">
        <v>10</v>
      </c>
      <c r="D75" t="s">
        <v>11</v>
      </c>
      <c r="E75">
        <v>27500</v>
      </c>
      <c r="F75" t="s">
        <v>88</v>
      </c>
      <c r="G75" s="19">
        <v>45636</v>
      </c>
      <c r="H75" t="s">
        <v>2306</v>
      </c>
      <c r="I75" s="55" t="s">
        <v>2306</v>
      </c>
      <c r="Q75" s="63">
        <f t="shared" si="1"/>
        <v>27500</v>
      </c>
    </row>
    <row r="76" spans="1:17" ht="29" x14ac:dyDescent="0.35">
      <c r="A76" t="s">
        <v>35</v>
      </c>
      <c r="B76" t="s">
        <v>789</v>
      </c>
      <c r="C76" t="s">
        <v>10</v>
      </c>
      <c r="D76" t="s">
        <v>11</v>
      </c>
      <c r="E76">
        <v>25.87</v>
      </c>
      <c r="F76" t="s">
        <v>88</v>
      </c>
      <c r="G76" s="19">
        <v>45644</v>
      </c>
      <c r="H76" t="s">
        <v>94</v>
      </c>
      <c r="I76" s="55" t="s">
        <v>2307</v>
      </c>
      <c r="J76" s="55" t="s">
        <v>2308</v>
      </c>
      <c r="M76" s="55" t="s">
        <v>2309</v>
      </c>
      <c r="Q76" s="63">
        <f t="shared" si="1"/>
        <v>25.87</v>
      </c>
    </row>
    <row r="77" spans="1:17" ht="29" x14ac:dyDescent="0.35">
      <c r="A77" t="s">
        <v>35</v>
      </c>
      <c r="B77" t="s">
        <v>724</v>
      </c>
      <c r="C77" t="s">
        <v>10</v>
      </c>
      <c r="D77" t="s">
        <v>11</v>
      </c>
      <c r="E77">
        <v>1396.06</v>
      </c>
      <c r="F77" t="s">
        <v>88</v>
      </c>
      <c r="G77" s="19">
        <v>45644</v>
      </c>
      <c r="H77" t="s">
        <v>94</v>
      </c>
      <c r="I77" s="55" t="s">
        <v>2310</v>
      </c>
      <c r="J77" s="55" t="s">
        <v>2311</v>
      </c>
      <c r="M77" s="55" t="s">
        <v>2312</v>
      </c>
      <c r="Q77" s="63">
        <f t="shared" si="1"/>
        <v>1396.06</v>
      </c>
    </row>
  </sheetData>
  <autoFilter ref="A7:AE7" xr:uid="{8DA5927B-35BD-499F-95EC-E8ABF7104F17}"/>
  <sortState xmlns:xlrd2="http://schemas.microsoft.com/office/spreadsheetml/2017/richdata2" ref="A7:Q14">
    <sortCondition descending="1" ref="Q7:Q14"/>
  </sortState>
  <mergeCells count="1">
    <mergeCell ref="AC6:AD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16DB9-D9DB-4678-AA26-F2AE6C5698C4}">
  <sheetPr>
    <tabColor rgb="FF00B050"/>
  </sheetPr>
  <dimension ref="A1:AE45"/>
  <sheetViews>
    <sheetView workbookViewId="0">
      <selection activeCell="C3" sqref="C3"/>
    </sheetView>
  </sheetViews>
  <sheetFormatPr defaultRowHeight="14.5" x14ac:dyDescent="0.35"/>
  <cols>
    <col min="1" max="2" width="5.81640625" customWidth="1"/>
    <col min="3" max="3" width="12.7265625" bestFit="1" customWidth="1"/>
    <col min="4" max="5" width="4.54296875" customWidth="1"/>
    <col min="6" max="7" width="4.54296875" style="19" customWidth="1"/>
    <col min="8" max="8" width="4.54296875" customWidth="1"/>
    <col min="9" max="9" width="27.1796875" customWidth="1"/>
    <col min="10" max="10" width="6.26953125" style="55" customWidth="1"/>
    <col min="11" max="11" width="24.1796875" style="55" customWidth="1"/>
    <col min="12" max="12" width="8.7265625" style="55"/>
    <col min="13" max="13" width="16.54296875" style="55" customWidth="1"/>
    <col min="14" max="14" width="11.1796875" style="55" customWidth="1"/>
    <col min="15" max="15" width="7.81640625" customWidth="1"/>
    <col min="16" max="16" width="2.7265625" style="5" customWidth="1"/>
    <col min="18" max="18" width="3.26953125" style="55" customWidth="1"/>
    <col min="19" max="19" width="25.7265625" style="55" customWidth="1"/>
    <col min="22" max="28" width="2.1796875" customWidth="1"/>
  </cols>
  <sheetData>
    <row r="1" spans="1:31" x14ac:dyDescent="0.35">
      <c r="A1" t="s">
        <v>69</v>
      </c>
      <c r="C1" s="24">
        <f>Summary!A14</f>
        <v>5160008000</v>
      </c>
      <c r="D1" s="3"/>
      <c r="Q1" s="3"/>
    </row>
    <row r="2" spans="1:31" x14ac:dyDescent="0.35">
      <c r="A2" t="s">
        <v>70</v>
      </c>
      <c r="C2" s="24" t="str">
        <f>Summary!B14</f>
        <v>Promotional gifts</v>
      </c>
      <c r="D2" s="3"/>
      <c r="G2" s="19" t="s">
        <v>141</v>
      </c>
      <c r="Q2" s="3"/>
    </row>
    <row r="3" spans="1:31" x14ac:dyDescent="0.35">
      <c r="A3" t="s">
        <v>71</v>
      </c>
      <c r="C3" s="22">
        <v>61100.46</v>
      </c>
      <c r="D3" s="3"/>
      <c r="G3" s="19" t="s">
        <v>257</v>
      </c>
      <c r="Q3" s="3"/>
    </row>
    <row r="4" spans="1:31" x14ac:dyDescent="0.35">
      <c r="A4" t="s">
        <v>45</v>
      </c>
      <c r="C4" s="22">
        <f>SUM(E:E)</f>
        <v>61100.459999999992</v>
      </c>
      <c r="D4" s="3"/>
      <c r="Q4" s="3"/>
      <c r="T4" s="24" t="s">
        <v>0</v>
      </c>
      <c r="U4" s="3">
        <f>SUMIF($A$10:$A$23973,"AU001",U9:U23972)</f>
        <v>0</v>
      </c>
    </row>
    <row r="5" spans="1:31" ht="15" thickBot="1" x14ac:dyDescent="0.4">
      <c r="A5" t="s">
        <v>72</v>
      </c>
      <c r="C5" s="3">
        <f>C3-C4</f>
        <v>0</v>
      </c>
      <c r="D5" s="3"/>
      <c r="Q5" s="30"/>
      <c r="R5" s="57"/>
      <c r="T5" s="24" t="s">
        <v>35</v>
      </c>
      <c r="U5" s="3">
        <f>SUMIF($A$10:$A$23974,"AU052",U9:U23973)</f>
        <v>0</v>
      </c>
    </row>
    <row r="6" spans="1:31" ht="15" thickBot="1" x14ac:dyDescent="0.4">
      <c r="D6" s="3"/>
      <c r="Q6" s="3"/>
      <c r="AC6" s="191" t="s">
        <v>44</v>
      </c>
      <c r="AD6" s="192"/>
    </row>
    <row r="7" spans="1:31" ht="86.15" customHeight="1" thickBot="1" x14ac:dyDescent="0.4">
      <c r="A7" s="1" t="s">
        <v>74</v>
      </c>
      <c r="B7" s="2" t="s">
        <v>597</v>
      </c>
      <c r="C7" s="2" t="s">
        <v>75</v>
      </c>
      <c r="D7" s="2" t="s">
        <v>76</v>
      </c>
      <c r="E7" s="2" t="s">
        <v>77</v>
      </c>
      <c r="F7" s="2" t="s">
        <v>78</v>
      </c>
      <c r="G7" s="162" t="s">
        <v>79</v>
      </c>
      <c r="H7" s="2" t="s">
        <v>80</v>
      </c>
      <c r="I7" s="2" t="s">
        <v>81</v>
      </c>
      <c r="J7" s="157" t="s">
        <v>82</v>
      </c>
      <c r="K7" s="157" t="s">
        <v>83</v>
      </c>
      <c r="L7" s="157" t="s">
        <v>84</v>
      </c>
      <c r="M7" s="157" t="s">
        <v>85</v>
      </c>
      <c r="N7" s="157" t="s">
        <v>86</v>
      </c>
      <c r="O7" s="163" t="s">
        <v>585</v>
      </c>
      <c r="Q7" s="31" t="s">
        <v>136</v>
      </c>
      <c r="R7" s="25" t="s">
        <v>87</v>
      </c>
      <c r="S7" s="8" t="s">
        <v>46</v>
      </c>
      <c r="T7" s="7" t="s">
        <v>47</v>
      </c>
      <c r="U7" s="8" t="s">
        <v>48</v>
      </c>
      <c r="V7" s="9" t="s">
        <v>49</v>
      </c>
      <c r="W7" s="10" t="s">
        <v>50</v>
      </c>
      <c r="X7" s="11" t="s">
        <v>51</v>
      </c>
      <c r="Y7" s="12" t="s">
        <v>52</v>
      </c>
      <c r="Z7" s="13" t="s">
        <v>53</v>
      </c>
      <c r="AA7" s="13" t="s">
        <v>54</v>
      </c>
      <c r="AB7" s="13" t="s">
        <v>55</v>
      </c>
      <c r="AC7" s="14" t="s">
        <v>56</v>
      </c>
      <c r="AD7" s="14" t="s">
        <v>57</v>
      </c>
      <c r="AE7" s="15" t="s">
        <v>58</v>
      </c>
    </row>
    <row r="8" spans="1:31" ht="29" x14ac:dyDescent="0.35">
      <c r="A8" t="s">
        <v>0</v>
      </c>
      <c r="B8" t="s">
        <v>623</v>
      </c>
      <c r="C8" t="s">
        <v>12</v>
      </c>
      <c r="D8" t="s">
        <v>13</v>
      </c>
      <c r="E8">
        <v>11806.55</v>
      </c>
      <c r="F8" t="s">
        <v>88</v>
      </c>
      <c r="G8" s="19">
        <v>45523</v>
      </c>
      <c r="H8" t="s">
        <v>89</v>
      </c>
      <c r="I8" t="s">
        <v>2342</v>
      </c>
      <c r="K8" s="55" t="s">
        <v>2343</v>
      </c>
      <c r="L8" s="55" t="s">
        <v>2344</v>
      </c>
      <c r="M8" s="55" t="s">
        <v>1771</v>
      </c>
      <c r="Q8">
        <f t="shared" ref="Q8:Q45" si="0">ABS(E8)</f>
        <v>11806.55</v>
      </c>
      <c r="S8" s="55" t="s">
        <v>2388</v>
      </c>
    </row>
    <row r="9" spans="1:31" x14ac:dyDescent="0.35">
      <c r="A9" t="s">
        <v>35</v>
      </c>
      <c r="B9" t="s">
        <v>1280</v>
      </c>
      <c r="C9" t="s">
        <v>12</v>
      </c>
      <c r="D9" t="s">
        <v>13</v>
      </c>
      <c r="E9">
        <v>10044.09</v>
      </c>
      <c r="F9" t="s">
        <v>88</v>
      </c>
      <c r="G9" s="19">
        <v>45645</v>
      </c>
      <c r="H9" t="s">
        <v>94</v>
      </c>
      <c r="I9" t="s">
        <v>958</v>
      </c>
      <c r="K9" s="55" t="s">
        <v>2386</v>
      </c>
      <c r="M9" s="55" t="s">
        <v>2387</v>
      </c>
      <c r="Q9">
        <f t="shared" si="0"/>
        <v>10044.09</v>
      </c>
      <c r="S9" s="55" t="s">
        <v>2397</v>
      </c>
    </row>
    <row r="10" spans="1:31" ht="29" x14ac:dyDescent="0.35">
      <c r="A10" t="s">
        <v>0</v>
      </c>
      <c r="B10" t="s">
        <v>2258</v>
      </c>
      <c r="C10" t="s">
        <v>12</v>
      </c>
      <c r="D10" t="s">
        <v>13</v>
      </c>
      <c r="E10">
        <v>5394.45</v>
      </c>
      <c r="F10" t="s">
        <v>88</v>
      </c>
      <c r="G10" s="19">
        <v>45630</v>
      </c>
      <c r="H10" t="s">
        <v>89</v>
      </c>
      <c r="I10" t="s">
        <v>2360</v>
      </c>
      <c r="K10" s="55" t="s">
        <v>2361</v>
      </c>
      <c r="L10" s="55" t="s">
        <v>2362</v>
      </c>
      <c r="M10" s="55" t="s">
        <v>1771</v>
      </c>
      <c r="Q10">
        <f t="shared" si="0"/>
        <v>5394.45</v>
      </c>
      <c r="S10" s="55" t="s">
        <v>2388</v>
      </c>
    </row>
    <row r="11" spans="1:31" ht="29" x14ac:dyDescent="0.35">
      <c r="A11" t="s">
        <v>0</v>
      </c>
      <c r="B11" t="s">
        <v>598</v>
      </c>
      <c r="C11" t="s">
        <v>12</v>
      </c>
      <c r="D11" t="s">
        <v>13</v>
      </c>
      <c r="E11">
        <v>5304.69</v>
      </c>
      <c r="F11" t="s">
        <v>88</v>
      </c>
      <c r="G11" s="19">
        <v>45637</v>
      </c>
      <c r="H11" t="s">
        <v>89</v>
      </c>
      <c r="I11" t="s">
        <v>2369</v>
      </c>
      <c r="K11" s="55" t="s">
        <v>2370</v>
      </c>
      <c r="L11" s="55" t="s">
        <v>2371</v>
      </c>
      <c r="M11" s="55" t="s">
        <v>147</v>
      </c>
      <c r="Q11">
        <f t="shared" si="0"/>
        <v>5304.69</v>
      </c>
      <c r="S11" s="55" t="s">
        <v>2396</v>
      </c>
    </row>
    <row r="12" spans="1:31" ht="29" x14ac:dyDescent="0.35">
      <c r="A12" t="s">
        <v>35</v>
      </c>
      <c r="B12" t="s">
        <v>598</v>
      </c>
      <c r="C12" t="s">
        <v>12</v>
      </c>
      <c r="D12" t="s">
        <v>13</v>
      </c>
      <c r="E12">
        <v>3049.09</v>
      </c>
      <c r="F12" t="s">
        <v>88</v>
      </c>
      <c r="G12" s="19">
        <v>45642</v>
      </c>
      <c r="H12" t="s">
        <v>94</v>
      </c>
      <c r="I12" t="s">
        <v>2380</v>
      </c>
      <c r="K12" s="55" t="s">
        <v>2383</v>
      </c>
      <c r="M12" s="55" t="s">
        <v>2377</v>
      </c>
      <c r="Q12">
        <f t="shared" si="0"/>
        <v>3049.09</v>
      </c>
      <c r="S12" s="55" t="s">
        <v>2395</v>
      </c>
    </row>
    <row r="13" spans="1:31" ht="29" x14ac:dyDescent="0.35">
      <c r="A13" t="s">
        <v>0</v>
      </c>
      <c r="B13" t="s">
        <v>2140</v>
      </c>
      <c r="C13" t="s">
        <v>12</v>
      </c>
      <c r="D13" t="s">
        <v>13</v>
      </c>
      <c r="E13">
        <v>2987.75</v>
      </c>
      <c r="F13" t="s">
        <v>88</v>
      </c>
      <c r="G13" s="19">
        <v>45630</v>
      </c>
      <c r="H13" t="s">
        <v>89</v>
      </c>
      <c r="I13" t="s">
        <v>2360</v>
      </c>
      <c r="K13" s="55" t="s">
        <v>2365</v>
      </c>
      <c r="L13" s="55" t="s">
        <v>2362</v>
      </c>
      <c r="M13" s="55" t="s">
        <v>1771</v>
      </c>
      <c r="Q13">
        <f t="shared" si="0"/>
        <v>2987.75</v>
      </c>
      <c r="S13" s="55" t="s">
        <v>2388</v>
      </c>
    </row>
    <row r="14" spans="1:31" ht="29" x14ac:dyDescent="0.35">
      <c r="A14" t="s">
        <v>0</v>
      </c>
      <c r="B14" t="s">
        <v>2222</v>
      </c>
      <c r="C14" t="s">
        <v>12</v>
      </c>
      <c r="D14" t="s">
        <v>13</v>
      </c>
      <c r="E14">
        <v>2731.98</v>
      </c>
      <c r="F14" t="s">
        <v>88</v>
      </c>
      <c r="G14" s="19">
        <v>45630</v>
      </c>
      <c r="H14" t="s">
        <v>89</v>
      </c>
      <c r="I14" t="s">
        <v>2360</v>
      </c>
      <c r="K14" s="55" t="s">
        <v>2368</v>
      </c>
      <c r="L14" s="55" t="s">
        <v>2362</v>
      </c>
      <c r="M14" s="55" t="s">
        <v>1771</v>
      </c>
      <c r="Q14">
        <f t="shared" si="0"/>
        <v>2731.98</v>
      </c>
      <c r="S14" s="55" t="s">
        <v>2388</v>
      </c>
    </row>
    <row r="15" spans="1:31" ht="29" x14ac:dyDescent="0.35">
      <c r="A15" t="s">
        <v>0</v>
      </c>
      <c r="B15" t="s">
        <v>2170</v>
      </c>
      <c r="C15" t="s">
        <v>12</v>
      </c>
      <c r="D15" t="s">
        <v>13</v>
      </c>
      <c r="E15">
        <v>2719.16</v>
      </c>
      <c r="F15" t="s">
        <v>88</v>
      </c>
      <c r="G15" s="19">
        <v>45630</v>
      </c>
      <c r="H15" t="s">
        <v>89</v>
      </c>
      <c r="I15" t="s">
        <v>2360</v>
      </c>
      <c r="K15" s="55" t="s">
        <v>2363</v>
      </c>
      <c r="L15" s="55" t="s">
        <v>2362</v>
      </c>
      <c r="M15" s="55" t="s">
        <v>1771</v>
      </c>
      <c r="Q15">
        <f t="shared" si="0"/>
        <v>2719.16</v>
      </c>
      <c r="S15" s="55" t="s">
        <v>2388</v>
      </c>
    </row>
    <row r="16" spans="1:31" ht="29" x14ac:dyDescent="0.35">
      <c r="A16" t="s">
        <v>0</v>
      </c>
      <c r="B16" t="s">
        <v>2162</v>
      </c>
      <c r="C16" t="s">
        <v>12</v>
      </c>
      <c r="D16" t="s">
        <v>13</v>
      </c>
      <c r="E16">
        <v>2707.64</v>
      </c>
      <c r="F16" t="s">
        <v>88</v>
      </c>
      <c r="G16" s="19">
        <v>45630</v>
      </c>
      <c r="H16" t="s">
        <v>89</v>
      </c>
      <c r="I16" t="s">
        <v>2360</v>
      </c>
      <c r="K16" s="55" t="s">
        <v>2364</v>
      </c>
      <c r="L16" s="55" t="s">
        <v>2362</v>
      </c>
      <c r="M16" s="55" t="s">
        <v>1771</v>
      </c>
      <c r="Q16">
        <f t="shared" si="0"/>
        <v>2707.64</v>
      </c>
      <c r="S16" s="55" t="s">
        <v>2388</v>
      </c>
    </row>
    <row r="17" spans="1:19" ht="29" x14ac:dyDescent="0.35">
      <c r="A17" t="s">
        <v>0</v>
      </c>
      <c r="B17" t="s">
        <v>2158</v>
      </c>
      <c r="C17" t="s">
        <v>12</v>
      </c>
      <c r="D17" t="s">
        <v>13</v>
      </c>
      <c r="E17">
        <v>2707.63</v>
      </c>
      <c r="F17" t="s">
        <v>88</v>
      </c>
      <c r="G17" s="19">
        <v>45630</v>
      </c>
      <c r="H17" t="s">
        <v>89</v>
      </c>
      <c r="I17" t="s">
        <v>2360</v>
      </c>
      <c r="K17" s="55" t="s">
        <v>2366</v>
      </c>
      <c r="L17" s="55" t="s">
        <v>2362</v>
      </c>
      <c r="M17" s="55" t="s">
        <v>1771</v>
      </c>
      <c r="Q17">
        <f t="shared" si="0"/>
        <v>2707.63</v>
      </c>
      <c r="S17" s="55" t="s">
        <v>2388</v>
      </c>
    </row>
    <row r="18" spans="1:19" ht="29" x14ac:dyDescent="0.35">
      <c r="A18" t="s">
        <v>0</v>
      </c>
      <c r="B18" t="s">
        <v>2263</v>
      </c>
      <c r="C18" t="s">
        <v>12</v>
      </c>
      <c r="D18" t="s">
        <v>13</v>
      </c>
      <c r="E18">
        <v>2707.63</v>
      </c>
      <c r="F18" t="s">
        <v>88</v>
      </c>
      <c r="G18" s="19">
        <v>45630</v>
      </c>
      <c r="H18" t="s">
        <v>89</v>
      </c>
      <c r="I18" t="s">
        <v>2360</v>
      </c>
      <c r="K18" s="55" t="s">
        <v>2367</v>
      </c>
      <c r="L18" s="55" t="s">
        <v>2362</v>
      </c>
      <c r="M18" s="55" t="s">
        <v>1771</v>
      </c>
      <c r="Q18">
        <f t="shared" si="0"/>
        <v>2707.63</v>
      </c>
      <c r="S18" s="55" t="s">
        <v>2388</v>
      </c>
    </row>
    <row r="19" spans="1:19" ht="29" x14ac:dyDescent="0.35">
      <c r="A19" t="s">
        <v>0</v>
      </c>
      <c r="B19" t="s">
        <v>1627</v>
      </c>
      <c r="C19" t="s">
        <v>12</v>
      </c>
      <c r="D19" t="s">
        <v>13</v>
      </c>
      <c r="E19">
        <v>1979.87</v>
      </c>
      <c r="F19" t="s">
        <v>88</v>
      </c>
      <c r="G19" s="19">
        <v>45449</v>
      </c>
      <c r="H19" t="s">
        <v>89</v>
      </c>
      <c r="I19" t="s">
        <v>2321</v>
      </c>
      <c r="K19" s="55" t="s">
        <v>101</v>
      </c>
      <c r="L19" s="55" t="s">
        <v>2322</v>
      </c>
      <c r="M19" s="55" t="s">
        <v>147</v>
      </c>
      <c r="Q19">
        <f t="shared" si="0"/>
        <v>1979.87</v>
      </c>
    </row>
    <row r="20" spans="1:19" ht="29" x14ac:dyDescent="0.35">
      <c r="A20" t="s">
        <v>35</v>
      </c>
      <c r="B20" t="s">
        <v>598</v>
      </c>
      <c r="C20" t="s">
        <v>12</v>
      </c>
      <c r="D20" t="s">
        <v>13</v>
      </c>
      <c r="E20">
        <v>1808.18</v>
      </c>
      <c r="F20" t="s">
        <v>88</v>
      </c>
      <c r="G20" s="19">
        <v>45642</v>
      </c>
      <c r="H20" t="s">
        <v>94</v>
      </c>
      <c r="I20" t="s">
        <v>2380</v>
      </c>
      <c r="K20" s="55" t="s">
        <v>2381</v>
      </c>
      <c r="M20" s="55" t="s">
        <v>2382</v>
      </c>
      <c r="Q20">
        <f t="shared" si="0"/>
        <v>1808.18</v>
      </c>
      <c r="S20" s="55" t="s">
        <v>2395</v>
      </c>
    </row>
    <row r="21" spans="1:19" ht="29" x14ac:dyDescent="0.35">
      <c r="A21" t="s">
        <v>35</v>
      </c>
      <c r="B21" t="s">
        <v>642</v>
      </c>
      <c r="C21" t="s">
        <v>12</v>
      </c>
      <c r="D21" t="s">
        <v>13</v>
      </c>
      <c r="E21">
        <v>769.91</v>
      </c>
      <c r="F21" t="s">
        <v>88</v>
      </c>
      <c r="G21" s="19">
        <v>45505</v>
      </c>
      <c r="H21" t="s">
        <v>94</v>
      </c>
      <c r="I21" t="s">
        <v>735</v>
      </c>
      <c r="K21" s="55" t="s">
        <v>2335</v>
      </c>
      <c r="M21" s="55" t="s">
        <v>2336</v>
      </c>
      <c r="Q21">
        <f t="shared" si="0"/>
        <v>769.91</v>
      </c>
      <c r="S21" s="55" t="s">
        <v>2393</v>
      </c>
    </row>
    <row r="22" spans="1:19" ht="29" x14ac:dyDescent="0.35">
      <c r="A22" t="s">
        <v>0</v>
      </c>
      <c r="B22" t="s">
        <v>1627</v>
      </c>
      <c r="C22" t="s">
        <v>12</v>
      </c>
      <c r="D22" t="s">
        <v>13</v>
      </c>
      <c r="E22">
        <v>664.69</v>
      </c>
      <c r="F22" t="s">
        <v>88</v>
      </c>
      <c r="G22" s="19">
        <v>45567</v>
      </c>
      <c r="H22" t="s">
        <v>89</v>
      </c>
      <c r="I22" t="s">
        <v>2347</v>
      </c>
      <c r="K22" s="55" t="s">
        <v>2348</v>
      </c>
      <c r="L22" s="55" t="s">
        <v>2349</v>
      </c>
      <c r="M22" s="55" t="s">
        <v>147</v>
      </c>
      <c r="Q22">
        <f t="shared" si="0"/>
        <v>664.69</v>
      </c>
      <c r="S22" s="55" t="s">
        <v>2394</v>
      </c>
    </row>
    <row r="23" spans="1:19" x14ac:dyDescent="0.35">
      <c r="A23" t="s">
        <v>0</v>
      </c>
      <c r="B23" t="s">
        <v>947</v>
      </c>
      <c r="C23" t="s">
        <v>12</v>
      </c>
      <c r="D23" t="s">
        <v>13</v>
      </c>
      <c r="E23">
        <v>500</v>
      </c>
      <c r="F23" t="s">
        <v>88</v>
      </c>
      <c r="G23" s="19">
        <v>45532</v>
      </c>
      <c r="H23" t="s">
        <v>2345</v>
      </c>
      <c r="I23" t="s">
        <v>2346</v>
      </c>
      <c r="Q23">
        <f t="shared" si="0"/>
        <v>500</v>
      </c>
    </row>
    <row r="24" spans="1:19" x14ac:dyDescent="0.35">
      <c r="A24" t="s">
        <v>0</v>
      </c>
      <c r="B24" t="s">
        <v>947</v>
      </c>
      <c r="C24" t="s">
        <v>12</v>
      </c>
      <c r="D24" t="s">
        <v>13</v>
      </c>
      <c r="E24">
        <v>500</v>
      </c>
      <c r="F24" t="s">
        <v>88</v>
      </c>
      <c r="G24" s="19">
        <v>45532</v>
      </c>
      <c r="H24" t="s">
        <v>2345</v>
      </c>
      <c r="I24" t="s">
        <v>2345</v>
      </c>
      <c r="Q24">
        <f t="shared" si="0"/>
        <v>500</v>
      </c>
    </row>
    <row r="25" spans="1:19" ht="72.5" x14ac:dyDescent="0.35">
      <c r="A25" t="s">
        <v>35</v>
      </c>
      <c r="B25" t="s">
        <v>2031</v>
      </c>
      <c r="C25" t="s">
        <v>12</v>
      </c>
      <c r="D25" t="s">
        <v>13</v>
      </c>
      <c r="E25">
        <v>474.36</v>
      </c>
      <c r="F25" t="s">
        <v>88</v>
      </c>
      <c r="G25" s="19">
        <v>45414</v>
      </c>
      <c r="H25" t="s">
        <v>94</v>
      </c>
      <c r="I25" t="s">
        <v>2319</v>
      </c>
      <c r="K25" s="55" t="s">
        <v>2320</v>
      </c>
      <c r="M25" s="55" t="s">
        <v>2034</v>
      </c>
      <c r="Q25">
        <f t="shared" si="0"/>
        <v>474.36</v>
      </c>
      <c r="S25" s="55" t="s">
        <v>2389</v>
      </c>
    </row>
    <row r="26" spans="1:19" ht="29" x14ac:dyDescent="0.35">
      <c r="A26" t="s">
        <v>35</v>
      </c>
      <c r="B26" t="s">
        <v>2031</v>
      </c>
      <c r="C26" t="s">
        <v>12</v>
      </c>
      <c r="D26" t="s">
        <v>13</v>
      </c>
      <c r="E26">
        <v>368.36</v>
      </c>
      <c r="F26" t="s">
        <v>88</v>
      </c>
      <c r="G26" s="19">
        <v>45639</v>
      </c>
      <c r="H26" t="s">
        <v>94</v>
      </c>
      <c r="I26" t="s">
        <v>2319</v>
      </c>
      <c r="K26" s="55" t="s">
        <v>2378</v>
      </c>
      <c r="M26" s="55" t="s">
        <v>2034</v>
      </c>
      <c r="Q26">
        <f t="shared" si="0"/>
        <v>368.36</v>
      </c>
      <c r="S26" s="55" t="s">
        <v>2389</v>
      </c>
    </row>
    <row r="27" spans="1:19" ht="29" x14ac:dyDescent="0.35">
      <c r="A27" t="s">
        <v>35</v>
      </c>
      <c r="B27" t="s">
        <v>1221</v>
      </c>
      <c r="C27" t="s">
        <v>12</v>
      </c>
      <c r="D27" t="s">
        <v>13</v>
      </c>
      <c r="E27">
        <v>199.41</v>
      </c>
      <c r="F27" t="s">
        <v>88</v>
      </c>
      <c r="G27" s="19">
        <v>45637</v>
      </c>
      <c r="H27" t="s">
        <v>94</v>
      </c>
      <c r="I27" t="s">
        <v>220</v>
      </c>
      <c r="K27" s="55" t="s">
        <v>2372</v>
      </c>
      <c r="M27" s="55" t="s">
        <v>2373</v>
      </c>
      <c r="Q27">
        <f t="shared" si="0"/>
        <v>199.41</v>
      </c>
      <c r="S27" s="55" t="s">
        <v>2389</v>
      </c>
    </row>
    <row r="28" spans="1:19" ht="29" x14ac:dyDescent="0.35">
      <c r="A28" t="s">
        <v>35</v>
      </c>
      <c r="B28" t="s">
        <v>1221</v>
      </c>
      <c r="C28" t="s">
        <v>12</v>
      </c>
      <c r="D28" t="s">
        <v>13</v>
      </c>
      <c r="E28">
        <v>195</v>
      </c>
      <c r="F28" t="s">
        <v>88</v>
      </c>
      <c r="G28" s="19">
        <v>45637</v>
      </c>
      <c r="H28" t="s">
        <v>94</v>
      </c>
      <c r="I28" t="s">
        <v>221</v>
      </c>
      <c r="K28" s="55" t="s">
        <v>2372</v>
      </c>
      <c r="M28" s="55" t="s">
        <v>2376</v>
      </c>
      <c r="Q28">
        <f t="shared" si="0"/>
        <v>195</v>
      </c>
      <c r="S28" s="55" t="s">
        <v>2389</v>
      </c>
    </row>
    <row r="29" spans="1:19" ht="29" x14ac:dyDescent="0.35">
      <c r="A29" t="s">
        <v>35</v>
      </c>
      <c r="B29" t="s">
        <v>770</v>
      </c>
      <c r="C29" t="s">
        <v>12</v>
      </c>
      <c r="D29" t="s">
        <v>13</v>
      </c>
      <c r="E29">
        <v>181.45</v>
      </c>
      <c r="F29" t="s">
        <v>88</v>
      </c>
      <c r="G29" s="19">
        <v>45642</v>
      </c>
      <c r="H29" t="s">
        <v>94</v>
      </c>
      <c r="I29" t="s">
        <v>2353</v>
      </c>
      <c r="K29" s="55" t="s">
        <v>2384</v>
      </c>
      <c r="M29" s="55" t="s">
        <v>2385</v>
      </c>
      <c r="Q29">
        <f t="shared" si="0"/>
        <v>181.45</v>
      </c>
      <c r="S29" s="55" t="s">
        <v>2389</v>
      </c>
    </row>
    <row r="30" spans="1:19" ht="29" x14ac:dyDescent="0.35">
      <c r="A30" t="s">
        <v>35</v>
      </c>
      <c r="B30" t="s">
        <v>2328</v>
      </c>
      <c r="C30" t="s">
        <v>12</v>
      </c>
      <c r="D30" t="s">
        <v>13</v>
      </c>
      <c r="E30">
        <v>168.14</v>
      </c>
      <c r="F30" t="s">
        <v>88</v>
      </c>
      <c r="G30" s="19">
        <v>45506</v>
      </c>
      <c r="H30" t="s">
        <v>94</v>
      </c>
      <c r="I30" t="s">
        <v>2339</v>
      </c>
      <c r="K30" s="55" t="s">
        <v>2340</v>
      </c>
      <c r="M30" s="55" t="s">
        <v>2341</v>
      </c>
      <c r="Q30">
        <f t="shared" si="0"/>
        <v>168.14</v>
      </c>
    </row>
    <row r="31" spans="1:19" ht="29" x14ac:dyDescent="0.35">
      <c r="A31" t="s">
        <v>35</v>
      </c>
      <c r="B31" t="s">
        <v>1221</v>
      </c>
      <c r="C31" t="s">
        <v>12</v>
      </c>
      <c r="D31" t="s">
        <v>13</v>
      </c>
      <c r="E31">
        <v>152.44999999999999</v>
      </c>
      <c r="F31" t="s">
        <v>88</v>
      </c>
      <c r="G31" s="19">
        <v>45637</v>
      </c>
      <c r="H31" t="s">
        <v>94</v>
      </c>
      <c r="I31" t="s">
        <v>221</v>
      </c>
      <c r="K31" s="55" t="s">
        <v>2372</v>
      </c>
      <c r="M31" s="55" t="s">
        <v>2377</v>
      </c>
      <c r="Q31">
        <f t="shared" si="0"/>
        <v>152.44999999999999</v>
      </c>
    </row>
    <row r="32" spans="1:19" ht="29" x14ac:dyDescent="0.35">
      <c r="A32" t="s">
        <v>35</v>
      </c>
      <c r="B32" t="s">
        <v>732</v>
      </c>
      <c r="C32" t="s">
        <v>12</v>
      </c>
      <c r="D32" t="s">
        <v>13</v>
      </c>
      <c r="E32">
        <v>150.26</v>
      </c>
      <c r="F32" t="s">
        <v>88</v>
      </c>
      <c r="G32" s="19">
        <v>45475</v>
      </c>
      <c r="H32" t="s">
        <v>89</v>
      </c>
      <c r="I32" t="s">
        <v>2326</v>
      </c>
      <c r="K32" s="55" t="s">
        <v>101</v>
      </c>
      <c r="L32" s="55" t="s">
        <v>2327</v>
      </c>
      <c r="M32" s="55" t="s">
        <v>1771</v>
      </c>
      <c r="Q32">
        <f t="shared" si="0"/>
        <v>150.26</v>
      </c>
    </row>
    <row r="33" spans="1:19" ht="29" x14ac:dyDescent="0.35">
      <c r="A33" t="s">
        <v>35</v>
      </c>
      <c r="B33" t="s">
        <v>2328</v>
      </c>
      <c r="C33" t="s">
        <v>12</v>
      </c>
      <c r="D33" t="s">
        <v>13</v>
      </c>
      <c r="E33">
        <v>136.36000000000001</v>
      </c>
      <c r="F33" t="s">
        <v>88</v>
      </c>
      <c r="G33" s="19">
        <v>45502</v>
      </c>
      <c r="H33" t="s">
        <v>94</v>
      </c>
      <c r="I33" t="s">
        <v>2332</v>
      </c>
      <c r="K33" s="55" t="s">
        <v>2333</v>
      </c>
      <c r="M33" s="55" t="s">
        <v>2334</v>
      </c>
      <c r="Q33">
        <f t="shared" si="0"/>
        <v>136.36000000000001</v>
      </c>
    </row>
    <row r="34" spans="1:19" ht="29" x14ac:dyDescent="0.35">
      <c r="A34" t="s">
        <v>35</v>
      </c>
      <c r="B34" t="s">
        <v>1221</v>
      </c>
      <c r="C34" t="s">
        <v>12</v>
      </c>
      <c r="D34" t="s">
        <v>13</v>
      </c>
      <c r="E34">
        <v>112.62</v>
      </c>
      <c r="F34" t="s">
        <v>88</v>
      </c>
      <c r="G34" s="19">
        <v>45637</v>
      </c>
      <c r="H34" t="s">
        <v>94</v>
      </c>
      <c r="I34" t="s">
        <v>220</v>
      </c>
      <c r="K34" s="55" t="s">
        <v>2372</v>
      </c>
      <c r="M34" s="55" t="s">
        <v>2374</v>
      </c>
      <c r="Q34">
        <f t="shared" si="0"/>
        <v>112.62</v>
      </c>
    </row>
    <row r="35" spans="1:19" ht="43.5" x14ac:dyDescent="0.35">
      <c r="A35" t="s">
        <v>35</v>
      </c>
      <c r="B35" t="s">
        <v>2316</v>
      </c>
      <c r="C35" t="s">
        <v>12</v>
      </c>
      <c r="D35" t="s">
        <v>13</v>
      </c>
      <c r="E35">
        <v>111.65</v>
      </c>
      <c r="F35" t="s">
        <v>88</v>
      </c>
      <c r="G35" s="19">
        <v>45387</v>
      </c>
      <c r="H35" t="s">
        <v>94</v>
      </c>
      <c r="I35" t="s">
        <v>2317</v>
      </c>
      <c r="K35" s="55" t="s">
        <v>2318</v>
      </c>
      <c r="M35" s="55" t="s">
        <v>2010</v>
      </c>
      <c r="Q35">
        <f t="shared" si="0"/>
        <v>111.65</v>
      </c>
      <c r="S35" s="55" t="s">
        <v>2392</v>
      </c>
    </row>
    <row r="36" spans="1:19" ht="29" x14ac:dyDescent="0.35">
      <c r="A36" t="s">
        <v>35</v>
      </c>
      <c r="B36" t="s">
        <v>1221</v>
      </c>
      <c r="C36" t="s">
        <v>12</v>
      </c>
      <c r="D36" t="s">
        <v>13</v>
      </c>
      <c r="E36">
        <v>100.91</v>
      </c>
      <c r="F36" t="s">
        <v>88</v>
      </c>
      <c r="G36" s="19">
        <v>45637</v>
      </c>
      <c r="H36" t="s">
        <v>94</v>
      </c>
      <c r="I36" t="s">
        <v>221</v>
      </c>
      <c r="K36" s="55" t="s">
        <v>2372</v>
      </c>
      <c r="M36" s="55" t="s">
        <v>2375</v>
      </c>
      <c r="Q36">
        <f t="shared" si="0"/>
        <v>100.91</v>
      </c>
    </row>
    <row r="37" spans="1:19" ht="29" x14ac:dyDescent="0.35">
      <c r="A37" t="s">
        <v>35</v>
      </c>
      <c r="B37" t="s">
        <v>655</v>
      </c>
      <c r="C37" t="s">
        <v>12</v>
      </c>
      <c r="D37" t="s">
        <v>13</v>
      </c>
      <c r="E37">
        <v>99.09</v>
      </c>
      <c r="F37" t="s">
        <v>88</v>
      </c>
      <c r="G37" s="19">
        <v>45594</v>
      </c>
      <c r="H37" t="s">
        <v>94</v>
      </c>
      <c r="I37" t="s">
        <v>2350</v>
      </c>
      <c r="K37" s="55" t="s">
        <v>2351</v>
      </c>
      <c r="M37" s="55" t="s">
        <v>2352</v>
      </c>
      <c r="Q37">
        <f t="shared" si="0"/>
        <v>99.09</v>
      </c>
      <c r="S37" s="55" t="s">
        <v>2389</v>
      </c>
    </row>
    <row r="38" spans="1:19" ht="29" x14ac:dyDescent="0.35">
      <c r="A38" t="s">
        <v>35</v>
      </c>
      <c r="B38" t="s">
        <v>2031</v>
      </c>
      <c r="C38" t="s">
        <v>12</v>
      </c>
      <c r="D38" t="s">
        <v>13</v>
      </c>
      <c r="E38">
        <v>95.45</v>
      </c>
      <c r="F38" t="s">
        <v>88</v>
      </c>
      <c r="G38" s="19">
        <v>45639</v>
      </c>
      <c r="H38" t="s">
        <v>94</v>
      </c>
      <c r="I38" t="s">
        <v>497</v>
      </c>
      <c r="K38" s="55" t="s">
        <v>2379</v>
      </c>
      <c r="M38" s="55" t="s">
        <v>2076</v>
      </c>
      <c r="Q38">
        <f t="shared" si="0"/>
        <v>95.45</v>
      </c>
      <c r="S38" s="55" t="s">
        <v>2391</v>
      </c>
    </row>
    <row r="39" spans="1:19" ht="43.5" x14ac:dyDescent="0.35">
      <c r="A39" t="s">
        <v>35</v>
      </c>
      <c r="B39" t="s">
        <v>2328</v>
      </c>
      <c r="C39" t="s">
        <v>12</v>
      </c>
      <c r="D39" t="s">
        <v>13</v>
      </c>
      <c r="E39">
        <v>92.73</v>
      </c>
      <c r="F39" t="s">
        <v>88</v>
      </c>
      <c r="G39" s="19">
        <v>45502</v>
      </c>
      <c r="H39" t="s">
        <v>94</v>
      </c>
      <c r="I39" t="s">
        <v>2329</v>
      </c>
      <c r="K39" s="55" t="s">
        <v>2330</v>
      </c>
      <c r="M39" s="55" t="s">
        <v>2331</v>
      </c>
      <c r="Q39">
        <f t="shared" si="0"/>
        <v>92.73</v>
      </c>
      <c r="S39" s="55" t="s">
        <v>2391</v>
      </c>
    </row>
    <row r="40" spans="1:19" ht="43.5" x14ac:dyDescent="0.35">
      <c r="A40" t="s">
        <v>35</v>
      </c>
      <c r="B40" t="s">
        <v>2328</v>
      </c>
      <c r="C40" t="s">
        <v>12</v>
      </c>
      <c r="D40" t="s">
        <v>13</v>
      </c>
      <c r="E40">
        <v>-92.73</v>
      </c>
      <c r="F40" t="s">
        <v>88</v>
      </c>
      <c r="G40" s="19">
        <v>45506</v>
      </c>
      <c r="H40" t="s">
        <v>94</v>
      </c>
      <c r="I40" t="s">
        <v>2329</v>
      </c>
      <c r="K40" s="55" t="s">
        <v>2337</v>
      </c>
      <c r="M40" s="55" t="s">
        <v>2338</v>
      </c>
      <c r="Q40">
        <f t="shared" si="0"/>
        <v>92.73</v>
      </c>
      <c r="S40" s="55" t="s">
        <v>2391</v>
      </c>
    </row>
    <row r="41" spans="1:19" ht="29" x14ac:dyDescent="0.35">
      <c r="A41" t="s">
        <v>35</v>
      </c>
      <c r="B41" t="s">
        <v>756</v>
      </c>
      <c r="C41" t="s">
        <v>12</v>
      </c>
      <c r="D41" t="s">
        <v>13</v>
      </c>
      <c r="E41">
        <v>69</v>
      </c>
      <c r="F41" t="s">
        <v>88</v>
      </c>
      <c r="G41" s="19">
        <v>45454</v>
      </c>
      <c r="H41" t="s">
        <v>94</v>
      </c>
      <c r="I41" t="s">
        <v>2323</v>
      </c>
      <c r="K41" s="55" t="s">
        <v>2324</v>
      </c>
      <c r="M41" s="55" t="s">
        <v>2325</v>
      </c>
      <c r="Q41">
        <f t="shared" si="0"/>
        <v>69</v>
      </c>
      <c r="S41" s="55" t="s">
        <v>2389</v>
      </c>
    </row>
    <row r="42" spans="1:19" ht="29" x14ac:dyDescent="0.35">
      <c r="A42" t="s">
        <v>35</v>
      </c>
      <c r="B42" t="s">
        <v>770</v>
      </c>
      <c r="C42" t="s">
        <v>12</v>
      </c>
      <c r="D42" t="s">
        <v>13</v>
      </c>
      <c r="E42">
        <v>40.64</v>
      </c>
      <c r="F42" t="s">
        <v>88</v>
      </c>
      <c r="G42" s="19">
        <v>45624</v>
      </c>
      <c r="H42" t="s">
        <v>94</v>
      </c>
      <c r="I42" t="s">
        <v>2359</v>
      </c>
      <c r="K42" s="55" t="s">
        <v>2357</v>
      </c>
      <c r="M42" s="55" t="s">
        <v>575</v>
      </c>
      <c r="Q42">
        <f t="shared" si="0"/>
        <v>40.64</v>
      </c>
      <c r="S42" s="55" t="s">
        <v>2389</v>
      </c>
    </row>
    <row r="43" spans="1:19" ht="29" x14ac:dyDescent="0.35">
      <c r="A43" t="s">
        <v>35</v>
      </c>
      <c r="B43" t="s">
        <v>1221</v>
      </c>
      <c r="C43" t="s">
        <v>12</v>
      </c>
      <c r="D43" t="s">
        <v>13</v>
      </c>
      <c r="E43">
        <v>22.95</v>
      </c>
      <c r="F43" t="s">
        <v>88</v>
      </c>
      <c r="G43" s="19">
        <v>45637</v>
      </c>
      <c r="H43" t="s">
        <v>94</v>
      </c>
      <c r="I43" t="s">
        <v>220</v>
      </c>
      <c r="K43" s="55" t="s">
        <v>2372</v>
      </c>
      <c r="M43" s="55" t="s">
        <v>575</v>
      </c>
      <c r="Q43">
        <f t="shared" si="0"/>
        <v>22.95</v>
      </c>
      <c r="S43" s="55" t="s">
        <v>2390</v>
      </c>
    </row>
    <row r="44" spans="1:19" ht="29" x14ac:dyDescent="0.35">
      <c r="A44" t="s">
        <v>35</v>
      </c>
      <c r="B44" t="s">
        <v>770</v>
      </c>
      <c r="C44" t="s">
        <v>12</v>
      </c>
      <c r="D44" t="s">
        <v>13</v>
      </c>
      <c r="E44">
        <v>20.88</v>
      </c>
      <c r="F44" t="s">
        <v>88</v>
      </c>
      <c r="G44" s="19">
        <v>45614</v>
      </c>
      <c r="H44" t="s">
        <v>94</v>
      </c>
      <c r="I44" t="s">
        <v>2353</v>
      </c>
      <c r="K44" s="55" t="s">
        <v>2354</v>
      </c>
      <c r="M44" s="55" t="s">
        <v>2355</v>
      </c>
      <c r="Q44">
        <f t="shared" si="0"/>
        <v>20.88</v>
      </c>
      <c r="S44" s="55" t="s">
        <v>2389</v>
      </c>
    </row>
    <row r="45" spans="1:19" ht="29" x14ac:dyDescent="0.35">
      <c r="A45" t="s">
        <v>35</v>
      </c>
      <c r="B45" t="s">
        <v>770</v>
      </c>
      <c r="C45" t="s">
        <v>12</v>
      </c>
      <c r="D45" t="s">
        <v>13</v>
      </c>
      <c r="E45">
        <v>18.170000000000002</v>
      </c>
      <c r="F45" t="s">
        <v>88</v>
      </c>
      <c r="G45" s="19">
        <v>45624</v>
      </c>
      <c r="H45" t="s">
        <v>94</v>
      </c>
      <c r="I45" t="s">
        <v>2356</v>
      </c>
      <c r="K45" s="55" t="s">
        <v>2357</v>
      </c>
      <c r="M45" s="55" t="s">
        <v>2358</v>
      </c>
      <c r="Q45">
        <f t="shared" si="0"/>
        <v>18.170000000000002</v>
      </c>
      <c r="S45" s="55" t="s">
        <v>2389</v>
      </c>
    </row>
  </sheetData>
  <autoFilter ref="A7:AE7" xr:uid="{05F16DB9-D9DB-4678-AA26-F2AE6C5698C4}">
    <sortState xmlns:xlrd2="http://schemas.microsoft.com/office/spreadsheetml/2017/richdata2" ref="A8:AE45">
      <sortCondition descending="1" ref="Q7"/>
    </sortState>
  </autoFilter>
  <sortState xmlns:xlrd2="http://schemas.microsoft.com/office/spreadsheetml/2017/richdata2" ref="A7:Q14">
    <sortCondition descending="1" ref="Q7:Q14"/>
  </sortState>
  <mergeCells count="1">
    <mergeCell ref="AC6:AD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396CF-3386-4CE9-A8BA-F59B34717B8C}">
  <sheetPr>
    <tabColor rgb="FF00B050"/>
  </sheetPr>
  <dimension ref="A1:AG190"/>
  <sheetViews>
    <sheetView workbookViewId="0">
      <selection activeCell="C3" sqref="C3"/>
    </sheetView>
  </sheetViews>
  <sheetFormatPr defaultRowHeight="14.5" x14ac:dyDescent="0.35"/>
  <cols>
    <col min="1" max="2" width="4.453125" customWidth="1"/>
    <col min="3" max="3" width="11" bestFit="1" customWidth="1"/>
    <col min="4" max="5" width="4.7265625" customWidth="1"/>
    <col min="6" max="7" width="4.7265625" style="19" customWidth="1"/>
    <col min="8" max="8" width="8.54296875" style="55" customWidth="1"/>
    <col min="9" max="9" width="17.453125" style="55" customWidth="1"/>
    <col min="10" max="10" width="22.453125" style="55" customWidth="1"/>
    <col min="11" max="11" width="32.7265625" bestFit="1" customWidth="1"/>
    <col min="13" max="13" width="35.7265625" customWidth="1"/>
    <col min="14" max="14" width="8.7265625" style="55"/>
    <col min="15" max="15" width="14.81640625" customWidth="1"/>
    <col min="16" max="16" width="2.453125" style="5" customWidth="1"/>
    <col min="17" max="17" width="9.81640625" style="3" customWidth="1"/>
    <col min="18" max="18" width="2.1796875" style="55" customWidth="1"/>
    <col min="19" max="19" width="21.7265625" style="55" customWidth="1"/>
    <col min="20" max="21" width="3.453125" customWidth="1"/>
    <col min="22" max="22" width="10.1796875" style="3" bestFit="1" customWidth="1"/>
  </cols>
  <sheetData>
    <row r="1" spans="1:32" x14ac:dyDescent="0.35">
      <c r="A1" t="s">
        <v>69</v>
      </c>
      <c r="C1">
        <f>Summary!A15</f>
        <v>5160010000</v>
      </c>
      <c r="D1" s="3"/>
    </row>
    <row r="2" spans="1:32" x14ac:dyDescent="0.35">
      <c r="A2" t="s">
        <v>70</v>
      </c>
      <c r="C2" s="24" t="str">
        <f>Summary!B15</f>
        <v>Marketing expense</v>
      </c>
      <c r="D2" s="3"/>
      <c r="H2" s="19" t="s">
        <v>141</v>
      </c>
      <c r="T2" s="24" t="s">
        <v>0</v>
      </c>
      <c r="U2" s="24"/>
      <c r="V2" s="3">
        <f>SUMIF($A$8:$A$23972,"AU001",V8:V23972)</f>
        <v>2454.37</v>
      </c>
      <c r="AC2" t="s">
        <v>0</v>
      </c>
      <c r="AD2" s="3">
        <f>SUMIF($A$8:$A$408,"AU001",AD8:AD408)</f>
        <v>0</v>
      </c>
      <c r="AE2" s="3">
        <f>SUMIF($A$8:$A$408,"AU001",AE8:AE408)</f>
        <v>0</v>
      </c>
    </row>
    <row r="3" spans="1:32" x14ac:dyDescent="0.35">
      <c r="A3" t="s">
        <v>71</v>
      </c>
      <c r="C3" s="22">
        <v>130942.29000000001</v>
      </c>
      <c r="D3" s="3"/>
      <c r="H3" s="19" t="s">
        <v>259</v>
      </c>
      <c r="T3" s="24" t="s">
        <v>35</v>
      </c>
      <c r="U3" s="24"/>
      <c r="V3" s="3">
        <f>SUMIF($A$8:$A$23973,"AU052",V8:V23973)</f>
        <v>4287.8899999999985</v>
      </c>
      <c r="AC3" t="s">
        <v>35</v>
      </c>
      <c r="AD3" s="3">
        <f>SUMIF($A$8:$A$408,"AU052",AD8:AD408)</f>
        <v>0</v>
      </c>
      <c r="AE3" s="3">
        <f>SUMIF($A$8:$A$408,"AU052",AE8:AE408)</f>
        <v>0</v>
      </c>
    </row>
    <row r="4" spans="1:32" x14ac:dyDescent="0.35">
      <c r="A4" t="s">
        <v>45</v>
      </c>
      <c r="C4" s="22">
        <f>SUM(E:E)</f>
        <v>130942.28999999995</v>
      </c>
      <c r="D4" s="3"/>
      <c r="H4" s="19" t="s">
        <v>593</v>
      </c>
      <c r="V4" s="64">
        <f>SUM(V2:V3)</f>
        <v>6742.2599999999984</v>
      </c>
    </row>
    <row r="5" spans="1:32" ht="15" thickBot="1" x14ac:dyDescent="0.4">
      <c r="A5" t="s">
        <v>72</v>
      </c>
      <c r="C5" s="3">
        <f>C3-C4</f>
        <v>0</v>
      </c>
      <c r="D5" s="3"/>
      <c r="Q5" s="30"/>
      <c r="R5" s="57"/>
    </row>
    <row r="6" spans="1:32" ht="15" thickBot="1" x14ac:dyDescent="0.4">
      <c r="D6" s="3"/>
      <c r="AD6" s="191" t="s">
        <v>44</v>
      </c>
      <c r="AE6" s="192"/>
    </row>
    <row r="7" spans="1:32" ht="51" customHeight="1" thickTop="1" thickBot="1" x14ac:dyDescent="0.4">
      <c r="A7" s="164" t="s">
        <v>74</v>
      </c>
      <c r="B7" s="157" t="s">
        <v>597</v>
      </c>
      <c r="C7" s="157" t="s">
        <v>75</v>
      </c>
      <c r="D7" s="158" t="s">
        <v>76</v>
      </c>
      <c r="E7" s="157" t="s">
        <v>77</v>
      </c>
      <c r="F7" s="159" t="s">
        <v>78</v>
      </c>
      <c r="G7" s="159" t="s">
        <v>79</v>
      </c>
      <c r="H7" s="157" t="s">
        <v>80</v>
      </c>
      <c r="I7" s="157" t="s">
        <v>81</v>
      </c>
      <c r="J7" s="157" t="s">
        <v>82</v>
      </c>
      <c r="K7" s="157" t="s">
        <v>83</v>
      </c>
      <c r="L7" s="157" t="s">
        <v>84</v>
      </c>
      <c r="M7" s="157" t="s">
        <v>85</v>
      </c>
      <c r="N7" s="157" t="s">
        <v>86</v>
      </c>
      <c r="O7" s="160" t="s">
        <v>585</v>
      </c>
      <c r="Q7" s="31" t="s">
        <v>136</v>
      </c>
      <c r="R7" s="25" t="s">
        <v>87</v>
      </c>
      <c r="S7" s="8" t="s">
        <v>46</v>
      </c>
      <c r="T7" s="7" t="s">
        <v>47</v>
      </c>
      <c r="U7" s="7" t="s">
        <v>1286</v>
      </c>
      <c r="V7" s="65" t="s">
        <v>48</v>
      </c>
      <c r="W7" s="9" t="s">
        <v>49</v>
      </c>
      <c r="X7" s="10" t="s">
        <v>50</v>
      </c>
      <c r="Y7" s="11" t="s">
        <v>51</v>
      </c>
      <c r="Z7" s="12" t="s">
        <v>52</v>
      </c>
      <c r="AA7" s="13" t="s">
        <v>53</v>
      </c>
      <c r="AB7" s="13" t="s">
        <v>54</v>
      </c>
      <c r="AC7" s="13" t="s">
        <v>55</v>
      </c>
      <c r="AD7" s="14" t="s">
        <v>56</v>
      </c>
      <c r="AE7" s="14" t="s">
        <v>57</v>
      </c>
      <c r="AF7" s="15" t="s">
        <v>58</v>
      </c>
    </row>
    <row r="8" spans="1:32" ht="29.5" thickTop="1" x14ac:dyDescent="0.35">
      <c r="A8" t="s">
        <v>0</v>
      </c>
      <c r="B8" t="s">
        <v>2222</v>
      </c>
      <c r="C8" t="s">
        <v>14</v>
      </c>
      <c r="D8" t="s">
        <v>15</v>
      </c>
      <c r="E8">
        <v>10000</v>
      </c>
      <c r="F8" s="19" t="s">
        <v>88</v>
      </c>
      <c r="G8" s="19">
        <v>45608</v>
      </c>
      <c r="H8" s="55" t="s">
        <v>89</v>
      </c>
      <c r="I8" s="55" t="s">
        <v>2670</v>
      </c>
      <c r="K8" t="s">
        <v>2671</v>
      </c>
      <c r="L8" t="s">
        <v>2672</v>
      </c>
      <c r="M8" t="s">
        <v>2673</v>
      </c>
      <c r="Q8" s="3">
        <f t="shared" ref="Q8:Q39" si="0">ABS(E8)</f>
        <v>10000</v>
      </c>
      <c r="S8" s="55" t="s">
        <v>2762</v>
      </c>
    </row>
    <row r="9" spans="1:32" ht="29" x14ac:dyDescent="0.35">
      <c r="A9" t="s">
        <v>0</v>
      </c>
      <c r="B9" t="s">
        <v>2170</v>
      </c>
      <c r="C9" t="s">
        <v>14</v>
      </c>
      <c r="D9" t="s">
        <v>15</v>
      </c>
      <c r="E9">
        <v>7334.22</v>
      </c>
      <c r="F9" s="19" t="s">
        <v>88</v>
      </c>
      <c r="G9" s="19">
        <v>45629</v>
      </c>
      <c r="H9" s="55" t="s">
        <v>89</v>
      </c>
      <c r="I9" s="55" t="s">
        <v>2706</v>
      </c>
      <c r="K9" t="s">
        <v>2707</v>
      </c>
      <c r="L9" t="s">
        <v>2708</v>
      </c>
      <c r="M9" t="s">
        <v>2709</v>
      </c>
      <c r="Q9" s="3">
        <f t="shared" si="0"/>
        <v>7334.22</v>
      </c>
      <c r="S9" s="55" t="s">
        <v>2761</v>
      </c>
    </row>
    <row r="10" spans="1:32" ht="29" x14ac:dyDescent="0.35">
      <c r="A10" t="s">
        <v>0</v>
      </c>
      <c r="B10" t="s">
        <v>708</v>
      </c>
      <c r="C10" t="s">
        <v>14</v>
      </c>
      <c r="D10" t="s">
        <v>15</v>
      </c>
      <c r="E10">
        <v>5582.97</v>
      </c>
      <c r="F10" s="19" t="s">
        <v>88</v>
      </c>
      <c r="G10" s="19">
        <v>45637</v>
      </c>
      <c r="H10" s="55" t="s">
        <v>89</v>
      </c>
      <c r="I10" s="55" t="s">
        <v>2732</v>
      </c>
      <c r="K10" t="s">
        <v>2733</v>
      </c>
      <c r="L10" t="s">
        <v>2734</v>
      </c>
      <c r="M10" t="s">
        <v>2735</v>
      </c>
      <c r="Q10" s="3">
        <f t="shared" si="0"/>
        <v>5582.97</v>
      </c>
      <c r="S10" s="55" t="s">
        <v>2761</v>
      </c>
    </row>
    <row r="11" spans="1:32" ht="29" x14ac:dyDescent="0.35">
      <c r="A11" t="s">
        <v>0</v>
      </c>
      <c r="B11" t="s">
        <v>2158</v>
      </c>
      <c r="C11" t="s">
        <v>14</v>
      </c>
      <c r="D11" t="s">
        <v>15</v>
      </c>
      <c r="E11">
        <v>4955.54</v>
      </c>
      <c r="F11" s="19" t="s">
        <v>88</v>
      </c>
      <c r="G11" s="19">
        <v>45629</v>
      </c>
      <c r="H11" s="55" t="s">
        <v>89</v>
      </c>
      <c r="I11" s="55" t="s">
        <v>2706</v>
      </c>
      <c r="K11" t="s">
        <v>2707</v>
      </c>
      <c r="L11" t="s">
        <v>2708</v>
      </c>
      <c r="M11" t="s">
        <v>2709</v>
      </c>
      <c r="Q11" s="3">
        <f t="shared" si="0"/>
        <v>4955.54</v>
      </c>
      <c r="S11" s="55" t="s">
        <v>2761</v>
      </c>
      <c r="T11" t="s">
        <v>2760</v>
      </c>
    </row>
    <row r="12" spans="1:32" ht="43.5" x14ac:dyDescent="0.35">
      <c r="A12" t="s">
        <v>35</v>
      </c>
      <c r="B12" t="s">
        <v>2222</v>
      </c>
      <c r="C12" t="s">
        <v>14</v>
      </c>
      <c r="D12" t="s">
        <v>15</v>
      </c>
      <c r="E12">
        <v>4530.45</v>
      </c>
      <c r="F12" s="19" t="s">
        <v>88</v>
      </c>
      <c r="G12" s="19">
        <v>45540</v>
      </c>
      <c r="H12" s="55" t="s">
        <v>94</v>
      </c>
      <c r="I12" s="55" t="s">
        <v>2558</v>
      </c>
      <c r="K12" s="55" t="s">
        <v>2559</v>
      </c>
      <c r="M12" t="s">
        <v>2560</v>
      </c>
      <c r="Q12" s="3">
        <f t="shared" si="0"/>
        <v>4530.45</v>
      </c>
      <c r="S12" s="55" t="s">
        <v>2759</v>
      </c>
    </row>
    <row r="13" spans="1:32" ht="29" x14ac:dyDescent="0.35">
      <c r="A13" t="s">
        <v>0</v>
      </c>
      <c r="B13" t="s">
        <v>1566</v>
      </c>
      <c r="C13" t="s">
        <v>14</v>
      </c>
      <c r="D13" t="s">
        <v>15</v>
      </c>
      <c r="E13">
        <v>4282.07</v>
      </c>
      <c r="F13" s="19" t="s">
        <v>88</v>
      </c>
      <c r="G13" s="19">
        <v>45481</v>
      </c>
      <c r="H13" s="55" t="s">
        <v>89</v>
      </c>
      <c r="I13" s="55" t="s">
        <v>2507</v>
      </c>
      <c r="K13" t="s">
        <v>101</v>
      </c>
      <c r="L13" t="s">
        <v>1707</v>
      </c>
      <c r="M13" t="s">
        <v>2508</v>
      </c>
      <c r="Q13" s="3">
        <f t="shared" si="0"/>
        <v>4282.07</v>
      </c>
      <c r="S13" s="55" t="s">
        <v>2759</v>
      </c>
    </row>
    <row r="14" spans="1:32" ht="29" x14ac:dyDescent="0.35">
      <c r="A14" t="s">
        <v>0</v>
      </c>
      <c r="B14" t="s">
        <v>1566</v>
      </c>
      <c r="C14" t="s">
        <v>14</v>
      </c>
      <c r="D14" t="s">
        <v>15</v>
      </c>
      <c r="E14">
        <v>3841.88</v>
      </c>
      <c r="F14" s="19" t="s">
        <v>88</v>
      </c>
      <c r="G14" s="19">
        <v>45474</v>
      </c>
      <c r="H14" s="55" t="s">
        <v>89</v>
      </c>
      <c r="I14" s="55" t="s">
        <v>2501</v>
      </c>
      <c r="K14" t="s">
        <v>2502</v>
      </c>
      <c r="L14" t="s">
        <v>2503</v>
      </c>
      <c r="M14" t="s">
        <v>2504</v>
      </c>
      <c r="Q14" s="3">
        <f t="shared" si="0"/>
        <v>3841.88</v>
      </c>
      <c r="S14" s="55" t="s">
        <v>2759</v>
      </c>
    </row>
    <row r="15" spans="1:32" ht="29" x14ac:dyDescent="0.35">
      <c r="A15" s="33" t="s">
        <v>35</v>
      </c>
      <c r="B15" s="33" t="s">
        <v>653</v>
      </c>
      <c r="C15" s="33" t="s">
        <v>14</v>
      </c>
      <c r="D15" s="33" t="s">
        <v>15</v>
      </c>
      <c r="E15" s="33">
        <v>-3434</v>
      </c>
      <c r="F15" s="29" t="s">
        <v>88</v>
      </c>
      <c r="G15" s="29">
        <v>45412</v>
      </c>
      <c r="H15" s="59" t="s">
        <v>654</v>
      </c>
      <c r="I15" s="59" t="s">
        <v>201</v>
      </c>
      <c r="J15" s="59"/>
      <c r="K15" s="33"/>
      <c r="L15" s="33"/>
      <c r="M15" s="33"/>
      <c r="N15" s="59"/>
      <c r="O15" s="35"/>
      <c r="Q15" s="3">
        <f t="shared" si="0"/>
        <v>3434</v>
      </c>
      <c r="S15" s="55" t="s">
        <v>1284</v>
      </c>
    </row>
    <row r="16" spans="1:32" ht="29" x14ac:dyDescent="0.35">
      <c r="A16" s="33" t="s">
        <v>35</v>
      </c>
      <c r="B16" s="33" t="s">
        <v>655</v>
      </c>
      <c r="C16" s="33" t="s">
        <v>14</v>
      </c>
      <c r="D16" s="33" t="s">
        <v>15</v>
      </c>
      <c r="E16" s="33">
        <v>3434</v>
      </c>
      <c r="F16" s="29" t="s">
        <v>88</v>
      </c>
      <c r="G16" s="29">
        <v>45412</v>
      </c>
      <c r="H16" s="59" t="s">
        <v>654</v>
      </c>
      <c r="I16" s="59" t="s">
        <v>201</v>
      </c>
      <c r="J16" s="59"/>
      <c r="K16" s="33"/>
      <c r="L16" s="33"/>
      <c r="M16" s="33"/>
      <c r="N16" s="59"/>
      <c r="O16" s="35"/>
      <c r="Q16" s="3">
        <f t="shared" si="0"/>
        <v>3434</v>
      </c>
      <c r="S16" s="55" t="s">
        <v>1284</v>
      </c>
    </row>
    <row r="17" spans="1:19" ht="29" x14ac:dyDescent="0.35">
      <c r="A17" t="s">
        <v>0</v>
      </c>
      <c r="B17" t="s">
        <v>1627</v>
      </c>
      <c r="C17" t="s">
        <v>14</v>
      </c>
      <c r="D17" t="s">
        <v>15</v>
      </c>
      <c r="E17">
        <v>3299.79</v>
      </c>
      <c r="F17" s="19" t="s">
        <v>88</v>
      </c>
      <c r="G17" s="19">
        <v>45474</v>
      </c>
      <c r="H17" s="55" t="s">
        <v>89</v>
      </c>
      <c r="I17" s="55" t="s">
        <v>2505</v>
      </c>
      <c r="K17" t="s">
        <v>101</v>
      </c>
      <c r="L17" t="s">
        <v>2506</v>
      </c>
      <c r="M17" t="s">
        <v>2127</v>
      </c>
      <c r="Q17" s="3">
        <f t="shared" si="0"/>
        <v>3299.79</v>
      </c>
      <c r="S17" s="55" t="s">
        <v>2759</v>
      </c>
    </row>
    <row r="18" spans="1:19" ht="29" x14ac:dyDescent="0.35">
      <c r="A18" t="s">
        <v>0</v>
      </c>
      <c r="B18" t="s">
        <v>1627</v>
      </c>
      <c r="C18" t="s">
        <v>14</v>
      </c>
      <c r="D18" t="s">
        <v>15</v>
      </c>
      <c r="E18">
        <v>3299.79</v>
      </c>
      <c r="F18" s="19" t="s">
        <v>88</v>
      </c>
      <c r="G18" s="19">
        <v>45538</v>
      </c>
      <c r="H18" s="55" t="s">
        <v>89</v>
      </c>
      <c r="I18" s="55" t="s">
        <v>2551</v>
      </c>
      <c r="K18" t="s">
        <v>2552</v>
      </c>
      <c r="L18" t="s">
        <v>2553</v>
      </c>
      <c r="M18" t="s">
        <v>2127</v>
      </c>
      <c r="Q18" s="3">
        <f t="shared" si="0"/>
        <v>3299.79</v>
      </c>
      <c r="S18" s="55" t="s">
        <v>2759</v>
      </c>
    </row>
    <row r="19" spans="1:19" ht="43.5" x14ac:dyDescent="0.35">
      <c r="A19" s="33" t="s">
        <v>0</v>
      </c>
      <c r="B19" s="33" t="s">
        <v>852</v>
      </c>
      <c r="C19" s="33" t="s">
        <v>14</v>
      </c>
      <c r="D19" s="33" t="s">
        <v>15</v>
      </c>
      <c r="E19" s="33">
        <v>3192.7</v>
      </c>
      <c r="F19" s="29" t="s">
        <v>88</v>
      </c>
      <c r="G19" s="29">
        <v>45400</v>
      </c>
      <c r="H19" s="59" t="s">
        <v>89</v>
      </c>
      <c r="I19" s="59" t="s">
        <v>2446</v>
      </c>
      <c r="J19" s="59"/>
      <c r="K19" s="33" t="s">
        <v>2447</v>
      </c>
      <c r="L19" s="33" t="s">
        <v>2448</v>
      </c>
      <c r="M19" s="33" t="s">
        <v>1954</v>
      </c>
      <c r="N19" s="59"/>
      <c r="O19" s="35"/>
      <c r="Q19" s="3">
        <f t="shared" si="0"/>
        <v>3192.7</v>
      </c>
      <c r="S19" s="55" t="s">
        <v>2763</v>
      </c>
    </row>
    <row r="20" spans="1:19" ht="29" x14ac:dyDescent="0.35">
      <c r="A20" t="s">
        <v>0</v>
      </c>
      <c r="B20" t="s">
        <v>2222</v>
      </c>
      <c r="C20" t="s">
        <v>14</v>
      </c>
      <c r="D20" t="s">
        <v>15</v>
      </c>
      <c r="E20">
        <v>3056.58</v>
      </c>
      <c r="F20" s="19" t="s">
        <v>88</v>
      </c>
      <c r="G20" s="19">
        <v>45551</v>
      </c>
      <c r="H20" s="55" t="s">
        <v>89</v>
      </c>
      <c r="I20" s="55" t="s">
        <v>2571</v>
      </c>
      <c r="K20" t="s">
        <v>2572</v>
      </c>
      <c r="L20" t="s">
        <v>2573</v>
      </c>
      <c r="M20" t="s">
        <v>2574</v>
      </c>
      <c r="Q20" s="3">
        <f t="shared" si="0"/>
        <v>3056.58</v>
      </c>
      <c r="S20" s="55" t="s">
        <v>138</v>
      </c>
    </row>
    <row r="21" spans="1:19" ht="29" x14ac:dyDescent="0.35">
      <c r="A21" t="s">
        <v>35</v>
      </c>
      <c r="B21" t="s">
        <v>655</v>
      </c>
      <c r="C21" t="s">
        <v>14</v>
      </c>
      <c r="D21" t="s">
        <v>15</v>
      </c>
      <c r="E21">
        <v>2878.5</v>
      </c>
      <c r="F21" s="19" t="s">
        <v>88</v>
      </c>
      <c r="G21" s="19">
        <v>45580</v>
      </c>
      <c r="H21" s="55" t="s">
        <v>94</v>
      </c>
      <c r="I21" s="55" t="s">
        <v>201</v>
      </c>
      <c r="J21" s="55" t="s">
        <v>202</v>
      </c>
      <c r="M21" t="s">
        <v>2441</v>
      </c>
      <c r="Q21" s="3">
        <f t="shared" si="0"/>
        <v>2878.5</v>
      </c>
      <c r="S21" s="55" t="s">
        <v>138</v>
      </c>
    </row>
    <row r="22" spans="1:19" ht="29" x14ac:dyDescent="0.35">
      <c r="A22" t="s">
        <v>35</v>
      </c>
      <c r="B22" t="s">
        <v>732</v>
      </c>
      <c r="C22" t="s">
        <v>14</v>
      </c>
      <c r="D22" t="s">
        <v>15</v>
      </c>
      <c r="E22">
        <v>2544.3200000000002</v>
      </c>
      <c r="F22" s="19" t="s">
        <v>88</v>
      </c>
      <c r="G22" s="19">
        <v>45621</v>
      </c>
      <c r="H22" s="55" t="s">
        <v>89</v>
      </c>
      <c r="I22" s="55" t="s">
        <v>2697</v>
      </c>
      <c r="K22" t="s">
        <v>2698</v>
      </c>
      <c r="L22" t="s">
        <v>2699</v>
      </c>
      <c r="M22" t="s">
        <v>2445</v>
      </c>
      <c r="Q22" s="3">
        <f t="shared" si="0"/>
        <v>2544.3200000000002</v>
      </c>
      <c r="S22" s="55" t="s">
        <v>138</v>
      </c>
    </row>
    <row r="23" spans="1:19" ht="43.5" x14ac:dyDescent="0.35">
      <c r="A23" t="s">
        <v>35</v>
      </c>
      <c r="B23" t="s">
        <v>732</v>
      </c>
      <c r="C23" t="s">
        <v>14</v>
      </c>
      <c r="D23" t="s">
        <v>15</v>
      </c>
      <c r="E23">
        <v>-2544.3200000000002</v>
      </c>
      <c r="F23" s="19" t="s">
        <v>88</v>
      </c>
      <c r="G23" s="19">
        <v>45623</v>
      </c>
      <c r="H23" s="55" t="s">
        <v>1052</v>
      </c>
      <c r="I23" s="55" t="s">
        <v>2697</v>
      </c>
      <c r="K23" t="s">
        <v>2698</v>
      </c>
      <c r="L23" t="s">
        <v>2699</v>
      </c>
      <c r="M23" t="s">
        <v>2445</v>
      </c>
      <c r="Q23" s="3">
        <f t="shared" si="0"/>
        <v>2544.3200000000002</v>
      </c>
      <c r="S23" s="55" t="s">
        <v>138</v>
      </c>
    </row>
    <row r="24" spans="1:19" ht="29" x14ac:dyDescent="0.35">
      <c r="A24" t="s">
        <v>0</v>
      </c>
      <c r="B24" t="s">
        <v>732</v>
      </c>
      <c r="C24" t="s">
        <v>14</v>
      </c>
      <c r="D24" t="s">
        <v>15</v>
      </c>
      <c r="E24">
        <v>2544.3200000000002</v>
      </c>
      <c r="F24" s="19" t="s">
        <v>88</v>
      </c>
      <c r="G24" s="19">
        <v>45629</v>
      </c>
      <c r="H24" s="55" t="s">
        <v>89</v>
      </c>
      <c r="I24" s="55" t="s">
        <v>2700</v>
      </c>
      <c r="K24" t="s">
        <v>2698</v>
      </c>
      <c r="L24" t="s">
        <v>2701</v>
      </c>
      <c r="M24" t="s">
        <v>2445</v>
      </c>
      <c r="Q24" s="3">
        <f t="shared" si="0"/>
        <v>2544.3200000000002</v>
      </c>
      <c r="S24" s="55" t="s">
        <v>138</v>
      </c>
    </row>
    <row r="25" spans="1:19" ht="29" x14ac:dyDescent="0.35">
      <c r="A25" t="s">
        <v>0</v>
      </c>
      <c r="B25" t="s">
        <v>708</v>
      </c>
      <c r="C25" t="s">
        <v>14</v>
      </c>
      <c r="D25" t="s">
        <v>15</v>
      </c>
      <c r="E25">
        <v>2483.6999999999998</v>
      </c>
      <c r="F25" s="19" t="s">
        <v>88</v>
      </c>
      <c r="G25" s="19">
        <v>45495</v>
      </c>
      <c r="H25" s="55" t="s">
        <v>89</v>
      </c>
      <c r="I25" s="55" t="s">
        <v>2515</v>
      </c>
      <c r="K25" t="s">
        <v>2516</v>
      </c>
      <c r="L25" t="s">
        <v>2517</v>
      </c>
      <c r="M25" t="s">
        <v>2470</v>
      </c>
      <c r="Q25" s="3">
        <f t="shared" si="0"/>
        <v>2483.6999999999998</v>
      </c>
      <c r="S25" s="55" t="s">
        <v>138</v>
      </c>
    </row>
    <row r="26" spans="1:19" ht="29" x14ac:dyDescent="0.35">
      <c r="A26" t="s">
        <v>35</v>
      </c>
      <c r="B26" t="s">
        <v>655</v>
      </c>
      <c r="C26" t="s">
        <v>14</v>
      </c>
      <c r="D26" t="s">
        <v>15</v>
      </c>
      <c r="E26">
        <v>2222</v>
      </c>
      <c r="F26" s="19" t="s">
        <v>88</v>
      </c>
      <c r="G26" s="19">
        <v>45474</v>
      </c>
      <c r="H26" s="55" t="s">
        <v>94</v>
      </c>
      <c r="I26" s="55" t="s">
        <v>201</v>
      </c>
      <c r="J26" s="55" t="s">
        <v>202</v>
      </c>
      <c r="M26" t="s">
        <v>2441</v>
      </c>
      <c r="Q26" s="3">
        <f t="shared" si="0"/>
        <v>2222</v>
      </c>
      <c r="S26" s="55" t="s">
        <v>138</v>
      </c>
    </row>
    <row r="27" spans="1:19" ht="29" x14ac:dyDescent="0.35">
      <c r="A27" t="s">
        <v>0</v>
      </c>
      <c r="B27" t="s">
        <v>708</v>
      </c>
      <c r="C27" t="s">
        <v>14</v>
      </c>
      <c r="D27" t="s">
        <v>15</v>
      </c>
      <c r="E27">
        <v>2213.6999999999998</v>
      </c>
      <c r="F27" s="19" t="s">
        <v>88</v>
      </c>
      <c r="G27" s="19">
        <v>45512</v>
      </c>
      <c r="H27" s="55" t="s">
        <v>89</v>
      </c>
      <c r="I27" s="55" t="s">
        <v>2527</v>
      </c>
      <c r="K27" t="s">
        <v>2528</v>
      </c>
      <c r="L27" t="s">
        <v>2529</v>
      </c>
      <c r="M27" t="s">
        <v>190</v>
      </c>
      <c r="Q27" s="3">
        <f t="shared" si="0"/>
        <v>2213.6999999999998</v>
      </c>
      <c r="S27" s="55" t="s">
        <v>138</v>
      </c>
    </row>
    <row r="28" spans="1:19" ht="43.5" x14ac:dyDescent="0.35">
      <c r="A28" t="s">
        <v>35</v>
      </c>
      <c r="B28" t="s">
        <v>1566</v>
      </c>
      <c r="C28" t="s">
        <v>14</v>
      </c>
      <c r="D28" t="s">
        <v>15</v>
      </c>
      <c r="E28">
        <v>2166.3000000000002</v>
      </c>
      <c r="F28" s="19" t="s">
        <v>88</v>
      </c>
      <c r="G28" s="19">
        <v>45583</v>
      </c>
      <c r="H28" s="55" t="s">
        <v>94</v>
      </c>
      <c r="I28" s="55" t="s">
        <v>2626</v>
      </c>
      <c r="J28" s="55" t="s">
        <v>2627</v>
      </c>
      <c r="M28" t="s">
        <v>2628</v>
      </c>
      <c r="Q28" s="3">
        <f t="shared" si="0"/>
        <v>2166.3000000000002</v>
      </c>
      <c r="S28" s="55" t="s">
        <v>138</v>
      </c>
    </row>
    <row r="29" spans="1:19" ht="29" x14ac:dyDescent="0.35">
      <c r="A29" t="s">
        <v>0</v>
      </c>
      <c r="B29" t="s">
        <v>2561</v>
      </c>
      <c r="C29" t="s">
        <v>14</v>
      </c>
      <c r="D29" t="s">
        <v>15</v>
      </c>
      <c r="E29">
        <v>2000</v>
      </c>
      <c r="F29" s="19" t="s">
        <v>88</v>
      </c>
      <c r="G29" s="19">
        <v>45566</v>
      </c>
      <c r="H29" s="55" t="s">
        <v>89</v>
      </c>
      <c r="I29" s="55" t="s">
        <v>2598</v>
      </c>
      <c r="K29" t="s">
        <v>2599</v>
      </c>
      <c r="L29" t="s">
        <v>2600</v>
      </c>
      <c r="M29" t="s">
        <v>2601</v>
      </c>
      <c r="Q29" s="3">
        <f t="shared" si="0"/>
        <v>2000</v>
      </c>
      <c r="S29" s="55" t="s">
        <v>138</v>
      </c>
    </row>
    <row r="30" spans="1:19" ht="43.5" x14ac:dyDescent="0.35">
      <c r="A30" t="s">
        <v>35</v>
      </c>
      <c r="B30" t="s">
        <v>2222</v>
      </c>
      <c r="C30" t="s">
        <v>14</v>
      </c>
      <c r="D30" t="s">
        <v>15</v>
      </c>
      <c r="E30">
        <v>1885.45</v>
      </c>
      <c r="F30" s="19" t="s">
        <v>88</v>
      </c>
      <c r="G30" s="19">
        <v>45546</v>
      </c>
      <c r="H30" s="55" t="s">
        <v>94</v>
      </c>
      <c r="I30" s="55" t="s">
        <v>2558</v>
      </c>
      <c r="J30" s="55" t="s">
        <v>2570</v>
      </c>
      <c r="M30" t="s">
        <v>2560</v>
      </c>
      <c r="Q30" s="3">
        <f t="shared" si="0"/>
        <v>1885.45</v>
      </c>
      <c r="S30" s="55" t="s">
        <v>138</v>
      </c>
    </row>
    <row r="31" spans="1:19" ht="29" x14ac:dyDescent="0.35">
      <c r="A31" t="s">
        <v>0</v>
      </c>
      <c r="B31" t="s">
        <v>2158</v>
      </c>
      <c r="C31" t="s">
        <v>14</v>
      </c>
      <c r="D31" t="s">
        <v>15</v>
      </c>
      <c r="E31">
        <v>1800</v>
      </c>
      <c r="F31" s="19" t="s">
        <v>88</v>
      </c>
      <c r="G31" s="19">
        <v>45621</v>
      </c>
      <c r="H31" s="55" t="s">
        <v>89</v>
      </c>
      <c r="I31" s="55" t="s">
        <v>2693</v>
      </c>
      <c r="K31" t="s">
        <v>2694</v>
      </c>
      <c r="L31" t="s">
        <v>2695</v>
      </c>
      <c r="M31" t="s">
        <v>2696</v>
      </c>
      <c r="Q31" s="3">
        <f t="shared" si="0"/>
        <v>1800</v>
      </c>
      <c r="S31" s="55" t="s">
        <v>138</v>
      </c>
    </row>
    <row r="32" spans="1:19" ht="29" x14ac:dyDescent="0.35">
      <c r="A32" t="s">
        <v>0</v>
      </c>
      <c r="B32" t="s">
        <v>2158</v>
      </c>
      <c r="C32" t="s">
        <v>14</v>
      </c>
      <c r="D32" t="s">
        <v>15</v>
      </c>
      <c r="E32">
        <v>1674.49</v>
      </c>
      <c r="F32" s="19" t="s">
        <v>88</v>
      </c>
      <c r="G32" s="19">
        <v>45617</v>
      </c>
      <c r="H32" s="55" t="s">
        <v>89</v>
      </c>
      <c r="I32" s="55" t="s">
        <v>2685</v>
      </c>
      <c r="K32" t="s">
        <v>2686</v>
      </c>
      <c r="L32" t="s">
        <v>2687</v>
      </c>
      <c r="M32" t="s">
        <v>2688</v>
      </c>
      <c r="Q32" s="3">
        <f t="shared" si="0"/>
        <v>1674.49</v>
      </c>
      <c r="S32" s="55" t="s">
        <v>138</v>
      </c>
    </row>
    <row r="33" spans="1:22" ht="29" x14ac:dyDescent="0.35">
      <c r="A33" s="33" t="s">
        <v>0</v>
      </c>
      <c r="B33" s="33" t="s">
        <v>1543</v>
      </c>
      <c r="C33" s="33" t="s">
        <v>14</v>
      </c>
      <c r="D33" s="33" t="s">
        <v>15</v>
      </c>
      <c r="E33" s="33">
        <v>1645.74</v>
      </c>
      <c r="F33" s="29" t="s">
        <v>88</v>
      </c>
      <c r="G33" s="29">
        <v>45425</v>
      </c>
      <c r="H33" s="59" t="s">
        <v>89</v>
      </c>
      <c r="I33" s="59" t="s">
        <v>2483</v>
      </c>
      <c r="J33" s="59"/>
      <c r="K33" s="33" t="s">
        <v>178</v>
      </c>
      <c r="L33" s="33" t="s">
        <v>2484</v>
      </c>
      <c r="M33" t="s">
        <v>179</v>
      </c>
      <c r="Q33" s="3">
        <f t="shared" si="0"/>
        <v>1645.74</v>
      </c>
      <c r="S33" s="55" t="s">
        <v>138</v>
      </c>
    </row>
    <row r="34" spans="1:22" ht="29" x14ac:dyDescent="0.35">
      <c r="A34" s="33" t="s">
        <v>35</v>
      </c>
      <c r="B34" s="33" t="s">
        <v>655</v>
      </c>
      <c r="C34" s="33" t="s">
        <v>14</v>
      </c>
      <c r="D34" s="33" t="s">
        <v>15</v>
      </c>
      <c r="E34" s="33">
        <v>1565.5</v>
      </c>
      <c r="F34" s="29" t="s">
        <v>88</v>
      </c>
      <c r="G34" s="29">
        <v>45397</v>
      </c>
      <c r="H34" s="59" t="s">
        <v>94</v>
      </c>
      <c r="I34" s="59" t="s">
        <v>201</v>
      </c>
      <c r="K34" s="59" t="s">
        <v>202</v>
      </c>
      <c r="L34" s="33"/>
      <c r="M34" t="s">
        <v>2441</v>
      </c>
      <c r="Q34" s="3">
        <f t="shared" si="0"/>
        <v>1565.5</v>
      </c>
      <c r="S34" s="55" t="s">
        <v>138</v>
      </c>
    </row>
    <row r="35" spans="1:22" ht="29" x14ac:dyDescent="0.35">
      <c r="A35" t="s">
        <v>35</v>
      </c>
      <c r="B35" t="s">
        <v>655</v>
      </c>
      <c r="C35" t="s">
        <v>14</v>
      </c>
      <c r="D35" t="s">
        <v>15</v>
      </c>
      <c r="E35">
        <v>1565.5</v>
      </c>
      <c r="F35" s="19" t="s">
        <v>88</v>
      </c>
      <c r="G35" s="19">
        <v>45446</v>
      </c>
      <c r="H35" s="55" t="s">
        <v>94</v>
      </c>
      <c r="I35" s="55" t="s">
        <v>201</v>
      </c>
      <c r="K35" s="55" t="s">
        <v>202</v>
      </c>
      <c r="M35" t="s">
        <v>2441</v>
      </c>
      <c r="Q35" s="3">
        <f t="shared" si="0"/>
        <v>1565.5</v>
      </c>
      <c r="S35" s="55" t="s">
        <v>138</v>
      </c>
    </row>
    <row r="36" spans="1:22" ht="29" x14ac:dyDescent="0.35">
      <c r="A36" t="s">
        <v>35</v>
      </c>
      <c r="B36" t="s">
        <v>655</v>
      </c>
      <c r="C36" t="s">
        <v>14</v>
      </c>
      <c r="D36" t="s">
        <v>15</v>
      </c>
      <c r="E36">
        <v>1565.5</v>
      </c>
      <c r="F36" s="19" t="s">
        <v>88</v>
      </c>
      <c r="G36" s="19">
        <v>45524</v>
      </c>
      <c r="H36" s="55" t="s">
        <v>94</v>
      </c>
      <c r="I36" s="55" t="s">
        <v>201</v>
      </c>
      <c r="K36" s="55" t="s">
        <v>202</v>
      </c>
      <c r="M36" t="s">
        <v>2441</v>
      </c>
      <c r="Q36" s="3">
        <f t="shared" si="0"/>
        <v>1565.5</v>
      </c>
      <c r="S36" s="55" t="s">
        <v>138</v>
      </c>
    </row>
    <row r="37" spans="1:22" ht="29" x14ac:dyDescent="0.35">
      <c r="A37" t="s">
        <v>35</v>
      </c>
      <c r="B37" t="s">
        <v>655</v>
      </c>
      <c r="C37" t="s">
        <v>14</v>
      </c>
      <c r="D37" t="s">
        <v>15</v>
      </c>
      <c r="E37">
        <v>1565.5</v>
      </c>
      <c r="F37" s="19" t="s">
        <v>88</v>
      </c>
      <c r="G37" s="19">
        <v>45600</v>
      </c>
      <c r="H37" s="55" t="s">
        <v>94</v>
      </c>
      <c r="I37" s="55" t="s">
        <v>201</v>
      </c>
      <c r="K37" s="55" t="s">
        <v>202</v>
      </c>
      <c r="M37" t="s">
        <v>2441</v>
      </c>
      <c r="Q37" s="3">
        <f t="shared" si="0"/>
        <v>1565.5</v>
      </c>
      <c r="S37" s="55" t="s">
        <v>138</v>
      </c>
    </row>
    <row r="38" spans="1:22" ht="29" x14ac:dyDescent="0.35">
      <c r="A38" t="s">
        <v>35</v>
      </c>
      <c r="B38" t="s">
        <v>655</v>
      </c>
      <c r="C38" t="s">
        <v>14</v>
      </c>
      <c r="D38" t="s">
        <v>15</v>
      </c>
      <c r="E38">
        <v>1565.5</v>
      </c>
      <c r="F38" s="19" t="s">
        <v>88</v>
      </c>
      <c r="G38" s="19">
        <v>45645</v>
      </c>
      <c r="H38" s="55" t="s">
        <v>94</v>
      </c>
      <c r="I38" s="55" t="s">
        <v>201</v>
      </c>
      <c r="K38" s="55" t="s">
        <v>202</v>
      </c>
      <c r="M38" t="s">
        <v>2441</v>
      </c>
      <c r="Q38" s="3">
        <f t="shared" si="0"/>
        <v>1565.5</v>
      </c>
      <c r="S38" s="55" t="s">
        <v>138</v>
      </c>
    </row>
    <row r="39" spans="1:22" ht="29" x14ac:dyDescent="0.35">
      <c r="A39" t="s">
        <v>35</v>
      </c>
      <c r="B39" t="s">
        <v>2222</v>
      </c>
      <c r="C39" t="s">
        <v>14</v>
      </c>
      <c r="D39" t="s">
        <v>15</v>
      </c>
      <c r="E39">
        <v>1478.56</v>
      </c>
      <c r="F39" s="19" t="s">
        <v>88</v>
      </c>
      <c r="G39" s="19">
        <v>45614</v>
      </c>
      <c r="H39" s="55" t="s">
        <v>94</v>
      </c>
      <c r="I39" s="55" t="s">
        <v>2680</v>
      </c>
      <c r="K39" s="55" t="s">
        <v>2681</v>
      </c>
      <c r="M39" t="s">
        <v>2682</v>
      </c>
      <c r="Q39" s="3">
        <f t="shared" si="0"/>
        <v>1478.56</v>
      </c>
      <c r="S39" s="55" t="s">
        <v>2764</v>
      </c>
      <c r="T39" t="s">
        <v>64</v>
      </c>
      <c r="U39" t="str">
        <f>B39</f>
        <v>AU032067</v>
      </c>
      <c r="V39" s="3">
        <f>E39</f>
        <v>1478.56</v>
      </c>
    </row>
    <row r="40" spans="1:22" ht="29" x14ac:dyDescent="0.35">
      <c r="A40" t="s">
        <v>35</v>
      </c>
      <c r="B40" t="s">
        <v>600</v>
      </c>
      <c r="C40" t="s">
        <v>14</v>
      </c>
      <c r="D40" t="s">
        <v>15</v>
      </c>
      <c r="E40">
        <v>1436.36</v>
      </c>
      <c r="F40" s="19" t="s">
        <v>88</v>
      </c>
      <c r="G40" s="19">
        <v>45516</v>
      </c>
      <c r="H40" s="55" t="s">
        <v>94</v>
      </c>
      <c r="I40" s="55" t="s">
        <v>814</v>
      </c>
      <c r="K40" s="55" t="s">
        <v>2536</v>
      </c>
      <c r="M40" t="s">
        <v>2535</v>
      </c>
      <c r="Q40" s="3">
        <f t="shared" ref="Q40:Q71" si="1">ABS(E40)</f>
        <v>1436.36</v>
      </c>
      <c r="S40" s="55" t="s">
        <v>138</v>
      </c>
    </row>
    <row r="41" spans="1:22" ht="29" x14ac:dyDescent="0.35">
      <c r="A41" t="s">
        <v>0</v>
      </c>
      <c r="B41" t="s">
        <v>2720</v>
      </c>
      <c r="C41" t="s">
        <v>14</v>
      </c>
      <c r="D41" t="s">
        <v>15</v>
      </c>
      <c r="E41">
        <v>1432.55</v>
      </c>
      <c r="F41" s="19" t="s">
        <v>88</v>
      </c>
      <c r="G41" s="19">
        <v>45630</v>
      </c>
      <c r="H41" s="55" t="s">
        <v>89</v>
      </c>
      <c r="I41" s="55" t="s">
        <v>2721</v>
      </c>
      <c r="K41" t="s">
        <v>2722</v>
      </c>
      <c r="L41" t="s">
        <v>2723</v>
      </c>
      <c r="M41" t="s">
        <v>2724</v>
      </c>
      <c r="Q41" s="3">
        <f t="shared" si="1"/>
        <v>1432.55</v>
      </c>
      <c r="S41" s="55" t="s">
        <v>138</v>
      </c>
    </row>
    <row r="42" spans="1:22" ht="29" x14ac:dyDescent="0.35">
      <c r="A42" s="33" t="s">
        <v>35</v>
      </c>
      <c r="B42" s="33" t="s">
        <v>2263</v>
      </c>
      <c r="C42" s="33" t="s">
        <v>14</v>
      </c>
      <c r="D42" s="33" t="s">
        <v>15</v>
      </c>
      <c r="E42" s="33">
        <v>1352.63</v>
      </c>
      <c r="F42" s="29" t="s">
        <v>88</v>
      </c>
      <c r="G42" s="29">
        <v>45384</v>
      </c>
      <c r="H42" s="59" t="s">
        <v>94</v>
      </c>
      <c r="I42" s="59" t="s">
        <v>244</v>
      </c>
      <c r="K42" s="59" t="s">
        <v>2418</v>
      </c>
      <c r="L42" s="33"/>
      <c r="M42" t="s">
        <v>2419</v>
      </c>
      <c r="Q42" s="3">
        <f t="shared" si="1"/>
        <v>1352.63</v>
      </c>
      <c r="S42" s="55" t="s">
        <v>53</v>
      </c>
      <c r="T42" t="s">
        <v>64</v>
      </c>
      <c r="U42" t="str">
        <f>B42</f>
        <v>AU032065</v>
      </c>
      <c r="V42" s="3">
        <f>E42</f>
        <v>1352.63</v>
      </c>
    </row>
    <row r="43" spans="1:22" ht="43.5" x14ac:dyDescent="0.35">
      <c r="A43" t="s">
        <v>35</v>
      </c>
      <c r="B43" t="s">
        <v>2222</v>
      </c>
      <c r="C43" t="s">
        <v>14</v>
      </c>
      <c r="D43" t="s">
        <v>15</v>
      </c>
      <c r="E43">
        <v>1328.73</v>
      </c>
      <c r="F43" s="19" t="s">
        <v>88</v>
      </c>
      <c r="G43" s="19">
        <v>45614</v>
      </c>
      <c r="H43" s="55" t="s">
        <v>94</v>
      </c>
      <c r="I43" s="55" t="s">
        <v>372</v>
      </c>
      <c r="K43" s="55" t="s">
        <v>2678</v>
      </c>
      <c r="M43" t="s">
        <v>2679</v>
      </c>
      <c r="Q43" s="3">
        <f t="shared" si="1"/>
        <v>1328.73</v>
      </c>
      <c r="S43" s="55" t="s">
        <v>138</v>
      </c>
    </row>
    <row r="44" spans="1:22" ht="29" x14ac:dyDescent="0.35">
      <c r="A44" t="s">
        <v>0</v>
      </c>
      <c r="B44" t="s">
        <v>708</v>
      </c>
      <c r="C44" t="s">
        <v>14</v>
      </c>
      <c r="D44" t="s">
        <v>15</v>
      </c>
      <c r="E44">
        <v>1317.68</v>
      </c>
      <c r="F44" s="19" t="s">
        <v>88</v>
      </c>
      <c r="G44" s="19">
        <v>45512</v>
      </c>
      <c r="H44" s="55" t="s">
        <v>89</v>
      </c>
      <c r="I44" s="55" t="s">
        <v>2530</v>
      </c>
      <c r="K44" t="s">
        <v>2531</v>
      </c>
      <c r="L44" t="s">
        <v>2532</v>
      </c>
      <c r="M44" t="s">
        <v>190</v>
      </c>
      <c r="Q44" s="3">
        <f t="shared" si="1"/>
        <v>1317.68</v>
      </c>
      <c r="S44" s="55" t="s">
        <v>53</v>
      </c>
      <c r="T44" t="s">
        <v>64</v>
      </c>
      <c r="U44" t="str">
        <f>B44</f>
        <v>AU030613</v>
      </c>
      <c r="V44" s="3">
        <f>E44</f>
        <v>1317.68</v>
      </c>
    </row>
    <row r="45" spans="1:22" ht="29" x14ac:dyDescent="0.35">
      <c r="A45" t="s">
        <v>0</v>
      </c>
      <c r="B45" t="s">
        <v>2222</v>
      </c>
      <c r="C45" t="s">
        <v>14</v>
      </c>
      <c r="D45" t="s">
        <v>15</v>
      </c>
      <c r="E45">
        <v>-1291.9100000000001</v>
      </c>
      <c r="F45" s="19" t="s">
        <v>88</v>
      </c>
      <c r="G45" s="19">
        <v>45637</v>
      </c>
      <c r="H45" s="55" t="s">
        <v>2571</v>
      </c>
      <c r="I45" s="55" t="s">
        <v>2571</v>
      </c>
      <c r="Q45" s="3">
        <f t="shared" si="1"/>
        <v>1291.9100000000001</v>
      </c>
      <c r="S45" s="55" t="s">
        <v>138</v>
      </c>
    </row>
    <row r="46" spans="1:22" ht="29" x14ac:dyDescent="0.35">
      <c r="A46" t="s">
        <v>0</v>
      </c>
      <c r="B46" t="s">
        <v>623</v>
      </c>
      <c r="C46" t="s">
        <v>14</v>
      </c>
      <c r="D46" t="s">
        <v>15</v>
      </c>
      <c r="E46">
        <v>1248.8</v>
      </c>
      <c r="F46" s="19" t="s">
        <v>88</v>
      </c>
      <c r="G46" s="19">
        <v>45510</v>
      </c>
      <c r="H46" s="55" t="s">
        <v>89</v>
      </c>
      <c r="I46" s="55" t="s">
        <v>2521</v>
      </c>
      <c r="K46" t="s">
        <v>2522</v>
      </c>
      <c r="L46" t="s">
        <v>2523</v>
      </c>
      <c r="M46" t="s">
        <v>2524</v>
      </c>
      <c r="Q46" s="3">
        <f t="shared" si="1"/>
        <v>1248.8</v>
      </c>
      <c r="S46" s="55" t="s">
        <v>138</v>
      </c>
    </row>
    <row r="47" spans="1:22" ht="29" x14ac:dyDescent="0.35">
      <c r="A47" s="33" t="s">
        <v>0</v>
      </c>
      <c r="B47" s="33" t="s">
        <v>1543</v>
      </c>
      <c r="C47" s="33" t="s">
        <v>14</v>
      </c>
      <c r="D47" s="33" t="s">
        <v>15</v>
      </c>
      <c r="E47" s="33">
        <v>1238.3599999999999</v>
      </c>
      <c r="F47" s="29" t="s">
        <v>88</v>
      </c>
      <c r="G47" s="29">
        <v>45395</v>
      </c>
      <c r="H47" s="59" t="s">
        <v>89</v>
      </c>
      <c r="I47" s="59" t="s">
        <v>2439</v>
      </c>
      <c r="J47" s="59"/>
      <c r="K47" s="33" t="s">
        <v>178</v>
      </c>
      <c r="L47" s="33" t="s">
        <v>2440</v>
      </c>
      <c r="M47" t="s">
        <v>179</v>
      </c>
      <c r="Q47" s="3">
        <f t="shared" si="1"/>
        <v>1238.3599999999999</v>
      </c>
      <c r="S47" s="55" t="s">
        <v>138</v>
      </c>
    </row>
    <row r="48" spans="1:22" ht="29" x14ac:dyDescent="0.35">
      <c r="A48" s="33" t="s">
        <v>0</v>
      </c>
      <c r="B48" s="33" t="s">
        <v>1543</v>
      </c>
      <c r="C48" s="33" t="s">
        <v>14</v>
      </c>
      <c r="D48" s="33" t="s">
        <v>15</v>
      </c>
      <c r="E48" s="33">
        <v>1228.1600000000001</v>
      </c>
      <c r="F48" s="29" t="s">
        <v>88</v>
      </c>
      <c r="G48" s="29">
        <v>45425</v>
      </c>
      <c r="H48" s="59" t="s">
        <v>89</v>
      </c>
      <c r="I48" s="59" t="s">
        <v>2481</v>
      </c>
      <c r="J48" s="59"/>
      <c r="K48" s="33" t="s">
        <v>178</v>
      </c>
      <c r="L48" s="33" t="s">
        <v>2482</v>
      </c>
      <c r="M48" t="s">
        <v>179</v>
      </c>
      <c r="Q48" s="3">
        <f t="shared" si="1"/>
        <v>1228.1600000000001</v>
      </c>
      <c r="S48" s="55" t="s">
        <v>138</v>
      </c>
    </row>
    <row r="49" spans="1:19" ht="29" x14ac:dyDescent="0.35">
      <c r="A49" t="s">
        <v>0</v>
      </c>
      <c r="B49" t="s">
        <v>1627</v>
      </c>
      <c r="C49" t="s">
        <v>14</v>
      </c>
      <c r="D49" t="s">
        <v>15</v>
      </c>
      <c r="E49">
        <v>1201.1199999999999</v>
      </c>
      <c r="F49" s="19" t="s">
        <v>88</v>
      </c>
      <c r="G49" s="19">
        <v>45474</v>
      </c>
      <c r="H49" s="55" t="s">
        <v>89</v>
      </c>
      <c r="I49" s="55" t="s">
        <v>2497</v>
      </c>
      <c r="K49" t="s">
        <v>2498</v>
      </c>
      <c r="L49" t="s">
        <v>2499</v>
      </c>
      <c r="M49" t="s">
        <v>2500</v>
      </c>
      <c r="Q49" s="3">
        <f t="shared" si="1"/>
        <v>1201.1199999999999</v>
      </c>
      <c r="S49" s="55" t="s">
        <v>138</v>
      </c>
    </row>
    <row r="50" spans="1:19" ht="29" x14ac:dyDescent="0.35">
      <c r="A50" s="33" t="s">
        <v>0</v>
      </c>
      <c r="B50" s="33" t="s">
        <v>623</v>
      </c>
      <c r="C50" s="33" t="s">
        <v>14</v>
      </c>
      <c r="D50" s="33" t="s">
        <v>15</v>
      </c>
      <c r="E50" s="33">
        <v>1122.1400000000001</v>
      </c>
      <c r="F50" s="29" t="s">
        <v>88</v>
      </c>
      <c r="G50" s="29">
        <v>45384</v>
      </c>
      <c r="H50" s="59" t="s">
        <v>89</v>
      </c>
      <c r="I50" s="59" t="s">
        <v>2398</v>
      </c>
      <c r="J50" s="59"/>
      <c r="K50" s="33" t="s">
        <v>2399</v>
      </c>
      <c r="L50" s="33" t="s">
        <v>2400</v>
      </c>
      <c r="M50" s="33" t="s">
        <v>2401</v>
      </c>
      <c r="N50" s="59"/>
      <c r="O50" s="35"/>
      <c r="Q50" s="3">
        <f t="shared" si="1"/>
        <v>1122.1400000000001</v>
      </c>
      <c r="S50" s="55" t="s">
        <v>138</v>
      </c>
    </row>
    <row r="51" spans="1:19" ht="29" x14ac:dyDescent="0.35">
      <c r="A51" t="s">
        <v>0</v>
      </c>
      <c r="B51" t="s">
        <v>2222</v>
      </c>
      <c r="C51" t="s">
        <v>14</v>
      </c>
      <c r="D51" t="s">
        <v>15</v>
      </c>
      <c r="E51">
        <v>1100.6099999999999</v>
      </c>
      <c r="F51" s="19" t="s">
        <v>88</v>
      </c>
      <c r="G51" s="19">
        <v>45567</v>
      </c>
      <c r="H51" s="55" t="s">
        <v>89</v>
      </c>
      <c r="I51" s="55" t="s">
        <v>2602</v>
      </c>
      <c r="K51" t="s">
        <v>2603</v>
      </c>
      <c r="L51" t="s">
        <v>2604</v>
      </c>
      <c r="M51" t="s">
        <v>147</v>
      </c>
      <c r="Q51" s="3">
        <f t="shared" si="1"/>
        <v>1100.6099999999999</v>
      </c>
      <c r="S51" s="55" t="s">
        <v>2765</v>
      </c>
    </row>
    <row r="52" spans="1:19" ht="29" x14ac:dyDescent="0.35">
      <c r="A52" t="s">
        <v>35</v>
      </c>
      <c r="B52" t="s">
        <v>1566</v>
      </c>
      <c r="C52" t="s">
        <v>14</v>
      </c>
      <c r="D52" t="s">
        <v>15</v>
      </c>
      <c r="E52">
        <v>1072.73</v>
      </c>
      <c r="F52" s="19" t="s">
        <v>88</v>
      </c>
      <c r="G52" s="19">
        <v>45629</v>
      </c>
      <c r="H52" s="55" t="s">
        <v>94</v>
      </c>
      <c r="I52" s="55" t="s">
        <v>97</v>
      </c>
      <c r="J52" s="55" t="s">
        <v>2715</v>
      </c>
      <c r="M52" t="s">
        <v>2716</v>
      </c>
      <c r="Q52" s="3">
        <f t="shared" si="1"/>
        <v>1072.73</v>
      </c>
      <c r="S52" s="55" t="s">
        <v>138</v>
      </c>
    </row>
    <row r="53" spans="1:19" ht="29" x14ac:dyDescent="0.35">
      <c r="A53" s="33" t="s">
        <v>0</v>
      </c>
      <c r="B53" s="33" t="s">
        <v>708</v>
      </c>
      <c r="C53" s="33" t="s">
        <v>14</v>
      </c>
      <c r="D53" s="33" t="s">
        <v>15</v>
      </c>
      <c r="E53" s="33">
        <v>1044.2</v>
      </c>
      <c r="F53" s="29" t="s">
        <v>88</v>
      </c>
      <c r="G53" s="29">
        <v>45413</v>
      </c>
      <c r="H53" s="59" t="s">
        <v>89</v>
      </c>
      <c r="I53" s="59" t="s">
        <v>2467</v>
      </c>
      <c r="J53" s="59"/>
      <c r="K53" s="33" t="s">
        <v>2468</v>
      </c>
      <c r="L53" s="33" t="s">
        <v>2469</v>
      </c>
      <c r="M53" s="33" t="s">
        <v>2470</v>
      </c>
      <c r="N53" s="59"/>
      <c r="O53" s="35"/>
      <c r="Q53" s="3">
        <f t="shared" si="1"/>
        <v>1044.2</v>
      </c>
      <c r="S53" s="55" t="s">
        <v>138</v>
      </c>
    </row>
    <row r="54" spans="1:19" ht="29" x14ac:dyDescent="0.35">
      <c r="A54" t="s">
        <v>0</v>
      </c>
      <c r="B54" t="s">
        <v>642</v>
      </c>
      <c r="C54" t="s">
        <v>14</v>
      </c>
      <c r="D54" t="s">
        <v>15</v>
      </c>
      <c r="E54">
        <v>990</v>
      </c>
      <c r="F54" s="19" t="s">
        <v>88</v>
      </c>
      <c r="G54" s="19">
        <v>45601</v>
      </c>
      <c r="H54" s="55" t="s">
        <v>89</v>
      </c>
      <c r="I54" s="55" t="s">
        <v>2667</v>
      </c>
      <c r="K54" t="s">
        <v>2668</v>
      </c>
      <c r="L54" t="s">
        <v>2669</v>
      </c>
      <c r="M54" t="s">
        <v>162</v>
      </c>
      <c r="Q54" s="3">
        <f t="shared" si="1"/>
        <v>990</v>
      </c>
      <c r="S54" s="55" t="s">
        <v>138</v>
      </c>
    </row>
    <row r="55" spans="1:19" ht="29" x14ac:dyDescent="0.35">
      <c r="A55" t="s">
        <v>0</v>
      </c>
      <c r="B55" t="s">
        <v>1566</v>
      </c>
      <c r="C55" t="s">
        <v>14</v>
      </c>
      <c r="D55" t="s">
        <v>15</v>
      </c>
      <c r="E55">
        <v>972.94</v>
      </c>
      <c r="F55" s="19" t="s">
        <v>88</v>
      </c>
      <c r="G55" s="19">
        <v>45449</v>
      </c>
      <c r="H55" s="55" t="s">
        <v>89</v>
      </c>
      <c r="I55" s="55" t="s">
        <v>2489</v>
      </c>
      <c r="K55" t="s">
        <v>101</v>
      </c>
      <c r="L55" t="s">
        <v>2490</v>
      </c>
      <c r="M55" t="s">
        <v>2491</v>
      </c>
      <c r="Q55" s="3">
        <f t="shared" si="1"/>
        <v>972.94</v>
      </c>
      <c r="S55" s="55" t="s">
        <v>138</v>
      </c>
    </row>
    <row r="56" spans="1:19" ht="29" x14ac:dyDescent="0.35">
      <c r="A56" t="s">
        <v>0</v>
      </c>
      <c r="B56" t="s">
        <v>732</v>
      </c>
      <c r="C56" t="s">
        <v>14</v>
      </c>
      <c r="D56" t="s">
        <v>15</v>
      </c>
      <c r="E56">
        <v>953.51</v>
      </c>
      <c r="F56" s="19" t="s">
        <v>88</v>
      </c>
      <c r="G56" s="19">
        <v>45635</v>
      </c>
      <c r="H56" s="55" t="s">
        <v>89</v>
      </c>
      <c r="I56" s="55" t="s">
        <v>2725</v>
      </c>
      <c r="K56" t="s">
        <v>2722</v>
      </c>
      <c r="L56" t="s">
        <v>2726</v>
      </c>
      <c r="M56" t="s">
        <v>2727</v>
      </c>
      <c r="Q56" s="3">
        <f t="shared" si="1"/>
        <v>953.51</v>
      </c>
      <c r="S56" s="55" t="s">
        <v>138</v>
      </c>
    </row>
    <row r="57" spans="1:19" ht="29" x14ac:dyDescent="0.35">
      <c r="A57" t="s">
        <v>0</v>
      </c>
      <c r="B57" t="s">
        <v>764</v>
      </c>
      <c r="C57" t="s">
        <v>14</v>
      </c>
      <c r="D57" t="s">
        <v>15</v>
      </c>
      <c r="E57">
        <v>948.6</v>
      </c>
      <c r="F57" s="19" t="s">
        <v>88</v>
      </c>
      <c r="G57" s="19">
        <v>45485</v>
      </c>
      <c r="H57" s="55" t="s">
        <v>89</v>
      </c>
      <c r="I57" s="55" t="s">
        <v>2512</v>
      </c>
      <c r="K57" t="s">
        <v>2513</v>
      </c>
      <c r="L57" t="s">
        <v>2514</v>
      </c>
      <c r="M57" t="s">
        <v>165</v>
      </c>
      <c r="Q57" s="3">
        <f t="shared" si="1"/>
        <v>948.6</v>
      </c>
      <c r="S57" s="55" t="s">
        <v>138</v>
      </c>
    </row>
    <row r="58" spans="1:19" ht="29" x14ac:dyDescent="0.35">
      <c r="A58" s="33" t="s">
        <v>35</v>
      </c>
      <c r="B58" s="33" t="s">
        <v>655</v>
      </c>
      <c r="C58" s="33" t="s">
        <v>14</v>
      </c>
      <c r="D58" s="33" t="s">
        <v>15</v>
      </c>
      <c r="E58" s="33">
        <v>909</v>
      </c>
      <c r="F58" s="29" t="s">
        <v>88</v>
      </c>
      <c r="G58" s="29">
        <v>45412</v>
      </c>
      <c r="H58" s="59" t="s">
        <v>94</v>
      </c>
      <c r="I58" s="59" t="s">
        <v>201</v>
      </c>
      <c r="J58" s="59" t="s">
        <v>202</v>
      </c>
      <c r="K58" s="33"/>
      <c r="L58" s="33"/>
      <c r="M58" s="35" t="s">
        <v>2441</v>
      </c>
      <c r="N58" s="59"/>
      <c r="Q58" s="3">
        <f t="shared" si="1"/>
        <v>909</v>
      </c>
      <c r="S58" s="55" t="s">
        <v>138</v>
      </c>
    </row>
    <row r="59" spans="1:19" ht="29" x14ac:dyDescent="0.35">
      <c r="A59" t="s">
        <v>35</v>
      </c>
      <c r="B59" t="s">
        <v>655</v>
      </c>
      <c r="C59" t="s">
        <v>14</v>
      </c>
      <c r="D59" t="s">
        <v>15</v>
      </c>
      <c r="E59">
        <v>909</v>
      </c>
      <c r="F59" s="19" t="s">
        <v>88</v>
      </c>
      <c r="G59" s="19">
        <v>45495</v>
      </c>
      <c r="H59" s="55" t="s">
        <v>94</v>
      </c>
      <c r="I59" s="55" t="s">
        <v>201</v>
      </c>
      <c r="J59" s="55" t="s">
        <v>202</v>
      </c>
      <c r="M59" t="s">
        <v>2441</v>
      </c>
      <c r="Q59" s="3">
        <f t="shared" si="1"/>
        <v>909</v>
      </c>
      <c r="S59" s="55" t="s">
        <v>138</v>
      </c>
    </row>
    <row r="60" spans="1:19" ht="29" x14ac:dyDescent="0.35">
      <c r="A60" t="s">
        <v>35</v>
      </c>
      <c r="B60" t="s">
        <v>655</v>
      </c>
      <c r="C60" t="s">
        <v>14</v>
      </c>
      <c r="D60" t="s">
        <v>15</v>
      </c>
      <c r="E60">
        <v>909</v>
      </c>
      <c r="F60" s="19" t="s">
        <v>88</v>
      </c>
      <c r="G60" s="19">
        <v>45615</v>
      </c>
      <c r="H60" s="55" t="s">
        <v>94</v>
      </c>
      <c r="I60" s="55" t="s">
        <v>201</v>
      </c>
      <c r="J60" s="55" t="s">
        <v>202</v>
      </c>
      <c r="M60" t="s">
        <v>2441</v>
      </c>
      <c r="Q60" s="3">
        <f t="shared" si="1"/>
        <v>909</v>
      </c>
      <c r="S60" s="55" t="s">
        <v>138</v>
      </c>
    </row>
    <row r="61" spans="1:19" ht="29" x14ac:dyDescent="0.35">
      <c r="A61" t="s">
        <v>0</v>
      </c>
      <c r="B61" t="s">
        <v>732</v>
      </c>
      <c r="C61" t="s">
        <v>14</v>
      </c>
      <c r="D61" t="s">
        <v>15</v>
      </c>
      <c r="E61">
        <v>878.25</v>
      </c>
      <c r="F61" s="19" t="s">
        <v>88</v>
      </c>
      <c r="G61" s="19">
        <v>45629</v>
      </c>
      <c r="H61" s="55" t="s">
        <v>89</v>
      </c>
      <c r="I61" s="55" t="s">
        <v>2710</v>
      </c>
      <c r="K61" t="s">
        <v>2711</v>
      </c>
      <c r="L61" t="s">
        <v>2712</v>
      </c>
      <c r="M61" t="s">
        <v>2713</v>
      </c>
      <c r="Q61" s="3">
        <f t="shared" si="1"/>
        <v>878.25</v>
      </c>
      <c r="S61" s="55" t="s">
        <v>138</v>
      </c>
    </row>
    <row r="62" spans="1:19" ht="29" x14ac:dyDescent="0.35">
      <c r="A62" t="s">
        <v>0</v>
      </c>
      <c r="B62" t="s">
        <v>2170</v>
      </c>
      <c r="C62" t="s">
        <v>14</v>
      </c>
      <c r="D62" t="s">
        <v>15</v>
      </c>
      <c r="E62">
        <v>813.29</v>
      </c>
      <c r="F62" s="19" t="s">
        <v>88</v>
      </c>
      <c r="G62" s="19">
        <v>45617</v>
      </c>
      <c r="H62" s="55" t="s">
        <v>89</v>
      </c>
      <c r="I62" s="55" t="s">
        <v>2689</v>
      </c>
      <c r="K62" t="s">
        <v>2690</v>
      </c>
      <c r="L62" t="s">
        <v>2691</v>
      </c>
      <c r="M62" t="s">
        <v>2692</v>
      </c>
      <c r="Q62" s="3">
        <f t="shared" si="1"/>
        <v>813.29</v>
      </c>
      <c r="S62" s="55" t="s">
        <v>138</v>
      </c>
    </row>
    <row r="63" spans="1:19" ht="29" x14ac:dyDescent="0.35">
      <c r="A63" t="s">
        <v>0</v>
      </c>
      <c r="B63" t="s">
        <v>2258</v>
      </c>
      <c r="C63" t="s">
        <v>14</v>
      </c>
      <c r="D63" t="s">
        <v>15</v>
      </c>
      <c r="E63">
        <v>767.46</v>
      </c>
      <c r="F63" s="19" t="s">
        <v>88</v>
      </c>
      <c r="G63" s="19">
        <v>45573</v>
      </c>
      <c r="H63" s="55" t="s">
        <v>89</v>
      </c>
      <c r="I63" s="55" t="s">
        <v>2608</v>
      </c>
      <c r="K63" t="s">
        <v>2609</v>
      </c>
      <c r="L63" t="s">
        <v>2610</v>
      </c>
      <c r="M63" t="s">
        <v>2611</v>
      </c>
      <c r="Q63" s="3">
        <f t="shared" si="1"/>
        <v>767.46</v>
      </c>
      <c r="S63" s="55" t="s">
        <v>138</v>
      </c>
    </row>
    <row r="64" spans="1:19" ht="29" x14ac:dyDescent="0.35">
      <c r="A64" t="s">
        <v>35</v>
      </c>
      <c r="B64" t="s">
        <v>615</v>
      </c>
      <c r="C64" t="s">
        <v>14</v>
      </c>
      <c r="D64" t="s">
        <v>15</v>
      </c>
      <c r="E64">
        <v>713.14</v>
      </c>
      <c r="F64" s="19" t="s">
        <v>88</v>
      </c>
      <c r="G64" s="19">
        <v>45565</v>
      </c>
      <c r="H64" s="55" t="s">
        <v>94</v>
      </c>
      <c r="I64" s="55" t="s">
        <v>2582</v>
      </c>
      <c r="J64" s="55" t="s">
        <v>2583</v>
      </c>
      <c r="M64" t="s">
        <v>2584</v>
      </c>
      <c r="Q64" s="3">
        <f t="shared" si="1"/>
        <v>713.14</v>
      </c>
      <c r="S64" s="55" t="s">
        <v>138</v>
      </c>
    </row>
    <row r="65" spans="1:22" ht="29" x14ac:dyDescent="0.35">
      <c r="A65" t="s">
        <v>35</v>
      </c>
      <c r="B65" t="s">
        <v>825</v>
      </c>
      <c r="C65" t="s">
        <v>14</v>
      </c>
      <c r="D65" t="s">
        <v>15</v>
      </c>
      <c r="E65">
        <v>709.42000000000007</v>
      </c>
      <c r="F65" s="19" t="s">
        <v>88</v>
      </c>
      <c r="G65" s="19">
        <v>45600</v>
      </c>
      <c r="H65" s="55" t="s">
        <v>94</v>
      </c>
      <c r="I65" s="55" t="s">
        <v>2662</v>
      </c>
      <c r="J65" s="55" t="s">
        <v>2663</v>
      </c>
      <c r="M65" t="s">
        <v>2664</v>
      </c>
      <c r="Q65" s="3">
        <f t="shared" si="1"/>
        <v>709.42000000000007</v>
      </c>
      <c r="S65" s="55" t="s">
        <v>138</v>
      </c>
    </row>
    <row r="66" spans="1:22" ht="29" x14ac:dyDescent="0.35">
      <c r="A66" s="33" t="s">
        <v>35</v>
      </c>
      <c r="B66" s="33" t="s">
        <v>655</v>
      </c>
      <c r="C66" s="33" t="s">
        <v>14</v>
      </c>
      <c r="D66" s="33" t="s">
        <v>15</v>
      </c>
      <c r="E66" s="33">
        <v>656.5</v>
      </c>
      <c r="F66" s="29" t="s">
        <v>88</v>
      </c>
      <c r="G66" s="29">
        <v>45397</v>
      </c>
      <c r="H66" s="59" t="s">
        <v>94</v>
      </c>
      <c r="I66" s="59" t="s">
        <v>201</v>
      </c>
      <c r="J66" s="59" t="s">
        <v>202</v>
      </c>
      <c r="K66" s="33"/>
      <c r="L66" s="33"/>
      <c r="M66" s="35" t="s">
        <v>2441</v>
      </c>
      <c r="N66" s="59"/>
      <c r="Q66" s="3">
        <f t="shared" si="1"/>
        <v>656.5</v>
      </c>
      <c r="S66" s="55" t="s">
        <v>138</v>
      </c>
    </row>
    <row r="67" spans="1:22" ht="29" x14ac:dyDescent="0.35">
      <c r="A67" t="s">
        <v>35</v>
      </c>
      <c r="B67" t="s">
        <v>655</v>
      </c>
      <c r="C67" t="s">
        <v>14</v>
      </c>
      <c r="D67" t="s">
        <v>15</v>
      </c>
      <c r="E67">
        <v>656.5</v>
      </c>
      <c r="F67" s="19" t="s">
        <v>88</v>
      </c>
      <c r="G67" s="19">
        <v>45484</v>
      </c>
      <c r="H67" s="55" t="s">
        <v>94</v>
      </c>
      <c r="I67" s="55" t="s">
        <v>201</v>
      </c>
      <c r="J67" s="55" t="s">
        <v>202</v>
      </c>
      <c r="M67" t="s">
        <v>2441</v>
      </c>
      <c r="Q67" s="3">
        <f t="shared" si="1"/>
        <v>656.5</v>
      </c>
      <c r="S67" s="55" t="s">
        <v>138</v>
      </c>
    </row>
    <row r="68" spans="1:22" ht="29" x14ac:dyDescent="0.35">
      <c r="A68" t="s">
        <v>35</v>
      </c>
      <c r="B68" t="s">
        <v>653</v>
      </c>
      <c r="C68" t="s">
        <v>14</v>
      </c>
      <c r="D68" t="s">
        <v>15</v>
      </c>
      <c r="E68">
        <v>656.5</v>
      </c>
      <c r="F68" s="19" t="s">
        <v>88</v>
      </c>
      <c r="G68" s="19">
        <v>45524</v>
      </c>
      <c r="H68" s="55" t="s">
        <v>94</v>
      </c>
      <c r="I68" s="55" t="s">
        <v>201</v>
      </c>
      <c r="J68" s="55" t="s">
        <v>202</v>
      </c>
      <c r="M68" t="s">
        <v>2441</v>
      </c>
      <c r="Q68" s="3">
        <f t="shared" si="1"/>
        <v>656.5</v>
      </c>
      <c r="S68" s="55" t="s">
        <v>138</v>
      </c>
    </row>
    <row r="69" spans="1:22" ht="29" x14ac:dyDescent="0.35">
      <c r="A69" t="s">
        <v>35</v>
      </c>
      <c r="B69" t="s">
        <v>655</v>
      </c>
      <c r="C69" t="s">
        <v>14</v>
      </c>
      <c r="D69" t="s">
        <v>15</v>
      </c>
      <c r="E69">
        <v>656.5</v>
      </c>
      <c r="F69" s="19" t="s">
        <v>88</v>
      </c>
      <c r="G69" s="19">
        <v>45534</v>
      </c>
      <c r="H69" s="55" t="s">
        <v>94</v>
      </c>
      <c r="I69" s="55" t="s">
        <v>201</v>
      </c>
      <c r="J69" s="55" t="s">
        <v>202</v>
      </c>
      <c r="M69" t="s">
        <v>2441</v>
      </c>
      <c r="Q69" s="3">
        <f t="shared" si="1"/>
        <v>656.5</v>
      </c>
      <c r="S69" s="55" t="s">
        <v>138</v>
      </c>
    </row>
    <row r="70" spans="1:22" ht="29" x14ac:dyDescent="0.35">
      <c r="A70" t="s">
        <v>35</v>
      </c>
      <c r="B70" t="s">
        <v>655</v>
      </c>
      <c r="C70" t="s">
        <v>14</v>
      </c>
      <c r="D70" t="s">
        <v>15</v>
      </c>
      <c r="E70">
        <v>656.5</v>
      </c>
      <c r="F70" s="19" t="s">
        <v>88</v>
      </c>
      <c r="G70" s="19">
        <v>45544</v>
      </c>
      <c r="H70" s="55" t="s">
        <v>94</v>
      </c>
      <c r="I70" s="55" t="s">
        <v>201</v>
      </c>
      <c r="J70" s="55" t="s">
        <v>202</v>
      </c>
      <c r="M70" t="s">
        <v>2441</v>
      </c>
      <c r="Q70" s="3">
        <f t="shared" si="1"/>
        <v>656.5</v>
      </c>
      <c r="S70" s="55" t="s">
        <v>138</v>
      </c>
    </row>
    <row r="71" spans="1:22" s="88" customFormat="1" x14ac:dyDescent="0.35">
      <c r="A71" s="88" t="s">
        <v>35</v>
      </c>
      <c r="B71" s="88" t="s">
        <v>653</v>
      </c>
      <c r="C71" s="88" t="s">
        <v>14</v>
      </c>
      <c r="D71" s="88" t="s">
        <v>15</v>
      </c>
      <c r="E71" s="88">
        <v>-656.5</v>
      </c>
      <c r="F71" s="97" t="s">
        <v>88</v>
      </c>
      <c r="G71" s="97">
        <v>45544</v>
      </c>
      <c r="H71" s="85" t="s">
        <v>973</v>
      </c>
      <c r="I71" s="85" t="s">
        <v>973</v>
      </c>
      <c r="J71" s="85"/>
      <c r="N71" s="85"/>
      <c r="P71" s="86"/>
      <c r="Q71" s="87">
        <f t="shared" si="1"/>
        <v>656.5</v>
      </c>
      <c r="R71" s="85"/>
      <c r="S71" s="55" t="s">
        <v>138</v>
      </c>
      <c r="V71" s="87"/>
    </row>
    <row r="72" spans="1:22" x14ac:dyDescent="0.35">
      <c r="A72" t="s">
        <v>35</v>
      </c>
      <c r="B72" t="s">
        <v>655</v>
      </c>
      <c r="C72" t="s">
        <v>14</v>
      </c>
      <c r="D72" t="s">
        <v>15</v>
      </c>
      <c r="E72">
        <v>656.5</v>
      </c>
      <c r="F72" s="19" t="s">
        <v>88</v>
      </c>
      <c r="G72" s="19">
        <v>45544</v>
      </c>
      <c r="H72" s="55" t="s">
        <v>973</v>
      </c>
      <c r="I72" s="55" t="s">
        <v>973</v>
      </c>
      <c r="Q72" s="3">
        <f t="shared" ref="Q72:Q103" si="2">ABS(E72)</f>
        <v>656.5</v>
      </c>
      <c r="S72" s="55" t="s">
        <v>138</v>
      </c>
    </row>
    <row r="73" spans="1:22" ht="29" x14ac:dyDescent="0.35">
      <c r="A73" t="s">
        <v>35</v>
      </c>
      <c r="B73" t="s">
        <v>655</v>
      </c>
      <c r="C73" t="s">
        <v>14</v>
      </c>
      <c r="D73" t="s">
        <v>15</v>
      </c>
      <c r="E73">
        <v>656.5</v>
      </c>
      <c r="F73" s="19" t="s">
        <v>88</v>
      </c>
      <c r="G73" s="19">
        <v>45624</v>
      </c>
      <c r="H73" s="55" t="s">
        <v>94</v>
      </c>
      <c r="I73" s="55" t="s">
        <v>201</v>
      </c>
      <c r="J73" s="55" t="s">
        <v>202</v>
      </c>
      <c r="M73" t="s">
        <v>2441</v>
      </c>
      <c r="Q73" s="3">
        <f t="shared" si="2"/>
        <v>656.5</v>
      </c>
      <c r="S73" s="55" t="s">
        <v>138</v>
      </c>
    </row>
    <row r="74" spans="1:22" ht="29" x14ac:dyDescent="0.35">
      <c r="A74" t="s">
        <v>0</v>
      </c>
      <c r="B74" t="s">
        <v>825</v>
      </c>
      <c r="C74" t="s">
        <v>14</v>
      </c>
      <c r="D74" t="s">
        <v>15</v>
      </c>
      <c r="E74">
        <v>630.07000000000005</v>
      </c>
      <c r="F74" s="19" t="s">
        <v>88</v>
      </c>
      <c r="G74" s="19">
        <v>45579</v>
      </c>
      <c r="H74" s="55" t="s">
        <v>89</v>
      </c>
      <c r="I74" s="55" t="s">
        <v>2616</v>
      </c>
      <c r="K74" t="s">
        <v>2617</v>
      </c>
      <c r="L74" t="s">
        <v>2618</v>
      </c>
      <c r="M74" t="s">
        <v>180</v>
      </c>
      <c r="Q74" s="3">
        <f t="shared" si="2"/>
        <v>630.07000000000005</v>
      </c>
      <c r="S74" s="55" t="s">
        <v>53</v>
      </c>
      <c r="T74" t="s">
        <v>64</v>
      </c>
      <c r="U74" t="str">
        <f>B74</f>
        <v>AU030611</v>
      </c>
      <c r="V74" s="3">
        <f>E74</f>
        <v>630.07000000000005</v>
      </c>
    </row>
    <row r="75" spans="1:22" ht="29" x14ac:dyDescent="0.35">
      <c r="A75" t="s">
        <v>35</v>
      </c>
      <c r="B75" t="s">
        <v>2222</v>
      </c>
      <c r="C75" t="s">
        <v>14</v>
      </c>
      <c r="D75" t="s">
        <v>15</v>
      </c>
      <c r="E75">
        <v>563.64</v>
      </c>
      <c r="F75" s="19" t="s">
        <v>88</v>
      </c>
      <c r="G75" s="19">
        <v>45614</v>
      </c>
      <c r="H75" s="55" t="s">
        <v>94</v>
      </c>
      <c r="I75" s="55" t="s">
        <v>2680</v>
      </c>
      <c r="K75" s="55" t="s">
        <v>2683</v>
      </c>
      <c r="M75" t="s">
        <v>2684</v>
      </c>
      <c r="Q75" s="3">
        <f t="shared" si="2"/>
        <v>563.64</v>
      </c>
      <c r="S75" s="55" t="s">
        <v>53</v>
      </c>
      <c r="T75" t="s">
        <v>64</v>
      </c>
      <c r="U75" t="str">
        <f>B75</f>
        <v>AU032067</v>
      </c>
      <c r="V75" s="3">
        <f>E75</f>
        <v>563.64</v>
      </c>
    </row>
    <row r="76" spans="1:22" ht="29" x14ac:dyDescent="0.35">
      <c r="A76" t="s">
        <v>35</v>
      </c>
      <c r="B76" t="s">
        <v>698</v>
      </c>
      <c r="C76" t="s">
        <v>14</v>
      </c>
      <c r="D76" t="s">
        <v>15</v>
      </c>
      <c r="E76">
        <v>550</v>
      </c>
      <c r="F76" s="19" t="s">
        <v>88</v>
      </c>
      <c r="G76" s="19">
        <v>45586</v>
      </c>
      <c r="H76" s="55" t="s">
        <v>94</v>
      </c>
      <c r="I76" s="55" t="s">
        <v>2637</v>
      </c>
      <c r="K76" s="55" t="s">
        <v>2638</v>
      </c>
      <c r="M76" t="s">
        <v>2639</v>
      </c>
      <c r="Q76" s="3">
        <f t="shared" si="2"/>
        <v>550</v>
      </c>
    </row>
    <row r="77" spans="1:22" ht="29" x14ac:dyDescent="0.35">
      <c r="A77" t="s">
        <v>35</v>
      </c>
      <c r="B77" t="s">
        <v>2629</v>
      </c>
      <c r="C77" t="s">
        <v>14</v>
      </c>
      <c r="D77" t="s">
        <v>15</v>
      </c>
      <c r="E77">
        <v>548.55999999999995</v>
      </c>
      <c r="F77" s="19" t="s">
        <v>88</v>
      </c>
      <c r="G77" s="19">
        <v>45586</v>
      </c>
      <c r="H77" s="55" t="s">
        <v>89</v>
      </c>
      <c r="I77" s="55" t="s">
        <v>2630</v>
      </c>
      <c r="K77" t="s">
        <v>2631</v>
      </c>
      <c r="L77" t="s">
        <v>2632</v>
      </c>
      <c r="M77" t="s">
        <v>2633</v>
      </c>
      <c r="Q77" s="3">
        <f t="shared" si="2"/>
        <v>548.55999999999995</v>
      </c>
      <c r="S77" s="55" t="s">
        <v>138</v>
      </c>
    </row>
    <row r="78" spans="1:22" ht="29" x14ac:dyDescent="0.35">
      <c r="A78" t="s">
        <v>35</v>
      </c>
      <c r="B78" t="s">
        <v>698</v>
      </c>
      <c r="C78" t="s">
        <v>14</v>
      </c>
      <c r="D78" t="s">
        <v>15</v>
      </c>
      <c r="E78">
        <v>500</v>
      </c>
      <c r="F78" s="19" t="s">
        <v>88</v>
      </c>
      <c r="G78" s="19">
        <v>45595</v>
      </c>
      <c r="H78" s="55" t="s">
        <v>94</v>
      </c>
      <c r="I78" s="55" t="s">
        <v>2656</v>
      </c>
      <c r="J78" s="55" t="s">
        <v>2657</v>
      </c>
      <c r="M78" t="s">
        <v>2658</v>
      </c>
      <c r="Q78" s="3">
        <f t="shared" si="2"/>
        <v>500</v>
      </c>
    </row>
    <row r="79" spans="1:22" ht="29" x14ac:dyDescent="0.35">
      <c r="A79" t="s">
        <v>0</v>
      </c>
      <c r="B79" t="s">
        <v>708</v>
      </c>
      <c r="C79" t="s">
        <v>14</v>
      </c>
      <c r="D79" t="s">
        <v>15</v>
      </c>
      <c r="E79">
        <v>497.24</v>
      </c>
      <c r="F79" s="19" t="s">
        <v>88</v>
      </c>
      <c r="G79" s="19">
        <v>45637</v>
      </c>
      <c r="H79" s="55" t="s">
        <v>89</v>
      </c>
      <c r="I79" s="55" t="s">
        <v>2736</v>
      </c>
      <c r="K79" t="s">
        <v>2733</v>
      </c>
      <c r="L79" t="s">
        <v>2737</v>
      </c>
      <c r="M79" t="s">
        <v>2738</v>
      </c>
      <c r="Q79" s="3">
        <f t="shared" si="2"/>
        <v>497.24</v>
      </c>
    </row>
    <row r="80" spans="1:22" ht="29" x14ac:dyDescent="0.35">
      <c r="A80" t="s">
        <v>35</v>
      </c>
      <c r="B80" t="s">
        <v>1566</v>
      </c>
      <c r="C80" t="s">
        <v>14</v>
      </c>
      <c r="D80" t="s">
        <v>15</v>
      </c>
      <c r="E80">
        <v>454.55</v>
      </c>
      <c r="F80" s="19" t="s">
        <v>88</v>
      </c>
      <c r="G80" s="19">
        <v>45537</v>
      </c>
      <c r="H80" s="55" t="s">
        <v>94</v>
      </c>
      <c r="I80" s="55" t="s">
        <v>120</v>
      </c>
      <c r="K80" s="55" t="s">
        <v>2549</v>
      </c>
      <c r="O80" t="s">
        <v>2550</v>
      </c>
      <c r="Q80" s="3">
        <f t="shared" si="2"/>
        <v>454.55</v>
      </c>
    </row>
    <row r="81" spans="1:22" ht="29" x14ac:dyDescent="0.35">
      <c r="A81" t="s">
        <v>35</v>
      </c>
      <c r="B81" t="s">
        <v>698</v>
      </c>
      <c r="C81" t="s">
        <v>14</v>
      </c>
      <c r="D81" t="s">
        <v>15</v>
      </c>
      <c r="E81">
        <v>440</v>
      </c>
      <c r="F81" s="19" t="s">
        <v>88</v>
      </c>
      <c r="G81" s="19">
        <v>45574</v>
      </c>
      <c r="H81" s="55" t="s">
        <v>94</v>
      </c>
      <c r="I81" s="55" t="s">
        <v>2613</v>
      </c>
      <c r="K81" s="55" t="s">
        <v>2614</v>
      </c>
      <c r="O81" t="s">
        <v>2615</v>
      </c>
      <c r="Q81" s="3">
        <f t="shared" si="2"/>
        <v>440</v>
      </c>
      <c r="S81" s="55" t="s">
        <v>2766</v>
      </c>
    </row>
    <row r="82" spans="1:22" ht="29" x14ac:dyDescent="0.35">
      <c r="A82" t="s">
        <v>0</v>
      </c>
      <c r="B82" t="s">
        <v>2170</v>
      </c>
      <c r="C82" t="s">
        <v>14</v>
      </c>
      <c r="D82" t="s">
        <v>15</v>
      </c>
      <c r="E82">
        <v>419.18</v>
      </c>
      <c r="F82" s="19" t="s">
        <v>88</v>
      </c>
      <c r="G82" s="19">
        <v>45629</v>
      </c>
      <c r="H82" s="55" t="s">
        <v>89</v>
      </c>
      <c r="I82" s="55" t="s">
        <v>2702</v>
      </c>
      <c r="K82" t="s">
        <v>2703</v>
      </c>
      <c r="L82" t="s">
        <v>2704</v>
      </c>
      <c r="M82" t="s">
        <v>2705</v>
      </c>
      <c r="Q82" s="3">
        <f t="shared" si="2"/>
        <v>419.18</v>
      </c>
    </row>
    <row r="83" spans="1:22" ht="29" x14ac:dyDescent="0.35">
      <c r="A83" t="s">
        <v>0</v>
      </c>
      <c r="B83" t="s">
        <v>2170</v>
      </c>
      <c r="C83" t="s">
        <v>14</v>
      </c>
      <c r="D83" t="s">
        <v>15</v>
      </c>
      <c r="E83">
        <v>416.45</v>
      </c>
      <c r="F83" s="19" t="s">
        <v>88</v>
      </c>
      <c r="G83" s="19">
        <v>45614</v>
      </c>
      <c r="H83" s="55" t="s">
        <v>89</v>
      </c>
      <c r="I83" s="55" t="s">
        <v>2674</v>
      </c>
      <c r="K83" t="s">
        <v>2675</v>
      </c>
      <c r="L83" t="s">
        <v>2676</v>
      </c>
      <c r="M83" t="s">
        <v>2677</v>
      </c>
      <c r="Q83" s="3">
        <f t="shared" si="2"/>
        <v>416.45</v>
      </c>
    </row>
    <row r="84" spans="1:22" ht="43.5" x14ac:dyDescent="0.35">
      <c r="A84" t="s">
        <v>35</v>
      </c>
      <c r="B84" t="s">
        <v>708</v>
      </c>
      <c r="C84" t="s">
        <v>14</v>
      </c>
      <c r="D84" t="s">
        <v>15</v>
      </c>
      <c r="E84">
        <v>411.07</v>
      </c>
      <c r="F84" s="19" t="s">
        <v>88</v>
      </c>
      <c r="G84" s="19">
        <v>45546</v>
      </c>
      <c r="H84" s="55" t="s">
        <v>94</v>
      </c>
      <c r="I84" s="55" t="s">
        <v>2558</v>
      </c>
      <c r="K84" s="55" t="s">
        <v>2568</v>
      </c>
      <c r="O84" t="s">
        <v>2569</v>
      </c>
      <c r="Q84" s="3">
        <f t="shared" si="2"/>
        <v>411.07</v>
      </c>
    </row>
    <row r="85" spans="1:22" ht="29" x14ac:dyDescent="0.35">
      <c r="A85" t="s">
        <v>35</v>
      </c>
      <c r="B85" t="s">
        <v>600</v>
      </c>
      <c r="C85" t="s">
        <v>14</v>
      </c>
      <c r="D85" t="s">
        <v>15</v>
      </c>
      <c r="E85">
        <v>409.09</v>
      </c>
      <c r="F85" s="19" t="s">
        <v>88</v>
      </c>
      <c r="G85" s="19">
        <v>45516</v>
      </c>
      <c r="H85" s="55" t="s">
        <v>94</v>
      </c>
      <c r="I85" s="55" t="s">
        <v>2534</v>
      </c>
      <c r="K85" s="55" t="s">
        <v>9246</v>
      </c>
      <c r="O85" t="s">
        <v>2535</v>
      </c>
      <c r="Q85" s="3">
        <f t="shared" si="2"/>
        <v>409.09</v>
      </c>
    </row>
    <row r="86" spans="1:22" ht="29" x14ac:dyDescent="0.35">
      <c r="A86" t="s">
        <v>35</v>
      </c>
      <c r="B86" t="s">
        <v>789</v>
      </c>
      <c r="C86" t="s">
        <v>14</v>
      </c>
      <c r="D86" t="s">
        <v>15</v>
      </c>
      <c r="E86">
        <v>400</v>
      </c>
      <c r="F86" s="19" t="s">
        <v>88</v>
      </c>
      <c r="G86" s="19">
        <v>45629</v>
      </c>
      <c r="H86" s="55" t="s">
        <v>94</v>
      </c>
      <c r="I86" s="55" t="s">
        <v>2717</v>
      </c>
      <c r="K86" s="55" t="s">
        <v>2718</v>
      </c>
      <c r="O86" t="s">
        <v>2719</v>
      </c>
      <c r="Q86" s="3">
        <f t="shared" si="2"/>
        <v>400</v>
      </c>
    </row>
    <row r="87" spans="1:22" ht="43.5" x14ac:dyDescent="0.35">
      <c r="A87" t="s">
        <v>0</v>
      </c>
      <c r="B87" t="s">
        <v>708</v>
      </c>
      <c r="C87" t="s">
        <v>14</v>
      </c>
      <c r="D87" t="s">
        <v>15</v>
      </c>
      <c r="E87">
        <v>-399.78</v>
      </c>
      <c r="F87" s="19" t="s">
        <v>88</v>
      </c>
      <c r="G87" s="19">
        <v>45516</v>
      </c>
      <c r="H87" s="55" t="s">
        <v>2533</v>
      </c>
      <c r="I87" s="55" t="s">
        <v>2515</v>
      </c>
      <c r="K87" s="55"/>
      <c r="Q87" s="3">
        <f t="shared" si="2"/>
        <v>399.78</v>
      </c>
    </row>
    <row r="88" spans="1:22" ht="43.5" x14ac:dyDescent="0.35">
      <c r="A88" s="35" t="s">
        <v>35</v>
      </c>
      <c r="B88" s="35" t="s">
        <v>2263</v>
      </c>
      <c r="C88" s="35" t="s">
        <v>14</v>
      </c>
      <c r="D88" s="35" t="s">
        <v>15</v>
      </c>
      <c r="E88" s="35">
        <v>393.16</v>
      </c>
      <c r="F88" s="29" t="s">
        <v>88</v>
      </c>
      <c r="G88" s="29">
        <v>45385</v>
      </c>
      <c r="H88" s="59" t="s">
        <v>94</v>
      </c>
      <c r="I88" s="59" t="s">
        <v>435</v>
      </c>
      <c r="K88" s="59" t="s">
        <v>2425</v>
      </c>
      <c r="L88" s="35"/>
      <c r="M88" s="35"/>
      <c r="N88" s="59"/>
      <c r="O88" s="35" t="s">
        <v>2426</v>
      </c>
      <c r="Q88" s="3">
        <f t="shared" si="2"/>
        <v>393.16</v>
      </c>
      <c r="S88" s="55" t="s">
        <v>1285</v>
      </c>
    </row>
    <row r="89" spans="1:22" ht="29" x14ac:dyDescent="0.35">
      <c r="A89" t="s">
        <v>0</v>
      </c>
      <c r="B89" t="s">
        <v>732</v>
      </c>
      <c r="C89" t="s">
        <v>14</v>
      </c>
      <c r="D89" t="s">
        <v>15</v>
      </c>
      <c r="E89">
        <v>368.14</v>
      </c>
      <c r="F89" s="19" t="s">
        <v>88</v>
      </c>
      <c r="G89" s="19">
        <v>45629</v>
      </c>
      <c r="H89" s="55" t="s">
        <v>89</v>
      </c>
      <c r="I89" s="55" t="s">
        <v>2710</v>
      </c>
      <c r="K89" t="s">
        <v>2714</v>
      </c>
      <c r="L89" t="s">
        <v>2712</v>
      </c>
      <c r="M89" t="s">
        <v>2713</v>
      </c>
      <c r="Q89" s="3">
        <f t="shared" si="2"/>
        <v>368.14</v>
      </c>
    </row>
    <row r="90" spans="1:22" ht="29" x14ac:dyDescent="0.35">
      <c r="A90" t="s">
        <v>0</v>
      </c>
      <c r="B90" t="s">
        <v>909</v>
      </c>
      <c r="C90" t="s">
        <v>14</v>
      </c>
      <c r="D90" t="s">
        <v>15</v>
      </c>
      <c r="E90">
        <v>328.34</v>
      </c>
      <c r="F90" s="19" t="s">
        <v>88</v>
      </c>
      <c r="G90" s="19">
        <v>45553</v>
      </c>
      <c r="H90" s="55" t="s">
        <v>89</v>
      </c>
      <c r="I90" s="55" t="s">
        <v>2575</v>
      </c>
      <c r="K90" t="s">
        <v>2576</v>
      </c>
      <c r="L90" t="s">
        <v>2577</v>
      </c>
      <c r="M90" t="s">
        <v>2578</v>
      </c>
      <c r="Q90" s="3">
        <f t="shared" si="2"/>
        <v>328.34</v>
      </c>
    </row>
    <row r="91" spans="1:22" ht="29" x14ac:dyDescent="0.35">
      <c r="A91" t="s">
        <v>35</v>
      </c>
      <c r="B91" t="s">
        <v>1566</v>
      </c>
      <c r="C91" t="s">
        <v>14</v>
      </c>
      <c r="D91" t="s">
        <v>15</v>
      </c>
      <c r="E91">
        <v>300.91000000000003</v>
      </c>
      <c r="F91" s="19" t="s">
        <v>88</v>
      </c>
      <c r="G91" s="19">
        <v>45595</v>
      </c>
      <c r="H91" s="55" t="s">
        <v>94</v>
      </c>
      <c r="I91" s="55" t="s">
        <v>2653</v>
      </c>
      <c r="K91" s="55" t="s">
        <v>2654</v>
      </c>
      <c r="M91" t="s">
        <v>2655</v>
      </c>
      <c r="Q91" s="3">
        <f t="shared" si="2"/>
        <v>300.91000000000003</v>
      </c>
    </row>
    <row r="92" spans="1:22" ht="29" x14ac:dyDescent="0.35">
      <c r="A92" t="s">
        <v>35</v>
      </c>
      <c r="B92" t="s">
        <v>2222</v>
      </c>
      <c r="C92" t="s">
        <v>14</v>
      </c>
      <c r="D92" t="s">
        <v>15</v>
      </c>
      <c r="E92">
        <v>298.18</v>
      </c>
      <c r="F92" s="19" t="s">
        <v>88</v>
      </c>
      <c r="G92" s="19">
        <v>45540</v>
      </c>
      <c r="H92" s="55" t="s">
        <v>94</v>
      </c>
      <c r="I92" s="55" t="s">
        <v>97</v>
      </c>
      <c r="K92" s="55" t="s">
        <v>2556</v>
      </c>
      <c r="M92" t="s">
        <v>2557</v>
      </c>
      <c r="Q92" s="3">
        <f t="shared" si="2"/>
        <v>298.18</v>
      </c>
    </row>
    <row r="93" spans="1:22" ht="43.5" x14ac:dyDescent="0.35">
      <c r="A93" s="35" t="s">
        <v>35</v>
      </c>
      <c r="B93" s="35" t="s">
        <v>2263</v>
      </c>
      <c r="C93" s="35" t="s">
        <v>14</v>
      </c>
      <c r="D93" s="35" t="s">
        <v>15</v>
      </c>
      <c r="E93" s="35">
        <v>294.87</v>
      </c>
      <c r="F93" s="29" t="s">
        <v>88</v>
      </c>
      <c r="G93" s="29">
        <v>45384</v>
      </c>
      <c r="H93" s="59" t="s">
        <v>94</v>
      </c>
      <c r="I93" s="59" t="s">
        <v>435</v>
      </c>
      <c r="K93" s="59" t="s">
        <v>2416</v>
      </c>
      <c r="L93" s="35"/>
      <c r="M93" s="35" t="s">
        <v>2417</v>
      </c>
      <c r="N93" s="59"/>
      <c r="Q93" s="3">
        <f t="shared" si="2"/>
        <v>294.87</v>
      </c>
      <c r="S93" s="55" t="s">
        <v>53</v>
      </c>
      <c r="T93" t="s">
        <v>64</v>
      </c>
      <c r="U93" t="str">
        <f>B93</f>
        <v>AU032065</v>
      </c>
      <c r="V93" s="3">
        <f>E93</f>
        <v>294.87</v>
      </c>
    </row>
    <row r="94" spans="1:22" ht="29" x14ac:dyDescent="0.35">
      <c r="A94" s="35" t="s">
        <v>0</v>
      </c>
      <c r="B94" s="35" t="s">
        <v>825</v>
      </c>
      <c r="C94" s="35" t="s">
        <v>14</v>
      </c>
      <c r="D94" s="35" t="s">
        <v>15</v>
      </c>
      <c r="E94" s="35">
        <v>273.11</v>
      </c>
      <c r="F94" s="29" t="s">
        <v>88</v>
      </c>
      <c r="G94" s="29">
        <v>45401</v>
      </c>
      <c r="H94" s="59" t="s">
        <v>89</v>
      </c>
      <c r="I94" s="59" t="s">
        <v>2449</v>
      </c>
      <c r="J94" s="59"/>
      <c r="K94" s="35" t="s">
        <v>2450</v>
      </c>
      <c r="L94" s="35" t="s">
        <v>2451</v>
      </c>
      <c r="M94" s="35" t="s">
        <v>2452</v>
      </c>
      <c r="N94" s="59"/>
      <c r="O94" s="35"/>
      <c r="Q94" s="3">
        <f t="shared" si="2"/>
        <v>273.11</v>
      </c>
      <c r="S94" s="55" t="s">
        <v>53</v>
      </c>
      <c r="T94" t="s">
        <v>64</v>
      </c>
      <c r="U94" t="str">
        <f>B94</f>
        <v>AU030611</v>
      </c>
      <c r="V94" s="3">
        <f>E94</f>
        <v>273.11</v>
      </c>
    </row>
    <row r="95" spans="1:22" ht="29" x14ac:dyDescent="0.35">
      <c r="A95" s="35" t="s">
        <v>0</v>
      </c>
      <c r="B95" s="35" t="s">
        <v>825</v>
      </c>
      <c r="C95" s="35" t="s">
        <v>14</v>
      </c>
      <c r="D95" s="35" t="s">
        <v>15</v>
      </c>
      <c r="E95" s="35">
        <v>-273.11</v>
      </c>
      <c r="F95" s="29" t="s">
        <v>88</v>
      </c>
      <c r="G95" s="29">
        <v>45411</v>
      </c>
      <c r="H95" s="59" t="s">
        <v>89</v>
      </c>
      <c r="I95" s="59" t="s">
        <v>2449</v>
      </c>
      <c r="J95" s="59"/>
      <c r="K95" s="35" t="s">
        <v>2450</v>
      </c>
      <c r="L95" s="35" t="s">
        <v>2451</v>
      </c>
      <c r="M95" s="35" t="s">
        <v>2452</v>
      </c>
      <c r="N95" s="59"/>
      <c r="O95" s="35"/>
      <c r="Q95" s="3">
        <f t="shared" si="2"/>
        <v>273.11</v>
      </c>
      <c r="S95" s="55" t="s">
        <v>53</v>
      </c>
      <c r="T95" t="s">
        <v>64</v>
      </c>
      <c r="U95" t="str">
        <f t="shared" ref="U95:U96" si="3">B95</f>
        <v>AU030611</v>
      </c>
      <c r="V95" s="3">
        <f t="shared" ref="V95:V96" si="4">E95</f>
        <v>-273.11</v>
      </c>
    </row>
    <row r="96" spans="1:22" ht="29" x14ac:dyDescent="0.35">
      <c r="A96" s="35" t="s">
        <v>0</v>
      </c>
      <c r="B96" s="35" t="s">
        <v>825</v>
      </c>
      <c r="C96" s="35" t="s">
        <v>14</v>
      </c>
      <c r="D96" s="35" t="s">
        <v>15</v>
      </c>
      <c r="E96" s="35">
        <v>273.11</v>
      </c>
      <c r="F96" s="29" t="s">
        <v>88</v>
      </c>
      <c r="G96" s="29">
        <v>45413</v>
      </c>
      <c r="H96" s="59" t="s">
        <v>89</v>
      </c>
      <c r="I96" s="59" t="s">
        <v>2449</v>
      </c>
      <c r="J96" s="59"/>
      <c r="K96" s="35" t="s">
        <v>2450</v>
      </c>
      <c r="L96" s="35" t="s">
        <v>2451</v>
      </c>
      <c r="M96" s="35" t="s">
        <v>2452</v>
      </c>
      <c r="N96" s="59"/>
      <c r="O96" s="35"/>
      <c r="Q96" s="3">
        <f t="shared" si="2"/>
        <v>273.11</v>
      </c>
      <c r="S96" s="55" t="s">
        <v>53</v>
      </c>
      <c r="T96" t="s">
        <v>64</v>
      </c>
      <c r="U96" t="str">
        <f t="shared" si="3"/>
        <v>AU030611</v>
      </c>
      <c r="V96" s="3">
        <f t="shared" si="4"/>
        <v>273.11</v>
      </c>
    </row>
    <row r="97" spans="1:22" ht="43.5" x14ac:dyDescent="0.35">
      <c r="A97" t="s">
        <v>35</v>
      </c>
      <c r="B97" t="s">
        <v>600</v>
      </c>
      <c r="C97" t="s">
        <v>14</v>
      </c>
      <c r="D97" t="s">
        <v>15</v>
      </c>
      <c r="E97">
        <v>272.73</v>
      </c>
      <c r="F97" s="19" t="s">
        <v>88</v>
      </c>
      <c r="G97" s="19">
        <v>45516</v>
      </c>
      <c r="H97" s="55" t="s">
        <v>94</v>
      </c>
      <c r="I97" s="55" t="s">
        <v>814</v>
      </c>
      <c r="K97" s="55" t="s">
        <v>2537</v>
      </c>
      <c r="O97" t="s">
        <v>2538</v>
      </c>
      <c r="Q97" s="3">
        <f t="shared" si="2"/>
        <v>272.73</v>
      </c>
      <c r="S97" s="55" t="s">
        <v>53</v>
      </c>
      <c r="T97" t="s">
        <v>64</v>
      </c>
      <c r="U97" t="str">
        <f t="shared" ref="U97" si="5">B97</f>
        <v>AU032055</v>
      </c>
      <c r="V97" s="3">
        <f t="shared" ref="V97" si="6">E97</f>
        <v>272.73</v>
      </c>
    </row>
    <row r="98" spans="1:22" ht="29" x14ac:dyDescent="0.35">
      <c r="A98" t="s">
        <v>35</v>
      </c>
      <c r="B98" t="s">
        <v>2728</v>
      </c>
      <c r="C98" t="s">
        <v>14</v>
      </c>
      <c r="D98" t="s">
        <v>15</v>
      </c>
      <c r="E98">
        <v>272.73</v>
      </c>
      <c r="F98" s="19" t="s">
        <v>88</v>
      </c>
      <c r="G98" s="19">
        <v>45636</v>
      </c>
      <c r="H98" s="55" t="s">
        <v>94</v>
      </c>
      <c r="I98" s="55" t="s">
        <v>2729</v>
      </c>
      <c r="K98" s="55" t="s">
        <v>2730</v>
      </c>
      <c r="O98" t="s">
        <v>2731</v>
      </c>
      <c r="Q98" s="3">
        <f t="shared" si="2"/>
        <v>272.73</v>
      </c>
    </row>
    <row r="99" spans="1:22" ht="29" x14ac:dyDescent="0.35">
      <c r="A99" s="35" t="s">
        <v>35</v>
      </c>
      <c r="B99" s="35" t="s">
        <v>2263</v>
      </c>
      <c r="C99" s="35" t="s">
        <v>14</v>
      </c>
      <c r="D99" s="35" t="s">
        <v>15</v>
      </c>
      <c r="E99" s="35">
        <v>264.75</v>
      </c>
      <c r="F99" s="29" t="s">
        <v>88</v>
      </c>
      <c r="G99" s="29">
        <v>45384</v>
      </c>
      <c r="H99" s="59" t="s">
        <v>94</v>
      </c>
      <c r="I99" s="59" t="s">
        <v>2402</v>
      </c>
      <c r="K99" s="59" t="s">
        <v>2403</v>
      </c>
      <c r="L99" s="35"/>
      <c r="M99" s="35"/>
      <c r="N99" s="59"/>
      <c r="O99" s="35" t="s">
        <v>2404</v>
      </c>
      <c r="Q99" s="3">
        <f t="shared" si="2"/>
        <v>264.75</v>
      </c>
    </row>
    <row r="100" spans="1:22" ht="29" x14ac:dyDescent="0.35">
      <c r="A100" s="35" t="s">
        <v>35</v>
      </c>
      <c r="B100" s="35" t="s">
        <v>2263</v>
      </c>
      <c r="C100" s="35" t="s">
        <v>14</v>
      </c>
      <c r="D100" s="35" t="s">
        <v>15</v>
      </c>
      <c r="E100" s="35">
        <v>264.75</v>
      </c>
      <c r="F100" s="29" t="s">
        <v>88</v>
      </c>
      <c r="G100" s="29">
        <v>45384</v>
      </c>
      <c r="H100" s="59" t="s">
        <v>94</v>
      </c>
      <c r="I100" s="59" t="s">
        <v>2402</v>
      </c>
      <c r="K100" s="59" t="s">
        <v>2405</v>
      </c>
      <c r="L100" s="35"/>
      <c r="M100" s="35"/>
      <c r="N100" s="59"/>
      <c r="O100" s="35" t="s">
        <v>2406</v>
      </c>
      <c r="Q100" s="3">
        <f t="shared" si="2"/>
        <v>264.75</v>
      </c>
    </row>
    <row r="101" spans="1:22" ht="29" x14ac:dyDescent="0.35">
      <c r="A101" s="35" t="s">
        <v>35</v>
      </c>
      <c r="B101" s="35" t="s">
        <v>2263</v>
      </c>
      <c r="C101" s="35" t="s">
        <v>14</v>
      </c>
      <c r="D101" s="35" t="s">
        <v>15</v>
      </c>
      <c r="E101" s="35">
        <v>264.75</v>
      </c>
      <c r="F101" s="29" t="s">
        <v>88</v>
      </c>
      <c r="G101" s="29">
        <v>45384</v>
      </c>
      <c r="H101" s="59" t="s">
        <v>94</v>
      </c>
      <c r="I101" s="59" t="s">
        <v>2402</v>
      </c>
      <c r="K101" s="59" t="s">
        <v>2407</v>
      </c>
      <c r="L101" s="35"/>
      <c r="M101" s="35"/>
      <c r="N101" s="59"/>
      <c r="O101" s="35" t="s">
        <v>2408</v>
      </c>
      <c r="Q101" s="3">
        <f t="shared" si="2"/>
        <v>264.75</v>
      </c>
    </row>
    <row r="102" spans="1:22" ht="29" x14ac:dyDescent="0.35">
      <c r="A102" s="35" t="s">
        <v>35</v>
      </c>
      <c r="B102" s="35" t="s">
        <v>2263</v>
      </c>
      <c r="C102" s="35" t="s">
        <v>14</v>
      </c>
      <c r="D102" s="35" t="s">
        <v>15</v>
      </c>
      <c r="E102" s="35">
        <v>264.75</v>
      </c>
      <c r="F102" s="29" t="s">
        <v>88</v>
      </c>
      <c r="G102" s="29">
        <v>45384</v>
      </c>
      <c r="H102" s="59" t="s">
        <v>94</v>
      </c>
      <c r="I102" s="59" t="s">
        <v>2402</v>
      </c>
      <c r="K102" s="59" t="s">
        <v>2409</v>
      </c>
      <c r="L102" s="35"/>
      <c r="O102" t="s">
        <v>2410</v>
      </c>
      <c r="Q102" s="3">
        <f t="shared" si="2"/>
        <v>264.75</v>
      </c>
    </row>
    <row r="103" spans="1:22" ht="29" x14ac:dyDescent="0.35">
      <c r="A103" s="35" t="s">
        <v>35</v>
      </c>
      <c r="B103" s="35" t="s">
        <v>2263</v>
      </c>
      <c r="C103" s="35" t="s">
        <v>14</v>
      </c>
      <c r="D103" s="35" t="s">
        <v>15</v>
      </c>
      <c r="E103" s="35">
        <v>264.75</v>
      </c>
      <c r="F103" s="29" t="s">
        <v>88</v>
      </c>
      <c r="G103" s="29">
        <v>45384</v>
      </c>
      <c r="H103" s="59" t="s">
        <v>94</v>
      </c>
      <c r="I103" s="59" t="s">
        <v>2402</v>
      </c>
      <c r="K103" s="59" t="s">
        <v>2409</v>
      </c>
      <c r="L103" s="35"/>
      <c r="M103" s="35"/>
      <c r="N103" s="59"/>
      <c r="O103" s="35" t="s">
        <v>2411</v>
      </c>
      <c r="Q103" s="3">
        <f t="shared" si="2"/>
        <v>264.75</v>
      </c>
    </row>
    <row r="104" spans="1:22" ht="29" x14ac:dyDescent="0.35">
      <c r="A104" s="35" t="s">
        <v>35</v>
      </c>
      <c r="B104" s="35" t="s">
        <v>2263</v>
      </c>
      <c r="C104" s="35" t="s">
        <v>14</v>
      </c>
      <c r="D104" s="35" t="s">
        <v>15</v>
      </c>
      <c r="E104" s="35">
        <v>264.75</v>
      </c>
      <c r="F104" s="29" t="s">
        <v>88</v>
      </c>
      <c r="G104" s="29">
        <v>45384</v>
      </c>
      <c r="H104" s="59" t="s">
        <v>94</v>
      </c>
      <c r="I104" s="59" t="s">
        <v>2402</v>
      </c>
      <c r="K104" s="59" t="s">
        <v>2412</v>
      </c>
      <c r="L104" s="35"/>
      <c r="M104" s="35"/>
      <c r="N104" s="59"/>
      <c r="O104" s="35" t="s">
        <v>2413</v>
      </c>
      <c r="Q104" s="3">
        <f t="shared" ref="Q104:Q135" si="7">ABS(E104)</f>
        <v>264.75</v>
      </c>
    </row>
    <row r="105" spans="1:22" ht="29" x14ac:dyDescent="0.35">
      <c r="A105" s="35" t="s">
        <v>35</v>
      </c>
      <c r="B105" s="35" t="s">
        <v>2263</v>
      </c>
      <c r="C105" s="35" t="s">
        <v>14</v>
      </c>
      <c r="D105" s="35" t="s">
        <v>15</v>
      </c>
      <c r="E105" s="35">
        <v>264.75</v>
      </c>
      <c r="F105" s="29" t="s">
        <v>88</v>
      </c>
      <c r="G105" s="29">
        <v>45384</v>
      </c>
      <c r="H105" s="59" t="s">
        <v>94</v>
      </c>
      <c r="I105" s="59" t="s">
        <v>2402</v>
      </c>
      <c r="K105" s="59" t="s">
        <v>2414</v>
      </c>
      <c r="L105" s="35"/>
      <c r="M105" s="35"/>
      <c r="N105" s="59"/>
      <c r="O105" s="35" t="s">
        <v>2415</v>
      </c>
      <c r="Q105" s="3">
        <f t="shared" si="7"/>
        <v>264.75</v>
      </c>
    </row>
    <row r="106" spans="1:22" ht="29" x14ac:dyDescent="0.35">
      <c r="A106" t="s">
        <v>0</v>
      </c>
      <c r="B106" t="s">
        <v>2222</v>
      </c>
      <c r="C106" t="s">
        <v>14</v>
      </c>
      <c r="D106" t="s">
        <v>15</v>
      </c>
      <c r="E106">
        <v>249.24</v>
      </c>
      <c r="F106" s="19" t="s">
        <v>88</v>
      </c>
      <c r="G106" s="19">
        <v>45566</v>
      </c>
      <c r="H106" s="55" t="s">
        <v>89</v>
      </c>
      <c r="I106" s="55" t="s">
        <v>2594</v>
      </c>
      <c r="K106" t="s">
        <v>2595</v>
      </c>
      <c r="L106" t="s">
        <v>2596</v>
      </c>
      <c r="M106" t="s">
        <v>2597</v>
      </c>
      <c r="Q106" s="3">
        <f t="shared" si="7"/>
        <v>249.24</v>
      </c>
    </row>
    <row r="107" spans="1:22" ht="29" x14ac:dyDescent="0.35">
      <c r="A107" s="35" t="s">
        <v>0</v>
      </c>
      <c r="B107" s="35" t="s">
        <v>2170</v>
      </c>
      <c r="C107" s="35" t="s">
        <v>14</v>
      </c>
      <c r="D107" s="35" t="s">
        <v>15</v>
      </c>
      <c r="E107" s="35">
        <v>233.51</v>
      </c>
      <c r="F107" s="29" t="s">
        <v>88</v>
      </c>
      <c r="G107" s="29">
        <v>45399</v>
      </c>
      <c r="H107" s="59" t="s">
        <v>89</v>
      </c>
      <c r="I107" s="59" t="s">
        <v>2442</v>
      </c>
      <c r="J107" s="59"/>
      <c r="K107" s="35" t="s">
        <v>2443</v>
      </c>
      <c r="L107" s="35" t="s">
        <v>2444</v>
      </c>
      <c r="M107" s="35" t="s">
        <v>2445</v>
      </c>
      <c r="N107" s="59"/>
      <c r="O107" s="35"/>
      <c r="Q107" s="3">
        <f t="shared" si="7"/>
        <v>233.51</v>
      </c>
      <c r="S107" s="55" t="s">
        <v>53</v>
      </c>
      <c r="T107" t="s">
        <v>64</v>
      </c>
      <c r="U107" t="str">
        <f t="shared" ref="U107" si="8">B107</f>
        <v>AU032061</v>
      </c>
      <c r="V107" s="3">
        <f t="shared" ref="V107" si="9">E107</f>
        <v>233.51</v>
      </c>
    </row>
    <row r="108" spans="1:22" ht="43.5" x14ac:dyDescent="0.35">
      <c r="A108" t="s">
        <v>35</v>
      </c>
      <c r="B108" t="s">
        <v>2543</v>
      </c>
      <c r="C108" t="s">
        <v>14</v>
      </c>
      <c r="D108" t="s">
        <v>15</v>
      </c>
      <c r="E108">
        <v>227.27</v>
      </c>
      <c r="F108" s="19" t="s">
        <v>88</v>
      </c>
      <c r="G108" s="19">
        <v>45524</v>
      </c>
      <c r="H108" s="55" t="s">
        <v>94</v>
      </c>
      <c r="I108" s="55" t="s">
        <v>2544</v>
      </c>
      <c r="K108" s="55" t="s">
        <v>2545</v>
      </c>
      <c r="O108" t="s">
        <v>2546</v>
      </c>
      <c r="Q108" s="3">
        <f t="shared" si="7"/>
        <v>227.27</v>
      </c>
    </row>
    <row r="109" spans="1:22" ht="29" x14ac:dyDescent="0.35">
      <c r="A109" t="s">
        <v>35</v>
      </c>
      <c r="B109" t="s">
        <v>1566</v>
      </c>
      <c r="C109" t="s">
        <v>14</v>
      </c>
      <c r="D109" t="s">
        <v>15</v>
      </c>
      <c r="E109">
        <v>190.63000000000002</v>
      </c>
      <c r="F109" s="19" t="s">
        <v>88</v>
      </c>
      <c r="G109" s="19">
        <v>45638</v>
      </c>
      <c r="H109" s="55" t="s">
        <v>94</v>
      </c>
      <c r="I109" s="55" t="s">
        <v>2739</v>
      </c>
      <c r="K109" s="55" t="s">
        <v>2740</v>
      </c>
      <c r="O109" t="s">
        <v>2741</v>
      </c>
      <c r="Q109" s="3">
        <f t="shared" si="7"/>
        <v>190.63000000000002</v>
      </c>
    </row>
    <row r="110" spans="1:22" ht="29" x14ac:dyDescent="0.35">
      <c r="A110" t="s">
        <v>35</v>
      </c>
      <c r="B110" t="s">
        <v>633</v>
      </c>
      <c r="C110" t="s">
        <v>14</v>
      </c>
      <c r="D110" t="s">
        <v>15</v>
      </c>
      <c r="E110">
        <v>180.55</v>
      </c>
      <c r="F110" s="19" t="s">
        <v>88</v>
      </c>
      <c r="G110" s="19">
        <v>45581</v>
      </c>
      <c r="H110" s="55" t="s">
        <v>94</v>
      </c>
      <c r="I110" s="55" t="s">
        <v>2622</v>
      </c>
      <c r="K110" s="55" t="s">
        <v>2623</v>
      </c>
      <c r="O110" t="s">
        <v>2624</v>
      </c>
      <c r="Q110" s="3">
        <f t="shared" si="7"/>
        <v>180.55</v>
      </c>
    </row>
    <row r="111" spans="1:22" ht="29" x14ac:dyDescent="0.35">
      <c r="A111" s="35" t="s">
        <v>35</v>
      </c>
      <c r="B111" s="35" t="s">
        <v>2473</v>
      </c>
      <c r="C111" s="35" t="s">
        <v>14</v>
      </c>
      <c r="D111" s="35" t="s">
        <v>15</v>
      </c>
      <c r="E111" s="35">
        <v>180</v>
      </c>
      <c r="F111" s="29" t="s">
        <v>88</v>
      </c>
      <c r="G111" s="29">
        <v>45422</v>
      </c>
      <c r="H111" s="59" t="s">
        <v>94</v>
      </c>
      <c r="I111" s="59" t="s">
        <v>2478</v>
      </c>
      <c r="K111" s="59" t="s">
        <v>2479</v>
      </c>
      <c r="L111" s="35"/>
      <c r="M111" s="35"/>
      <c r="N111" s="59"/>
      <c r="O111" s="35" t="s">
        <v>2480</v>
      </c>
      <c r="Q111" s="3">
        <f t="shared" si="7"/>
        <v>180</v>
      </c>
    </row>
    <row r="112" spans="1:22" ht="29" x14ac:dyDescent="0.35">
      <c r="A112" t="s">
        <v>35</v>
      </c>
      <c r="B112" t="s">
        <v>1566</v>
      </c>
      <c r="C112" t="s">
        <v>14</v>
      </c>
      <c r="D112" t="s">
        <v>15</v>
      </c>
      <c r="E112">
        <v>177.27</v>
      </c>
      <c r="F112" s="19" t="s">
        <v>88</v>
      </c>
      <c r="G112" s="19">
        <v>45545</v>
      </c>
      <c r="H112" s="55" t="s">
        <v>94</v>
      </c>
      <c r="I112" s="55" t="s">
        <v>296</v>
      </c>
      <c r="K112" s="55" t="s">
        <v>2566</v>
      </c>
      <c r="O112" t="s">
        <v>2567</v>
      </c>
      <c r="Q112" s="3">
        <f t="shared" si="7"/>
        <v>177.27</v>
      </c>
    </row>
    <row r="113" spans="1:22" ht="43.5" x14ac:dyDescent="0.35">
      <c r="A113" s="35" t="s">
        <v>35</v>
      </c>
      <c r="B113" s="35" t="s">
        <v>2263</v>
      </c>
      <c r="C113" s="35" t="s">
        <v>14</v>
      </c>
      <c r="D113" s="35" t="s">
        <v>15</v>
      </c>
      <c r="E113" s="35">
        <v>171.82</v>
      </c>
      <c r="F113" s="29" t="s">
        <v>88</v>
      </c>
      <c r="G113" s="29">
        <v>45385</v>
      </c>
      <c r="H113" s="59" t="s">
        <v>94</v>
      </c>
      <c r="I113" s="59" t="s">
        <v>2402</v>
      </c>
      <c r="K113" s="59" t="s">
        <v>2423</v>
      </c>
      <c r="L113" s="35"/>
      <c r="M113" s="35"/>
      <c r="N113" s="59"/>
      <c r="O113" s="35" t="s">
        <v>2424</v>
      </c>
      <c r="Q113" s="3">
        <f t="shared" si="7"/>
        <v>171.82</v>
      </c>
    </row>
    <row r="114" spans="1:22" ht="29" x14ac:dyDescent="0.35">
      <c r="A114" t="s">
        <v>35</v>
      </c>
      <c r="B114" t="s">
        <v>1566</v>
      </c>
      <c r="C114" t="s">
        <v>14</v>
      </c>
      <c r="D114" t="s">
        <v>15</v>
      </c>
      <c r="E114">
        <v>153.63999999999999</v>
      </c>
      <c r="F114" s="19" t="s">
        <v>88</v>
      </c>
      <c r="G114" s="19">
        <v>45638</v>
      </c>
      <c r="H114" s="55" t="s">
        <v>94</v>
      </c>
      <c r="I114" s="55" t="s">
        <v>2739</v>
      </c>
      <c r="K114" s="55" t="s">
        <v>2742</v>
      </c>
      <c r="O114" t="s">
        <v>2743</v>
      </c>
      <c r="Q114" s="3">
        <f t="shared" si="7"/>
        <v>153.63999999999999</v>
      </c>
    </row>
    <row r="115" spans="1:22" ht="29" x14ac:dyDescent="0.35">
      <c r="A115" t="s">
        <v>35</v>
      </c>
      <c r="B115" t="s">
        <v>633</v>
      </c>
      <c r="C115" t="s">
        <v>14</v>
      </c>
      <c r="D115" t="s">
        <v>15</v>
      </c>
      <c r="E115">
        <v>147.27000000000001</v>
      </c>
      <c r="F115" s="19" t="s">
        <v>88</v>
      </c>
      <c r="G115" s="19">
        <v>45439</v>
      </c>
      <c r="H115" s="55" t="s">
        <v>94</v>
      </c>
      <c r="I115" s="55" t="s">
        <v>2485</v>
      </c>
      <c r="K115" s="55" t="s">
        <v>2486</v>
      </c>
      <c r="O115" t="s">
        <v>546</v>
      </c>
      <c r="Q115" s="3">
        <f t="shared" si="7"/>
        <v>147.27000000000001</v>
      </c>
    </row>
    <row r="116" spans="1:22" ht="43.5" x14ac:dyDescent="0.35">
      <c r="A116" t="s">
        <v>35</v>
      </c>
      <c r="B116" t="s">
        <v>698</v>
      </c>
      <c r="C116" t="s">
        <v>14</v>
      </c>
      <c r="D116" t="s">
        <v>15</v>
      </c>
      <c r="E116">
        <v>139.09</v>
      </c>
      <c r="F116" s="19" t="s">
        <v>88</v>
      </c>
      <c r="G116" s="19">
        <v>45484</v>
      </c>
      <c r="H116" s="55" t="s">
        <v>94</v>
      </c>
      <c r="I116" s="55" t="s">
        <v>2509</v>
      </c>
      <c r="K116" s="55" t="s">
        <v>2510</v>
      </c>
      <c r="O116" t="s">
        <v>2511</v>
      </c>
      <c r="Q116" s="3">
        <f t="shared" si="7"/>
        <v>139.09</v>
      </c>
    </row>
    <row r="117" spans="1:22" ht="29" x14ac:dyDescent="0.35">
      <c r="A117" t="s">
        <v>0</v>
      </c>
      <c r="B117" t="s">
        <v>708</v>
      </c>
      <c r="C117" t="s">
        <v>14</v>
      </c>
      <c r="D117" t="s">
        <v>15</v>
      </c>
      <c r="E117">
        <v>137.33000000000001</v>
      </c>
      <c r="F117" s="19" t="s">
        <v>88</v>
      </c>
      <c r="G117" s="19">
        <v>45460</v>
      </c>
      <c r="H117" s="55" t="s">
        <v>89</v>
      </c>
      <c r="I117" s="55" t="s">
        <v>2492</v>
      </c>
      <c r="K117" s="55"/>
      <c r="L117" t="s">
        <v>2493</v>
      </c>
      <c r="M117" t="s">
        <v>147</v>
      </c>
      <c r="Q117" s="3">
        <f t="shared" si="7"/>
        <v>137.33000000000001</v>
      </c>
    </row>
    <row r="118" spans="1:22" ht="29" x14ac:dyDescent="0.35">
      <c r="A118" t="s">
        <v>35</v>
      </c>
      <c r="B118" t="s">
        <v>1566</v>
      </c>
      <c r="C118" t="s">
        <v>14</v>
      </c>
      <c r="D118" t="s">
        <v>15</v>
      </c>
      <c r="E118">
        <v>130.91</v>
      </c>
      <c r="F118" s="19" t="s">
        <v>88</v>
      </c>
      <c r="G118" s="19">
        <v>45539</v>
      </c>
      <c r="H118" s="55" t="s">
        <v>94</v>
      </c>
      <c r="I118" s="55" t="s">
        <v>296</v>
      </c>
      <c r="K118" s="55" t="s">
        <v>2554</v>
      </c>
      <c r="O118" t="s">
        <v>2555</v>
      </c>
      <c r="Q118" s="3">
        <f t="shared" si="7"/>
        <v>130.91</v>
      </c>
    </row>
    <row r="119" spans="1:22" ht="29" x14ac:dyDescent="0.35">
      <c r="A119" t="s">
        <v>35</v>
      </c>
      <c r="B119" t="s">
        <v>622</v>
      </c>
      <c r="C119" t="s">
        <v>14</v>
      </c>
      <c r="D119" t="s">
        <v>15</v>
      </c>
      <c r="E119">
        <v>130.36000000000001</v>
      </c>
      <c r="F119" s="19" t="s">
        <v>88</v>
      </c>
      <c r="G119" s="19">
        <v>45643</v>
      </c>
      <c r="H119" s="55" t="s">
        <v>94</v>
      </c>
      <c r="I119" s="55" t="s">
        <v>2753</v>
      </c>
      <c r="K119" s="55" t="s">
        <v>2754</v>
      </c>
      <c r="O119" t="s">
        <v>2755</v>
      </c>
      <c r="Q119" s="3">
        <f t="shared" si="7"/>
        <v>130.36000000000001</v>
      </c>
    </row>
    <row r="120" spans="1:22" ht="29" x14ac:dyDescent="0.35">
      <c r="A120" t="s">
        <v>35</v>
      </c>
      <c r="B120" t="s">
        <v>825</v>
      </c>
      <c r="C120" t="s">
        <v>14</v>
      </c>
      <c r="D120" t="s">
        <v>15</v>
      </c>
      <c r="E120">
        <v>122.22999999999999</v>
      </c>
      <c r="F120" s="19" t="s">
        <v>88</v>
      </c>
      <c r="G120" s="19">
        <v>45600</v>
      </c>
      <c r="H120" s="55" t="s">
        <v>94</v>
      </c>
      <c r="I120" s="55" t="s">
        <v>490</v>
      </c>
      <c r="K120" s="55" t="s">
        <v>2663</v>
      </c>
      <c r="O120" t="s">
        <v>564</v>
      </c>
      <c r="Q120" s="3">
        <f t="shared" si="7"/>
        <v>122.22999999999999</v>
      </c>
    </row>
    <row r="121" spans="1:22" ht="29" x14ac:dyDescent="0.35">
      <c r="A121" t="s">
        <v>35</v>
      </c>
      <c r="B121" t="s">
        <v>1566</v>
      </c>
      <c r="C121" t="s">
        <v>14</v>
      </c>
      <c r="D121" t="s">
        <v>15</v>
      </c>
      <c r="E121">
        <v>120</v>
      </c>
      <c r="F121" s="19" t="s">
        <v>88</v>
      </c>
      <c r="G121" s="19">
        <v>45594</v>
      </c>
      <c r="H121" s="55" t="s">
        <v>94</v>
      </c>
      <c r="I121" s="55" t="s">
        <v>814</v>
      </c>
      <c r="K121" s="55" t="s">
        <v>2649</v>
      </c>
      <c r="O121" t="s">
        <v>2650</v>
      </c>
      <c r="Q121" s="3">
        <f t="shared" si="7"/>
        <v>120</v>
      </c>
    </row>
    <row r="122" spans="1:22" ht="29" x14ac:dyDescent="0.35">
      <c r="A122" t="s">
        <v>35</v>
      </c>
      <c r="B122" t="s">
        <v>615</v>
      </c>
      <c r="C122" t="s">
        <v>14</v>
      </c>
      <c r="D122" t="s">
        <v>15</v>
      </c>
      <c r="E122">
        <v>115.68</v>
      </c>
      <c r="F122" s="19" t="s">
        <v>88</v>
      </c>
      <c r="G122" s="19">
        <v>45587</v>
      </c>
      <c r="H122" s="55" t="s">
        <v>94</v>
      </c>
      <c r="I122" s="55" t="s">
        <v>2582</v>
      </c>
      <c r="K122" s="55" t="s">
        <v>2642</v>
      </c>
      <c r="O122" t="s">
        <v>2584</v>
      </c>
      <c r="Q122" s="3">
        <f t="shared" si="7"/>
        <v>115.68</v>
      </c>
    </row>
    <row r="123" spans="1:22" ht="29" x14ac:dyDescent="0.35">
      <c r="A123" t="s">
        <v>35</v>
      </c>
      <c r="B123" t="s">
        <v>1566</v>
      </c>
      <c r="C123" t="s">
        <v>14</v>
      </c>
      <c r="D123" t="s">
        <v>15</v>
      </c>
      <c r="E123">
        <v>110</v>
      </c>
      <c r="F123" s="19" t="s">
        <v>88</v>
      </c>
      <c r="G123" s="19">
        <v>45595</v>
      </c>
      <c r="H123" s="55" t="s">
        <v>94</v>
      </c>
      <c r="I123" s="55" t="s">
        <v>115</v>
      </c>
      <c r="K123" s="55" t="s">
        <v>2651</v>
      </c>
      <c r="O123" t="s">
        <v>2652</v>
      </c>
      <c r="Q123" s="3">
        <f t="shared" si="7"/>
        <v>110</v>
      </c>
    </row>
    <row r="124" spans="1:22" ht="29" x14ac:dyDescent="0.35">
      <c r="A124" s="35" t="s">
        <v>0</v>
      </c>
      <c r="B124" s="35" t="s">
        <v>623</v>
      </c>
      <c r="C124" s="35" t="s">
        <v>14</v>
      </c>
      <c r="D124" s="35" t="s">
        <v>15</v>
      </c>
      <c r="E124" s="35">
        <v>109.23</v>
      </c>
      <c r="F124" s="29" t="s">
        <v>88</v>
      </c>
      <c r="G124" s="29">
        <v>45404</v>
      </c>
      <c r="H124" s="59" t="s">
        <v>89</v>
      </c>
      <c r="I124" s="59" t="s">
        <v>2458</v>
      </c>
      <c r="J124" s="59"/>
      <c r="K124" s="35" t="s">
        <v>2459</v>
      </c>
      <c r="L124" s="35" t="s">
        <v>2460</v>
      </c>
      <c r="M124" s="35" t="s">
        <v>2452</v>
      </c>
      <c r="N124" s="59"/>
      <c r="O124" s="35"/>
      <c r="Q124" s="3">
        <f t="shared" si="7"/>
        <v>109.23</v>
      </c>
    </row>
    <row r="125" spans="1:22" ht="29" x14ac:dyDescent="0.35">
      <c r="A125" s="35" t="s">
        <v>0</v>
      </c>
      <c r="B125" s="35" t="s">
        <v>623</v>
      </c>
      <c r="C125" s="35" t="s">
        <v>14</v>
      </c>
      <c r="D125" s="35" t="s">
        <v>15</v>
      </c>
      <c r="E125" s="35">
        <v>-109.23</v>
      </c>
      <c r="F125" s="29" t="s">
        <v>88</v>
      </c>
      <c r="G125" s="29">
        <v>45411</v>
      </c>
      <c r="H125" s="59" t="s">
        <v>89</v>
      </c>
      <c r="I125" s="59" t="s">
        <v>2458</v>
      </c>
      <c r="J125" s="59"/>
      <c r="K125" s="35" t="s">
        <v>2459</v>
      </c>
      <c r="L125" s="35" t="s">
        <v>2460</v>
      </c>
      <c r="M125" s="35" t="s">
        <v>2452</v>
      </c>
      <c r="N125" s="59"/>
      <c r="O125" s="35"/>
      <c r="Q125" s="3">
        <f t="shared" si="7"/>
        <v>109.23</v>
      </c>
    </row>
    <row r="126" spans="1:22" ht="29" x14ac:dyDescent="0.35">
      <c r="A126" s="35" t="s">
        <v>0</v>
      </c>
      <c r="B126" s="35" t="s">
        <v>623</v>
      </c>
      <c r="C126" s="35" t="s">
        <v>14</v>
      </c>
      <c r="D126" s="35" t="s">
        <v>15</v>
      </c>
      <c r="E126" s="35">
        <v>109.23</v>
      </c>
      <c r="F126" s="29" t="s">
        <v>88</v>
      </c>
      <c r="G126" s="29">
        <v>45413</v>
      </c>
      <c r="H126" s="59" t="s">
        <v>89</v>
      </c>
      <c r="I126" s="59" t="s">
        <v>2458</v>
      </c>
      <c r="J126" s="59"/>
      <c r="K126" s="35" t="s">
        <v>2459</v>
      </c>
      <c r="L126" s="35" t="s">
        <v>2460</v>
      </c>
      <c r="M126" s="35" t="s">
        <v>2452</v>
      </c>
      <c r="N126" s="59"/>
      <c r="O126" s="35"/>
      <c r="Q126" s="3">
        <f t="shared" si="7"/>
        <v>109.23</v>
      </c>
    </row>
    <row r="127" spans="1:22" ht="43.5" x14ac:dyDescent="0.35">
      <c r="A127" t="s">
        <v>35</v>
      </c>
      <c r="B127" t="s">
        <v>633</v>
      </c>
      <c r="C127" t="s">
        <v>14</v>
      </c>
      <c r="D127" t="s">
        <v>15</v>
      </c>
      <c r="E127">
        <v>109.09</v>
      </c>
      <c r="F127" s="19" t="s">
        <v>88</v>
      </c>
      <c r="G127" s="19">
        <v>45565</v>
      </c>
      <c r="H127" s="55" t="s">
        <v>94</v>
      </c>
      <c r="I127" s="55" t="s">
        <v>2588</v>
      </c>
      <c r="K127" s="55" t="s">
        <v>2589</v>
      </c>
      <c r="O127" t="s">
        <v>2590</v>
      </c>
      <c r="Q127" s="3">
        <f t="shared" si="7"/>
        <v>109.09</v>
      </c>
    </row>
    <row r="128" spans="1:22" ht="43.5" x14ac:dyDescent="0.35">
      <c r="A128" t="s">
        <v>35</v>
      </c>
      <c r="B128" t="s">
        <v>633</v>
      </c>
      <c r="C128" t="s">
        <v>14</v>
      </c>
      <c r="D128" t="s">
        <v>15</v>
      </c>
      <c r="E128">
        <v>107.27</v>
      </c>
      <c r="F128" s="19" t="s">
        <v>88</v>
      </c>
      <c r="G128" s="19">
        <v>45581</v>
      </c>
      <c r="H128" s="55" t="s">
        <v>94</v>
      </c>
      <c r="I128" s="55" t="s">
        <v>2619</v>
      </c>
      <c r="K128" s="55" t="s">
        <v>2620</v>
      </c>
      <c r="O128" t="s">
        <v>2621</v>
      </c>
      <c r="Q128" s="3">
        <f t="shared" si="7"/>
        <v>107.27</v>
      </c>
      <c r="S128" s="55" t="s">
        <v>53</v>
      </c>
      <c r="T128" t="s">
        <v>64</v>
      </c>
      <c r="U128" t="str">
        <f t="shared" ref="U128" si="10">B128</f>
        <v>AU030510</v>
      </c>
      <c r="V128" s="3">
        <f t="shared" ref="V128" si="11">E128</f>
        <v>107.27</v>
      </c>
    </row>
    <row r="129" spans="1:22" ht="29" x14ac:dyDescent="0.35">
      <c r="A129" s="35" t="s">
        <v>35</v>
      </c>
      <c r="B129" s="35" t="s">
        <v>2473</v>
      </c>
      <c r="C129" s="35" t="s">
        <v>14</v>
      </c>
      <c r="D129" s="35" t="s">
        <v>15</v>
      </c>
      <c r="E129" s="35">
        <v>106.36</v>
      </c>
      <c r="F129" s="29" t="s">
        <v>88</v>
      </c>
      <c r="G129" s="29">
        <v>45422</v>
      </c>
      <c r="H129" s="59" t="s">
        <v>94</v>
      </c>
      <c r="I129" s="59" t="s">
        <v>248</v>
      </c>
      <c r="K129" s="59" t="s">
        <v>2474</v>
      </c>
      <c r="L129" s="35"/>
      <c r="M129" s="35"/>
      <c r="N129" s="59"/>
      <c r="O129" s="35" t="s">
        <v>2475</v>
      </c>
      <c r="Q129" s="3">
        <f t="shared" si="7"/>
        <v>106.36</v>
      </c>
    </row>
    <row r="130" spans="1:22" ht="29" x14ac:dyDescent="0.35">
      <c r="A130" s="35" t="s">
        <v>35</v>
      </c>
      <c r="B130" s="35" t="s">
        <v>698</v>
      </c>
      <c r="C130" s="35" t="s">
        <v>14</v>
      </c>
      <c r="D130" s="35" t="s">
        <v>15</v>
      </c>
      <c r="E130" s="35">
        <v>100</v>
      </c>
      <c r="F130" s="29" t="s">
        <v>88</v>
      </c>
      <c r="G130" s="29">
        <v>45393</v>
      </c>
      <c r="H130" s="59" t="s">
        <v>94</v>
      </c>
      <c r="I130" s="59" t="s">
        <v>2427</v>
      </c>
      <c r="K130" s="59" t="s">
        <v>2428</v>
      </c>
      <c r="L130" s="35"/>
      <c r="M130" s="35"/>
      <c r="N130" s="59"/>
      <c r="O130" s="35" t="s">
        <v>2429</v>
      </c>
      <c r="Q130" s="3">
        <f t="shared" si="7"/>
        <v>100</v>
      </c>
    </row>
    <row r="131" spans="1:22" ht="29" x14ac:dyDescent="0.35">
      <c r="A131" t="s">
        <v>35</v>
      </c>
      <c r="B131" t="s">
        <v>2561</v>
      </c>
      <c r="C131" t="s">
        <v>14</v>
      </c>
      <c r="D131" t="s">
        <v>15</v>
      </c>
      <c r="E131">
        <v>96.35</v>
      </c>
      <c r="F131" s="19" t="s">
        <v>88</v>
      </c>
      <c r="G131" s="19">
        <v>45544</v>
      </c>
      <c r="H131" s="55" t="s">
        <v>94</v>
      </c>
      <c r="I131" s="55" t="s">
        <v>833</v>
      </c>
      <c r="K131" s="55" t="s">
        <v>2562</v>
      </c>
      <c r="O131" t="s">
        <v>2563</v>
      </c>
      <c r="Q131" s="3">
        <f t="shared" si="7"/>
        <v>96.35</v>
      </c>
    </row>
    <row r="132" spans="1:22" ht="29" x14ac:dyDescent="0.35">
      <c r="A132" t="s">
        <v>35</v>
      </c>
      <c r="B132" t="s">
        <v>622</v>
      </c>
      <c r="C132" t="s">
        <v>14</v>
      </c>
      <c r="D132" t="s">
        <v>15</v>
      </c>
      <c r="E132">
        <v>94.5</v>
      </c>
      <c r="F132" s="19" t="s">
        <v>88</v>
      </c>
      <c r="G132" s="19">
        <v>45644</v>
      </c>
      <c r="H132" s="55" t="s">
        <v>94</v>
      </c>
      <c r="I132" s="55" t="s">
        <v>2756</v>
      </c>
      <c r="K132" s="55" t="s">
        <v>2757</v>
      </c>
      <c r="O132" t="s">
        <v>2758</v>
      </c>
      <c r="Q132" s="3">
        <f t="shared" si="7"/>
        <v>94.5</v>
      </c>
    </row>
    <row r="133" spans="1:22" ht="29" x14ac:dyDescent="0.35">
      <c r="A133" t="s">
        <v>35</v>
      </c>
      <c r="B133" t="s">
        <v>1491</v>
      </c>
      <c r="C133" t="s">
        <v>14</v>
      </c>
      <c r="D133" t="s">
        <v>15</v>
      </c>
      <c r="E133">
        <v>90.91</v>
      </c>
      <c r="F133" s="19" t="s">
        <v>88</v>
      </c>
      <c r="G133" s="19">
        <v>45567</v>
      </c>
      <c r="H133" s="55" t="s">
        <v>94</v>
      </c>
      <c r="I133" s="55" t="s">
        <v>2605</v>
      </c>
      <c r="K133" s="55" t="s">
        <v>2606</v>
      </c>
      <c r="O133" t="s">
        <v>2607</v>
      </c>
      <c r="Q133" s="3">
        <f t="shared" si="7"/>
        <v>90.91</v>
      </c>
    </row>
    <row r="134" spans="1:22" ht="29" x14ac:dyDescent="0.35">
      <c r="A134" t="s">
        <v>35</v>
      </c>
      <c r="B134" t="s">
        <v>698</v>
      </c>
      <c r="C134" t="s">
        <v>14</v>
      </c>
      <c r="D134" t="s">
        <v>15</v>
      </c>
      <c r="E134">
        <v>90.9</v>
      </c>
      <c r="F134" s="19" t="s">
        <v>88</v>
      </c>
      <c r="G134" s="19">
        <v>45586</v>
      </c>
      <c r="H134" s="55" t="s">
        <v>94</v>
      </c>
      <c r="I134" s="55" t="s">
        <v>2634</v>
      </c>
      <c r="K134" s="55" t="s">
        <v>2635</v>
      </c>
      <c r="O134" t="s">
        <v>2636</v>
      </c>
      <c r="Q134" s="3">
        <f t="shared" si="7"/>
        <v>90.9</v>
      </c>
    </row>
    <row r="135" spans="1:22" ht="29" x14ac:dyDescent="0.35">
      <c r="A135" s="35" t="s">
        <v>35</v>
      </c>
      <c r="B135" s="35" t="s">
        <v>623</v>
      </c>
      <c r="C135" s="35" t="s">
        <v>14</v>
      </c>
      <c r="D135" s="35" t="s">
        <v>15</v>
      </c>
      <c r="E135" s="35">
        <v>77.27</v>
      </c>
      <c r="F135" s="29" t="s">
        <v>88</v>
      </c>
      <c r="G135" s="29">
        <v>45415</v>
      </c>
      <c r="H135" s="59" t="s">
        <v>94</v>
      </c>
      <c r="I135" s="59" t="s">
        <v>207</v>
      </c>
      <c r="K135" s="59" t="s">
        <v>2471</v>
      </c>
      <c r="L135" s="35"/>
      <c r="M135" s="35"/>
      <c r="N135" s="59"/>
      <c r="O135" s="35" t="s">
        <v>2472</v>
      </c>
      <c r="Q135" s="3">
        <f t="shared" si="7"/>
        <v>77.27</v>
      </c>
    </row>
    <row r="136" spans="1:22" ht="43.5" x14ac:dyDescent="0.35">
      <c r="A136" s="35" t="s">
        <v>35</v>
      </c>
      <c r="B136" s="35" t="s">
        <v>893</v>
      </c>
      <c r="C136" s="35" t="s">
        <v>14</v>
      </c>
      <c r="D136" s="35" t="s">
        <v>15</v>
      </c>
      <c r="E136" s="35">
        <v>72.73</v>
      </c>
      <c r="F136" s="29" t="s">
        <v>88</v>
      </c>
      <c r="G136" s="29">
        <v>45401</v>
      </c>
      <c r="H136" s="59" t="s">
        <v>94</v>
      </c>
      <c r="I136" s="59" t="s">
        <v>2453</v>
      </c>
      <c r="K136" s="59" t="s">
        <v>2454</v>
      </c>
      <c r="L136" s="35"/>
      <c r="M136" s="35"/>
      <c r="N136" s="59"/>
      <c r="O136" s="35" t="s">
        <v>2455</v>
      </c>
      <c r="Q136" s="3">
        <f t="shared" ref="Q136:Q167" si="12">ABS(E136)</f>
        <v>72.73</v>
      </c>
      <c r="S136" s="55" t="s">
        <v>53</v>
      </c>
      <c r="T136" t="s">
        <v>64</v>
      </c>
      <c r="U136" t="str">
        <f t="shared" ref="U136:U138" si="13">B136</f>
        <v>AU030214</v>
      </c>
      <c r="V136" s="3">
        <f t="shared" ref="V136:V138" si="14">E136</f>
        <v>72.73</v>
      </c>
    </row>
    <row r="137" spans="1:22" ht="43.5" x14ac:dyDescent="0.35">
      <c r="A137" s="35" t="s">
        <v>35</v>
      </c>
      <c r="B137" s="35" t="s">
        <v>893</v>
      </c>
      <c r="C137" s="35" t="s">
        <v>14</v>
      </c>
      <c r="D137" s="35" t="s">
        <v>15</v>
      </c>
      <c r="E137" s="35">
        <v>72.73</v>
      </c>
      <c r="F137" s="29" t="s">
        <v>88</v>
      </c>
      <c r="G137" s="29">
        <v>45401</v>
      </c>
      <c r="H137" s="59" t="s">
        <v>94</v>
      </c>
      <c r="I137" s="59" t="s">
        <v>2453</v>
      </c>
      <c r="K137" s="59" t="s">
        <v>2456</v>
      </c>
      <c r="L137" s="35"/>
      <c r="M137" s="35"/>
      <c r="N137" s="59"/>
      <c r="O137" s="35" t="s">
        <v>2455</v>
      </c>
      <c r="Q137" s="3">
        <f t="shared" si="12"/>
        <v>72.73</v>
      </c>
      <c r="S137" s="55" t="s">
        <v>53</v>
      </c>
      <c r="T137" t="s">
        <v>64</v>
      </c>
      <c r="U137" t="str">
        <f t="shared" si="13"/>
        <v>AU030214</v>
      </c>
      <c r="V137" s="3">
        <f t="shared" si="14"/>
        <v>72.73</v>
      </c>
    </row>
    <row r="138" spans="1:22" ht="43.5" x14ac:dyDescent="0.35">
      <c r="A138" s="35" t="s">
        <v>35</v>
      </c>
      <c r="B138" s="35" t="s">
        <v>893</v>
      </c>
      <c r="C138" s="35" t="s">
        <v>14</v>
      </c>
      <c r="D138" s="35" t="s">
        <v>15</v>
      </c>
      <c r="E138" s="35">
        <v>72.73</v>
      </c>
      <c r="F138" s="29" t="s">
        <v>88</v>
      </c>
      <c r="G138" s="29">
        <v>45401</v>
      </c>
      <c r="H138" s="59" t="s">
        <v>94</v>
      </c>
      <c r="I138" s="59" t="s">
        <v>2453</v>
      </c>
      <c r="K138" s="59" t="s">
        <v>2457</v>
      </c>
      <c r="L138" s="35"/>
      <c r="O138" t="s">
        <v>2455</v>
      </c>
      <c r="Q138" s="3">
        <f t="shared" si="12"/>
        <v>72.73</v>
      </c>
      <c r="S138" s="55" t="s">
        <v>53</v>
      </c>
      <c r="T138" t="s">
        <v>64</v>
      </c>
      <c r="U138" t="str">
        <f t="shared" si="13"/>
        <v>AU030214</v>
      </c>
      <c r="V138" s="3">
        <f t="shared" si="14"/>
        <v>72.73</v>
      </c>
    </row>
    <row r="139" spans="1:22" ht="29" x14ac:dyDescent="0.35">
      <c r="A139" t="s">
        <v>35</v>
      </c>
      <c r="B139" t="s">
        <v>655</v>
      </c>
      <c r="C139" t="s">
        <v>14</v>
      </c>
      <c r="D139" t="s">
        <v>15</v>
      </c>
      <c r="E139">
        <v>67.84</v>
      </c>
      <c r="F139" s="19" t="s">
        <v>88</v>
      </c>
      <c r="G139" s="19">
        <v>45524</v>
      </c>
      <c r="H139" s="55" t="s">
        <v>94</v>
      </c>
      <c r="I139" s="55" t="s">
        <v>2350</v>
      </c>
      <c r="K139" s="55" t="s">
        <v>2547</v>
      </c>
      <c r="O139" t="s">
        <v>2548</v>
      </c>
      <c r="Q139" s="3">
        <f t="shared" si="12"/>
        <v>67.84</v>
      </c>
    </row>
    <row r="140" spans="1:22" ht="29" x14ac:dyDescent="0.35">
      <c r="A140" t="s">
        <v>35</v>
      </c>
      <c r="B140" t="s">
        <v>1566</v>
      </c>
      <c r="C140" t="s">
        <v>14</v>
      </c>
      <c r="D140" t="s">
        <v>15</v>
      </c>
      <c r="E140">
        <v>62.11</v>
      </c>
      <c r="F140" s="19" t="s">
        <v>88</v>
      </c>
      <c r="G140" s="19">
        <v>45545</v>
      </c>
      <c r="H140" s="55" t="s">
        <v>94</v>
      </c>
      <c r="I140" s="55" t="s">
        <v>296</v>
      </c>
      <c r="K140" s="55" t="s">
        <v>2564</v>
      </c>
      <c r="O140" t="s">
        <v>2565</v>
      </c>
      <c r="Q140" s="3">
        <f t="shared" si="12"/>
        <v>62.11</v>
      </c>
    </row>
    <row r="141" spans="1:22" ht="29" x14ac:dyDescent="0.35">
      <c r="A141" t="s">
        <v>0</v>
      </c>
      <c r="B141" t="s">
        <v>2258</v>
      </c>
      <c r="C141" t="s">
        <v>14</v>
      </c>
      <c r="D141" t="s">
        <v>15</v>
      </c>
      <c r="E141">
        <v>55.57</v>
      </c>
      <c r="F141" s="19" t="s">
        <v>88</v>
      </c>
      <c r="G141" s="19">
        <v>45573</v>
      </c>
      <c r="H141" s="55" t="s">
        <v>89</v>
      </c>
      <c r="I141" s="55" t="s">
        <v>2608</v>
      </c>
      <c r="K141" t="s">
        <v>2612</v>
      </c>
      <c r="L141" t="s">
        <v>2610</v>
      </c>
      <c r="M141" t="s">
        <v>2611</v>
      </c>
      <c r="Q141" s="3">
        <f t="shared" si="12"/>
        <v>55.57</v>
      </c>
    </row>
    <row r="142" spans="1:22" ht="29" x14ac:dyDescent="0.35">
      <c r="A142" t="s">
        <v>0</v>
      </c>
      <c r="B142" t="s">
        <v>825</v>
      </c>
      <c r="C142" t="s">
        <v>14</v>
      </c>
      <c r="D142" t="s">
        <v>15</v>
      </c>
      <c r="E142">
        <v>54.69</v>
      </c>
      <c r="F142" s="19" t="s">
        <v>88</v>
      </c>
      <c r="G142" s="19">
        <v>45597</v>
      </c>
      <c r="H142" s="55" t="s">
        <v>89</v>
      </c>
      <c r="I142" s="55" t="s">
        <v>2659</v>
      </c>
      <c r="K142" t="s">
        <v>2660</v>
      </c>
      <c r="L142" t="s">
        <v>2661</v>
      </c>
      <c r="M142" t="s">
        <v>2452</v>
      </c>
      <c r="Q142" s="3">
        <f t="shared" si="12"/>
        <v>54.69</v>
      </c>
    </row>
    <row r="143" spans="1:22" ht="29" x14ac:dyDescent="0.35">
      <c r="A143" t="s">
        <v>35</v>
      </c>
      <c r="B143" t="s">
        <v>825</v>
      </c>
      <c r="C143" t="s">
        <v>14</v>
      </c>
      <c r="D143" t="s">
        <v>15</v>
      </c>
      <c r="E143">
        <v>49.1</v>
      </c>
      <c r="F143" s="19" t="s">
        <v>88</v>
      </c>
      <c r="G143" s="19">
        <v>45600</v>
      </c>
      <c r="H143" s="55" t="s">
        <v>94</v>
      </c>
      <c r="I143" s="55" t="s">
        <v>490</v>
      </c>
      <c r="K143" s="55" t="s">
        <v>2663</v>
      </c>
      <c r="O143" t="s">
        <v>2666</v>
      </c>
      <c r="Q143" s="3">
        <f t="shared" si="12"/>
        <v>49.1</v>
      </c>
    </row>
    <row r="144" spans="1:22" ht="29" x14ac:dyDescent="0.35">
      <c r="A144" t="s">
        <v>35</v>
      </c>
      <c r="B144" t="s">
        <v>1566</v>
      </c>
      <c r="C144" t="s">
        <v>14</v>
      </c>
      <c r="D144" t="s">
        <v>15</v>
      </c>
      <c r="E144">
        <v>45.45</v>
      </c>
      <c r="F144" s="19" t="s">
        <v>88</v>
      </c>
      <c r="G144" s="19">
        <v>45594</v>
      </c>
      <c r="H144" s="55" t="s">
        <v>94</v>
      </c>
      <c r="I144" s="55" t="s">
        <v>2646</v>
      </c>
      <c r="K144" s="55" t="s">
        <v>2647</v>
      </c>
      <c r="O144" t="s">
        <v>2648</v>
      </c>
      <c r="Q144" s="3">
        <f t="shared" si="12"/>
        <v>45.45</v>
      </c>
    </row>
    <row r="145" spans="1:17" ht="29" x14ac:dyDescent="0.35">
      <c r="A145" s="35" t="s">
        <v>35</v>
      </c>
      <c r="B145" s="35" t="s">
        <v>852</v>
      </c>
      <c r="C145" s="35" t="s">
        <v>14</v>
      </c>
      <c r="D145" s="35" t="s">
        <v>15</v>
      </c>
      <c r="E145" s="35">
        <v>43.63</v>
      </c>
      <c r="F145" s="29" t="s">
        <v>88</v>
      </c>
      <c r="G145" s="29">
        <v>45412</v>
      </c>
      <c r="H145" s="59" t="s">
        <v>94</v>
      </c>
      <c r="I145" s="59" t="s">
        <v>2464</v>
      </c>
      <c r="K145" s="59" t="s">
        <v>2465</v>
      </c>
      <c r="L145" s="35"/>
      <c r="M145" s="35"/>
      <c r="N145" s="59"/>
      <c r="O145" s="35" t="s">
        <v>2466</v>
      </c>
      <c r="Q145" s="3">
        <f t="shared" si="12"/>
        <v>43.63</v>
      </c>
    </row>
    <row r="146" spans="1:17" ht="29" x14ac:dyDescent="0.35">
      <c r="A146" t="s">
        <v>35</v>
      </c>
      <c r="B146" t="s">
        <v>1566</v>
      </c>
      <c r="C146" t="s">
        <v>14</v>
      </c>
      <c r="D146" t="s">
        <v>15</v>
      </c>
      <c r="E146">
        <v>42.18</v>
      </c>
      <c r="F146" s="19" t="s">
        <v>88</v>
      </c>
      <c r="G146" s="19">
        <v>45638</v>
      </c>
      <c r="H146" s="55" t="s">
        <v>94</v>
      </c>
      <c r="I146" s="55" t="s">
        <v>2744</v>
      </c>
      <c r="K146" s="55" t="s">
        <v>2745</v>
      </c>
      <c r="O146" t="s">
        <v>2746</v>
      </c>
      <c r="Q146" s="3">
        <f t="shared" si="12"/>
        <v>42.18</v>
      </c>
    </row>
    <row r="147" spans="1:17" ht="29" x14ac:dyDescent="0.35">
      <c r="A147" t="s">
        <v>35</v>
      </c>
      <c r="B147" t="s">
        <v>825</v>
      </c>
      <c r="C147" t="s">
        <v>14</v>
      </c>
      <c r="D147" t="s">
        <v>15</v>
      </c>
      <c r="E147">
        <v>41.39</v>
      </c>
      <c r="F147" s="19" t="s">
        <v>88</v>
      </c>
      <c r="G147" s="19">
        <v>45600</v>
      </c>
      <c r="H147" s="55" t="s">
        <v>94</v>
      </c>
      <c r="I147" s="55" t="s">
        <v>490</v>
      </c>
      <c r="K147" s="55" t="s">
        <v>2663</v>
      </c>
      <c r="O147" t="s">
        <v>2665</v>
      </c>
      <c r="Q147" s="3">
        <f t="shared" si="12"/>
        <v>41.39</v>
      </c>
    </row>
    <row r="148" spans="1:17" ht="29" x14ac:dyDescent="0.35">
      <c r="A148" t="s">
        <v>35</v>
      </c>
      <c r="B148" t="s">
        <v>2543</v>
      </c>
      <c r="C148" t="s">
        <v>14</v>
      </c>
      <c r="D148" t="s">
        <v>15</v>
      </c>
      <c r="E148">
        <v>36.36</v>
      </c>
      <c r="F148" s="19" t="s">
        <v>88</v>
      </c>
      <c r="G148" s="19">
        <v>45639</v>
      </c>
      <c r="H148" s="55" t="s">
        <v>94</v>
      </c>
      <c r="I148" s="55" t="s">
        <v>2750</v>
      </c>
      <c r="K148" s="55" t="s">
        <v>2751</v>
      </c>
      <c r="O148" t="s">
        <v>2752</v>
      </c>
      <c r="Q148" s="3">
        <f t="shared" si="12"/>
        <v>36.36</v>
      </c>
    </row>
    <row r="149" spans="1:17" ht="29" x14ac:dyDescent="0.35">
      <c r="A149" s="35" t="s">
        <v>35</v>
      </c>
      <c r="B149" s="35" t="s">
        <v>2473</v>
      </c>
      <c r="C149" s="35" t="s">
        <v>14</v>
      </c>
      <c r="D149" s="35" t="s">
        <v>15</v>
      </c>
      <c r="E149" s="35">
        <v>35.270000000000003</v>
      </c>
      <c r="F149" s="29" t="s">
        <v>88</v>
      </c>
      <c r="G149" s="29">
        <v>45422</v>
      </c>
      <c r="H149" s="59" t="s">
        <v>94</v>
      </c>
      <c r="I149" s="59" t="s">
        <v>2476</v>
      </c>
      <c r="K149" s="59" t="s">
        <v>2474</v>
      </c>
      <c r="L149" s="35"/>
      <c r="M149" s="35"/>
      <c r="N149" s="59"/>
      <c r="O149" s="35" t="s">
        <v>2477</v>
      </c>
      <c r="Q149" s="3">
        <f t="shared" si="12"/>
        <v>35.270000000000003</v>
      </c>
    </row>
    <row r="150" spans="1:17" ht="29" x14ac:dyDescent="0.35">
      <c r="A150" s="35" t="s">
        <v>35</v>
      </c>
      <c r="B150" s="35" t="s">
        <v>698</v>
      </c>
      <c r="C150" s="35" t="s">
        <v>14</v>
      </c>
      <c r="D150" s="35" t="s">
        <v>15</v>
      </c>
      <c r="E150" s="35">
        <v>32.29</v>
      </c>
      <c r="F150" s="29" t="s">
        <v>88</v>
      </c>
      <c r="G150" s="29">
        <v>45393</v>
      </c>
      <c r="H150" s="59" t="s">
        <v>94</v>
      </c>
      <c r="I150" s="59" t="s">
        <v>2433</v>
      </c>
      <c r="K150" s="59" t="s">
        <v>2434</v>
      </c>
      <c r="L150" s="35"/>
      <c r="O150" t="s">
        <v>2435</v>
      </c>
      <c r="Q150" s="3">
        <f t="shared" si="12"/>
        <v>32.29</v>
      </c>
    </row>
    <row r="151" spans="1:17" ht="29" x14ac:dyDescent="0.35">
      <c r="A151" t="s">
        <v>35</v>
      </c>
      <c r="B151" t="s">
        <v>633</v>
      </c>
      <c r="C151" t="s">
        <v>14</v>
      </c>
      <c r="D151" t="s">
        <v>15</v>
      </c>
      <c r="E151">
        <v>30.9</v>
      </c>
      <c r="F151" s="19" t="s">
        <v>88</v>
      </c>
      <c r="G151" s="19">
        <v>45565</v>
      </c>
      <c r="H151" s="55" t="s">
        <v>94</v>
      </c>
      <c r="I151" s="55" t="s">
        <v>2585</v>
      </c>
      <c r="K151" s="55" t="s">
        <v>2586</v>
      </c>
      <c r="O151" t="s">
        <v>2587</v>
      </c>
      <c r="Q151" s="3">
        <f t="shared" si="12"/>
        <v>30.9</v>
      </c>
    </row>
    <row r="152" spans="1:17" ht="29" x14ac:dyDescent="0.35">
      <c r="A152" t="s">
        <v>35</v>
      </c>
      <c r="B152" t="s">
        <v>633</v>
      </c>
      <c r="C152" t="s">
        <v>14</v>
      </c>
      <c r="D152" t="s">
        <v>15</v>
      </c>
      <c r="E152">
        <v>-26.87</v>
      </c>
      <c r="F152" s="19" t="s">
        <v>88</v>
      </c>
      <c r="G152" s="19">
        <v>45581</v>
      </c>
      <c r="H152" s="55" t="s">
        <v>94</v>
      </c>
      <c r="I152" s="55" t="s">
        <v>222</v>
      </c>
      <c r="K152" s="55" t="s">
        <v>2625</v>
      </c>
      <c r="O152" t="s">
        <v>2526</v>
      </c>
      <c r="Q152" s="3">
        <f t="shared" si="12"/>
        <v>26.87</v>
      </c>
    </row>
    <row r="153" spans="1:17" ht="29" x14ac:dyDescent="0.35">
      <c r="A153" s="35" t="s">
        <v>35</v>
      </c>
      <c r="B153" s="35" t="s">
        <v>698</v>
      </c>
      <c r="C153" s="35" t="s">
        <v>14</v>
      </c>
      <c r="D153" s="35" t="s">
        <v>15</v>
      </c>
      <c r="E153" s="35">
        <v>26.36</v>
      </c>
      <c r="F153" s="29" t="s">
        <v>88</v>
      </c>
      <c r="G153" s="29">
        <v>45393</v>
      </c>
      <c r="H153" s="59" t="s">
        <v>94</v>
      </c>
      <c r="I153" s="59" t="s">
        <v>2430</v>
      </c>
      <c r="K153" s="59" t="s">
        <v>2431</v>
      </c>
      <c r="L153" s="35"/>
      <c r="M153" s="35"/>
      <c r="N153" s="59"/>
      <c r="O153" s="35" t="s">
        <v>2432</v>
      </c>
      <c r="Q153" s="3">
        <f t="shared" si="12"/>
        <v>26.36</v>
      </c>
    </row>
    <row r="154" spans="1:17" ht="29" x14ac:dyDescent="0.35">
      <c r="A154" t="s">
        <v>35</v>
      </c>
      <c r="B154" t="s">
        <v>2561</v>
      </c>
      <c r="C154" t="s">
        <v>14</v>
      </c>
      <c r="D154" t="s">
        <v>15</v>
      </c>
      <c r="E154">
        <v>26.18</v>
      </c>
      <c r="F154" s="19" t="s">
        <v>88</v>
      </c>
      <c r="G154" s="19">
        <v>45554</v>
      </c>
      <c r="H154" s="55" t="s">
        <v>94</v>
      </c>
      <c r="I154" s="55" t="s">
        <v>2579</v>
      </c>
      <c r="K154" s="55" t="s">
        <v>2580</v>
      </c>
      <c r="O154" t="s">
        <v>2581</v>
      </c>
      <c r="Q154" s="3">
        <f t="shared" si="12"/>
        <v>26.18</v>
      </c>
    </row>
    <row r="155" spans="1:17" ht="29" x14ac:dyDescent="0.35">
      <c r="A155" s="35" t="s">
        <v>35</v>
      </c>
      <c r="B155" s="35" t="s">
        <v>1216</v>
      </c>
      <c r="C155" s="35" t="s">
        <v>14</v>
      </c>
      <c r="D155" s="35" t="s">
        <v>15</v>
      </c>
      <c r="E155" s="35">
        <v>25.91</v>
      </c>
      <c r="F155" s="29" t="s">
        <v>88</v>
      </c>
      <c r="G155" s="29">
        <v>45394</v>
      </c>
      <c r="H155" s="59" t="s">
        <v>94</v>
      </c>
      <c r="I155" s="59" t="s">
        <v>2436</v>
      </c>
      <c r="K155" s="59" t="s">
        <v>2437</v>
      </c>
      <c r="L155" s="35"/>
      <c r="M155" s="35"/>
      <c r="N155" s="59"/>
      <c r="O155" s="35" t="s">
        <v>2438</v>
      </c>
      <c r="Q155" s="3">
        <f t="shared" si="12"/>
        <v>25.91</v>
      </c>
    </row>
    <row r="156" spans="1:17" ht="29" x14ac:dyDescent="0.35">
      <c r="A156" t="s">
        <v>35</v>
      </c>
      <c r="B156" t="s">
        <v>633</v>
      </c>
      <c r="C156" t="s">
        <v>14</v>
      </c>
      <c r="D156" t="s">
        <v>15</v>
      </c>
      <c r="E156">
        <v>24.69</v>
      </c>
      <c r="F156" s="19" t="s">
        <v>88</v>
      </c>
      <c r="G156" s="19">
        <v>45511</v>
      </c>
      <c r="H156" s="55" t="s">
        <v>94</v>
      </c>
      <c r="I156" s="55" t="s">
        <v>222</v>
      </c>
      <c r="K156" s="55" t="s">
        <v>2525</v>
      </c>
      <c r="O156" t="s">
        <v>2526</v>
      </c>
      <c r="Q156" s="3">
        <f t="shared" si="12"/>
        <v>24.69</v>
      </c>
    </row>
    <row r="157" spans="1:17" ht="43.5" x14ac:dyDescent="0.35">
      <c r="A157" s="35" t="s">
        <v>35</v>
      </c>
      <c r="B157" s="35" t="s">
        <v>1423</v>
      </c>
      <c r="C157" s="35" t="s">
        <v>14</v>
      </c>
      <c r="D157" s="35" t="s">
        <v>15</v>
      </c>
      <c r="E157" s="35">
        <v>24.4</v>
      </c>
      <c r="F157" s="29" t="s">
        <v>88</v>
      </c>
      <c r="G157" s="29">
        <v>45384</v>
      </c>
      <c r="H157" s="59" t="s">
        <v>94</v>
      </c>
      <c r="I157" s="59" t="s">
        <v>2420</v>
      </c>
      <c r="K157" s="59" t="s">
        <v>2421</v>
      </c>
      <c r="L157" s="35"/>
      <c r="M157" s="35"/>
      <c r="N157" s="59"/>
      <c r="O157" s="35" t="s">
        <v>2422</v>
      </c>
      <c r="Q157" s="3">
        <f t="shared" si="12"/>
        <v>24.4</v>
      </c>
    </row>
    <row r="158" spans="1:17" ht="29" x14ac:dyDescent="0.35">
      <c r="A158" t="s">
        <v>35</v>
      </c>
      <c r="B158" t="s">
        <v>1566</v>
      </c>
      <c r="C158" t="s">
        <v>14</v>
      </c>
      <c r="D158" t="s">
        <v>15</v>
      </c>
      <c r="E158">
        <v>22.73</v>
      </c>
      <c r="F158" s="19" t="s">
        <v>88</v>
      </c>
      <c r="G158" s="19">
        <v>45639</v>
      </c>
      <c r="H158" s="55" t="s">
        <v>94</v>
      </c>
      <c r="I158" s="55" t="s">
        <v>2747</v>
      </c>
      <c r="K158" s="55" t="s">
        <v>2748</v>
      </c>
      <c r="O158" t="s">
        <v>2749</v>
      </c>
      <c r="Q158" s="3">
        <f t="shared" si="12"/>
        <v>22.73</v>
      </c>
    </row>
    <row r="159" spans="1:17" ht="29" x14ac:dyDescent="0.35">
      <c r="A159" t="s">
        <v>35</v>
      </c>
      <c r="B159" t="s">
        <v>633</v>
      </c>
      <c r="C159" t="s">
        <v>14</v>
      </c>
      <c r="D159" t="s">
        <v>15</v>
      </c>
      <c r="E159">
        <v>22.04</v>
      </c>
      <c r="F159" s="19" t="s">
        <v>88</v>
      </c>
      <c r="G159" s="19">
        <v>45565</v>
      </c>
      <c r="H159" s="55" t="s">
        <v>94</v>
      </c>
      <c r="I159" s="55" t="s">
        <v>2591</v>
      </c>
      <c r="K159" s="55" t="s">
        <v>2592</v>
      </c>
      <c r="O159" t="s">
        <v>2593</v>
      </c>
      <c r="Q159" s="3">
        <f t="shared" si="12"/>
        <v>22.04</v>
      </c>
    </row>
    <row r="160" spans="1:17" ht="29" x14ac:dyDescent="0.35">
      <c r="A160" t="s">
        <v>35</v>
      </c>
      <c r="B160" t="s">
        <v>1566</v>
      </c>
      <c r="C160" t="s">
        <v>14</v>
      </c>
      <c r="D160" t="s">
        <v>15</v>
      </c>
      <c r="E160">
        <v>20.91</v>
      </c>
      <c r="F160" s="19" t="s">
        <v>88</v>
      </c>
      <c r="G160" s="19">
        <v>45524</v>
      </c>
      <c r="H160" s="55" t="s">
        <v>94</v>
      </c>
      <c r="I160" s="55" t="s">
        <v>2540</v>
      </c>
      <c r="K160" s="55" t="s">
        <v>2541</v>
      </c>
      <c r="O160" t="s">
        <v>2542</v>
      </c>
      <c r="Q160" s="3">
        <f t="shared" si="12"/>
        <v>20.91</v>
      </c>
    </row>
    <row r="161" spans="1:17" ht="29" x14ac:dyDescent="0.35">
      <c r="A161" t="s">
        <v>0</v>
      </c>
      <c r="B161" t="s">
        <v>724</v>
      </c>
      <c r="C161" t="s">
        <v>14</v>
      </c>
      <c r="D161" t="s">
        <v>15</v>
      </c>
      <c r="E161">
        <v>19.91</v>
      </c>
      <c r="F161" s="19" t="s">
        <v>88</v>
      </c>
      <c r="G161" s="19">
        <v>45510</v>
      </c>
      <c r="H161" s="55" t="s">
        <v>89</v>
      </c>
      <c r="I161" s="55" t="s">
        <v>2518</v>
      </c>
      <c r="K161" t="s">
        <v>2519</v>
      </c>
      <c r="L161" t="s">
        <v>2520</v>
      </c>
      <c r="M161" t="s">
        <v>171</v>
      </c>
      <c r="Q161" s="3">
        <f t="shared" si="12"/>
        <v>19.91</v>
      </c>
    </row>
    <row r="162" spans="1:17" ht="43.5" x14ac:dyDescent="0.35">
      <c r="A162" t="s">
        <v>35</v>
      </c>
      <c r="B162" t="s">
        <v>2473</v>
      </c>
      <c r="C162" t="s">
        <v>14</v>
      </c>
      <c r="D162" t="s">
        <v>15</v>
      </c>
      <c r="E162">
        <v>19.09</v>
      </c>
      <c r="F162" s="19" t="s">
        <v>88</v>
      </c>
      <c r="G162" s="19">
        <v>45469</v>
      </c>
      <c r="H162" s="55" t="s">
        <v>94</v>
      </c>
      <c r="I162" s="55" t="s">
        <v>2494</v>
      </c>
      <c r="K162" s="55" t="s">
        <v>2495</v>
      </c>
      <c r="O162" t="s">
        <v>2496</v>
      </c>
      <c r="Q162" s="3">
        <f t="shared" si="12"/>
        <v>19.09</v>
      </c>
    </row>
    <row r="163" spans="1:17" ht="43.5" x14ac:dyDescent="0.35">
      <c r="A163" s="35" t="s">
        <v>35</v>
      </c>
      <c r="B163" s="35" t="s">
        <v>1411</v>
      </c>
      <c r="C163" s="35" t="s">
        <v>14</v>
      </c>
      <c r="D163" s="35" t="s">
        <v>15</v>
      </c>
      <c r="E163" s="35">
        <v>18.18</v>
      </c>
      <c r="F163" s="29" t="s">
        <v>88</v>
      </c>
      <c r="G163" s="29">
        <v>45412</v>
      </c>
      <c r="H163" s="59" t="s">
        <v>94</v>
      </c>
      <c r="I163" s="59" t="s">
        <v>2461</v>
      </c>
      <c r="K163" s="59" t="s">
        <v>2462</v>
      </c>
      <c r="L163" s="35"/>
      <c r="M163" s="35"/>
      <c r="N163" s="59"/>
      <c r="O163" s="35" t="s">
        <v>2463</v>
      </c>
      <c r="Q163" s="3">
        <f t="shared" si="12"/>
        <v>18.18</v>
      </c>
    </row>
    <row r="164" spans="1:17" ht="29" x14ac:dyDescent="0.35">
      <c r="A164" s="35" t="s">
        <v>0</v>
      </c>
      <c r="B164" s="35" t="s">
        <v>1543</v>
      </c>
      <c r="C164" s="35" t="s">
        <v>14</v>
      </c>
      <c r="D164" s="35" t="s">
        <v>15</v>
      </c>
      <c r="E164" s="35">
        <v>13.65</v>
      </c>
      <c r="F164" s="29" t="s">
        <v>88</v>
      </c>
      <c r="G164" s="29">
        <v>45435</v>
      </c>
      <c r="H164" s="59" t="s">
        <v>181</v>
      </c>
      <c r="I164" s="59" t="s">
        <v>182</v>
      </c>
      <c r="K164" s="59"/>
      <c r="L164" s="35"/>
      <c r="Q164" s="3">
        <f t="shared" si="12"/>
        <v>13.65</v>
      </c>
    </row>
    <row r="165" spans="1:17" ht="43.5" x14ac:dyDescent="0.35">
      <c r="A165" t="s">
        <v>35</v>
      </c>
      <c r="B165" t="s">
        <v>1411</v>
      </c>
      <c r="C165" t="s">
        <v>14</v>
      </c>
      <c r="D165" t="s">
        <v>15</v>
      </c>
      <c r="E165">
        <v>13.64</v>
      </c>
      <c r="F165" s="19" t="s">
        <v>88</v>
      </c>
      <c r="G165" s="19">
        <v>45442</v>
      </c>
      <c r="H165" s="55" t="s">
        <v>94</v>
      </c>
      <c r="I165" s="55" t="s">
        <v>2461</v>
      </c>
      <c r="K165" s="55" t="s">
        <v>2487</v>
      </c>
      <c r="O165" t="s">
        <v>2488</v>
      </c>
      <c r="Q165" s="3">
        <f t="shared" si="12"/>
        <v>13.64</v>
      </c>
    </row>
    <row r="166" spans="1:17" ht="29" x14ac:dyDescent="0.35">
      <c r="A166" s="35" t="s">
        <v>0</v>
      </c>
      <c r="B166" s="35" t="s">
        <v>1543</v>
      </c>
      <c r="C166" s="35" t="s">
        <v>14</v>
      </c>
      <c r="D166" s="35" t="s">
        <v>15</v>
      </c>
      <c r="E166" s="35">
        <v>-11.18</v>
      </c>
      <c r="F166" s="29" t="s">
        <v>88</v>
      </c>
      <c r="G166" s="29">
        <v>45432</v>
      </c>
      <c r="H166" s="59" t="s">
        <v>181</v>
      </c>
      <c r="I166" s="59" t="s">
        <v>182</v>
      </c>
      <c r="J166" s="59"/>
      <c r="K166" s="35"/>
      <c r="L166" s="35"/>
      <c r="Q166" s="3">
        <f t="shared" si="12"/>
        <v>11.18</v>
      </c>
    </row>
    <row r="167" spans="1:17" ht="29" x14ac:dyDescent="0.35">
      <c r="A167" s="35" t="s">
        <v>0</v>
      </c>
      <c r="B167" s="35" t="s">
        <v>1543</v>
      </c>
      <c r="C167" s="35" t="s">
        <v>14</v>
      </c>
      <c r="D167" s="35" t="s">
        <v>15</v>
      </c>
      <c r="E167" s="35">
        <v>9.39</v>
      </c>
      <c r="F167" s="29" t="s">
        <v>88</v>
      </c>
      <c r="G167" s="29">
        <v>45431</v>
      </c>
      <c r="H167" s="59" t="s">
        <v>181</v>
      </c>
      <c r="I167" s="59" t="s">
        <v>182</v>
      </c>
      <c r="J167" s="59"/>
      <c r="K167" s="35"/>
      <c r="L167" s="35"/>
      <c r="Q167" s="3">
        <f t="shared" si="12"/>
        <v>9.39</v>
      </c>
    </row>
    <row r="168" spans="1:17" ht="29" x14ac:dyDescent="0.35">
      <c r="A168" t="s">
        <v>35</v>
      </c>
      <c r="B168" t="s">
        <v>615</v>
      </c>
      <c r="C168" t="s">
        <v>14</v>
      </c>
      <c r="D168" t="s">
        <v>15</v>
      </c>
      <c r="E168">
        <v>9.1300000000000008</v>
      </c>
      <c r="F168" s="19" t="s">
        <v>88</v>
      </c>
      <c r="G168" s="19">
        <v>45593</v>
      </c>
      <c r="H168" s="55" t="s">
        <v>94</v>
      </c>
      <c r="I168" s="55" t="s">
        <v>2643</v>
      </c>
      <c r="J168" s="55" t="s">
        <v>2644</v>
      </c>
      <c r="O168" t="s">
        <v>2645</v>
      </c>
      <c r="Q168" s="3">
        <f t="shared" ref="Q168:Q190" si="15">ABS(E168)</f>
        <v>9.1300000000000008</v>
      </c>
    </row>
    <row r="169" spans="1:17" ht="29" x14ac:dyDescent="0.35">
      <c r="A169" t="s">
        <v>35</v>
      </c>
      <c r="B169" t="s">
        <v>698</v>
      </c>
      <c r="C169" t="s">
        <v>14</v>
      </c>
      <c r="D169" t="s">
        <v>15</v>
      </c>
      <c r="E169">
        <v>9.09</v>
      </c>
      <c r="F169" s="19" t="s">
        <v>88</v>
      </c>
      <c r="G169" s="19">
        <v>45586</v>
      </c>
      <c r="H169" s="55" t="s">
        <v>94</v>
      </c>
      <c r="I169" s="55" t="s">
        <v>2430</v>
      </c>
      <c r="J169" s="55" t="s">
        <v>2640</v>
      </c>
      <c r="O169" t="s">
        <v>2641</v>
      </c>
      <c r="Q169" s="3">
        <f t="shared" si="15"/>
        <v>9.09</v>
      </c>
    </row>
    <row r="170" spans="1:17" ht="29" x14ac:dyDescent="0.35">
      <c r="A170" s="35" t="s">
        <v>0</v>
      </c>
      <c r="B170" s="35" t="s">
        <v>1543</v>
      </c>
      <c r="C170" s="35" t="s">
        <v>14</v>
      </c>
      <c r="D170" s="35" t="s">
        <v>15</v>
      </c>
      <c r="E170" s="35">
        <v>8.5</v>
      </c>
      <c r="F170" s="29" t="s">
        <v>88</v>
      </c>
      <c r="G170" s="29">
        <v>45427</v>
      </c>
      <c r="H170" s="59" t="s">
        <v>181</v>
      </c>
      <c r="I170" s="59" t="s">
        <v>182</v>
      </c>
      <c r="J170" s="59"/>
      <c r="K170" s="35"/>
      <c r="L170" s="35"/>
      <c r="Q170" s="3">
        <f t="shared" si="15"/>
        <v>8.5</v>
      </c>
    </row>
    <row r="171" spans="1:17" ht="29" x14ac:dyDescent="0.35">
      <c r="A171" t="s">
        <v>0</v>
      </c>
      <c r="B171" t="s">
        <v>1543</v>
      </c>
      <c r="C171" t="s">
        <v>14</v>
      </c>
      <c r="D171" t="s">
        <v>15</v>
      </c>
      <c r="E171">
        <v>-7.33</v>
      </c>
      <c r="F171" s="19" t="s">
        <v>88</v>
      </c>
      <c r="G171" s="19">
        <v>45441</v>
      </c>
      <c r="H171" s="55" t="s">
        <v>181</v>
      </c>
      <c r="I171" s="55" t="s">
        <v>182</v>
      </c>
      <c r="Q171" s="3">
        <f t="shared" si="15"/>
        <v>7.33</v>
      </c>
    </row>
    <row r="172" spans="1:17" ht="29" x14ac:dyDescent="0.35">
      <c r="A172" s="35" t="s">
        <v>0</v>
      </c>
      <c r="B172" s="35" t="s">
        <v>1543</v>
      </c>
      <c r="C172" s="35" t="s">
        <v>14</v>
      </c>
      <c r="D172" s="35" t="s">
        <v>15</v>
      </c>
      <c r="E172" s="35">
        <v>7.08</v>
      </c>
      <c r="F172" s="29" t="s">
        <v>88</v>
      </c>
      <c r="G172" s="29">
        <v>45428</v>
      </c>
      <c r="H172" s="59" t="s">
        <v>181</v>
      </c>
      <c r="I172" s="59" t="s">
        <v>182</v>
      </c>
      <c r="J172" s="59"/>
      <c r="K172" s="35"/>
      <c r="L172" s="35"/>
      <c r="Q172" s="3">
        <f t="shared" si="15"/>
        <v>7.08</v>
      </c>
    </row>
    <row r="173" spans="1:17" ht="29" x14ac:dyDescent="0.35">
      <c r="A173" s="35" t="s">
        <v>0</v>
      </c>
      <c r="B173" s="35" t="s">
        <v>1543</v>
      </c>
      <c r="C173" s="35" t="s">
        <v>14</v>
      </c>
      <c r="D173" s="35" t="s">
        <v>15</v>
      </c>
      <c r="E173" s="35">
        <v>6.84</v>
      </c>
      <c r="F173" s="29" t="s">
        <v>88</v>
      </c>
      <c r="G173" s="29">
        <v>45434</v>
      </c>
      <c r="H173" s="59" t="s">
        <v>181</v>
      </c>
      <c r="I173" s="59" t="s">
        <v>182</v>
      </c>
      <c r="J173" s="59"/>
      <c r="K173" s="35"/>
      <c r="L173" s="35"/>
      <c r="M173" s="35"/>
      <c r="N173" s="59"/>
      <c r="O173" s="35"/>
      <c r="Q173" s="3">
        <f t="shared" si="15"/>
        <v>6.84</v>
      </c>
    </row>
    <row r="174" spans="1:17" ht="29" x14ac:dyDescent="0.35">
      <c r="A174" s="35" t="s">
        <v>0</v>
      </c>
      <c r="B174" s="35" t="s">
        <v>1543</v>
      </c>
      <c r="C174" s="35" t="s">
        <v>14</v>
      </c>
      <c r="D174" s="35" t="s">
        <v>15</v>
      </c>
      <c r="E174" s="35">
        <v>6.76</v>
      </c>
      <c r="F174" s="29" t="s">
        <v>88</v>
      </c>
      <c r="G174" s="29">
        <v>45433</v>
      </c>
      <c r="H174" s="59" t="s">
        <v>181</v>
      </c>
      <c r="I174" s="59" t="s">
        <v>182</v>
      </c>
      <c r="J174" s="59"/>
      <c r="K174" s="35"/>
      <c r="L174" s="35"/>
      <c r="Q174" s="3">
        <f t="shared" si="15"/>
        <v>6.76</v>
      </c>
    </row>
    <row r="175" spans="1:17" ht="29" x14ac:dyDescent="0.35">
      <c r="A175" t="s">
        <v>35</v>
      </c>
      <c r="B175" t="s">
        <v>633</v>
      </c>
      <c r="C175" t="s">
        <v>14</v>
      </c>
      <c r="D175" t="s">
        <v>15</v>
      </c>
      <c r="E175">
        <v>6.55</v>
      </c>
      <c r="F175" s="19" t="s">
        <v>88</v>
      </c>
      <c r="G175" s="19">
        <v>45523</v>
      </c>
      <c r="H175" s="55" t="s">
        <v>94</v>
      </c>
      <c r="I175" s="55" t="s">
        <v>222</v>
      </c>
      <c r="J175" s="55" t="s">
        <v>2539</v>
      </c>
      <c r="O175" t="s">
        <v>2526</v>
      </c>
      <c r="Q175" s="3">
        <f t="shared" si="15"/>
        <v>6.55</v>
      </c>
    </row>
    <row r="176" spans="1:17" ht="29" x14ac:dyDescent="0.35">
      <c r="A176" s="35" t="s">
        <v>0</v>
      </c>
      <c r="B176" s="35" t="s">
        <v>1543</v>
      </c>
      <c r="C176" s="35" t="s">
        <v>14</v>
      </c>
      <c r="D176" s="35" t="s">
        <v>15</v>
      </c>
      <c r="E176" s="35">
        <v>-4.87</v>
      </c>
      <c r="F176" s="29" t="s">
        <v>88</v>
      </c>
      <c r="G176" s="29">
        <v>45406</v>
      </c>
      <c r="H176" s="59" t="s">
        <v>181</v>
      </c>
      <c r="I176" s="59" t="s">
        <v>182</v>
      </c>
      <c r="J176" s="59"/>
      <c r="K176" s="35"/>
      <c r="L176" s="35"/>
      <c r="M176" s="35"/>
      <c r="N176" s="59"/>
      <c r="O176" s="35"/>
      <c r="Q176" s="3">
        <f t="shared" si="15"/>
        <v>4.87</v>
      </c>
    </row>
    <row r="177" spans="1:33" ht="29" x14ac:dyDescent="0.35">
      <c r="A177" s="35" t="s">
        <v>0</v>
      </c>
      <c r="B177" s="35" t="s">
        <v>1543</v>
      </c>
      <c r="C177" s="35" t="s">
        <v>14</v>
      </c>
      <c r="D177" s="35" t="s">
        <v>15</v>
      </c>
      <c r="E177" s="35">
        <v>-4.05</v>
      </c>
      <c r="F177" s="29" t="s">
        <v>88</v>
      </c>
      <c r="G177" s="29">
        <v>45410</v>
      </c>
      <c r="H177" s="59" t="s">
        <v>181</v>
      </c>
      <c r="I177" s="59" t="s">
        <v>182</v>
      </c>
      <c r="J177" s="59"/>
      <c r="K177" s="35"/>
      <c r="L177" s="35"/>
      <c r="M177" s="35"/>
      <c r="N177" s="59"/>
      <c r="O177" s="35"/>
      <c r="Q177" s="3">
        <f t="shared" si="15"/>
        <v>4.05</v>
      </c>
    </row>
    <row r="178" spans="1:33" ht="29" x14ac:dyDescent="0.35">
      <c r="A178" s="88" t="s">
        <v>0</v>
      </c>
      <c r="B178" s="88" t="s">
        <v>1543</v>
      </c>
      <c r="C178" s="88" t="s">
        <v>14</v>
      </c>
      <c r="D178" s="88" t="s">
        <v>15</v>
      </c>
      <c r="E178" s="88">
        <v>3.06</v>
      </c>
      <c r="F178" s="97" t="s">
        <v>88</v>
      </c>
      <c r="G178" s="97">
        <v>45440</v>
      </c>
      <c r="H178" s="85" t="s">
        <v>181</v>
      </c>
      <c r="I178" s="85" t="s">
        <v>182</v>
      </c>
      <c r="J178" s="85"/>
      <c r="K178" s="88"/>
      <c r="L178" s="88"/>
      <c r="M178" s="88"/>
      <c r="N178" s="85"/>
      <c r="O178" s="88"/>
      <c r="P178" s="86"/>
      <c r="Q178" s="3">
        <f t="shared" si="15"/>
        <v>3.06</v>
      </c>
      <c r="R178" s="85"/>
      <c r="S178" s="85"/>
      <c r="T178" s="88"/>
      <c r="U178" s="88"/>
      <c r="V178" s="87"/>
      <c r="W178" s="88"/>
      <c r="X178" s="88"/>
      <c r="Y178" s="88"/>
      <c r="Z178" s="88"/>
      <c r="AA178" s="88"/>
      <c r="AB178" s="88"/>
      <c r="AC178" s="88"/>
      <c r="AD178" s="88"/>
      <c r="AE178" s="88"/>
      <c r="AF178" s="88"/>
      <c r="AG178" s="88"/>
    </row>
    <row r="179" spans="1:33" ht="29" x14ac:dyDescent="0.35">
      <c r="A179" s="35" t="s">
        <v>0</v>
      </c>
      <c r="B179" s="35" t="s">
        <v>1543</v>
      </c>
      <c r="C179" s="35" t="s">
        <v>14</v>
      </c>
      <c r="D179" s="35" t="s">
        <v>15</v>
      </c>
      <c r="E179" s="35">
        <v>3.04</v>
      </c>
      <c r="F179" s="29" t="s">
        <v>88</v>
      </c>
      <c r="G179" s="29">
        <v>45399</v>
      </c>
      <c r="H179" s="59" t="s">
        <v>181</v>
      </c>
      <c r="I179" s="59" t="s">
        <v>182</v>
      </c>
      <c r="J179" s="59"/>
      <c r="K179" s="35"/>
      <c r="L179" s="35"/>
      <c r="M179" s="35"/>
      <c r="N179" s="59"/>
      <c r="O179" s="35"/>
      <c r="Q179" s="3">
        <f t="shared" si="15"/>
        <v>3.04</v>
      </c>
    </row>
    <row r="180" spans="1:33" ht="29" x14ac:dyDescent="0.35">
      <c r="A180" s="35" t="s">
        <v>0</v>
      </c>
      <c r="B180" s="35" t="s">
        <v>1543</v>
      </c>
      <c r="C180" s="35" t="s">
        <v>14</v>
      </c>
      <c r="D180" s="35" t="s">
        <v>15</v>
      </c>
      <c r="E180" s="35">
        <v>3.01</v>
      </c>
      <c r="F180" s="29" t="s">
        <v>88</v>
      </c>
      <c r="G180" s="29">
        <v>45438</v>
      </c>
      <c r="H180" s="59" t="s">
        <v>181</v>
      </c>
      <c r="I180" s="59" t="s">
        <v>182</v>
      </c>
      <c r="J180" s="59"/>
      <c r="K180" s="35"/>
      <c r="L180" s="35"/>
      <c r="Q180" s="3">
        <f t="shared" si="15"/>
        <v>3.01</v>
      </c>
    </row>
    <row r="181" spans="1:33" ht="29" x14ac:dyDescent="0.35">
      <c r="A181" s="35" t="s">
        <v>0</v>
      </c>
      <c r="B181" s="35" t="s">
        <v>1543</v>
      </c>
      <c r="C181" s="35" t="s">
        <v>14</v>
      </c>
      <c r="D181" s="35" t="s">
        <v>15</v>
      </c>
      <c r="E181" s="35">
        <v>-2.8</v>
      </c>
      <c r="F181" s="29" t="s">
        <v>88</v>
      </c>
      <c r="G181" s="29">
        <v>45405</v>
      </c>
      <c r="H181" s="59" t="s">
        <v>181</v>
      </c>
      <c r="I181" s="59" t="s">
        <v>182</v>
      </c>
      <c r="J181" s="59"/>
      <c r="K181" s="35"/>
      <c r="L181" s="35"/>
      <c r="M181" s="35"/>
      <c r="N181" s="59"/>
      <c r="O181" s="35"/>
      <c r="Q181" s="3">
        <f t="shared" si="15"/>
        <v>2.8</v>
      </c>
    </row>
    <row r="182" spans="1:33" ht="29" x14ac:dyDescent="0.35">
      <c r="A182" s="35" t="s">
        <v>0</v>
      </c>
      <c r="B182" s="35" t="s">
        <v>1543</v>
      </c>
      <c r="C182" s="35" t="s">
        <v>14</v>
      </c>
      <c r="D182" s="35" t="s">
        <v>15</v>
      </c>
      <c r="E182" s="35">
        <v>-2.21</v>
      </c>
      <c r="F182" s="29" t="s">
        <v>88</v>
      </c>
      <c r="G182" s="29">
        <v>45403</v>
      </c>
      <c r="H182" s="59" t="s">
        <v>181</v>
      </c>
      <c r="I182" s="59" t="s">
        <v>182</v>
      </c>
      <c r="J182" s="59"/>
      <c r="K182" s="35"/>
      <c r="L182" s="35"/>
      <c r="M182" s="35"/>
      <c r="N182" s="59"/>
      <c r="O182" s="35"/>
      <c r="Q182" s="3">
        <f t="shared" si="15"/>
        <v>2.21</v>
      </c>
    </row>
    <row r="183" spans="1:33" ht="29" x14ac:dyDescent="0.35">
      <c r="A183" t="s">
        <v>0</v>
      </c>
      <c r="B183" t="s">
        <v>1543</v>
      </c>
      <c r="C183" t="s">
        <v>14</v>
      </c>
      <c r="D183" t="s">
        <v>15</v>
      </c>
      <c r="E183">
        <v>-2.17</v>
      </c>
      <c r="F183" s="19" t="s">
        <v>88</v>
      </c>
      <c r="G183" s="19">
        <v>45443</v>
      </c>
      <c r="H183" s="55" t="s">
        <v>181</v>
      </c>
      <c r="I183" s="55" t="s">
        <v>182</v>
      </c>
      <c r="Q183" s="3">
        <f t="shared" si="15"/>
        <v>2.17</v>
      </c>
    </row>
    <row r="184" spans="1:33" ht="29" x14ac:dyDescent="0.35">
      <c r="A184" t="s">
        <v>0</v>
      </c>
      <c r="B184" t="s">
        <v>1543</v>
      </c>
      <c r="C184" t="s">
        <v>14</v>
      </c>
      <c r="D184" t="s">
        <v>15</v>
      </c>
      <c r="E184">
        <v>2.16</v>
      </c>
      <c r="F184" s="19" t="s">
        <v>88</v>
      </c>
      <c r="G184" s="19">
        <v>45442</v>
      </c>
      <c r="H184" s="55" t="s">
        <v>181</v>
      </c>
      <c r="I184" s="55" t="s">
        <v>182</v>
      </c>
      <c r="Q184" s="3">
        <f t="shared" si="15"/>
        <v>2.16</v>
      </c>
    </row>
    <row r="185" spans="1:33" ht="29" x14ac:dyDescent="0.35">
      <c r="A185" s="35" t="s">
        <v>0</v>
      </c>
      <c r="B185" s="35" t="s">
        <v>1543</v>
      </c>
      <c r="C185" s="35" t="s">
        <v>14</v>
      </c>
      <c r="D185" s="35" t="s">
        <v>15</v>
      </c>
      <c r="E185" s="35">
        <v>-1.24</v>
      </c>
      <c r="F185" s="29" t="s">
        <v>88</v>
      </c>
      <c r="G185" s="29">
        <v>45411</v>
      </c>
      <c r="H185" s="59" t="s">
        <v>181</v>
      </c>
      <c r="I185" s="59" t="s">
        <v>182</v>
      </c>
      <c r="J185" s="59"/>
      <c r="K185" s="35"/>
      <c r="L185" s="35"/>
      <c r="M185" s="35"/>
      <c r="N185" s="59"/>
      <c r="O185" s="35"/>
      <c r="Q185" s="3">
        <f t="shared" si="15"/>
        <v>1.24</v>
      </c>
    </row>
    <row r="186" spans="1:33" ht="29" x14ac:dyDescent="0.35">
      <c r="A186" s="35" t="s">
        <v>0</v>
      </c>
      <c r="B186" s="35" t="s">
        <v>1543</v>
      </c>
      <c r="C186" s="35" t="s">
        <v>14</v>
      </c>
      <c r="D186" s="35" t="s">
        <v>15</v>
      </c>
      <c r="E186" s="35">
        <v>0.96</v>
      </c>
      <c r="F186" s="29" t="s">
        <v>88</v>
      </c>
      <c r="G186" s="29">
        <v>45407</v>
      </c>
      <c r="H186" s="59" t="s">
        <v>181</v>
      </c>
      <c r="I186" s="59" t="s">
        <v>182</v>
      </c>
      <c r="J186" s="59"/>
      <c r="K186" s="35"/>
      <c r="L186" s="35"/>
      <c r="M186" s="35"/>
      <c r="N186" s="59"/>
      <c r="O186" s="35"/>
      <c r="Q186" s="3">
        <f t="shared" si="15"/>
        <v>0.96</v>
      </c>
    </row>
    <row r="187" spans="1:33" ht="29" x14ac:dyDescent="0.35">
      <c r="A187" s="35" t="s">
        <v>0</v>
      </c>
      <c r="B187" s="35" t="s">
        <v>1543</v>
      </c>
      <c r="C187" s="35" t="s">
        <v>14</v>
      </c>
      <c r="D187" s="35" t="s">
        <v>15</v>
      </c>
      <c r="E187" s="35">
        <v>0.87</v>
      </c>
      <c r="F187" s="29" t="s">
        <v>88</v>
      </c>
      <c r="G187" s="29">
        <v>45404</v>
      </c>
      <c r="H187" s="59" t="s">
        <v>181</v>
      </c>
      <c r="I187" s="59" t="s">
        <v>182</v>
      </c>
      <c r="J187" s="59"/>
      <c r="K187" s="35"/>
      <c r="L187" s="35"/>
      <c r="M187" s="35"/>
      <c r="N187" s="59"/>
      <c r="O187" s="35"/>
      <c r="Q187" s="3">
        <f t="shared" si="15"/>
        <v>0.87</v>
      </c>
    </row>
    <row r="188" spans="1:33" ht="29" x14ac:dyDescent="0.35">
      <c r="A188" s="35" t="s">
        <v>0</v>
      </c>
      <c r="B188" s="35" t="s">
        <v>1543</v>
      </c>
      <c r="C188" s="35" t="s">
        <v>14</v>
      </c>
      <c r="D188" s="35" t="s">
        <v>15</v>
      </c>
      <c r="E188" s="35">
        <v>0.79</v>
      </c>
      <c r="F188" s="29" t="s">
        <v>88</v>
      </c>
      <c r="G188" s="29">
        <v>45439</v>
      </c>
      <c r="H188" s="59" t="s">
        <v>181</v>
      </c>
      <c r="I188" s="59" t="s">
        <v>182</v>
      </c>
      <c r="J188" s="59"/>
      <c r="K188" s="35"/>
      <c r="L188" s="35"/>
      <c r="Q188" s="3">
        <f t="shared" si="15"/>
        <v>0.79</v>
      </c>
    </row>
    <row r="189" spans="1:33" ht="29" x14ac:dyDescent="0.35">
      <c r="A189" s="35" t="s">
        <v>0</v>
      </c>
      <c r="B189" s="35" t="s">
        <v>1543</v>
      </c>
      <c r="C189" s="35" t="s">
        <v>14</v>
      </c>
      <c r="D189" s="35" t="s">
        <v>15</v>
      </c>
      <c r="E189" s="35">
        <v>-0.06</v>
      </c>
      <c r="F189" s="29" t="s">
        <v>88</v>
      </c>
      <c r="G189" s="29">
        <v>45400</v>
      </c>
      <c r="H189" s="59" t="s">
        <v>181</v>
      </c>
      <c r="I189" s="59" t="s">
        <v>182</v>
      </c>
      <c r="J189" s="59"/>
      <c r="K189" s="35"/>
      <c r="L189" s="35"/>
      <c r="M189" s="35"/>
      <c r="N189" s="59"/>
      <c r="O189" s="35"/>
      <c r="Q189" s="3">
        <f t="shared" si="15"/>
        <v>0.06</v>
      </c>
    </row>
    <row r="190" spans="1:33" ht="29" x14ac:dyDescent="0.35">
      <c r="A190" s="35" t="s">
        <v>0</v>
      </c>
      <c r="B190" s="35" t="s">
        <v>1543</v>
      </c>
      <c r="C190" s="35" t="s">
        <v>14</v>
      </c>
      <c r="D190" s="35" t="s">
        <v>15</v>
      </c>
      <c r="E190" s="35">
        <v>-0.01</v>
      </c>
      <c r="F190" s="29" t="s">
        <v>88</v>
      </c>
      <c r="G190" s="29">
        <v>45412</v>
      </c>
      <c r="H190" s="59" t="s">
        <v>181</v>
      </c>
      <c r="I190" s="59" t="s">
        <v>182</v>
      </c>
      <c r="J190" s="59"/>
      <c r="K190" s="35"/>
      <c r="L190" s="35"/>
      <c r="M190" s="35"/>
      <c r="N190" s="59"/>
      <c r="O190" s="35"/>
      <c r="Q190" s="3">
        <f t="shared" si="15"/>
        <v>0.01</v>
      </c>
    </row>
  </sheetData>
  <autoFilter ref="A7:AG190" xr:uid="{654396CF-3386-4CE9-A8BA-F59B34717B8C}"/>
  <sortState xmlns:xlrd2="http://schemas.microsoft.com/office/spreadsheetml/2017/richdata2" ref="A7:Q69">
    <sortCondition descending="1" ref="Q7:Q69"/>
  </sortState>
  <mergeCells count="1">
    <mergeCell ref="AD6:AE6"/>
  </mergeCells>
  <phoneticPr fontId="1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3DED9-A3FB-40CC-846D-E865AF494D44}">
  <sheetPr>
    <tabColor rgb="FF00B050"/>
  </sheetPr>
  <dimension ref="A1:AF1111"/>
  <sheetViews>
    <sheetView workbookViewId="0">
      <selection activeCell="C3" sqref="C3"/>
    </sheetView>
  </sheetViews>
  <sheetFormatPr defaultRowHeight="14.5" x14ac:dyDescent="0.35"/>
  <cols>
    <col min="1" max="2" width="6.81640625" customWidth="1"/>
    <col min="3" max="3" width="20.54296875" bestFit="1" customWidth="1"/>
    <col min="4" max="4" width="5" style="3" customWidth="1"/>
    <col min="5" max="5" width="13.1796875" customWidth="1"/>
    <col min="6" max="6" width="5" style="19" customWidth="1"/>
    <col min="7" max="7" width="24.1796875" style="62" customWidth="1"/>
    <col min="8" max="8" width="5" style="55" customWidth="1"/>
    <col min="9" max="10" width="17.453125" style="55" customWidth="1"/>
    <col min="11" max="11" width="31.7265625" bestFit="1" customWidth="1"/>
    <col min="16" max="16" width="4.453125" style="5" customWidth="1"/>
    <col min="17" max="17" width="11.1796875" style="3" bestFit="1" customWidth="1"/>
    <col min="18" max="18" width="2.54296875" style="69" customWidth="1"/>
    <col min="19" max="19" width="21.54296875" style="69" customWidth="1"/>
    <col min="22" max="22" width="11.1796875" style="3" customWidth="1"/>
    <col min="23" max="28" width="1.54296875" customWidth="1"/>
    <col min="30" max="30" width="11.1796875" bestFit="1" customWidth="1"/>
    <col min="32" max="32" width="14.81640625" customWidth="1"/>
  </cols>
  <sheetData>
    <row r="1" spans="1:32" ht="15.5" x14ac:dyDescent="0.35">
      <c r="A1" t="s">
        <v>69</v>
      </c>
      <c r="C1" s="24">
        <f>Summary!A16</f>
        <v>5160011000</v>
      </c>
      <c r="Q1" s="170" t="s">
        <v>9247</v>
      </c>
      <c r="S1" s="173" t="s">
        <v>9250</v>
      </c>
    </row>
    <row r="2" spans="1:32" x14ac:dyDescent="0.35">
      <c r="A2" t="s">
        <v>70</v>
      </c>
      <c r="C2" s="24" t="str">
        <f>Summary!B16</f>
        <v>Business development</v>
      </c>
      <c r="G2" s="169" t="s">
        <v>141</v>
      </c>
      <c r="Q2" s="170" t="s">
        <v>9248</v>
      </c>
      <c r="S2" s="171" t="s">
        <v>9249</v>
      </c>
    </row>
    <row r="3" spans="1:32" x14ac:dyDescent="0.35">
      <c r="A3" t="s">
        <v>71</v>
      </c>
      <c r="C3" s="22">
        <v>2312939.67</v>
      </c>
      <c r="G3" s="98" t="s">
        <v>261</v>
      </c>
      <c r="T3" s="24" t="s">
        <v>0</v>
      </c>
      <c r="U3" s="24"/>
      <c r="V3" s="3">
        <f>SUMIF($A$8:$A$23974,"AU001",V8:V23974)</f>
        <v>32145.579999999994</v>
      </c>
      <c r="AC3" t="s">
        <v>0</v>
      </c>
      <c r="AD3" s="3">
        <f>SUMIF($A$8:$A$20000,"AU001",AD8:AD20000)</f>
        <v>463437.56999999995</v>
      </c>
      <c r="AE3" s="3">
        <f>SUMIF($A$8:$A$20000,"AU001",AE8:AE20000)</f>
        <v>0</v>
      </c>
    </row>
    <row r="4" spans="1:32" x14ac:dyDescent="0.35">
      <c r="A4" t="s">
        <v>45</v>
      </c>
      <c r="C4" s="22">
        <f>SUM(E:E)</f>
        <v>2312939.6700000055</v>
      </c>
      <c r="G4" s="98" t="s">
        <v>255</v>
      </c>
      <c r="T4" s="24" t="s">
        <v>35</v>
      </c>
      <c r="U4" s="24"/>
      <c r="V4" s="3">
        <f>SUMIF($A$8:$A$23974,"AU052",V8:V23974)</f>
        <v>79020.819999999891</v>
      </c>
      <c r="AC4" t="s">
        <v>35</v>
      </c>
      <c r="AD4" s="3">
        <f>SUMIF($A$8:$A$408,"AU052",AD8:AD20000)</f>
        <v>650</v>
      </c>
      <c r="AE4" s="3">
        <f>SUMIF($A$8:$A$20000,"AU052",AE8:AE20000)</f>
        <v>415.15</v>
      </c>
    </row>
    <row r="5" spans="1:32" ht="15" thickBot="1" x14ac:dyDescent="0.4">
      <c r="A5" t="s">
        <v>72</v>
      </c>
      <c r="C5" s="3">
        <f>C3-C4</f>
        <v>-5.5879354476928711E-9</v>
      </c>
      <c r="G5" s="98" t="s">
        <v>5324</v>
      </c>
      <c r="Q5" s="30"/>
      <c r="R5" s="70"/>
      <c r="S5" s="171"/>
      <c r="V5" s="165">
        <f>SUM(V3:V4)</f>
        <v>111166.39999999988</v>
      </c>
      <c r="AD5" s="165">
        <f>SUM(AD3:AD4)</f>
        <v>464087.56999999995</v>
      </c>
      <c r="AE5" s="165">
        <f>SUM(AE3:AE4)</f>
        <v>415.15</v>
      </c>
    </row>
    <row r="6" spans="1:32" ht="28.5" customHeight="1" thickTop="1" thickBot="1" x14ac:dyDescent="0.4">
      <c r="G6" s="199" t="s">
        <v>5325</v>
      </c>
      <c r="H6" s="199"/>
      <c r="I6" s="199"/>
      <c r="J6" s="199"/>
      <c r="K6" s="199"/>
      <c r="L6" s="199"/>
      <c r="M6" s="199"/>
      <c r="N6" s="199"/>
      <c r="AD6" s="191" t="s">
        <v>44</v>
      </c>
      <c r="AE6" s="192"/>
    </row>
    <row r="7" spans="1:32" s="53" customFormat="1" ht="70" customHeight="1" thickBot="1" x14ac:dyDescent="0.4">
      <c r="A7" s="100" t="s">
        <v>74</v>
      </c>
      <c r="B7" s="100" t="s">
        <v>597</v>
      </c>
      <c r="C7" s="100" t="s">
        <v>75</v>
      </c>
      <c r="D7" s="100" t="s">
        <v>76</v>
      </c>
      <c r="E7" s="100" t="s">
        <v>77</v>
      </c>
      <c r="F7" s="100" t="s">
        <v>78</v>
      </c>
      <c r="G7" s="101" t="s">
        <v>79</v>
      </c>
      <c r="H7" s="100" t="s">
        <v>80</v>
      </c>
      <c r="I7" s="100" t="s">
        <v>81</v>
      </c>
      <c r="J7" s="100" t="s">
        <v>82</v>
      </c>
      <c r="K7" s="100" t="s">
        <v>83</v>
      </c>
      <c r="L7" s="100" t="s">
        <v>84</v>
      </c>
      <c r="M7" s="100" t="s">
        <v>85</v>
      </c>
      <c r="N7" s="100" t="s">
        <v>86</v>
      </c>
      <c r="O7" s="100" t="s">
        <v>585</v>
      </c>
      <c r="P7" s="43"/>
      <c r="Q7" s="54" t="s">
        <v>136</v>
      </c>
      <c r="R7" s="67" t="s">
        <v>87</v>
      </c>
      <c r="S7" s="68" t="s">
        <v>46</v>
      </c>
      <c r="T7" s="45" t="s">
        <v>47</v>
      </c>
      <c r="U7" s="84" t="s">
        <v>1286</v>
      </c>
      <c r="V7" s="66" t="s">
        <v>48</v>
      </c>
      <c r="W7" s="46" t="s">
        <v>49</v>
      </c>
      <c r="X7" s="47" t="s">
        <v>50</v>
      </c>
      <c r="Y7" s="48" t="s">
        <v>51</v>
      </c>
      <c r="Z7" s="49" t="s">
        <v>52</v>
      </c>
      <c r="AA7" s="50" t="s">
        <v>53</v>
      </c>
      <c r="AB7" s="50" t="s">
        <v>54</v>
      </c>
      <c r="AC7" s="50" t="s">
        <v>55</v>
      </c>
      <c r="AD7" s="51" t="s">
        <v>56</v>
      </c>
      <c r="AE7" s="51" t="s">
        <v>57</v>
      </c>
      <c r="AF7" s="52" t="s">
        <v>58</v>
      </c>
    </row>
    <row r="8" spans="1:32" ht="29" x14ac:dyDescent="0.35">
      <c r="A8" s="34" t="s">
        <v>0</v>
      </c>
      <c r="B8" s="34" t="s">
        <v>1566</v>
      </c>
      <c r="C8" s="34" t="s">
        <v>16</v>
      </c>
      <c r="D8" s="34" t="s">
        <v>17</v>
      </c>
      <c r="E8" s="34">
        <v>348744.41</v>
      </c>
      <c r="F8" s="34" t="s">
        <v>88</v>
      </c>
      <c r="G8" s="103">
        <v>45631</v>
      </c>
      <c r="H8" s="34" t="s">
        <v>89</v>
      </c>
      <c r="I8" s="34" t="s">
        <v>5146</v>
      </c>
      <c r="J8" s="34"/>
      <c r="K8" s="34" t="s">
        <v>5147</v>
      </c>
      <c r="L8" s="34" t="s">
        <v>5148</v>
      </c>
      <c r="M8" s="34" t="s">
        <v>149</v>
      </c>
      <c r="N8" s="34"/>
      <c r="O8" s="34"/>
      <c r="Q8" s="3">
        <f t="shared" ref="Q8:Q71" si="0">ABS(E8)</f>
        <v>348744.41</v>
      </c>
      <c r="S8" s="166" t="s">
        <v>5309</v>
      </c>
      <c r="V8" s="3" t="str">
        <f>IF(T8="Y",E8,"")</f>
        <v/>
      </c>
      <c r="AD8" s="3">
        <f>E8</f>
        <v>348744.41</v>
      </c>
    </row>
    <row r="9" spans="1:32" x14ac:dyDescent="0.35">
      <c r="A9" t="s">
        <v>0</v>
      </c>
      <c r="B9" t="s">
        <v>1566</v>
      </c>
      <c r="C9" t="s">
        <v>16</v>
      </c>
      <c r="D9" t="s">
        <v>17</v>
      </c>
      <c r="E9">
        <v>170425.8</v>
      </c>
      <c r="F9" t="s">
        <v>88</v>
      </c>
      <c r="G9" s="19">
        <v>45636</v>
      </c>
      <c r="H9" t="s">
        <v>89</v>
      </c>
      <c r="I9" t="s">
        <v>5204</v>
      </c>
      <c r="J9"/>
      <c r="K9" t="s">
        <v>5205</v>
      </c>
      <c r="L9" t="s">
        <v>5206</v>
      </c>
      <c r="M9" t="s">
        <v>147</v>
      </c>
      <c r="Q9" s="3">
        <f t="shared" si="0"/>
        <v>170425.8</v>
      </c>
      <c r="S9" s="69" t="s">
        <v>5312</v>
      </c>
      <c r="V9" s="3" t="str">
        <f t="shared" ref="V9:V72" si="1">IF(T9="Y",E9,"")</f>
        <v/>
      </c>
      <c r="AD9" s="3"/>
    </row>
    <row r="10" spans="1:32" x14ac:dyDescent="0.35">
      <c r="A10" s="34" t="s">
        <v>0</v>
      </c>
      <c r="B10" s="34" t="s">
        <v>1566</v>
      </c>
      <c r="C10" s="34" t="s">
        <v>16</v>
      </c>
      <c r="D10" s="34" t="s">
        <v>17</v>
      </c>
      <c r="E10" s="34">
        <v>43907.199999999997</v>
      </c>
      <c r="F10" s="34" t="s">
        <v>88</v>
      </c>
      <c r="G10" s="103">
        <v>45425</v>
      </c>
      <c r="H10" s="34" t="s">
        <v>89</v>
      </c>
      <c r="I10" s="34" t="s">
        <v>3188</v>
      </c>
      <c r="J10" s="34"/>
      <c r="K10" s="34" t="s">
        <v>3189</v>
      </c>
      <c r="L10" s="34" t="s">
        <v>3190</v>
      </c>
      <c r="M10" s="34" t="s">
        <v>166</v>
      </c>
      <c r="N10" s="34"/>
      <c r="O10" s="34"/>
      <c r="Q10" s="3">
        <f t="shared" si="0"/>
        <v>43907.199999999997</v>
      </c>
      <c r="S10" s="166" t="s">
        <v>5310</v>
      </c>
      <c r="V10" s="3" t="str">
        <f t="shared" si="1"/>
        <v/>
      </c>
      <c r="AD10" s="3">
        <f t="shared" ref="AD10:AD11" si="2">E10</f>
        <v>43907.199999999997</v>
      </c>
    </row>
    <row r="11" spans="1:32" x14ac:dyDescent="0.35">
      <c r="A11" s="34" t="s">
        <v>0</v>
      </c>
      <c r="B11" s="34" t="s">
        <v>1566</v>
      </c>
      <c r="C11" s="34" t="s">
        <v>16</v>
      </c>
      <c r="D11" s="34" t="s">
        <v>17</v>
      </c>
      <c r="E11" s="34">
        <v>43153.11</v>
      </c>
      <c r="F11" s="34" t="s">
        <v>88</v>
      </c>
      <c r="G11" s="103">
        <v>45434</v>
      </c>
      <c r="H11" s="34" t="s">
        <v>89</v>
      </c>
      <c r="I11" s="34" t="s">
        <v>3318</v>
      </c>
      <c r="J11" s="34"/>
      <c r="K11" s="34" t="s">
        <v>101</v>
      </c>
      <c r="L11" s="34" t="s">
        <v>3319</v>
      </c>
      <c r="M11" s="34" t="s">
        <v>166</v>
      </c>
      <c r="N11" s="34"/>
      <c r="O11" s="34"/>
      <c r="Q11" s="3">
        <f t="shared" si="0"/>
        <v>43153.11</v>
      </c>
      <c r="S11" s="166" t="s">
        <v>5310</v>
      </c>
      <c r="V11" s="3" t="str">
        <f t="shared" si="1"/>
        <v/>
      </c>
      <c r="AD11" s="3">
        <f t="shared" si="2"/>
        <v>43153.11</v>
      </c>
    </row>
    <row r="12" spans="1:32" x14ac:dyDescent="0.35">
      <c r="A12" t="s">
        <v>0</v>
      </c>
      <c r="B12" t="s">
        <v>1566</v>
      </c>
      <c r="C12" t="s">
        <v>16</v>
      </c>
      <c r="D12" t="s">
        <v>17</v>
      </c>
      <c r="E12">
        <v>38418.800000000003</v>
      </c>
      <c r="F12" t="s">
        <v>88</v>
      </c>
      <c r="G12" s="19">
        <v>45586</v>
      </c>
      <c r="H12" t="s">
        <v>89</v>
      </c>
      <c r="I12" t="s">
        <v>4685</v>
      </c>
      <c r="J12"/>
      <c r="K12" t="s">
        <v>4686</v>
      </c>
      <c r="L12" t="s">
        <v>4687</v>
      </c>
      <c r="M12" t="s">
        <v>4565</v>
      </c>
      <c r="Q12" s="3">
        <f t="shared" si="0"/>
        <v>38418.800000000003</v>
      </c>
      <c r="S12" s="69" t="s">
        <v>2187</v>
      </c>
      <c r="V12" s="3" t="str">
        <f t="shared" si="1"/>
        <v/>
      </c>
    </row>
    <row r="13" spans="1:32" x14ac:dyDescent="0.35">
      <c r="A13" t="s">
        <v>0</v>
      </c>
      <c r="B13" t="s">
        <v>1566</v>
      </c>
      <c r="C13" t="s">
        <v>16</v>
      </c>
      <c r="D13" t="s">
        <v>17</v>
      </c>
      <c r="E13">
        <v>38418.800000000003</v>
      </c>
      <c r="F13" t="s">
        <v>88</v>
      </c>
      <c r="G13" s="19">
        <v>45614</v>
      </c>
      <c r="H13" t="s">
        <v>89</v>
      </c>
      <c r="I13" t="s">
        <v>4923</v>
      </c>
      <c r="J13"/>
      <c r="K13" t="s">
        <v>4924</v>
      </c>
      <c r="L13" t="s">
        <v>4925</v>
      </c>
      <c r="M13" t="s">
        <v>162</v>
      </c>
      <c r="Q13" s="3">
        <f t="shared" si="0"/>
        <v>38418.800000000003</v>
      </c>
      <c r="S13" s="69" t="s">
        <v>2187</v>
      </c>
      <c r="V13" s="3" t="str">
        <f t="shared" si="1"/>
        <v/>
      </c>
    </row>
    <row r="14" spans="1:32" x14ac:dyDescent="0.35">
      <c r="A14" t="s">
        <v>0</v>
      </c>
      <c r="B14" t="s">
        <v>1566</v>
      </c>
      <c r="C14" t="s">
        <v>16</v>
      </c>
      <c r="D14" t="s">
        <v>17</v>
      </c>
      <c r="E14">
        <v>34650</v>
      </c>
      <c r="F14" t="s">
        <v>88</v>
      </c>
      <c r="G14" s="19">
        <v>45642</v>
      </c>
      <c r="I14" t="s">
        <v>5294</v>
      </c>
      <c r="J14"/>
      <c r="K14" t="s">
        <v>5294</v>
      </c>
      <c r="Q14" s="3">
        <f t="shared" si="0"/>
        <v>34650</v>
      </c>
      <c r="S14" s="69" t="s">
        <v>2187</v>
      </c>
      <c r="V14" s="3" t="str">
        <f t="shared" si="1"/>
        <v/>
      </c>
    </row>
    <row r="15" spans="1:32" x14ac:dyDescent="0.35">
      <c r="A15" t="s">
        <v>0</v>
      </c>
      <c r="B15" t="s">
        <v>1566</v>
      </c>
      <c r="C15" t="s">
        <v>16</v>
      </c>
      <c r="D15" t="s">
        <v>17</v>
      </c>
      <c r="E15">
        <v>33981.050000000003</v>
      </c>
      <c r="F15" t="s">
        <v>88</v>
      </c>
      <c r="G15" s="19">
        <v>45460</v>
      </c>
      <c r="H15" t="s">
        <v>89</v>
      </c>
      <c r="I15" t="s">
        <v>3619</v>
      </c>
      <c r="J15"/>
      <c r="K15" t="s">
        <v>3620</v>
      </c>
      <c r="L15" t="s">
        <v>3621</v>
      </c>
      <c r="M15" t="s">
        <v>147</v>
      </c>
      <c r="Q15" s="3">
        <f t="shared" si="0"/>
        <v>33981.050000000003</v>
      </c>
      <c r="S15" s="69" t="s">
        <v>5312</v>
      </c>
      <c r="V15" s="3" t="str">
        <f t="shared" si="1"/>
        <v/>
      </c>
    </row>
    <row r="16" spans="1:32" x14ac:dyDescent="0.35">
      <c r="A16" t="s">
        <v>0</v>
      </c>
      <c r="B16" t="s">
        <v>1566</v>
      </c>
      <c r="C16" t="s">
        <v>16</v>
      </c>
      <c r="D16" t="s">
        <v>17</v>
      </c>
      <c r="E16">
        <v>31076.42</v>
      </c>
      <c r="F16" t="s">
        <v>88</v>
      </c>
      <c r="G16" s="19">
        <v>45520</v>
      </c>
      <c r="H16" t="s">
        <v>89</v>
      </c>
      <c r="I16" t="s">
        <v>4040</v>
      </c>
      <c r="J16"/>
      <c r="K16" t="s">
        <v>4041</v>
      </c>
      <c r="L16" t="s">
        <v>4042</v>
      </c>
      <c r="M16" t="s">
        <v>166</v>
      </c>
      <c r="Q16" s="3">
        <f t="shared" si="0"/>
        <v>31076.42</v>
      </c>
      <c r="S16" s="69" t="s">
        <v>5311</v>
      </c>
      <c r="V16" s="3" t="str">
        <f t="shared" si="1"/>
        <v/>
      </c>
    </row>
    <row r="17" spans="1:22" x14ac:dyDescent="0.35">
      <c r="A17" t="s">
        <v>0</v>
      </c>
      <c r="B17" t="s">
        <v>1566</v>
      </c>
      <c r="C17" t="s">
        <v>16</v>
      </c>
      <c r="D17" t="s">
        <v>17</v>
      </c>
      <c r="E17">
        <v>26591.31</v>
      </c>
      <c r="F17" t="s">
        <v>88</v>
      </c>
      <c r="G17" s="19">
        <v>45447</v>
      </c>
      <c r="H17" t="s">
        <v>89</v>
      </c>
      <c r="I17" t="s">
        <v>3438</v>
      </c>
      <c r="J17"/>
      <c r="K17" t="s">
        <v>101</v>
      </c>
      <c r="L17" t="s">
        <v>3439</v>
      </c>
      <c r="M17" t="s">
        <v>149</v>
      </c>
      <c r="Q17" s="3">
        <f t="shared" si="0"/>
        <v>26591.31</v>
      </c>
      <c r="S17" s="69" t="s">
        <v>5311</v>
      </c>
      <c r="V17" s="3" t="str">
        <f t="shared" si="1"/>
        <v/>
      </c>
    </row>
    <row r="18" spans="1:22" x14ac:dyDescent="0.35">
      <c r="A18" t="s">
        <v>0</v>
      </c>
      <c r="B18" t="s">
        <v>1566</v>
      </c>
      <c r="C18" t="s">
        <v>16</v>
      </c>
      <c r="D18" t="s">
        <v>17</v>
      </c>
      <c r="E18">
        <v>25871.8</v>
      </c>
      <c r="F18" t="s">
        <v>88</v>
      </c>
      <c r="G18" s="19">
        <v>45402</v>
      </c>
      <c r="H18" t="s">
        <v>89</v>
      </c>
      <c r="I18" t="s">
        <v>3061</v>
      </c>
      <c r="J18"/>
      <c r="K18" t="s">
        <v>3062</v>
      </c>
      <c r="L18" t="s">
        <v>3063</v>
      </c>
      <c r="M18" t="s">
        <v>149</v>
      </c>
      <c r="Q18" s="3">
        <f t="shared" si="0"/>
        <v>25871.8</v>
      </c>
      <c r="S18" s="69" t="s">
        <v>5311</v>
      </c>
      <c r="V18" s="3" t="str">
        <f t="shared" si="1"/>
        <v/>
      </c>
    </row>
    <row r="19" spans="1:22" x14ac:dyDescent="0.35">
      <c r="A19" t="s">
        <v>0</v>
      </c>
      <c r="B19" t="s">
        <v>1566</v>
      </c>
      <c r="C19" t="s">
        <v>16</v>
      </c>
      <c r="D19" t="s">
        <v>17</v>
      </c>
      <c r="E19">
        <v>25871.8</v>
      </c>
      <c r="F19" t="s">
        <v>88</v>
      </c>
      <c r="G19" s="19">
        <v>45614</v>
      </c>
      <c r="H19" t="s">
        <v>89</v>
      </c>
      <c r="I19" t="s">
        <v>4930</v>
      </c>
      <c r="J19"/>
      <c r="K19" t="s">
        <v>4931</v>
      </c>
      <c r="L19" t="s">
        <v>4932</v>
      </c>
      <c r="M19" t="s">
        <v>149</v>
      </c>
      <c r="Q19" s="3">
        <f t="shared" si="0"/>
        <v>25871.8</v>
      </c>
      <c r="S19" s="69" t="s">
        <v>5311</v>
      </c>
      <c r="V19" s="3" t="str">
        <f t="shared" si="1"/>
        <v/>
      </c>
    </row>
    <row r="20" spans="1:22" x14ac:dyDescent="0.35">
      <c r="A20" t="s">
        <v>0</v>
      </c>
      <c r="B20" t="s">
        <v>1566</v>
      </c>
      <c r="C20" t="s">
        <v>16</v>
      </c>
      <c r="D20" t="s">
        <v>17</v>
      </c>
      <c r="E20">
        <v>25795.48</v>
      </c>
      <c r="F20" t="s">
        <v>88</v>
      </c>
      <c r="G20" s="19">
        <v>45614</v>
      </c>
      <c r="H20" t="s">
        <v>89</v>
      </c>
      <c r="I20" t="s">
        <v>4933</v>
      </c>
      <c r="J20"/>
      <c r="K20" t="s">
        <v>4934</v>
      </c>
      <c r="L20" t="s">
        <v>4935</v>
      </c>
      <c r="M20" t="s">
        <v>149</v>
      </c>
      <c r="Q20" s="3">
        <f t="shared" si="0"/>
        <v>25795.48</v>
      </c>
      <c r="S20" s="69" t="s">
        <v>5311</v>
      </c>
      <c r="V20" s="3" t="str">
        <f t="shared" si="1"/>
        <v/>
      </c>
    </row>
    <row r="21" spans="1:22" x14ac:dyDescent="0.35">
      <c r="A21" t="s">
        <v>0</v>
      </c>
      <c r="B21" t="s">
        <v>1543</v>
      </c>
      <c r="C21" t="s">
        <v>16</v>
      </c>
      <c r="D21" t="s">
        <v>17</v>
      </c>
      <c r="E21">
        <v>24090.63</v>
      </c>
      <c r="F21" t="s">
        <v>88</v>
      </c>
      <c r="G21" s="19">
        <v>45635</v>
      </c>
      <c r="H21" t="s">
        <v>89</v>
      </c>
      <c r="I21" t="s">
        <v>5171</v>
      </c>
      <c r="J21"/>
      <c r="K21" t="s">
        <v>5172</v>
      </c>
      <c r="L21" t="s">
        <v>5173</v>
      </c>
      <c r="M21" t="s">
        <v>5174</v>
      </c>
      <c r="Q21" s="3">
        <f t="shared" si="0"/>
        <v>24090.63</v>
      </c>
      <c r="S21" s="69" t="s">
        <v>5311</v>
      </c>
      <c r="V21" s="3" t="str">
        <f t="shared" si="1"/>
        <v/>
      </c>
    </row>
    <row r="22" spans="1:22" x14ac:dyDescent="0.35">
      <c r="A22" t="s">
        <v>0</v>
      </c>
      <c r="B22" t="s">
        <v>1566</v>
      </c>
      <c r="C22" t="s">
        <v>16</v>
      </c>
      <c r="D22" t="s">
        <v>17</v>
      </c>
      <c r="E22">
        <v>22571.040000000001</v>
      </c>
      <c r="F22" t="s">
        <v>88</v>
      </c>
      <c r="G22" s="19">
        <v>45425</v>
      </c>
      <c r="H22" t="s">
        <v>89</v>
      </c>
      <c r="I22" t="s">
        <v>3236</v>
      </c>
      <c r="J22"/>
      <c r="K22" t="s">
        <v>3237</v>
      </c>
      <c r="L22" t="s">
        <v>3238</v>
      </c>
      <c r="M22" t="s">
        <v>149</v>
      </c>
      <c r="Q22" s="3">
        <f t="shared" si="0"/>
        <v>22571.040000000001</v>
      </c>
      <c r="S22" s="69" t="s">
        <v>5311</v>
      </c>
      <c r="V22" s="3" t="str">
        <f t="shared" si="1"/>
        <v/>
      </c>
    </row>
    <row r="23" spans="1:22" x14ac:dyDescent="0.35">
      <c r="A23" t="s">
        <v>0</v>
      </c>
      <c r="B23" t="s">
        <v>1566</v>
      </c>
      <c r="C23" t="s">
        <v>16</v>
      </c>
      <c r="D23" t="s">
        <v>17</v>
      </c>
      <c r="E23">
        <v>22571.040000000001</v>
      </c>
      <c r="F23" t="s">
        <v>88</v>
      </c>
      <c r="G23" s="19">
        <v>45614</v>
      </c>
      <c r="H23" t="s">
        <v>89</v>
      </c>
      <c r="I23" t="s">
        <v>4936</v>
      </c>
      <c r="J23"/>
      <c r="K23" t="s">
        <v>4937</v>
      </c>
      <c r="L23" t="s">
        <v>4938</v>
      </c>
      <c r="M23" t="s">
        <v>149</v>
      </c>
      <c r="Q23" s="3">
        <f t="shared" si="0"/>
        <v>22571.040000000001</v>
      </c>
      <c r="S23" s="69" t="s">
        <v>5311</v>
      </c>
      <c r="V23" s="3" t="str">
        <f t="shared" si="1"/>
        <v/>
      </c>
    </row>
    <row r="24" spans="1:22" x14ac:dyDescent="0.35">
      <c r="A24" t="s">
        <v>0</v>
      </c>
      <c r="B24" t="s">
        <v>1566</v>
      </c>
      <c r="C24" t="s">
        <v>16</v>
      </c>
      <c r="D24" t="s">
        <v>17</v>
      </c>
      <c r="E24">
        <v>21953.599999999999</v>
      </c>
      <c r="F24" t="s">
        <v>88</v>
      </c>
      <c r="G24" s="19">
        <v>45526</v>
      </c>
      <c r="H24" t="s">
        <v>89</v>
      </c>
      <c r="I24" t="s">
        <v>4089</v>
      </c>
      <c r="J24"/>
      <c r="K24" t="s">
        <v>4090</v>
      </c>
      <c r="L24" t="s">
        <v>4091</v>
      </c>
      <c r="M24" t="s">
        <v>4092</v>
      </c>
      <c r="Q24" s="3">
        <f t="shared" si="0"/>
        <v>21953.599999999999</v>
      </c>
      <c r="S24" s="69" t="s">
        <v>2187</v>
      </c>
      <c r="V24" s="3" t="str">
        <f t="shared" si="1"/>
        <v/>
      </c>
    </row>
    <row r="25" spans="1:22" x14ac:dyDescent="0.35">
      <c r="A25" t="s">
        <v>0</v>
      </c>
      <c r="B25" t="s">
        <v>1566</v>
      </c>
      <c r="C25" t="s">
        <v>16</v>
      </c>
      <c r="D25" t="s">
        <v>17</v>
      </c>
      <c r="E25">
        <v>21234.66</v>
      </c>
      <c r="F25" t="s">
        <v>88</v>
      </c>
      <c r="G25" s="19">
        <v>45548</v>
      </c>
      <c r="H25" t="s">
        <v>89</v>
      </c>
      <c r="I25" t="s">
        <v>4357</v>
      </c>
      <c r="J25"/>
      <c r="K25" t="s">
        <v>4358</v>
      </c>
      <c r="L25" t="s">
        <v>4359</v>
      </c>
      <c r="M25" t="s">
        <v>166</v>
      </c>
      <c r="Q25" s="3">
        <f t="shared" si="0"/>
        <v>21234.66</v>
      </c>
      <c r="S25" s="69" t="s">
        <v>5311</v>
      </c>
      <c r="V25" s="3" t="str">
        <f t="shared" si="1"/>
        <v/>
      </c>
    </row>
    <row r="26" spans="1:22" x14ac:dyDescent="0.35">
      <c r="A26" t="s">
        <v>0</v>
      </c>
      <c r="B26" t="s">
        <v>1566</v>
      </c>
      <c r="C26" t="s">
        <v>16</v>
      </c>
      <c r="D26" t="s">
        <v>17</v>
      </c>
      <c r="E26">
        <v>21116.75</v>
      </c>
      <c r="F26" t="s">
        <v>88</v>
      </c>
      <c r="G26" s="19">
        <v>45548</v>
      </c>
      <c r="H26" t="s">
        <v>89</v>
      </c>
      <c r="I26" t="s">
        <v>4354</v>
      </c>
      <c r="J26"/>
      <c r="K26" t="s">
        <v>4355</v>
      </c>
      <c r="L26" t="s">
        <v>4356</v>
      </c>
      <c r="M26" t="s">
        <v>166</v>
      </c>
      <c r="Q26" s="3">
        <f t="shared" si="0"/>
        <v>21116.75</v>
      </c>
      <c r="S26" s="69" t="s">
        <v>5311</v>
      </c>
      <c r="V26" s="3" t="str">
        <f t="shared" si="1"/>
        <v/>
      </c>
    </row>
    <row r="27" spans="1:22" x14ac:dyDescent="0.35">
      <c r="A27" t="s">
        <v>0</v>
      </c>
      <c r="B27" t="s">
        <v>1566</v>
      </c>
      <c r="C27" t="s">
        <v>16</v>
      </c>
      <c r="D27" t="s">
        <v>17</v>
      </c>
      <c r="E27">
        <v>20536.57</v>
      </c>
      <c r="F27" t="s">
        <v>88</v>
      </c>
      <c r="G27" s="19">
        <v>45384</v>
      </c>
      <c r="H27" t="s">
        <v>89</v>
      </c>
      <c r="I27" t="s">
        <v>2770</v>
      </c>
      <c r="J27"/>
      <c r="K27" t="s">
        <v>101</v>
      </c>
      <c r="L27" t="s">
        <v>2771</v>
      </c>
      <c r="M27" t="s">
        <v>166</v>
      </c>
      <c r="Q27" s="3">
        <f t="shared" si="0"/>
        <v>20536.57</v>
      </c>
      <c r="V27" s="3" t="str">
        <f t="shared" si="1"/>
        <v/>
      </c>
    </row>
    <row r="28" spans="1:22" x14ac:dyDescent="0.35">
      <c r="A28" t="s">
        <v>0</v>
      </c>
      <c r="B28" t="s">
        <v>1566</v>
      </c>
      <c r="C28" t="s">
        <v>16</v>
      </c>
      <c r="D28" t="s">
        <v>17</v>
      </c>
      <c r="E28">
        <v>19209.400000000001</v>
      </c>
      <c r="F28" t="s">
        <v>88</v>
      </c>
      <c r="G28" s="19">
        <v>45447</v>
      </c>
      <c r="H28" t="s">
        <v>89</v>
      </c>
      <c r="I28" t="s">
        <v>3442</v>
      </c>
      <c r="J28"/>
      <c r="K28" t="s">
        <v>101</v>
      </c>
      <c r="L28" t="s">
        <v>3443</v>
      </c>
      <c r="M28" t="s">
        <v>3444</v>
      </c>
      <c r="Q28" s="3">
        <f t="shared" si="0"/>
        <v>19209.400000000001</v>
      </c>
      <c r="V28" s="3" t="str">
        <f t="shared" si="1"/>
        <v/>
      </c>
    </row>
    <row r="29" spans="1:22" x14ac:dyDescent="0.35">
      <c r="A29" t="s">
        <v>0</v>
      </c>
      <c r="B29" t="s">
        <v>1566</v>
      </c>
      <c r="C29" t="s">
        <v>16</v>
      </c>
      <c r="D29" t="s">
        <v>17</v>
      </c>
      <c r="E29">
        <v>19208.099999999999</v>
      </c>
      <c r="F29" t="s">
        <v>88</v>
      </c>
      <c r="G29" s="19">
        <v>45580</v>
      </c>
      <c r="H29" t="s">
        <v>89</v>
      </c>
      <c r="I29" t="s">
        <v>4649</v>
      </c>
      <c r="J29"/>
      <c r="K29" t="s">
        <v>4650</v>
      </c>
      <c r="L29" t="s">
        <v>4651</v>
      </c>
      <c r="M29" t="s">
        <v>166</v>
      </c>
      <c r="Q29" s="3">
        <f t="shared" si="0"/>
        <v>19208.099999999999</v>
      </c>
      <c r="V29" s="3" t="str">
        <f t="shared" si="1"/>
        <v/>
      </c>
    </row>
    <row r="30" spans="1:22" x14ac:dyDescent="0.35">
      <c r="A30" t="s">
        <v>0</v>
      </c>
      <c r="B30" t="s">
        <v>1566</v>
      </c>
      <c r="C30" t="s">
        <v>16</v>
      </c>
      <c r="D30" t="s">
        <v>17</v>
      </c>
      <c r="E30">
        <v>18606.96</v>
      </c>
      <c r="F30" t="s">
        <v>88</v>
      </c>
      <c r="G30" s="19">
        <v>45538</v>
      </c>
      <c r="H30" t="s">
        <v>89</v>
      </c>
      <c r="I30" t="s">
        <v>4179</v>
      </c>
      <c r="J30"/>
      <c r="K30" t="s">
        <v>4180</v>
      </c>
      <c r="L30" t="s">
        <v>4181</v>
      </c>
      <c r="M30" t="s">
        <v>166</v>
      </c>
      <c r="Q30" s="3">
        <f t="shared" si="0"/>
        <v>18606.96</v>
      </c>
      <c r="V30" s="3" t="str">
        <f t="shared" si="1"/>
        <v/>
      </c>
    </row>
    <row r="31" spans="1:22" x14ac:dyDescent="0.35">
      <c r="A31" t="s">
        <v>0</v>
      </c>
      <c r="B31" t="s">
        <v>1566</v>
      </c>
      <c r="C31" t="s">
        <v>16</v>
      </c>
      <c r="D31" t="s">
        <v>17</v>
      </c>
      <c r="E31">
        <v>17727.53</v>
      </c>
      <c r="F31" t="s">
        <v>88</v>
      </c>
      <c r="G31" s="19">
        <v>45425</v>
      </c>
      <c r="H31" t="s">
        <v>89</v>
      </c>
      <c r="I31" t="s">
        <v>3239</v>
      </c>
      <c r="J31"/>
      <c r="K31" t="s">
        <v>3244</v>
      </c>
      <c r="L31" t="s">
        <v>3241</v>
      </c>
      <c r="M31" t="s">
        <v>149</v>
      </c>
      <c r="Q31" s="3">
        <f t="shared" si="0"/>
        <v>17727.53</v>
      </c>
      <c r="V31" s="3" t="str">
        <f t="shared" si="1"/>
        <v/>
      </c>
    </row>
    <row r="32" spans="1:22" x14ac:dyDescent="0.35">
      <c r="A32" t="s">
        <v>0</v>
      </c>
      <c r="B32" t="s">
        <v>1566</v>
      </c>
      <c r="C32" t="s">
        <v>16</v>
      </c>
      <c r="D32" t="s">
        <v>17</v>
      </c>
      <c r="E32">
        <v>17727.53</v>
      </c>
      <c r="F32" t="s">
        <v>88</v>
      </c>
      <c r="G32" s="19">
        <v>45601</v>
      </c>
      <c r="H32" t="s">
        <v>89</v>
      </c>
      <c r="I32" t="s">
        <v>4829</v>
      </c>
      <c r="J32"/>
      <c r="K32" t="s">
        <v>4830</v>
      </c>
      <c r="L32" t="s">
        <v>4831</v>
      </c>
      <c r="M32" t="s">
        <v>149</v>
      </c>
      <c r="Q32" s="3">
        <f t="shared" si="0"/>
        <v>17727.53</v>
      </c>
      <c r="V32" s="3" t="str">
        <f t="shared" si="1"/>
        <v/>
      </c>
    </row>
    <row r="33" spans="1:30" x14ac:dyDescent="0.35">
      <c r="A33" t="s">
        <v>0</v>
      </c>
      <c r="B33" t="s">
        <v>1566</v>
      </c>
      <c r="C33" t="s">
        <v>16</v>
      </c>
      <c r="D33" t="s">
        <v>17</v>
      </c>
      <c r="E33">
        <v>17727.53</v>
      </c>
      <c r="F33" t="s">
        <v>88</v>
      </c>
      <c r="G33" s="19">
        <v>45601</v>
      </c>
      <c r="H33" t="s">
        <v>89</v>
      </c>
      <c r="I33" t="s">
        <v>4829</v>
      </c>
      <c r="J33"/>
      <c r="K33" t="s">
        <v>4832</v>
      </c>
      <c r="L33" t="s">
        <v>4831</v>
      </c>
      <c r="M33" t="s">
        <v>149</v>
      </c>
      <c r="Q33" s="3">
        <f t="shared" si="0"/>
        <v>17727.53</v>
      </c>
      <c r="V33" s="3" t="str">
        <f t="shared" si="1"/>
        <v/>
      </c>
    </row>
    <row r="34" spans="1:30" x14ac:dyDescent="0.35">
      <c r="A34" t="s">
        <v>0</v>
      </c>
      <c r="B34" t="s">
        <v>1566</v>
      </c>
      <c r="C34" t="s">
        <v>16</v>
      </c>
      <c r="D34" t="s">
        <v>17</v>
      </c>
      <c r="E34">
        <v>16465.2</v>
      </c>
      <c r="F34" t="s">
        <v>88</v>
      </c>
      <c r="G34" s="19">
        <v>45538</v>
      </c>
      <c r="H34" t="s">
        <v>89</v>
      </c>
      <c r="I34" t="s">
        <v>4195</v>
      </c>
      <c r="J34"/>
      <c r="K34" t="s">
        <v>4196</v>
      </c>
      <c r="L34" t="s">
        <v>4197</v>
      </c>
      <c r="M34" t="s">
        <v>4198</v>
      </c>
      <c r="Q34" s="3">
        <f t="shared" si="0"/>
        <v>16465.2</v>
      </c>
      <c r="V34" s="3" t="str">
        <f t="shared" si="1"/>
        <v/>
      </c>
    </row>
    <row r="35" spans="1:30" x14ac:dyDescent="0.35">
      <c r="A35" t="s">
        <v>0</v>
      </c>
      <c r="B35" t="s">
        <v>1566</v>
      </c>
      <c r="C35" t="s">
        <v>16</v>
      </c>
      <c r="D35" t="s">
        <v>17</v>
      </c>
      <c r="E35">
        <v>16465.2</v>
      </c>
      <c r="F35" t="s">
        <v>88</v>
      </c>
      <c r="G35" s="19">
        <v>45629</v>
      </c>
      <c r="H35" t="s">
        <v>89</v>
      </c>
      <c r="I35" t="s">
        <v>5057</v>
      </c>
      <c r="J35"/>
      <c r="K35" t="s">
        <v>5058</v>
      </c>
      <c r="L35" t="s">
        <v>5059</v>
      </c>
      <c r="M35" t="s">
        <v>177</v>
      </c>
      <c r="Q35" s="3">
        <f t="shared" si="0"/>
        <v>16465.2</v>
      </c>
      <c r="V35" s="3" t="str">
        <f t="shared" si="1"/>
        <v/>
      </c>
    </row>
    <row r="36" spans="1:30" ht="29" x14ac:dyDescent="0.35">
      <c r="A36" t="s">
        <v>0</v>
      </c>
      <c r="B36" t="s">
        <v>1566</v>
      </c>
      <c r="C36" t="s">
        <v>16</v>
      </c>
      <c r="D36" t="s">
        <v>17</v>
      </c>
      <c r="E36">
        <v>16112.73</v>
      </c>
      <c r="F36" t="s">
        <v>88</v>
      </c>
      <c r="G36" s="19">
        <v>45629</v>
      </c>
      <c r="H36" t="s">
        <v>89</v>
      </c>
      <c r="I36" t="s">
        <v>5098</v>
      </c>
      <c r="J36"/>
      <c r="K36" t="s">
        <v>5099</v>
      </c>
      <c r="L36" t="s">
        <v>5100</v>
      </c>
      <c r="M36" t="s">
        <v>5101</v>
      </c>
      <c r="Q36" s="3">
        <f t="shared" si="0"/>
        <v>16112.73</v>
      </c>
      <c r="S36" s="166" t="s">
        <v>5315</v>
      </c>
      <c r="V36" s="3" t="str">
        <f t="shared" si="1"/>
        <v/>
      </c>
      <c r="AD36" s="167">
        <f>Q36</f>
        <v>16112.73</v>
      </c>
    </row>
    <row r="37" spans="1:30" x14ac:dyDescent="0.35">
      <c r="A37" t="s">
        <v>0</v>
      </c>
      <c r="B37" t="s">
        <v>1566</v>
      </c>
      <c r="C37" t="s">
        <v>16</v>
      </c>
      <c r="D37" t="s">
        <v>17</v>
      </c>
      <c r="E37">
        <v>15567.1</v>
      </c>
      <c r="F37" t="s">
        <v>88</v>
      </c>
      <c r="G37" s="19">
        <v>45414</v>
      </c>
      <c r="H37" t="s">
        <v>89</v>
      </c>
      <c r="I37" t="s">
        <v>3146</v>
      </c>
      <c r="J37"/>
      <c r="K37" t="s">
        <v>101</v>
      </c>
      <c r="L37" t="s">
        <v>3147</v>
      </c>
      <c r="M37" t="s">
        <v>3148</v>
      </c>
      <c r="Q37" s="3">
        <f t="shared" si="0"/>
        <v>15567.1</v>
      </c>
      <c r="V37" s="3" t="str">
        <f t="shared" si="1"/>
        <v/>
      </c>
    </row>
    <row r="38" spans="1:30" ht="29" x14ac:dyDescent="0.35">
      <c r="A38" t="s">
        <v>0</v>
      </c>
      <c r="B38" t="s">
        <v>1566</v>
      </c>
      <c r="C38" t="s">
        <v>16</v>
      </c>
      <c r="D38" t="s">
        <v>17</v>
      </c>
      <c r="E38">
        <v>15411.43</v>
      </c>
      <c r="F38" t="s">
        <v>88</v>
      </c>
      <c r="G38" s="19">
        <v>45430</v>
      </c>
      <c r="H38" t="s">
        <v>89</v>
      </c>
      <c r="I38" t="s">
        <v>3297</v>
      </c>
      <c r="J38"/>
      <c r="K38" t="s">
        <v>3298</v>
      </c>
      <c r="L38" t="s">
        <v>3299</v>
      </c>
      <c r="M38" t="s">
        <v>3300</v>
      </c>
      <c r="Q38" s="3">
        <f t="shared" si="0"/>
        <v>15411.43</v>
      </c>
      <c r="S38" s="172" t="s">
        <v>5314</v>
      </c>
      <c r="V38" s="3" t="str">
        <f t="shared" si="1"/>
        <v/>
      </c>
    </row>
    <row r="39" spans="1:30" x14ac:dyDescent="0.35">
      <c r="A39" t="s">
        <v>0</v>
      </c>
      <c r="B39" t="s">
        <v>1566</v>
      </c>
      <c r="C39" t="s">
        <v>16</v>
      </c>
      <c r="D39" t="s">
        <v>17</v>
      </c>
      <c r="E39">
        <v>14850.09</v>
      </c>
      <c r="F39" t="s">
        <v>88</v>
      </c>
      <c r="G39" s="19">
        <v>45434</v>
      </c>
      <c r="H39" t="s">
        <v>89</v>
      </c>
      <c r="I39" t="s">
        <v>3320</v>
      </c>
      <c r="J39"/>
      <c r="K39" t="s">
        <v>3321</v>
      </c>
      <c r="L39" t="s">
        <v>3322</v>
      </c>
      <c r="M39" t="s">
        <v>166</v>
      </c>
      <c r="Q39" s="3">
        <f t="shared" si="0"/>
        <v>14850.09</v>
      </c>
      <c r="V39" s="3" t="str">
        <f t="shared" si="1"/>
        <v/>
      </c>
    </row>
    <row r="40" spans="1:30" x14ac:dyDescent="0.35">
      <c r="A40" t="s">
        <v>0</v>
      </c>
      <c r="B40" t="s">
        <v>1566</v>
      </c>
      <c r="C40" t="s">
        <v>16</v>
      </c>
      <c r="D40" t="s">
        <v>17</v>
      </c>
      <c r="E40">
        <v>14827.36</v>
      </c>
      <c r="F40" t="s">
        <v>88</v>
      </c>
      <c r="G40" s="19">
        <v>45547</v>
      </c>
      <c r="H40" t="s">
        <v>89</v>
      </c>
      <c r="I40" t="s">
        <v>4345</v>
      </c>
      <c r="J40"/>
      <c r="K40" t="s">
        <v>4346</v>
      </c>
      <c r="L40" t="s">
        <v>4347</v>
      </c>
      <c r="M40" t="s">
        <v>166</v>
      </c>
      <c r="Q40" s="3">
        <f t="shared" si="0"/>
        <v>14827.36</v>
      </c>
      <c r="V40" s="3" t="str">
        <f t="shared" si="1"/>
        <v/>
      </c>
    </row>
    <row r="41" spans="1:30" x14ac:dyDescent="0.35">
      <c r="A41" t="s">
        <v>0</v>
      </c>
      <c r="B41" t="s">
        <v>1566</v>
      </c>
      <c r="C41" t="s">
        <v>16</v>
      </c>
      <c r="D41" t="s">
        <v>17</v>
      </c>
      <c r="E41">
        <v>14665</v>
      </c>
      <c r="F41" t="s">
        <v>88</v>
      </c>
      <c r="G41" s="19">
        <v>45429</v>
      </c>
      <c r="H41" t="s">
        <v>89</v>
      </c>
      <c r="I41" t="s">
        <v>3294</v>
      </c>
      <c r="J41"/>
      <c r="K41" t="s">
        <v>3295</v>
      </c>
      <c r="L41" t="s">
        <v>3296</v>
      </c>
      <c r="M41" t="s">
        <v>3275</v>
      </c>
      <c r="Q41" s="3">
        <f t="shared" si="0"/>
        <v>14665</v>
      </c>
      <c r="V41" s="3" t="str">
        <f t="shared" si="1"/>
        <v/>
      </c>
    </row>
    <row r="42" spans="1:30" x14ac:dyDescent="0.35">
      <c r="A42" t="s">
        <v>0</v>
      </c>
      <c r="B42" t="s">
        <v>1566</v>
      </c>
      <c r="C42" t="s">
        <v>16</v>
      </c>
      <c r="D42" t="s">
        <v>17</v>
      </c>
      <c r="E42">
        <v>14469.42</v>
      </c>
      <c r="F42" t="s">
        <v>88</v>
      </c>
      <c r="G42" s="19">
        <v>45637</v>
      </c>
      <c r="H42" t="s">
        <v>89</v>
      </c>
      <c r="I42" t="s">
        <v>5242</v>
      </c>
      <c r="J42"/>
      <c r="K42" t="s">
        <v>5243</v>
      </c>
      <c r="L42" t="s">
        <v>5244</v>
      </c>
      <c r="M42" t="s">
        <v>5245</v>
      </c>
      <c r="Q42" s="3">
        <f t="shared" si="0"/>
        <v>14469.42</v>
      </c>
      <c r="V42" s="3" t="str">
        <f t="shared" si="1"/>
        <v/>
      </c>
    </row>
    <row r="43" spans="1:30" x14ac:dyDescent="0.35">
      <c r="A43" t="s">
        <v>0</v>
      </c>
      <c r="B43" t="s">
        <v>1566</v>
      </c>
      <c r="C43" t="s">
        <v>16</v>
      </c>
      <c r="D43" t="s">
        <v>17</v>
      </c>
      <c r="E43">
        <v>14244.88</v>
      </c>
      <c r="F43" t="s">
        <v>88</v>
      </c>
      <c r="G43" s="19">
        <v>45384</v>
      </c>
      <c r="H43" t="s">
        <v>89</v>
      </c>
      <c r="I43" t="s">
        <v>2782</v>
      </c>
      <c r="J43"/>
      <c r="K43" t="s">
        <v>2783</v>
      </c>
      <c r="L43" t="s">
        <v>2784</v>
      </c>
      <c r="M43" t="s">
        <v>727</v>
      </c>
      <c r="Q43" s="3">
        <f t="shared" si="0"/>
        <v>14244.88</v>
      </c>
      <c r="V43" s="3" t="str">
        <f t="shared" si="1"/>
        <v/>
      </c>
    </row>
    <row r="44" spans="1:30" x14ac:dyDescent="0.35">
      <c r="A44" t="s">
        <v>0</v>
      </c>
      <c r="B44" t="s">
        <v>1566</v>
      </c>
      <c r="C44" t="s">
        <v>16</v>
      </c>
      <c r="D44" t="s">
        <v>17</v>
      </c>
      <c r="E44">
        <v>12074.48</v>
      </c>
      <c r="F44" t="s">
        <v>88</v>
      </c>
      <c r="G44" s="19">
        <v>45505</v>
      </c>
      <c r="H44" t="s">
        <v>89</v>
      </c>
      <c r="I44" t="s">
        <v>3924</v>
      </c>
      <c r="J44"/>
      <c r="K44" t="s">
        <v>3925</v>
      </c>
      <c r="L44" t="s">
        <v>3926</v>
      </c>
      <c r="M44" t="s">
        <v>3927</v>
      </c>
      <c r="Q44" s="3">
        <f t="shared" si="0"/>
        <v>12074.48</v>
      </c>
      <c r="V44" s="3" t="str">
        <f t="shared" si="1"/>
        <v/>
      </c>
    </row>
    <row r="45" spans="1:30" ht="29" x14ac:dyDescent="0.35">
      <c r="A45" t="s">
        <v>0</v>
      </c>
      <c r="B45" t="s">
        <v>1566</v>
      </c>
      <c r="C45" t="s">
        <v>16</v>
      </c>
      <c r="D45" t="s">
        <v>17</v>
      </c>
      <c r="E45">
        <v>11520.12</v>
      </c>
      <c r="F45" t="s">
        <v>88</v>
      </c>
      <c r="G45" s="19">
        <v>45629</v>
      </c>
      <c r="H45" t="s">
        <v>89</v>
      </c>
      <c r="I45" t="s">
        <v>5102</v>
      </c>
      <c r="J45"/>
      <c r="K45" t="s">
        <v>5103</v>
      </c>
      <c r="L45" t="s">
        <v>5104</v>
      </c>
      <c r="M45" t="s">
        <v>5101</v>
      </c>
      <c r="Q45" s="3">
        <f t="shared" si="0"/>
        <v>11520.12</v>
      </c>
      <c r="S45" s="166" t="s">
        <v>5315</v>
      </c>
      <c r="T45" s="154"/>
      <c r="U45" s="154"/>
      <c r="V45" s="168" t="str">
        <f t="shared" si="1"/>
        <v/>
      </c>
      <c r="W45" s="154"/>
      <c r="X45" s="154"/>
      <c r="Y45" s="154"/>
      <c r="Z45" s="154"/>
      <c r="AA45" s="154"/>
      <c r="AB45" s="154"/>
      <c r="AC45" s="154"/>
      <c r="AD45" s="167">
        <f>Q45</f>
        <v>11520.12</v>
      </c>
    </row>
    <row r="46" spans="1:30" x14ac:dyDescent="0.35">
      <c r="A46" t="s">
        <v>0</v>
      </c>
      <c r="B46" t="s">
        <v>1566</v>
      </c>
      <c r="C46" t="s">
        <v>16</v>
      </c>
      <c r="D46" t="s">
        <v>17</v>
      </c>
      <c r="E46">
        <v>10976.8</v>
      </c>
      <c r="F46" t="s">
        <v>88</v>
      </c>
      <c r="G46" s="19">
        <v>45392</v>
      </c>
      <c r="H46" t="s">
        <v>89</v>
      </c>
      <c r="I46" t="s">
        <v>2906</v>
      </c>
      <c r="J46"/>
      <c r="K46" t="s">
        <v>2907</v>
      </c>
      <c r="L46" t="s">
        <v>2908</v>
      </c>
      <c r="M46" t="s">
        <v>2909</v>
      </c>
      <c r="Q46" s="3">
        <f t="shared" si="0"/>
        <v>10976.8</v>
      </c>
      <c r="V46" s="3" t="str">
        <f t="shared" si="1"/>
        <v/>
      </c>
    </row>
    <row r="47" spans="1:30" x14ac:dyDescent="0.35">
      <c r="A47" t="s">
        <v>0</v>
      </c>
      <c r="B47" t="s">
        <v>1566</v>
      </c>
      <c r="C47" t="s">
        <v>16</v>
      </c>
      <c r="D47" t="s">
        <v>17</v>
      </c>
      <c r="E47">
        <v>10976.8</v>
      </c>
      <c r="F47" t="s">
        <v>88</v>
      </c>
      <c r="G47" s="19">
        <v>45456</v>
      </c>
      <c r="H47" t="s">
        <v>89</v>
      </c>
      <c r="I47" t="s">
        <v>3589</v>
      </c>
      <c r="J47"/>
      <c r="K47" t="s">
        <v>101</v>
      </c>
      <c r="L47" t="s">
        <v>3590</v>
      </c>
      <c r="M47" t="s">
        <v>3591</v>
      </c>
      <c r="Q47" s="3">
        <f t="shared" si="0"/>
        <v>10976.8</v>
      </c>
      <c r="V47" s="3" t="str">
        <f t="shared" si="1"/>
        <v/>
      </c>
    </row>
    <row r="48" spans="1:30" x14ac:dyDescent="0.35">
      <c r="A48" t="s">
        <v>0</v>
      </c>
      <c r="B48" t="s">
        <v>1566</v>
      </c>
      <c r="C48" t="s">
        <v>16</v>
      </c>
      <c r="D48" t="s">
        <v>17</v>
      </c>
      <c r="E48">
        <v>10976.8</v>
      </c>
      <c r="F48" t="s">
        <v>88</v>
      </c>
      <c r="G48" s="19">
        <v>45516</v>
      </c>
      <c r="H48" t="s">
        <v>89</v>
      </c>
      <c r="I48" t="s">
        <v>3980</v>
      </c>
      <c r="J48"/>
      <c r="K48" t="s">
        <v>3981</v>
      </c>
      <c r="L48" t="s">
        <v>3982</v>
      </c>
      <c r="M48" t="s">
        <v>3983</v>
      </c>
      <c r="Q48" s="3">
        <f t="shared" si="0"/>
        <v>10976.8</v>
      </c>
      <c r="V48" s="3" t="str">
        <f t="shared" si="1"/>
        <v/>
      </c>
    </row>
    <row r="49" spans="1:22" x14ac:dyDescent="0.35">
      <c r="A49" t="s">
        <v>0</v>
      </c>
      <c r="B49" t="s">
        <v>1566</v>
      </c>
      <c r="C49" t="s">
        <v>16</v>
      </c>
      <c r="D49" t="s">
        <v>17</v>
      </c>
      <c r="E49">
        <v>10976.8</v>
      </c>
      <c r="F49" t="s">
        <v>88</v>
      </c>
      <c r="G49" s="19">
        <v>45635</v>
      </c>
      <c r="H49" t="s">
        <v>89</v>
      </c>
      <c r="I49" t="s">
        <v>5157</v>
      </c>
      <c r="J49"/>
      <c r="K49" t="s">
        <v>5158</v>
      </c>
      <c r="L49" t="s">
        <v>5159</v>
      </c>
      <c r="M49" t="s">
        <v>5160</v>
      </c>
      <c r="Q49" s="3">
        <f t="shared" si="0"/>
        <v>10976.8</v>
      </c>
      <c r="V49" s="3" t="str">
        <f t="shared" si="1"/>
        <v/>
      </c>
    </row>
    <row r="50" spans="1:22" x14ac:dyDescent="0.35">
      <c r="A50" t="s">
        <v>0</v>
      </c>
      <c r="B50" t="s">
        <v>1566</v>
      </c>
      <c r="C50" t="s">
        <v>16</v>
      </c>
      <c r="D50" t="s">
        <v>17</v>
      </c>
      <c r="E50">
        <v>10793.3</v>
      </c>
      <c r="F50" t="s">
        <v>88</v>
      </c>
      <c r="G50" s="19">
        <v>45413</v>
      </c>
      <c r="H50" t="s">
        <v>89</v>
      </c>
      <c r="I50" t="s">
        <v>3135</v>
      </c>
      <c r="J50"/>
      <c r="K50" t="s">
        <v>3136</v>
      </c>
      <c r="L50" t="s">
        <v>3137</v>
      </c>
      <c r="M50" t="s">
        <v>149</v>
      </c>
      <c r="Q50" s="3">
        <f t="shared" si="0"/>
        <v>10793.3</v>
      </c>
      <c r="V50" s="3" t="str">
        <f t="shared" si="1"/>
        <v/>
      </c>
    </row>
    <row r="51" spans="1:22" x14ac:dyDescent="0.35">
      <c r="A51" t="s">
        <v>0</v>
      </c>
      <c r="B51" t="s">
        <v>1566</v>
      </c>
      <c r="C51" t="s">
        <v>16</v>
      </c>
      <c r="D51" t="s">
        <v>17</v>
      </c>
      <c r="E51">
        <v>10373.08</v>
      </c>
      <c r="F51" t="s">
        <v>88</v>
      </c>
      <c r="G51" s="19">
        <v>45609</v>
      </c>
      <c r="H51" t="s">
        <v>89</v>
      </c>
      <c r="I51" t="s">
        <v>4869</v>
      </c>
      <c r="J51"/>
      <c r="K51" t="s">
        <v>4870</v>
      </c>
      <c r="L51" t="s">
        <v>4871</v>
      </c>
      <c r="M51" t="s">
        <v>147</v>
      </c>
      <c r="Q51" s="3">
        <f t="shared" si="0"/>
        <v>10373.08</v>
      </c>
      <c r="V51" s="3" t="str">
        <f t="shared" si="1"/>
        <v/>
      </c>
    </row>
    <row r="52" spans="1:22" x14ac:dyDescent="0.35">
      <c r="A52" t="s">
        <v>35</v>
      </c>
      <c r="B52" t="s">
        <v>1566</v>
      </c>
      <c r="C52" t="s">
        <v>16</v>
      </c>
      <c r="D52" t="s">
        <v>17</v>
      </c>
      <c r="E52">
        <v>10318.19</v>
      </c>
      <c r="F52" t="s">
        <v>88</v>
      </c>
      <c r="G52" s="19">
        <v>45402</v>
      </c>
      <c r="H52" t="s">
        <v>89</v>
      </c>
      <c r="I52" t="s">
        <v>3064</v>
      </c>
      <c r="J52"/>
      <c r="K52" t="s">
        <v>3068</v>
      </c>
      <c r="L52" t="s">
        <v>3066</v>
      </c>
      <c r="M52" t="s">
        <v>149</v>
      </c>
      <c r="Q52" s="3">
        <f t="shared" si="0"/>
        <v>10318.19</v>
      </c>
      <c r="V52" s="3" t="str">
        <f t="shared" si="1"/>
        <v/>
      </c>
    </row>
    <row r="53" spans="1:22" x14ac:dyDescent="0.35">
      <c r="A53" t="s">
        <v>0</v>
      </c>
      <c r="B53" t="s">
        <v>1566</v>
      </c>
      <c r="C53" t="s">
        <v>16</v>
      </c>
      <c r="D53" t="s">
        <v>17</v>
      </c>
      <c r="E53">
        <v>10178.49</v>
      </c>
      <c r="F53" t="s">
        <v>88</v>
      </c>
      <c r="G53" s="19">
        <v>45446</v>
      </c>
      <c r="H53" t="s">
        <v>89</v>
      </c>
      <c r="I53" t="s">
        <v>3406</v>
      </c>
      <c r="J53" t="s">
        <v>3407</v>
      </c>
      <c r="L53" t="s">
        <v>3408</v>
      </c>
      <c r="M53" t="s">
        <v>3409</v>
      </c>
      <c r="Q53" s="3">
        <f t="shared" si="0"/>
        <v>10178.49</v>
      </c>
      <c r="S53" s="69" t="s">
        <v>53</v>
      </c>
      <c r="T53" t="s">
        <v>64</v>
      </c>
      <c r="U53" t="str">
        <f>B53</f>
        <v>AU032046</v>
      </c>
      <c r="V53" s="3">
        <f t="shared" si="1"/>
        <v>10178.49</v>
      </c>
    </row>
    <row r="54" spans="1:22" x14ac:dyDescent="0.35">
      <c r="A54" t="s">
        <v>0</v>
      </c>
      <c r="B54" t="s">
        <v>1566</v>
      </c>
      <c r="C54" t="s">
        <v>16</v>
      </c>
      <c r="D54" t="s">
        <v>17</v>
      </c>
      <c r="E54">
        <v>9879.1200000000008</v>
      </c>
      <c r="F54" t="s">
        <v>88</v>
      </c>
      <c r="G54" s="19">
        <v>45609</v>
      </c>
      <c r="H54" t="s">
        <v>89</v>
      </c>
      <c r="I54" t="s">
        <v>4872</v>
      </c>
      <c r="J54"/>
      <c r="K54" t="s">
        <v>4873</v>
      </c>
      <c r="L54" t="s">
        <v>4874</v>
      </c>
      <c r="M54" t="s">
        <v>4875</v>
      </c>
      <c r="Q54" s="3">
        <f t="shared" si="0"/>
        <v>9879.1200000000008</v>
      </c>
      <c r="V54" s="3" t="str">
        <f t="shared" si="1"/>
        <v/>
      </c>
    </row>
    <row r="55" spans="1:22" x14ac:dyDescent="0.35">
      <c r="A55" t="s">
        <v>0</v>
      </c>
      <c r="B55" t="s">
        <v>1566</v>
      </c>
      <c r="C55" t="s">
        <v>16</v>
      </c>
      <c r="D55" t="s">
        <v>17</v>
      </c>
      <c r="E55">
        <v>9252.1</v>
      </c>
      <c r="F55" t="s">
        <v>88</v>
      </c>
      <c r="G55" s="19">
        <v>45391</v>
      </c>
      <c r="H55" t="s">
        <v>89</v>
      </c>
      <c r="I55" t="s">
        <v>2876</v>
      </c>
      <c r="J55"/>
      <c r="K55" t="s">
        <v>2877</v>
      </c>
      <c r="L55" t="s">
        <v>2878</v>
      </c>
      <c r="M55" t="s">
        <v>167</v>
      </c>
      <c r="Q55" s="3">
        <f t="shared" si="0"/>
        <v>9252.1</v>
      </c>
      <c r="V55" s="3" t="str">
        <f t="shared" si="1"/>
        <v/>
      </c>
    </row>
    <row r="56" spans="1:22" x14ac:dyDescent="0.35">
      <c r="A56" t="s">
        <v>35</v>
      </c>
      <c r="B56" t="s">
        <v>1566</v>
      </c>
      <c r="C56" t="s">
        <v>16</v>
      </c>
      <c r="D56" t="s">
        <v>17</v>
      </c>
      <c r="E56">
        <v>9000</v>
      </c>
      <c r="F56" t="s">
        <v>88</v>
      </c>
      <c r="G56" s="19">
        <v>45618</v>
      </c>
      <c r="H56" t="s">
        <v>94</v>
      </c>
      <c r="I56" t="s">
        <v>3098</v>
      </c>
      <c r="J56" t="s">
        <v>5019</v>
      </c>
      <c r="O56" t="s">
        <v>5020</v>
      </c>
      <c r="Q56" s="3">
        <f t="shared" si="0"/>
        <v>9000</v>
      </c>
      <c r="V56" s="3" t="str">
        <f t="shared" si="1"/>
        <v/>
      </c>
    </row>
    <row r="57" spans="1:22" x14ac:dyDescent="0.35">
      <c r="A57" t="s">
        <v>35</v>
      </c>
      <c r="B57" t="s">
        <v>1566</v>
      </c>
      <c r="C57" t="s">
        <v>16</v>
      </c>
      <c r="D57" t="s">
        <v>17</v>
      </c>
      <c r="E57">
        <v>9000</v>
      </c>
      <c r="F57" t="s">
        <v>88</v>
      </c>
      <c r="G57" s="19">
        <v>45618</v>
      </c>
      <c r="H57" t="s">
        <v>94</v>
      </c>
      <c r="I57" t="s">
        <v>3098</v>
      </c>
      <c r="J57" t="s">
        <v>5021</v>
      </c>
      <c r="O57" t="s">
        <v>5020</v>
      </c>
      <c r="Q57" s="3">
        <f t="shared" si="0"/>
        <v>9000</v>
      </c>
      <c r="V57" s="3" t="str">
        <f t="shared" si="1"/>
        <v/>
      </c>
    </row>
    <row r="58" spans="1:22" x14ac:dyDescent="0.35">
      <c r="A58" t="s">
        <v>0</v>
      </c>
      <c r="B58" t="s">
        <v>1566</v>
      </c>
      <c r="C58" t="s">
        <v>16</v>
      </c>
      <c r="D58" t="s">
        <v>17</v>
      </c>
      <c r="E58">
        <v>8863.77</v>
      </c>
      <c r="F58" t="s">
        <v>88</v>
      </c>
      <c r="G58" s="19">
        <v>45425</v>
      </c>
      <c r="H58" t="s">
        <v>89</v>
      </c>
      <c r="I58" t="s">
        <v>3239</v>
      </c>
      <c r="J58"/>
      <c r="K58" t="s">
        <v>3240</v>
      </c>
      <c r="L58" t="s">
        <v>3241</v>
      </c>
      <c r="M58" t="s">
        <v>149</v>
      </c>
      <c r="Q58" s="3">
        <f t="shared" si="0"/>
        <v>8863.77</v>
      </c>
      <c r="V58" s="3" t="str">
        <f t="shared" si="1"/>
        <v/>
      </c>
    </row>
    <row r="59" spans="1:22" x14ac:dyDescent="0.35">
      <c r="A59" t="s">
        <v>0</v>
      </c>
      <c r="B59" t="s">
        <v>1566</v>
      </c>
      <c r="C59" t="s">
        <v>16</v>
      </c>
      <c r="D59" t="s">
        <v>17</v>
      </c>
      <c r="E59">
        <v>8863.77</v>
      </c>
      <c r="F59" t="s">
        <v>88</v>
      </c>
      <c r="G59" s="19">
        <v>45425</v>
      </c>
      <c r="H59" t="s">
        <v>89</v>
      </c>
      <c r="I59" t="s">
        <v>3239</v>
      </c>
      <c r="J59"/>
      <c r="K59" t="s">
        <v>3242</v>
      </c>
      <c r="L59" t="s">
        <v>3241</v>
      </c>
      <c r="M59" t="s">
        <v>149</v>
      </c>
      <c r="Q59" s="3">
        <f t="shared" si="0"/>
        <v>8863.77</v>
      </c>
      <c r="V59" s="3" t="str">
        <f t="shared" si="1"/>
        <v/>
      </c>
    </row>
    <row r="60" spans="1:22" x14ac:dyDescent="0.35">
      <c r="A60" t="s">
        <v>0</v>
      </c>
      <c r="B60" t="s">
        <v>1566</v>
      </c>
      <c r="C60" t="s">
        <v>16</v>
      </c>
      <c r="D60" t="s">
        <v>17</v>
      </c>
      <c r="E60">
        <v>8863.77</v>
      </c>
      <c r="F60" t="s">
        <v>88</v>
      </c>
      <c r="G60" s="19">
        <v>45425</v>
      </c>
      <c r="H60" t="s">
        <v>89</v>
      </c>
      <c r="I60" t="s">
        <v>3239</v>
      </c>
      <c r="J60"/>
      <c r="K60" t="s">
        <v>3243</v>
      </c>
      <c r="L60" t="s">
        <v>3241</v>
      </c>
      <c r="M60" t="s">
        <v>149</v>
      </c>
      <c r="Q60" s="3">
        <f t="shared" si="0"/>
        <v>8863.77</v>
      </c>
      <c r="V60" s="3" t="str">
        <f t="shared" si="1"/>
        <v/>
      </c>
    </row>
    <row r="61" spans="1:22" x14ac:dyDescent="0.35">
      <c r="A61" t="s">
        <v>0</v>
      </c>
      <c r="B61" t="s">
        <v>1566</v>
      </c>
      <c r="C61" t="s">
        <v>16</v>
      </c>
      <c r="D61" t="s">
        <v>17</v>
      </c>
      <c r="E61">
        <v>8863.77</v>
      </c>
      <c r="F61" t="s">
        <v>88</v>
      </c>
      <c r="G61" s="19">
        <v>45447</v>
      </c>
      <c r="H61" t="s">
        <v>89</v>
      </c>
      <c r="I61" t="s">
        <v>3438</v>
      </c>
      <c r="J61"/>
      <c r="K61" t="s">
        <v>3440</v>
      </c>
      <c r="L61" t="s">
        <v>3439</v>
      </c>
      <c r="M61" t="s">
        <v>149</v>
      </c>
      <c r="Q61" s="3">
        <f t="shared" si="0"/>
        <v>8863.77</v>
      </c>
      <c r="V61" s="3" t="str">
        <f t="shared" si="1"/>
        <v/>
      </c>
    </row>
    <row r="62" spans="1:22" x14ac:dyDescent="0.35">
      <c r="A62" t="s">
        <v>0</v>
      </c>
      <c r="B62" t="s">
        <v>1566</v>
      </c>
      <c r="C62" t="s">
        <v>16</v>
      </c>
      <c r="D62" t="s">
        <v>17</v>
      </c>
      <c r="E62">
        <v>8863.77</v>
      </c>
      <c r="F62" t="s">
        <v>88</v>
      </c>
      <c r="G62" s="19">
        <v>45447</v>
      </c>
      <c r="H62" t="s">
        <v>89</v>
      </c>
      <c r="I62" t="s">
        <v>3438</v>
      </c>
      <c r="J62"/>
      <c r="K62" t="s">
        <v>3441</v>
      </c>
      <c r="L62" t="s">
        <v>3439</v>
      </c>
      <c r="M62" t="s">
        <v>149</v>
      </c>
      <c r="Q62" s="3">
        <f t="shared" si="0"/>
        <v>8863.77</v>
      </c>
      <c r="V62" s="3" t="str">
        <f t="shared" si="1"/>
        <v/>
      </c>
    </row>
    <row r="63" spans="1:22" x14ac:dyDescent="0.35">
      <c r="A63" t="s">
        <v>0</v>
      </c>
      <c r="B63" t="s">
        <v>1566</v>
      </c>
      <c r="C63" t="s">
        <v>16</v>
      </c>
      <c r="D63" t="s">
        <v>17</v>
      </c>
      <c r="E63">
        <v>8863.77</v>
      </c>
      <c r="F63" t="s">
        <v>88</v>
      </c>
      <c r="G63" s="19">
        <v>45601</v>
      </c>
      <c r="H63" t="s">
        <v>89</v>
      </c>
      <c r="I63" t="s">
        <v>4829</v>
      </c>
      <c r="J63"/>
      <c r="K63" t="s">
        <v>4833</v>
      </c>
      <c r="L63" t="s">
        <v>4831</v>
      </c>
      <c r="M63" t="s">
        <v>149</v>
      </c>
      <c r="Q63" s="3">
        <f t="shared" si="0"/>
        <v>8863.77</v>
      </c>
      <c r="V63" s="3" t="str">
        <f t="shared" si="1"/>
        <v/>
      </c>
    </row>
    <row r="64" spans="1:22" x14ac:dyDescent="0.35">
      <c r="A64" t="s">
        <v>0</v>
      </c>
      <c r="B64" t="s">
        <v>1566</v>
      </c>
      <c r="C64" t="s">
        <v>16</v>
      </c>
      <c r="D64" t="s">
        <v>17</v>
      </c>
      <c r="E64">
        <v>8781.44</v>
      </c>
      <c r="F64" t="s">
        <v>88</v>
      </c>
      <c r="G64" s="19">
        <v>45636</v>
      </c>
      <c r="H64" t="s">
        <v>89</v>
      </c>
      <c r="I64" t="s">
        <v>5212</v>
      </c>
      <c r="J64"/>
      <c r="K64" t="s">
        <v>5213</v>
      </c>
      <c r="L64" t="s">
        <v>5214</v>
      </c>
      <c r="M64" t="s">
        <v>5215</v>
      </c>
      <c r="Q64" s="3">
        <f t="shared" si="0"/>
        <v>8781.44</v>
      </c>
      <c r="V64" s="3" t="str">
        <f t="shared" si="1"/>
        <v/>
      </c>
    </row>
    <row r="65" spans="1:22" x14ac:dyDescent="0.35">
      <c r="A65" t="s">
        <v>0</v>
      </c>
      <c r="B65" t="s">
        <v>1566</v>
      </c>
      <c r="C65" t="s">
        <v>16</v>
      </c>
      <c r="D65" t="s">
        <v>17</v>
      </c>
      <c r="E65">
        <v>8766.08</v>
      </c>
      <c r="F65" t="s">
        <v>88</v>
      </c>
      <c r="G65" s="19">
        <v>45425</v>
      </c>
      <c r="H65" t="s">
        <v>89</v>
      </c>
      <c r="I65" t="s">
        <v>3211</v>
      </c>
      <c r="J65"/>
      <c r="K65" t="s">
        <v>3212</v>
      </c>
      <c r="L65" t="s">
        <v>3213</v>
      </c>
      <c r="M65" t="s">
        <v>3214</v>
      </c>
      <c r="Q65" s="3">
        <f t="shared" si="0"/>
        <v>8766.08</v>
      </c>
      <c r="V65" s="3" t="str">
        <f t="shared" si="1"/>
        <v/>
      </c>
    </row>
    <row r="66" spans="1:22" x14ac:dyDescent="0.35">
      <c r="A66" t="s">
        <v>0</v>
      </c>
      <c r="B66" t="s">
        <v>1566</v>
      </c>
      <c r="C66" t="s">
        <v>16</v>
      </c>
      <c r="D66" t="s">
        <v>17</v>
      </c>
      <c r="E66">
        <v>8672.66</v>
      </c>
      <c r="F66" t="s">
        <v>88</v>
      </c>
      <c r="G66" s="19">
        <v>45394</v>
      </c>
      <c r="H66" t="s">
        <v>89</v>
      </c>
      <c r="I66" t="s">
        <v>2960</v>
      </c>
      <c r="J66"/>
      <c r="K66" t="s">
        <v>2961</v>
      </c>
      <c r="L66" t="s">
        <v>2962</v>
      </c>
      <c r="M66" t="s">
        <v>166</v>
      </c>
      <c r="Q66" s="3">
        <f t="shared" si="0"/>
        <v>8672.66</v>
      </c>
      <c r="V66" s="3" t="str">
        <f t="shared" si="1"/>
        <v/>
      </c>
    </row>
    <row r="67" spans="1:22" x14ac:dyDescent="0.35">
      <c r="A67" s="34" t="s">
        <v>0</v>
      </c>
      <c r="B67" s="34" t="s">
        <v>1566</v>
      </c>
      <c r="C67" s="34" t="s">
        <v>16</v>
      </c>
      <c r="D67" s="34" t="s">
        <v>17</v>
      </c>
      <c r="E67" s="34">
        <v>8648.9699999999993</v>
      </c>
      <c r="F67" s="34" t="s">
        <v>88</v>
      </c>
      <c r="G67" s="103">
        <v>45425</v>
      </c>
      <c r="H67" s="34" t="s">
        <v>89</v>
      </c>
      <c r="I67" s="34" t="s">
        <v>3191</v>
      </c>
      <c r="J67" s="34"/>
      <c r="K67" s="34" t="s">
        <v>3189</v>
      </c>
      <c r="L67" s="34" t="s">
        <v>3192</v>
      </c>
      <c r="M67" s="34" t="s">
        <v>166</v>
      </c>
      <c r="N67" s="34"/>
      <c r="O67" s="34"/>
      <c r="Q67" s="3">
        <f t="shared" si="0"/>
        <v>8648.9699999999993</v>
      </c>
      <c r="V67" s="3" t="str">
        <f t="shared" si="1"/>
        <v/>
      </c>
    </row>
    <row r="68" spans="1:22" x14ac:dyDescent="0.35">
      <c r="A68" t="s">
        <v>35</v>
      </c>
      <c r="B68" t="s">
        <v>1566</v>
      </c>
      <c r="C68" t="s">
        <v>16</v>
      </c>
      <c r="D68" t="s">
        <v>17</v>
      </c>
      <c r="E68">
        <v>8442.0400000000009</v>
      </c>
      <c r="F68" t="s">
        <v>88</v>
      </c>
      <c r="G68" s="19">
        <v>45618</v>
      </c>
      <c r="H68" t="s">
        <v>94</v>
      </c>
      <c r="I68" t="s">
        <v>237</v>
      </c>
      <c r="J68" t="s">
        <v>5016</v>
      </c>
      <c r="O68" t="s">
        <v>3748</v>
      </c>
      <c r="Q68" s="3">
        <f t="shared" si="0"/>
        <v>8442.0400000000009</v>
      </c>
      <c r="S68" s="69" t="s">
        <v>53</v>
      </c>
      <c r="T68" t="s">
        <v>64</v>
      </c>
      <c r="U68" t="str">
        <f>B68</f>
        <v>AU032046</v>
      </c>
      <c r="V68" s="3">
        <f t="shared" si="1"/>
        <v>8442.0400000000009</v>
      </c>
    </row>
    <row r="69" spans="1:22" x14ac:dyDescent="0.35">
      <c r="A69" t="s">
        <v>0</v>
      </c>
      <c r="B69" t="s">
        <v>1566</v>
      </c>
      <c r="C69" t="s">
        <v>16</v>
      </c>
      <c r="D69" t="s">
        <v>17</v>
      </c>
      <c r="E69">
        <v>8062.46</v>
      </c>
      <c r="F69" t="s">
        <v>88</v>
      </c>
      <c r="G69" s="19">
        <v>45636</v>
      </c>
      <c r="H69" t="s">
        <v>89</v>
      </c>
      <c r="I69" t="s">
        <v>5207</v>
      </c>
      <c r="J69"/>
      <c r="K69" t="s">
        <v>5208</v>
      </c>
      <c r="L69" t="s">
        <v>199</v>
      </c>
      <c r="M69" t="s">
        <v>5209</v>
      </c>
      <c r="Q69" s="3">
        <f t="shared" si="0"/>
        <v>8062.46</v>
      </c>
      <c r="V69" s="3" t="str">
        <f t="shared" si="1"/>
        <v/>
      </c>
    </row>
    <row r="70" spans="1:22" ht="43.5" x14ac:dyDescent="0.35">
      <c r="A70" t="s">
        <v>0</v>
      </c>
      <c r="B70" t="s">
        <v>1566</v>
      </c>
      <c r="C70" t="s">
        <v>16</v>
      </c>
      <c r="D70" t="s">
        <v>17</v>
      </c>
      <c r="E70">
        <v>7983.13</v>
      </c>
      <c r="F70" t="s">
        <v>88</v>
      </c>
      <c r="G70" s="19">
        <v>45568</v>
      </c>
      <c r="H70" t="s">
        <v>89</v>
      </c>
      <c r="I70" t="s">
        <v>4562</v>
      </c>
      <c r="J70"/>
      <c r="K70" t="s">
        <v>4563</v>
      </c>
      <c r="L70" t="s">
        <v>4564</v>
      </c>
      <c r="M70" t="s">
        <v>4565</v>
      </c>
      <c r="Q70" s="3">
        <f t="shared" si="0"/>
        <v>7983.13</v>
      </c>
      <c r="S70" s="172" t="s">
        <v>5316</v>
      </c>
      <c r="V70" s="3" t="str">
        <f t="shared" si="1"/>
        <v/>
      </c>
    </row>
    <row r="71" spans="1:22" x14ac:dyDescent="0.35">
      <c r="A71" t="s">
        <v>35</v>
      </c>
      <c r="B71" t="s">
        <v>1566</v>
      </c>
      <c r="C71" t="s">
        <v>16</v>
      </c>
      <c r="D71" t="s">
        <v>17</v>
      </c>
      <c r="E71">
        <v>7880</v>
      </c>
      <c r="F71" t="s">
        <v>88</v>
      </c>
      <c r="G71" s="19">
        <v>45391</v>
      </c>
      <c r="H71" t="s">
        <v>89</v>
      </c>
      <c r="I71" t="s">
        <v>2894</v>
      </c>
      <c r="J71" t="s">
        <v>2895</v>
      </c>
      <c r="L71" t="s">
        <v>2896</v>
      </c>
      <c r="M71" t="s">
        <v>2897</v>
      </c>
      <c r="Q71" s="3">
        <f t="shared" si="0"/>
        <v>7880</v>
      </c>
      <c r="S71" s="69" t="s">
        <v>53</v>
      </c>
      <c r="T71" t="s">
        <v>64</v>
      </c>
      <c r="U71" t="str">
        <f>B71</f>
        <v>AU032046</v>
      </c>
      <c r="V71" s="3">
        <f t="shared" si="1"/>
        <v>7880</v>
      </c>
    </row>
    <row r="72" spans="1:22" x14ac:dyDescent="0.35">
      <c r="A72" t="s">
        <v>0</v>
      </c>
      <c r="B72" t="s">
        <v>1566</v>
      </c>
      <c r="C72" t="s">
        <v>16</v>
      </c>
      <c r="D72" t="s">
        <v>17</v>
      </c>
      <c r="E72">
        <v>7683.76</v>
      </c>
      <c r="F72" t="s">
        <v>88</v>
      </c>
      <c r="G72" s="19">
        <v>45614</v>
      </c>
      <c r="H72" t="s">
        <v>89</v>
      </c>
      <c r="I72" t="s">
        <v>4916</v>
      </c>
      <c r="J72"/>
      <c r="K72" t="s">
        <v>4917</v>
      </c>
      <c r="L72" t="s">
        <v>4918</v>
      </c>
      <c r="M72" t="s">
        <v>162</v>
      </c>
      <c r="Q72" s="3">
        <f t="shared" ref="Q72:Q135" si="3">ABS(E72)</f>
        <v>7683.76</v>
      </c>
      <c r="V72" s="3" t="str">
        <f t="shared" si="1"/>
        <v/>
      </c>
    </row>
    <row r="73" spans="1:22" x14ac:dyDescent="0.35">
      <c r="A73" t="s">
        <v>0</v>
      </c>
      <c r="B73" t="s">
        <v>1566</v>
      </c>
      <c r="C73" t="s">
        <v>16</v>
      </c>
      <c r="D73" t="s">
        <v>17</v>
      </c>
      <c r="E73">
        <v>7471.09</v>
      </c>
      <c r="F73" t="s">
        <v>88</v>
      </c>
      <c r="G73" s="19">
        <v>45394</v>
      </c>
      <c r="H73" t="s">
        <v>89</v>
      </c>
      <c r="I73" t="s">
        <v>2966</v>
      </c>
      <c r="J73"/>
      <c r="K73" t="s">
        <v>2967</v>
      </c>
      <c r="L73" t="s">
        <v>2968</v>
      </c>
      <c r="M73" t="s">
        <v>2969</v>
      </c>
      <c r="Q73" s="3">
        <f t="shared" si="3"/>
        <v>7471.09</v>
      </c>
      <c r="V73" s="3" t="str">
        <f t="shared" ref="V73:V136" si="4">IF(T73="Y",E73,"")</f>
        <v/>
      </c>
    </row>
    <row r="74" spans="1:22" x14ac:dyDescent="0.35">
      <c r="A74" t="s">
        <v>0</v>
      </c>
      <c r="B74" t="s">
        <v>1566</v>
      </c>
      <c r="C74" t="s">
        <v>16</v>
      </c>
      <c r="D74" t="s">
        <v>17</v>
      </c>
      <c r="E74">
        <v>7258.53</v>
      </c>
      <c r="F74" t="s">
        <v>88</v>
      </c>
      <c r="G74" s="19">
        <v>45394</v>
      </c>
      <c r="H74" t="s">
        <v>89</v>
      </c>
      <c r="I74" t="s">
        <v>2963</v>
      </c>
      <c r="J74"/>
      <c r="K74" t="s">
        <v>2964</v>
      </c>
      <c r="L74" t="s">
        <v>2965</v>
      </c>
      <c r="M74" t="s">
        <v>166</v>
      </c>
      <c r="Q74" s="3">
        <f t="shared" si="3"/>
        <v>7258.53</v>
      </c>
      <c r="V74" s="3" t="str">
        <f t="shared" si="4"/>
        <v/>
      </c>
    </row>
    <row r="75" spans="1:22" x14ac:dyDescent="0.35">
      <c r="A75" t="s">
        <v>0</v>
      </c>
      <c r="B75" t="s">
        <v>1566</v>
      </c>
      <c r="C75" t="s">
        <v>16</v>
      </c>
      <c r="D75" t="s">
        <v>17</v>
      </c>
      <c r="E75">
        <v>7045.11</v>
      </c>
      <c r="F75" t="s">
        <v>88</v>
      </c>
      <c r="G75" s="19">
        <v>45531</v>
      </c>
      <c r="H75" t="s">
        <v>89</v>
      </c>
      <c r="I75" t="s">
        <v>4118</v>
      </c>
      <c r="J75"/>
      <c r="K75" t="s">
        <v>3995</v>
      </c>
      <c r="L75" t="s">
        <v>4119</v>
      </c>
      <c r="M75" t="s">
        <v>4120</v>
      </c>
      <c r="Q75" s="3">
        <f t="shared" si="3"/>
        <v>7045.11</v>
      </c>
      <c r="V75" s="3" t="str">
        <f t="shared" si="4"/>
        <v/>
      </c>
    </row>
    <row r="76" spans="1:22" x14ac:dyDescent="0.35">
      <c r="A76" t="s">
        <v>0</v>
      </c>
      <c r="B76" t="s">
        <v>1566</v>
      </c>
      <c r="C76" t="s">
        <v>16</v>
      </c>
      <c r="D76" t="s">
        <v>17</v>
      </c>
      <c r="E76">
        <v>6822.45</v>
      </c>
      <c r="F76" t="s">
        <v>88</v>
      </c>
      <c r="G76" s="19">
        <v>45531</v>
      </c>
      <c r="H76" t="s">
        <v>89</v>
      </c>
      <c r="I76" t="s">
        <v>4115</v>
      </c>
      <c r="J76"/>
      <c r="K76" t="s">
        <v>3995</v>
      </c>
      <c r="L76" t="s">
        <v>4116</v>
      </c>
      <c r="M76" t="s">
        <v>4117</v>
      </c>
      <c r="Q76" s="3">
        <f t="shared" si="3"/>
        <v>6822.45</v>
      </c>
      <c r="V76" s="3" t="str">
        <f t="shared" si="4"/>
        <v/>
      </c>
    </row>
    <row r="77" spans="1:22" ht="43.5" x14ac:dyDescent="0.35">
      <c r="A77" t="s">
        <v>0</v>
      </c>
      <c r="B77" t="s">
        <v>1566</v>
      </c>
      <c r="C77" t="s">
        <v>16</v>
      </c>
      <c r="D77" t="s">
        <v>17</v>
      </c>
      <c r="E77">
        <v>6750</v>
      </c>
      <c r="F77" t="s">
        <v>88</v>
      </c>
      <c r="G77" s="19">
        <v>45637</v>
      </c>
      <c r="H77" t="s">
        <v>89</v>
      </c>
      <c r="I77" t="s">
        <v>5256</v>
      </c>
      <c r="J77"/>
      <c r="K77" t="s">
        <v>5257</v>
      </c>
      <c r="L77" t="s">
        <v>5258</v>
      </c>
      <c r="M77" t="s">
        <v>5259</v>
      </c>
      <c r="Q77" s="3">
        <f t="shared" si="3"/>
        <v>6750</v>
      </c>
      <c r="S77" s="172" t="s">
        <v>5317</v>
      </c>
      <c r="V77" s="3" t="str">
        <f t="shared" si="4"/>
        <v/>
      </c>
    </row>
    <row r="78" spans="1:22" x14ac:dyDescent="0.35">
      <c r="A78" t="s">
        <v>0</v>
      </c>
      <c r="B78" t="s">
        <v>2140</v>
      </c>
      <c r="C78" t="s">
        <v>16</v>
      </c>
      <c r="D78" t="s">
        <v>17</v>
      </c>
      <c r="E78">
        <v>6541.32</v>
      </c>
      <c r="F78" t="s">
        <v>88</v>
      </c>
      <c r="G78" s="19">
        <v>45449</v>
      </c>
      <c r="H78" t="s">
        <v>89</v>
      </c>
      <c r="I78" t="s">
        <v>3448</v>
      </c>
      <c r="J78"/>
      <c r="K78" t="s">
        <v>101</v>
      </c>
      <c r="L78" t="s">
        <v>3449</v>
      </c>
      <c r="M78" t="s">
        <v>3450</v>
      </c>
      <c r="Q78" s="3">
        <f t="shared" si="3"/>
        <v>6541.32</v>
      </c>
      <c r="V78" s="3" t="str">
        <f t="shared" si="4"/>
        <v/>
      </c>
    </row>
    <row r="79" spans="1:22" x14ac:dyDescent="0.35">
      <c r="A79" t="s">
        <v>0</v>
      </c>
      <c r="B79" t="s">
        <v>1566</v>
      </c>
      <c r="C79" t="s">
        <v>16</v>
      </c>
      <c r="D79" t="s">
        <v>17</v>
      </c>
      <c r="E79">
        <v>6233.72</v>
      </c>
      <c r="F79" t="s">
        <v>88</v>
      </c>
      <c r="G79" s="19">
        <v>45413</v>
      </c>
      <c r="H79" t="s">
        <v>89</v>
      </c>
      <c r="I79" t="s">
        <v>3135</v>
      </c>
      <c r="J79"/>
      <c r="K79" t="s">
        <v>3140</v>
      </c>
      <c r="L79" t="s">
        <v>3137</v>
      </c>
      <c r="M79" t="s">
        <v>149</v>
      </c>
      <c r="Q79" s="3">
        <f t="shared" si="3"/>
        <v>6233.72</v>
      </c>
      <c r="V79" s="3" t="str">
        <f t="shared" si="4"/>
        <v/>
      </c>
    </row>
    <row r="80" spans="1:22" x14ac:dyDescent="0.35">
      <c r="A80" t="s">
        <v>0</v>
      </c>
      <c r="B80" t="s">
        <v>1566</v>
      </c>
      <c r="C80" t="s">
        <v>16</v>
      </c>
      <c r="D80" t="s">
        <v>17</v>
      </c>
      <c r="E80">
        <v>6000</v>
      </c>
      <c r="F80" t="s">
        <v>88</v>
      </c>
      <c r="G80" s="19">
        <v>45531</v>
      </c>
      <c r="H80" t="s">
        <v>89</v>
      </c>
      <c r="I80" t="s">
        <v>4121</v>
      </c>
      <c r="J80"/>
      <c r="K80" t="s">
        <v>4122</v>
      </c>
      <c r="L80" t="s">
        <v>4123</v>
      </c>
      <c r="M80" t="s">
        <v>4124</v>
      </c>
      <c r="Q80" s="3">
        <f t="shared" si="3"/>
        <v>6000</v>
      </c>
      <c r="V80" s="3" t="str">
        <f t="shared" si="4"/>
        <v/>
      </c>
    </row>
    <row r="81" spans="1:22" x14ac:dyDescent="0.35">
      <c r="A81" t="s">
        <v>0</v>
      </c>
      <c r="B81" t="s">
        <v>1566</v>
      </c>
      <c r="C81" t="s">
        <v>16</v>
      </c>
      <c r="D81" t="s">
        <v>17</v>
      </c>
      <c r="E81">
        <v>6000</v>
      </c>
      <c r="F81" t="s">
        <v>88</v>
      </c>
      <c r="G81" s="19">
        <v>45597</v>
      </c>
      <c r="H81" t="s">
        <v>89</v>
      </c>
      <c r="I81" t="s">
        <v>4757</v>
      </c>
      <c r="J81"/>
      <c r="K81" t="s">
        <v>4758</v>
      </c>
      <c r="L81" t="s">
        <v>4759</v>
      </c>
      <c r="M81" t="s">
        <v>4124</v>
      </c>
      <c r="Q81" s="3">
        <f t="shared" si="3"/>
        <v>6000</v>
      </c>
      <c r="V81" s="3" t="str">
        <f t="shared" si="4"/>
        <v/>
      </c>
    </row>
    <row r="82" spans="1:22" x14ac:dyDescent="0.35">
      <c r="A82" t="s">
        <v>0</v>
      </c>
      <c r="B82" t="s">
        <v>1566</v>
      </c>
      <c r="C82" t="s">
        <v>16</v>
      </c>
      <c r="D82" t="s">
        <v>17</v>
      </c>
      <c r="E82">
        <v>5966.99</v>
      </c>
      <c r="F82" t="s">
        <v>88</v>
      </c>
      <c r="G82" s="19">
        <v>45453</v>
      </c>
      <c r="H82" t="s">
        <v>89</v>
      </c>
      <c r="I82" t="s">
        <v>3479</v>
      </c>
      <c r="J82"/>
      <c r="K82" t="s">
        <v>101</v>
      </c>
      <c r="L82" t="s">
        <v>130</v>
      </c>
      <c r="M82" t="s">
        <v>3480</v>
      </c>
      <c r="Q82" s="3">
        <f t="shared" si="3"/>
        <v>5966.99</v>
      </c>
      <c r="V82" s="3" t="str">
        <f t="shared" si="4"/>
        <v/>
      </c>
    </row>
    <row r="83" spans="1:22" x14ac:dyDescent="0.35">
      <c r="A83" t="s">
        <v>0</v>
      </c>
      <c r="B83" t="s">
        <v>1566</v>
      </c>
      <c r="C83" t="s">
        <v>16</v>
      </c>
      <c r="D83" t="s">
        <v>17</v>
      </c>
      <c r="E83">
        <v>5917.1</v>
      </c>
      <c r="F83" t="s">
        <v>88</v>
      </c>
      <c r="G83" s="19">
        <v>45387</v>
      </c>
      <c r="H83" t="s">
        <v>89</v>
      </c>
      <c r="I83" t="s">
        <v>2843</v>
      </c>
      <c r="J83"/>
      <c r="K83" t="s">
        <v>2844</v>
      </c>
      <c r="L83" t="s">
        <v>2845</v>
      </c>
      <c r="M83" t="s">
        <v>147</v>
      </c>
      <c r="Q83" s="3">
        <f t="shared" si="3"/>
        <v>5917.1</v>
      </c>
      <c r="V83" s="3" t="str">
        <f t="shared" si="4"/>
        <v/>
      </c>
    </row>
    <row r="84" spans="1:22" x14ac:dyDescent="0.35">
      <c r="A84" t="s">
        <v>0</v>
      </c>
      <c r="B84" t="s">
        <v>1566</v>
      </c>
      <c r="C84" t="s">
        <v>16</v>
      </c>
      <c r="D84" t="s">
        <v>17</v>
      </c>
      <c r="E84">
        <v>5488.4</v>
      </c>
      <c r="F84" t="s">
        <v>88</v>
      </c>
      <c r="G84" s="19">
        <v>45456</v>
      </c>
      <c r="H84" t="s">
        <v>89</v>
      </c>
      <c r="I84" t="s">
        <v>3581</v>
      </c>
      <c r="J84"/>
      <c r="K84" t="s">
        <v>101</v>
      </c>
      <c r="L84" t="s">
        <v>3582</v>
      </c>
      <c r="M84" t="s">
        <v>3583</v>
      </c>
      <c r="Q84" s="3">
        <f t="shared" si="3"/>
        <v>5488.4</v>
      </c>
      <c r="V84" s="3" t="str">
        <f t="shared" si="4"/>
        <v/>
      </c>
    </row>
    <row r="85" spans="1:22" x14ac:dyDescent="0.35">
      <c r="A85" t="s">
        <v>0</v>
      </c>
      <c r="B85" t="s">
        <v>1566</v>
      </c>
      <c r="C85" t="s">
        <v>16</v>
      </c>
      <c r="D85" t="s">
        <v>17</v>
      </c>
      <c r="E85">
        <v>5488.4</v>
      </c>
      <c r="F85" t="s">
        <v>88</v>
      </c>
      <c r="G85" s="19">
        <v>45544</v>
      </c>
      <c r="H85" t="s">
        <v>89</v>
      </c>
      <c r="I85" t="s">
        <v>4249</v>
      </c>
      <c r="J85"/>
      <c r="K85" t="s">
        <v>4250</v>
      </c>
      <c r="L85" t="s">
        <v>4251</v>
      </c>
      <c r="M85" t="s">
        <v>4252</v>
      </c>
      <c r="Q85" s="3">
        <f t="shared" si="3"/>
        <v>5488.4</v>
      </c>
      <c r="V85" s="3" t="str">
        <f t="shared" si="4"/>
        <v/>
      </c>
    </row>
    <row r="86" spans="1:22" x14ac:dyDescent="0.35">
      <c r="A86" t="s">
        <v>0</v>
      </c>
      <c r="B86" t="s">
        <v>1566</v>
      </c>
      <c r="C86" t="s">
        <v>16</v>
      </c>
      <c r="D86" t="s">
        <v>17</v>
      </c>
      <c r="E86">
        <v>5488.4</v>
      </c>
      <c r="F86" t="s">
        <v>88</v>
      </c>
      <c r="G86" s="19">
        <v>45635</v>
      </c>
      <c r="H86" t="s">
        <v>89</v>
      </c>
      <c r="I86" t="s">
        <v>5168</v>
      </c>
      <c r="J86"/>
      <c r="K86" t="s">
        <v>5169</v>
      </c>
      <c r="L86" t="s">
        <v>3133</v>
      </c>
      <c r="M86" t="s">
        <v>5170</v>
      </c>
      <c r="Q86" s="3">
        <f t="shared" si="3"/>
        <v>5488.4</v>
      </c>
      <c r="V86" s="3" t="str">
        <f t="shared" si="4"/>
        <v/>
      </c>
    </row>
    <row r="87" spans="1:22" x14ac:dyDescent="0.35">
      <c r="A87" t="s">
        <v>0</v>
      </c>
      <c r="B87" t="s">
        <v>1566</v>
      </c>
      <c r="C87" t="s">
        <v>16</v>
      </c>
      <c r="D87" t="s">
        <v>17</v>
      </c>
      <c r="E87">
        <v>5478.8</v>
      </c>
      <c r="F87" t="s">
        <v>88</v>
      </c>
      <c r="G87" s="19">
        <v>45387</v>
      </c>
      <c r="H87" t="s">
        <v>89</v>
      </c>
      <c r="I87" t="s">
        <v>2836</v>
      </c>
      <c r="J87"/>
      <c r="K87" t="s">
        <v>2837</v>
      </c>
      <c r="L87" t="s">
        <v>2838</v>
      </c>
      <c r="M87" t="s">
        <v>2839</v>
      </c>
      <c r="Q87" s="3">
        <f t="shared" si="3"/>
        <v>5478.8</v>
      </c>
      <c r="V87" s="3" t="str">
        <f t="shared" si="4"/>
        <v/>
      </c>
    </row>
    <row r="88" spans="1:22" x14ac:dyDescent="0.35">
      <c r="A88" t="s">
        <v>35</v>
      </c>
      <c r="B88" t="s">
        <v>1566</v>
      </c>
      <c r="C88" t="s">
        <v>16</v>
      </c>
      <c r="D88" t="s">
        <v>17</v>
      </c>
      <c r="E88">
        <v>5430</v>
      </c>
      <c r="F88" t="s">
        <v>88</v>
      </c>
      <c r="G88" s="19">
        <v>45468</v>
      </c>
      <c r="H88" t="s">
        <v>94</v>
      </c>
      <c r="I88" t="s">
        <v>2946</v>
      </c>
      <c r="J88" t="s">
        <v>3687</v>
      </c>
      <c r="O88" t="s">
        <v>3688</v>
      </c>
      <c r="Q88" s="3">
        <f t="shared" si="3"/>
        <v>5430</v>
      </c>
      <c r="V88" s="3" t="str">
        <f t="shared" si="4"/>
        <v/>
      </c>
    </row>
    <row r="89" spans="1:22" x14ac:dyDescent="0.35">
      <c r="A89" t="s">
        <v>0</v>
      </c>
      <c r="B89" t="s">
        <v>1566</v>
      </c>
      <c r="C89" t="s">
        <v>16</v>
      </c>
      <c r="D89" t="s">
        <v>17</v>
      </c>
      <c r="E89">
        <v>-5396.65</v>
      </c>
      <c r="F89" t="s">
        <v>88</v>
      </c>
      <c r="G89" s="19">
        <v>45419</v>
      </c>
      <c r="H89" t="s">
        <v>89</v>
      </c>
      <c r="I89" t="s">
        <v>3135</v>
      </c>
      <c r="J89"/>
      <c r="K89" t="s">
        <v>3140</v>
      </c>
      <c r="L89" t="s">
        <v>3137</v>
      </c>
      <c r="M89" t="s">
        <v>149</v>
      </c>
      <c r="Q89" s="3">
        <f t="shared" si="3"/>
        <v>5396.65</v>
      </c>
      <c r="V89" s="3" t="str">
        <f t="shared" si="4"/>
        <v/>
      </c>
    </row>
    <row r="90" spans="1:22" x14ac:dyDescent="0.35">
      <c r="A90" t="s">
        <v>0</v>
      </c>
      <c r="B90" t="s">
        <v>1566</v>
      </c>
      <c r="C90" t="s">
        <v>16</v>
      </c>
      <c r="D90" t="s">
        <v>17</v>
      </c>
      <c r="E90">
        <v>5310.03</v>
      </c>
      <c r="F90" t="s">
        <v>88</v>
      </c>
      <c r="G90" s="19">
        <v>45636</v>
      </c>
      <c r="H90" t="s">
        <v>89</v>
      </c>
      <c r="I90" t="s">
        <v>5195</v>
      </c>
      <c r="J90"/>
      <c r="K90" t="s">
        <v>5196</v>
      </c>
      <c r="L90" t="s">
        <v>5197</v>
      </c>
      <c r="M90" t="s">
        <v>365</v>
      </c>
      <c r="Q90" s="3">
        <f t="shared" si="3"/>
        <v>5310.03</v>
      </c>
      <c r="V90" s="3" t="str">
        <f t="shared" si="4"/>
        <v/>
      </c>
    </row>
    <row r="91" spans="1:22" ht="43.5" x14ac:dyDescent="0.35">
      <c r="A91" t="s">
        <v>0</v>
      </c>
      <c r="B91" t="s">
        <v>1566</v>
      </c>
      <c r="C91" t="s">
        <v>16</v>
      </c>
      <c r="D91" t="s">
        <v>17</v>
      </c>
      <c r="E91">
        <v>5282.85</v>
      </c>
      <c r="F91" t="s">
        <v>88</v>
      </c>
      <c r="G91" s="19">
        <v>45428</v>
      </c>
      <c r="H91" t="s">
        <v>89</v>
      </c>
      <c r="I91" t="s">
        <v>3276</v>
      </c>
      <c r="J91"/>
      <c r="K91" t="s">
        <v>3277</v>
      </c>
      <c r="L91" t="s">
        <v>3278</v>
      </c>
      <c r="M91" t="s">
        <v>3279</v>
      </c>
      <c r="Q91" s="3">
        <f t="shared" si="3"/>
        <v>5282.85</v>
      </c>
      <c r="S91" s="69" t="s">
        <v>5317</v>
      </c>
      <c r="V91" s="3" t="str">
        <f t="shared" si="4"/>
        <v/>
      </c>
    </row>
    <row r="92" spans="1:22" x14ac:dyDescent="0.35">
      <c r="A92" t="s">
        <v>0</v>
      </c>
      <c r="B92" t="s">
        <v>1566</v>
      </c>
      <c r="C92" t="s">
        <v>16</v>
      </c>
      <c r="D92" t="s">
        <v>17</v>
      </c>
      <c r="E92">
        <v>5213.9799999999996</v>
      </c>
      <c r="F92" t="s">
        <v>88</v>
      </c>
      <c r="G92" s="19">
        <v>45510</v>
      </c>
      <c r="H92" t="s">
        <v>89</v>
      </c>
      <c r="I92" t="s">
        <v>3963</v>
      </c>
      <c r="J92"/>
      <c r="K92" t="s">
        <v>3964</v>
      </c>
      <c r="L92" t="s">
        <v>3965</v>
      </c>
      <c r="M92" t="s">
        <v>3966</v>
      </c>
      <c r="Q92" s="3">
        <f t="shared" si="3"/>
        <v>5213.9799999999996</v>
      </c>
      <c r="V92" s="3" t="str">
        <f t="shared" si="4"/>
        <v/>
      </c>
    </row>
    <row r="93" spans="1:22" x14ac:dyDescent="0.35">
      <c r="A93" t="s">
        <v>35</v>
      </c>
      <c r="B93" t="s">
        <v>1566</v>
      </c>
      <c r="C93" t="s">
        <v>16</v>
      </c>
      <c r="D93" t="s">
        <v>17</v>
      </c>
      <c r="E93">
        <v>5159.1000000000004</v>
      </c>
      <c r="F93" t="s">
        <v>88</v>
      </c>
      <c r="G93" s="19">
        <v>45402</v>
      </c>
      <c r="H93" t="s">
        <v>89</v>
      </c>
      <c r="I93" t="s">
        <v>3064</v>
      </c>
      <c r="J93"/>
      <c r="K93" t="s">
        <v>3065</v>
      </c>
      <c r="L93" t="s">
        <v>3066</v>
      </c>
      <c r="M93" t="s">
        <v>149</v>
      </c>
      <c r="Q93" s="3">
        <f t="shared" si="3"/>
        <v>5159.1000000000004</v>
      </c>
      <c r="V93" s="3" t="str">
        <f t="shared" si="4"/>
        <v/>
      </c>
    </row>
    <row r="94" spans="1:22" x14ac:dyDescent="0.35">
      <c r="A94" t="s">
        <v>35</v>
      </c>
      <c r="B94" t="s">
        <v>1566</v>
      </c>
      <c r="C94" t="s">
        <v>16</v>
      </c>
      <c r="D94" t="s">
        <v>17</v>
      </c>
      <c r="E94">
        <v>5159.1000000000004</v>
      </c>
      <c r="F94" t="s">
        <v>88</v>
      </c>
      <c r="G94" s="19">
        <v>45402</v>
      </c>
      <c r="H94" t="s">
        <v>89</v>
      </c>
      <c r="I94" t="s">
        <v>3064</v>
      </c>
      <c r="J94"/>
      <c r="K94" t="s">
        <v>3067</v>
      </c>
      <c r="L94" t="s">
        <v>3066</v>
      </c>
      <c r="M94" t="s">
        <v>149</v>
      </c>
      <c r="Q94" s="3">
        <f t="shared" si="3"/>
        <v>5159.1000000000004</v>
      </c>
      <c r="V94" s="3" t="str">
        <f t="shared" si="4"/>
        <v/>
      </c>
    </row>
    <row r="95" spans="1:22" x14ac:dyDescent="0.35">
      <c r="A95" t="s">
        <v>35</v>
      </c>
      <c r="B95" t="s">
        <v>1566</v>
      </c>
      <c r="C95" t="s">
        <v>16</v>
      </c>
      <c r="D95" t="s">
        <v>17</v>
      </c>
      <c r="E95">
        <v>5159.1000000000004</v>
      </c>
      <c r="F95" t="s">
        <v>88</v>
      </c>
      <c r="G95" s="19">
        <v>45402</v>
      </c>
      <c r="H95" t="s">
        <v>89</v>
      </c>
      <c r="I95" t="s">
        <v>3064</v>
      </c>
      <c r="J95"/>
      <c r="K95" t="s">
        <v>3069</v>
      </c>
      <c r="L95" t="s">
        <v>3066</v>
      </c>
      <c r="M95" t="s">
        <v>149</v>
      </c>
      <c r="Q95" s="3">
        <f t="shared" si="3"/>
        <v>5159.1000000000004</v>
      </c>
      <c r="V95" s="3" t="str">
        <f t="shared" si="4"/>
        <v/>
      </c>
    </row>
    <row r="96" spans="1:22" x14ac:dyDescent="0.35">
      <c r="A96" t="s">
        <v>0</v>
      </c>
      <c r="B96" t="s">
        <v>1566</v>
      </c>
      <c r="C96" t="s">
        <v>16</v>
      </c>
      <c r="D96" t="s">
        <v>17</v>
      </c>
      <c r="E96">
        <v>5125</v>
      </c>
      <c r="F96" t="s">
        <v>88</v>
      </c>
      <c r="G96" s="19">
        <v>45384</v>
      </c>
      <c r="H96" t="s">
        <v>89</v>
      </c>
      <c r="I96" t="s">
        <v>2796</v>
      </c>
      <c r="J96"/>
      <c r="K96" t="s">
        <v>2797</v>
      </c>
      <c r="L96" t="s">
        <v>2798</v>
      </c>
      <c r="M96" t="s">
        <v>2799</v>
      </c>
      <c r="Q96" s="3">
        <f t="shared" si="3"/>
        <v>5125</v>
      </c>
      <c r="V96" s="3" t="str">
        <f t="shared" si="4"/>
        <v/>
      </c>
    </row>
    <row r="97" spans="1:22" x14ac:dyDescent="0.35">
      <c r="A97" t="s">
        <v>0</v>
      </c>
      <c r="B97" t="s">
        <v>1566</v>
      </c>
      <c r="C97" t="s">
        <v>16</v>
      </c>
      <c r="D97" t="s">
        <v>17</v>
      </c>
      <c r="E97">
        <v>5120.08</v>
      </c>
      <c r="F97" t="s">
        <v>88</v>
      </c>
      <c r="G97" s="19">
        <v>45635</v>
      </c>
      <c r="H97" t="s">
        <v>89</v>
      </c>
      <c r="I97" t="s">
        <v>5154</v>
      </c>
      <c r="J97"/>
      <c r="K97" t="s">
        <v>5155</v>
      </c>
      <c r="L97" t="s">
        <v>5156</v>
      </c>
      <c r="M97" t="s">
        <v>166</v>
      </c>
      <c r="Q97" s="3">
        <f t="shared" si="3"/>
        <v>5120.08</v>
      </c>
      <c r="V97" s="3" t="str">
        <f t="shared" si="4"/>
        <v/>
      </c>
    </row>
    <row r="98" spans="1:22" x14ac:dyDescent="0.35">
      <c r="A98" t="s">
        <v>0</v>
      </c>
      <c r="B98" t="s">
        <v>1566</v>
      </c>
      <c r="C98" t="s">
        <v>16</v>
      </c>
      <c r="D98" t="s">
        <v>17</v>
      </c>
      <c r="E98">
        <v>5044.84</v>
      </c>
      <c r="F98" t="s">
        <v>88</v>
      </c>
      <c r="G98" s="19">
        <v>45597</v>
      </c>
      <c r="H98" t="s">
        <v>89</v>
      </c>
      <c r="I98" t="s">
        <v>4783</v>
      </c>
      <c r="J98" t="s">
        <v>4784</v>
      </c>
      <c r="L98" t="s">
        <v>4785</v>
      </c>
      <c r="M98" t="s">
        <v>4786</v>
      </c>
      <c r="Q98" s="3">
        <f t="shared" si="3"/>
        <v>5044.84</v>
      </c>
      <c r="S98" s="69" t="s">
        <v>53</v>
      </c>
      <c r="T98" t="s">
        <v>64</v>
      </c>
      <c r="U98" t="str">
        <f>B98</f>
        <v>AU032046</v>
      </c>
      <c r="V98" s="3">
        <f t="shared" si="4"/>
        <v>5044.84</v>
      </c>
    </row>
    <row r="99" spans="1:22" x14ac:dyDescent="0.35">
      <c r="A99" t="s">
        <v>0</v>
      </c>
      <c r="B99" t="s">
        <v>1566</v>
      </c>
      <c r="C99" t="s">
        <v>16</v>
      </c>
      <c r="D99" t="s">
        <v>17</v>
      </c>
      <c r="E99">
        <v>5026.58</v>
      </c>
      <c r="F99" t="s">
        <v>88</v>
      </c>
      <c r="G99" s="19">
        <v>45629</v>
      </c>
      <c r="H99" t="s">
        <v>89</v>
      </c>
      <c r="I99" t="s">
        <v>5088</v>
      </c>
      <c r="J99"/>
      <c r="K99" t="s">
        <v>5089</v>
      </c>
      <c r="L99" t="s">
        <v>5090</v>
      </c>
      <c r="M99" t="s">
        <v>4929</v>
      </c>
      <c r="Q99" s="3">
        <f t="shared" si="3"/>
        <v>5026.58</v>
      </c>
      <c r="V99" s="3" t="str">
        <f t="shared" si="4"/>
        <v/>
      </c>
    </row>
    <row r="100" spans="1:22" x14ac:dyDescent="0.35">
      <c r="A100" t="s">
        <v>0</v>
      </c>
      <c r="B100" t="s">
        <v>1566</v>
      </c>
      <c r="C100" t="s">
        <v>16</v>
      </c>
      <c r="D100" t="s">
        <v>17</v>
      </c>
      <c r="E100">
        <v>5000</v>
      </c>
      <c r="F100" t="s">
        <v>88</v>
      </c>
      <c r="G100" s="19">
        <v>45391</v>
      </c>
      <c r="H100" t="s">
        <v>89</v>
      </c>
      <c r="I100" t="s">
        <v>2890</v>
      </c>
      <c r="J100"/>
      <c r="K100" t="s">
        <v>2891</v>
      </c>
      <c r="L100" t="s">
        <v>2892</v>
      </c>
      <c r="M100" t="s">
        <v>2893</v>
      </c>
      <c r="Q100" s="3">
        <f t="shared" si="3"/>
        <v>5000</v>
      </c>
      <c r="V100" s="3" t="str">
        <f t="shared" si="4"/>
        <v/>
      </c>
    </row>
    <row r="101" spans="1:22" x14ac:dyDescent="0.35">
      <c r="A101" t="s">
        <v>0</v>
      </c>
      <c r="B101" t="s">
        <v>1566</v>
      </c>
      <c r="C101" t="s">
        <v>16</v>
      </c>
      <c r="D101" t="s">
        <v>17</v>
      </c>
      <c r="E101">
        <v>5000</v>
      </c>
      <c r="F101" t="s">
        <v>88</v>
      </c>
      <c r="G101" s="19">
        <v>45467</v>
      </c>
      <c r="H101" t="s">
        <v>89</v>
      </c>
      <c r="I101" t="s">
        <v>3652</v>
      </c>
      <c r="J101"/>
      <c r="K101" t="s">
        <v>3653</v>
      </c>
      <c r="L101" t="s">
        <v>3654</v>
      </c>
      <c r="M101" t="s">
        <v>183</v>
      </c>
      <c r="Q101" s="3">
        <f t="shared" si="3"/>
        <v>5000</v>
      </c>
      <c r="V101" s="3" t="str">
        <f t="shared" si="4"/>
        <v/>
      </c>
    </row>
    <row r="102" spans="1:22" x14ac:dyDescent="0.35">
      <c r="A102" t="s">
        <v>0</v>
      </c>
      <c r="B102" t="s">
        <v>1566</v>
      </c>
      <c r="C102" t="s">
        <v>16</v>
      </c>
      <c r="D102" t="s">
        <v>17</v>
      </c>
      <c r="E102">
        <v>4956.5200000000004</v>
      </c>
      <c r="F102" t="s">
        <v>88</v>
      </c>
      <c r="G102" s="19">
        <v>45637</v>
      </c>
      <c r="H102" t="s">
        <v>89</v>
      </c>
      <c r="I102" t="s">
        <v>5249</v>
      </c>
      <c r="J102" t="s">
        <v>5250</v>
      </c>
      <c r="L102" t="s">
        <v>5251</v>
      </c>
      <c r="M102" t="s">
        <v>4847</v>
      </c>
      <c r="Q102" s="3">
        <f t="shared" si="3"/>
        <v>4956.5200000000004</v>
      </c>
      <c r="S102" s="69" t="s">
        <v>53</v>
      </c>
      <c r="T102" t="s">
        <v>64</v>
      </c>
      <c r="U102" t="str">
        <f>B102</f>
        <v>AU032046</v>
      </c>
      <c r="V102" s="3">
        <f t="shared" si="4"/>
        <v>4956.5200000000004</v>
      </c>
    </row>
    <row r="103" spans="1:22" x14ac:dyDescent="0.35">
      <c r="A103" t="s">
        <v>0</v>
      </c>
      <c r="B103" t="s">
        <v>1566</v>
      </c>
      <c r="C103" t="s">
        <v>16</v>
      </c>
      <c r="D103" t="s">
        <v>17</v>
      </c>
      <c r="E103">
        <v>4734.99</v>
      </c>
      <c r="F103" t="s">
        <v>88</v>
      </c>
      <c r="G103" s="19">
        <v>45474</v>
      </c>
      <c r="H103" t="s">
        <v>89</v>
      </c>
      <c r="I103" t="s">
        <v>3709</v>
      </c>
      <c r="J103"/>
      <c r="K103" t="s">
        <v>3710</v>
      </c>
      <c r="L103" t="s">
        <v>3711</v>
      </c>
      <c r="M103" t="s">
        <v>3712</v>
      </c>
      <c r="Q103" s="3">
        <f t="shared" si="3"/>
        <v>4734.99</v>
      </c>
      <c r="V103" s="3" t="str">
        <f t="shared" si="4"/>
        <v/>
      </c>
    </row>
    <row r="104" spans="1:22" x14ac:dyDescent="0.35">
      <c r="A104" t="s">
        <v>0</v>
      </c>
      <c r="B104" t="s">
        <v>1566</v>
      </c>
      <c r="C104" t="s">
        <v>16</v>
      </c>
      <c r="D104" t="s">
        <v>17</v>
      </c>
      <c r="E104">
        <v>4690.99</v>
      </c>
      <c r="F104" t="s">
        <v>88</v>
      </c>
      <c r="G104" s="19">
        <v>45505</v>
      </c>
      <c r="H104" t="s">
        <v>89</v>
      </c>
      <c r="I104" t="s">
        <v>3906</v>
      </c>
      <c r="J104"/>
      <c r="K104" t="s">
        <v>3907</v>
      </c>
      <c r="L104" t="s">
        <v>3908</v>
      </c>
      <c r="M104" t="s">
        <v>100</v>
      </c>
      <c r="Q104" s="3">
        <f t="shared" si="3"/>
        <v>4690.99</v>
      </c>
      <c r="V104" s="3" t="str">
        <f t="shared" si="4"/>
        <v/>
      </c>
    </row>
    <row r="105" spans="1:22" x14ac:dyDescent="0.35">
      <c r="A105" t="s">
        <v>0</v>
      </c>
      <c r="B105" t="s">
        <v>1566</v>
      </c>
      <c r="C105" t="s">
        <v>16</v>
      </c>
      <c r="D105" t="s">
        <v>17</v>
      </c>
      <c r="E105">
        <v>4654.16</v>
      </c>
      <c r="F105" t="s">
        <v>88</v>
      </c>
      <c r="G105" s="19">
        <v>45434</v>
      </c>
      <c r="H105" t="s">
        <v>89</v>
      </c>
      <c r="I105" t="s">
        <v>3323</v>
      </c>
      <c r="J105"/>
      <c r="K105" t="s">
        <v>101</v>
      </c>
      <c r="L105" t="s">
        <v>3324</v>
      </c>
      <c r="M105" t="s">
        <v>3325</v>
      </c>
      <c r="Q105" s="3">
        <f t="shared" si="3"/>
        <v>4654.16</v>
      </c>
      <c r="V105" s="3" t="str">
        <f t="shared" si="4"/>
        <v/>
      </c>
    </row>
    <row r="106" spans="1:22" x14ac:dyDescent="0.35">
      <c r="A106" t="s">
        <v>0</v>
      </c>
      <c r="B106" t="s">
        <v>1566</v>
      </c>
      <c r="C106" t="s">
        <v>16</v>
      </c>
      <c r="D106" t="s">
        <v>17</v>
      </c>
      <c r="E106">
        <v>4561.3599999999997</v>
      </c>
      <c r="F106" t="s">
        <v>88</v>
      </c>
      <c r="G106" s="19">
        <v>45386</v>
      </c>
      <c r="H106" t="s">
        <v>89</v>
      </c>
      <c r="I106" t="s">
        <v>2822</v>
      </c>
      <c r="J106"/>
      <c r="K106" t="s">
        <v>2823</v>
      </c>
      <c r="L106" t="s">
        <v>2824</v>
      </c>
      <c r="M106" t="s">
        <v>2825</v>
      </c>
      <c r="Q106" s="3">
        <f t="shared" si="3"/>
        <v>4561.3599999999997</v>
      </c>
      <c r="V106" s="3" t="str">
        <f t="shared" si="4"/>
        <v/>
      </c>
    </row>
    <row r="107" spans="1:22" x14ac:dyDescent="0.35">
      <c r="A107" t="s">
        <v>35</v>
      </c>
      <c r="B107" t="s">
        <v>1566</v>
      </c>
      <c r="C107" t="s">
        <v>16</v>
      </c>
      <c r="D107" t="s">
        <v>17</v>
      </c>
      <c r="E107">
        <v>4428.84</v>
      </c>
      <c r="F107" t="s">
        <v>88</v>
      </c>
      <c r="G107" s="19">
        <v>45638</v>
      </c>
      <c r="H107" t="s">
        <v>94</v>
      </c>
      <c r="I107" t="s">
        <v>5282</v>
      </c>
      <c r="J107" t="s">
        <v>5283</v>
      </c>
      <c r="O107" t="s">
        <v>5284</v>
      </c>
      <c r="Q107" s="3">
        <f t="shared" si="3"/>
        <v>4428.84</v>
      </c>
      <c r="S107" s="69" t="s">
        <v>53</v>
      </c>
      <c r="T107" t="s">
        <v>64</v>
      </c>
      <c r="U107" t="str">
        <f>B107</f>
        <v>AU032046</v>
      </c>
      <c r="V107" s="3">
        <f t="shared" si="4"/>
        <v>4428.84</v>
      </c>
    </row>
    <row r="108" spans="1:22" x14ac:dyDescent="0.35">
      <c r="A108" t="s">
        <v>0</v>
      </c>
      <c r="B108" t="s">
        <v>1566</v>
      </c>
      <c r="C108" t="s">
        <v>16</v>
      </c>
      <c r="D108" t="s">
        <v>17</v>
      </c>
      <c r="E108">
        <v>4390.72</v>
      </c>
      <c r="F108" t="s">
        <v>88</v>
      </c>
      <c r="G108" s="19">
        <v>45551</v>
      </c>
      <c r="H108" t="s">
        <v>89</v>
      </c>
      <c r="I108" t="s">
        <v>4364</v>
      </c>
      <c r="J108"/>
      <c r="K108" t="s">
        <v>4365</v>
      </c>
      <c r="L108" t="s">
        <v>4366</v>
      </c>
      <c r="M108" t="s">
        <v>4367</v>
      </c>
      <c r="Q108" s="3">
        <f t="shared" si="3"/>
        <v>4390.72</v>
      </c>
      <c r="V108" s="3" t="str">
        <f t="shared" si="4"/>
        <v/>
      </c>
    </row>
    <row r="109" spans="1:22" x14ac:dyDescent="0.35">
      <c r="A109" t="s">
        <v>0</v>
      </c>
      <c r="B109" t="s">
        <v>1566</v>
      </c>
      <c r="C109" t="s">
        <v>16</v>
      </c>
      <c r="D109" t="s">
        <v>17</v>
      </c>
      <c r="E109">
        <v>4390.72</v>
      </c>
      <c r="F109" t="s">
        <v>88</v>
      </c>
      <c r="G109" s="19">
        <v>45597</v>
      </c>
      <c r="H109" t="s">
        <v>89</v>
      </c>
      <c r="I109" t="s">
        <v>4773</v>
      </c>
      <c r="J109"/>
      <c r="K109" t="s">
        <v>4774</v>
      </c>
      <c r="L109" t="s">
        <v>4775</v>
      </c>
      <c r="M109" t="s">
        <v>4776</v>
      </c>
      <c r="Q109" s="3">
        <f t="shared" si="3"/>
        <v>4390.72</v>
      </c>
      <c r="V109" s="3" t="str">
        <f t="shared" si="4"/>
        <v/>
      </c>
    </row>
    <row r="110" spans="1:22" x14ac:dyDescent="0.35">
      <c r="A110" t="s">
        <v>0</v>
      </c>
      <c r="B110" t="s">
        <v>1566</v>
      </c>
      <c r="C110" t="s">
        <v>16</v>
      </c>
      <c r="D110" t="s">
        <v>17</v>
      </c>
      <c r="E110">
        <v>4011.15</v>
      </c>
      <c r="F110" t="s">
        <v>88</v>
      </c>
      <c r="G110" s="19">
        <v>45495</v>
      </c>
      <c r="H110" t="s">
        <v>89</v>
      </c>
      <c r="I110" t="s">
        <v>3856</v>
      </c>
      <c r="J110"/>
      <c r="K110" t="s">
        <v>3857</v>
      </c>
      <c r="L110" t="s">
        <v>3858</v>
      </c>
      <c r="M110" t="s">
        <v>158</v>
      </c>
      <c r="Q110" s="3">
        <f t="shared" si="3"/>
        <v>4011.15</v>
      </c>
      <c r="V110" s="3" t="str">
        <f t="shared" si="4"/>
        <v/>
      </c>
    </row>
    <row r="111" spans="1:22" x14ac:dyDescent="0.35">
      <c r="A111" t="s">
        <v>35</v>
      </c>
      <c r="B111" t="s">
        <v>1566</v>
      </c>
      <c r="C111" t="s">
        <v>16</v>
      </c>
      <c r="D111" t="s">
        <v>17</v>
      </c>
      <c r="E111">
        <v>3925.09</v>
      </c>
      <c r="F111" t="s">
        <v>88</v>
      </c>
      <c r="G111" s="19">
        <v>45545</v>
      </c>
      <c r="H111" t="s">
        <v>94</v>
      </c>
      <c r="I111" t="s">
        <v>229</v>
      </c>
      <c r="J111" t="s">
        <v>4309</v>
      </c>
      <c r="O111" t="s">
        <v>4308</v>
      </c>
      <c r="Q111" s="3">
        <f t="shared" si="3"/>
        <v>3925.09</v>
      </c>
      <c r="V111" s="3" t="str">
        <f t="shared" si="4"/>
        <v/>
      </c>
    </row>
    <row r="112" spans="1:22" x14ac:dyDescent="0.35">
      <c r="A112" t="s">
        <v>0</v>
      </c>
      <c r="B112" t="s">
        <v>1566</v>
      </c>
      <c r="C112" t="s">
        <v>16</v>
      </c>
      <c r="D112" t="s">
        <v>17</v>
      </c>
      <c r="E112">
        <v>3841.88</v>
      </c>
      <c r="F112" t="s">
        <v>88</v>
      </c>
      <c r="G112" s="19">
        <v>45435</v>
      </c>
      <c r="H112" t="s">
        <v>89</v>
      </c>
      <c r="I112" t="s">
        <v>3329</v>
      </c>
      <c r="J112"/>
      <c r="K112" t="s">
        <v>101</v>
      </c>
      <c r="L112" t="s">
        <v>3330</v>
      </c>
      <c r="M112" t="s">
        <v>3331</v>
      </c>
      <c r="Q112" s="3">
        <f t="shared" si="3"/>
        <v>3841.88</v>
      </c>
      <c r="V112" s="3" t="str">
        <f t="shared" si="4"/>
        <v/>
      </c>
    </row>
    <row r="113" spans="1:22" x14ac:dyDescent="0.35">
      <c r="A113" t="s">
        <v>0</v>
      </c>
      <c r="B113" t="s">
        <v>1566</v>
      </c>
      <c r="C113" t="s">
        <v>16</v>
      </c>
      <c r="D113" t="s">
        <v>17</v>
      </c>
      <c r="E113">
        <v>3841.88</v>
      </c>
      <c r="F113" t="s">
        <v>88</v>
      </c>
      <c r="G113" s="19">
        <v>45629</v>
      </c>
      <c r="H113" t="s">
        <v>89</v>
      </c>
      <c r="I113" t="s">
        <v>5082</v>
      </c>
      <c r="J113"/>
      <c r="K113" t="s">
        <v>5083</v>
      </c>
      <c r="L113" t="s">
        <v>5084</v>
      </c>
      <c r="M113" t="s">
        <v>2500</v>
      </c>
      <c r="Q113" s="3">
        <f t="shared" si="3"/>
        <v>3841.88</v>
      </c>
      <c r="V113" s="3" t="str">
        <f t="shared" si="4"/>
        <v/>
      </c>
    </row>
    <row r="114" spans="1:22" x14ac:dyDescent="0.35">
      <c r="A114" t="s">
        <v>0</v>
      </c>
      <c r="B114" t="s">
        <v>1566</v>
      </c>
      <c r="C114" t="s">
        <v>16</v>
      </c>
      <c r="D114" t="s">
        <v>17</v>
      </c>
      <c r="E114">
        <v>3698.25</v>
      </c>
      <c r="F114" t="s">
        <v>88</v>
      </c>
      <c r="G114" s="19">
        <v>45597</v>
      </c>
      <c r="H114" t="s">
        <v>89</v>
      </c>
      <c r="I114" t="s">
        <v>4802</v>
      </c>
      <c r="J114"/>
      <c r="K114" t="s">
        <v>4803</v>
      </c>
      <c r="L114" t="s">
        <v>4804</v>
      </c>
      <c r="M114" t="s">
        <v>149</v>
      </c>
      <c r="Q114" s="3">
        <f t="shared" si="3"/>
        <v>3698.25</v>
      </c>
      <c r="V114" s="3" t="str">
        <f t="shared" si="4"/>
        <v/>
      </c>
    </row>
    <row r="115" spans="1:22" x14ac:dyDescent="0.35">
      <c r="A115" t="s">
        <v>0</v>
      </c>
      <c r="B115" t="s">
        <v>1566</v>
      </c>
      <c r="C115" t="s">
        <v>16</v>
      </c>
      <c r="D115" t="s">
        <v>17</v>
      </c>
      <c r="E115">
        <v>3654.92</v>
      </c>
      <c r="F115" t="s">
        <v>88</v>
      </c>
      <c r="G115" s="19">
        <v>45538</v>
      </c>
      <c r="H115" t="s">
        <v>89</v>
      </c>
      <c r="I115" t="s">
        <v>4182</v>
      </c>
      <c r="J115"/>
      <c r="K115" t="s">
        <v>4183</v>
      </c>
      <c r="L115" t="s">
        <v>4184</v>
      </c>
      <c r="M115" t="s">
        <v>166</v>
      </c>
      <c r="Q115" s="3">
        <f t="shared" si="3"/>
        <v>3654.92</v>
      </c>
      <c r="V115" s="3" t="str">
        <f t="shared" si="4"/>
        <v/>
      </c>
    </row>
    <row r="116" spans="1:22" x14ac:dyDescent="0.35">
      <c r="A116" t="s">
        <v>0</v>
      </c>
      <c r="B116" t="s">
        <v>1566</v>
      </c>
      <c r="C116" t="s">
        <v>16</v>
      </c>
      <c r="D116" t="s">
        <v>17</v>
      </c>
      <c r="E116">
        <v>3622.34</v>
      </c>
      <c r="F116" t="s">
        <v>88</v>
      </c>
      <c r="G116" s="19">
        <v>45474</v>
      </c>
      <c r="H116" t="s">
        <v>89</v>
      </c>
      <c r="I116" t="s">
        <v>3723</v>
      </c>
      <c r="J116"/>
      <c r="K116" t="s">
        <v>101</v>
      </c>
      <c r="L116" t="s">
        <v>3724</v>
      </c>
      <c r="M116" t="s">
        <v>200</v>
      </c>
      <c r="Q116" s="3">
        <f t="shared" si="3"/>
        <v>3622.34</v>
      </c>
      <c r="V116" s="3" t="str">
        <f t="shared" si="4"/>
        <v/>
      </c>
    </row>
    <row r="117" spans="1:22" x14ac:dyDescent="0.35">
      <c r="A117" t="s">
        <v>0</v>
      </c>
      <c r="B117" t="s">
        <v>1566</v>
      </c>
      <c r="C117" t="s">
        <v>16</v>
      </c>
      <c r="D117" t="s">
        <v>17</v>
      </c>
      <c r="E117">
        <v>3545.5</v>
      </c>
      <c r="F117" t="s">
        <v>88</v>
      </c>
      <c r="G117" s="19">
        <v>45474</v>
      </c>
      <c r="H117" t="s">
        <v>89</v>
      </c>
      <c r="I117" t="s">
        <v>3716</v>
      </c>
      <c r="J117"/>
      <c r="K117" t="s">
        <v>3717</v>
      </c>
      <c r="L117" t="s">
        <v>3718</v>
      </c>
      <c r="M117" t="s">
        <v>3719</v>
      </c>
      <c r="Q117" s="3">
        <f t="shared" si="3"/>
        <v>3545.5</v>
      </c>
      <c r="V117" s="3" t="str">
        <f t="shared" si="4"/>
        <v/>
      </c>
    </row>
    <row r="118" spans="1:22" x14ac:dyDescent="0.35">
      <c r="A118" t="s">
        <v>0</v>
      </c>
      <c r="B118" t="s">
        <v>1566</v>
      </c>
      <c r="C118" t="s">
        <v>16</v>
      </c>
      <c r="D118" t="s">
        <v>17</v>
      </c>
      <c r="E118">
        <v>3502.78</v>
      </c>
      <c r="F118" t="s">
        <v>88</v>
      </c>
      <c r="G118" s="19">
        <v>45516</v>
      </c>
      <c r="H118" t="s">
        <v>89</v>
      </c>
      <c r="I118" t="s">
        <v>3984</v>
      </c>
      <c r="J118"/>
      <c r="K118" t="s">
        <v>3985</v>
      </c>
      <c r="L118" t="s">
        <v>3986</v>
      </c>
      <c r="M118" t="s">
        <v>147</v>
      </c>
      <c r="Q118" s="3">
        <f t="shared" si="3"/>
        <v>3502.78</v>
      </c>
      <c r="V118" s="3" t="str">
        <f t="shared" si="4"/>
        <v/>
      </c>
    </row>
    <row r="119" spans="1:22" x14ac:dyDescent="0.35">
      <c r="A119" t="s">
        <v>35</v>
      </c>
      <c r="B119" t="s">
        <v>1566</v>
      </c>
      <c r="C119" t="s">
        <v>16</v>
      </c>
      <c r="D119" t="s">
        <v>17</v>
      </c>
      <c r="E119">
        <v>3500</v>
      </c>
      <c r="F119" t="s">
        <v>88</v>
      </c>
      <c r="G119" s="19">
        <v>45404</v>
      </c>
      <c r="H119" t="s">
        <v>94</v>
      </c>
      <c r="I119" t="s">
        <v>3074</v>
      </c>
      <c r="J119" t="s">
        <v>3075</v>
      </c>
      <c r="O119" t="s">
        <v>3076</v>
      </c>
      <c r="Q119" s="3">
        <f t="shared" si="3"/>
        <v>3500</v>
      </c>
      <c r="S119" s="69" t="s">
        <v>53</v>
      </c>
      <c r="T119" t="s">
        <v>64</v>
      </c>
      <c r="U119" t="str">
        <f>B119</f>
        <v>AU032046</v>
      </c>
      <c r="V119" s="3">
        <f t="shared" ref="V119" si="5">IF(T119="Y",E119,"")</f>
        <v>3500</v>
      </c>
    </row>
    <row r="120" spans="1:22" x14ac:dyDescent="0.35">
      <c r="A120" t="s">
        <v>35</v>
      </c>
      <c r="B120" t="s">
        <v>1566</v>
      </c>
      <c r="C120" t="s">
        <v>16</v>
      </c>
      <c r="D120" t="s">
        <v>17</v>
      </c>
      <c r="E120">
        <v>3491.56</v>
      </c>
      <c r="F120" t="s">
        <v>88</v>
      </c>
      <c r="G120" s="19">
        <v>45385</v>
      </c>
      <c r="H120" t="s">
        <v>94</v>
      </c>
      <c r="I120" t="s">
        <v>251</v>
      </c>
      <c r="J120" t="s">
        <v>2807</v>
      </c>
      <c r="O120" t="s">
        <v>2808</v>
      </c>
      <c r="Q120" s="3">
        <f t="shared" si="3"/>
        <v>3491.56</v>
      </c>
      <c r="V120" s="3" t="str">
        <f t="shared" si="4"/>
        <v/>
      </c>
    </row>
    <row r="121" spans="1:22" x14ac:dyDescent="0.35">
      <c r="A121" t="s">
        <v>0</v>
      </c>
      <c r="B121" t="s">
        <v>1566</v>
      </c>
      <c r="C121" t="s">
        <v>16</v>
      </c>
      <c r="D121" t="s">
        <v>17</v>
      </c>
      <c r="E121">
        <v>3473.66</v>
      </c>
      <c r="F121" t="s">
        <v>88</v>
      </c>
      <c r="G121" s="19">
        <v>45447</v>
      </c>
      <c r="H121" t="s">
        <v>89</v>
      </c>
      <c r="I121" t="s">
        <v>3436</v>
      </c>
      <c r="J121"/>
      <c r="K121" t="s">
        <v>101</v>
      </c>
      <c r="L121" t="s">
        <v>3437</v>
      </c>
      <c r="M121" t="s">
        <v>3435</v>
      </c>
      <c r="Q121" s="3">
        <f t="shared" si="3"/>
        <v>3473.66</v>
      </c>
      <c r="V121" s="3" t="str">
        <f t="shared" si="4"/>
        <v/>
      </c>
    </row>
    <row r="122" spans="1:22" x14ac:dyDescent="0.35">
      <c r="A122" t="s">
        <v>0</v>
      </c>
      <c r="B122" t="s">
        <v>1566</v>
      </c>
      <c r="C122" t="s">
        <v>16</v>
      </c>
      <c r="D122" t="s">
        <v>17</v>
      </c>
      <c r="E122">
        <v>3457.69</v>
      </c>
      <c r="F122" t="s">
        <v>88</v>
      </c>
      <c r="G122" s="19">
        <v>45428</v>
      </c>
      <c r="H122" t="s">
        <v>89</v>
      </c>
      <c r="I122" t="s">
        <v>3272</v>
      </c>
      <c r="J122"/>
      <c r="K122" t="s">
        <v>3273</v>
      </c>
      <c r="L122" t="s">
        <v>3274</v>
      </c>
      <c r="M122" t="s">
        <v>3275</v>
      </c>
      <c r="Q122" s="3">
        <f t="shared" si="3"/>
        <v>3457.69</v>
      </c>
      <c r="V122" s="3" t="str">
        <f t="shared" si="4"/>
        <v/>
      </c>
    </row>
    <row r="123" spans="1:22" x14ac:dyDescent="0.35">
      <c r="A123" t="s">
        <v>0</v>
      </c>
      <c r="B123" t="s">
        <v>1566</v>
      </c>
      <c r="C123" t="s">
        <v>16</v>
      </c>
      <c r="D123" t="s">
        <v>17</v>
      </c>
      <c r="E123">
        <v>3371.37</v>
      </c>
      <c r="F123" t="s">
        <v>88</v>
      </c>
      <c r="G123" s="19">
        <v>45488</v>
      </c>
      <c r="H123" t="s">
        <v>89</v>
      </c>
      <c r="I123" t="s">
        <v>3823</v>
      </c>
      <c r="J123"/>
      <c r="K123" t="s">
        <v>101</v>
      </c>
      <c r="L123" t="s">
        <v>3824</v>
      </c>
      <c r="M123" t="s">
        <v>3825</v>
      </c>
      <c r="Q123" s="3">
        <f t="shared" si="3"/>
        <v>3371.37</v>
      </c>
      <c r="V123" s="3" t="str">
        <f t="shared" si="4"/>
        <v/>
      </c>
    </row>
    <row r="124" spans="1:22" ht="43.5" x14ac:dyDescent="0.35">
      <c r="A124" t="s">
        <v>0</v>
      </c>
      <c r="B124" t="s">
        <v>1566</v>
      </c>
      <c r="C124" t="s">
        <v>16</v>
      </c>
      <c r="D124" t="s">
        <v>17</v>
      </c>
      <c r="E124">
        <v>3365.36</v>
      </c>
      <c r="F124" t="s">
        <v>88</v>
      </c>
      <c r="G124" s="19">
        <v>45421</v>
      </c>
      <c r="H124" t="s">
        <v>89</v>
      </c>
      <c r="I124" t="s">
        <v>3173</v>
      </c>
      <c r="J124"/>
      <c r="K124" t="s">
        <v>3174</v>
      </c>
      <c r="L124" t="s">
        <v>3175</v>
      </c>
      <c r="M124" t="s">
        <v>3176</v>
      </c>
      <c r="Q124" s="3">
        <f t="shared" si="3"/>
        <v>3365.36</v>
      </c>
      <c r="S124" s="69" t="s">
        <v>5317</v>
      </c>
      <c r="V124" s="3" t="str">
        <f t="shared" si="4"/>
        <v/>
      </c>
    </row>
    <row r="125" spans="1:22" x14ac:dyDescent="0.35">
      <c r="A125" t="s">
        <v>0</v>
      </c>
      <c r="B125" t="s">
        <v>1566</v>
      </c>
      <c r="C125" t="s">
        <v>16</v>
      </c>
      <c r="D125" t="s">
        <v>17</v>
      </c>
      <c r="E125">
        <v>3300</v>
      </c>
      <c r="F125" t="s">
        <v>88</v>
      </c>
      <c r="G125" s="19">
        <v>45496</v>
      </c>
      <c r="H125" t="s">
        <v>89</v>
      </c>
      <c r="I125" t="s">
        <v>3864</v>
      </c>
      <c r="J125"/>
      <c r="K125" t="s">
        <v>3865</v>
      </c>
      <c r="L125" t="s">
        <v>3866</v>
      </c>
      <c r="M125" t="s">
        <v>3867</v>
      </c>
      <c r="Q125" s="3">
        <f t="shared" si="3"/>
        <v>3300</v>
      </c>
      <c r="V125" s="3" t="str">
        <f t="shared" si="4"/>
        <v/>
      </c>
    </row>
    <row r="126" spans="1:22" x14ac:dyDescent="0.35">
      <c r="A126" t="s">
        <v>0</v>
      </c>
      <c r="B126" t="s">
        <v>1566</v>
      </c>
      <c r="C126" t="s">
        <v>16</v>
      </c>
      <c r="D126" t="s">
        <v>17</v>
      </c>
      <c r="E126">
        <v>3293.04</v>
      </c>
      <c r="F126" t="s">
        <v>88</v>
      </c>
      <c r="G126" s="19">
        <v>45420</v>
      </c>
      <c r="H126" t="s">
        <v>89</v>
      </c>
      <c r="I126" t="s">
        <v>3170</v>
      </c>
      <c r="J126"/>
      <c r="K126" t="s">
        <v>101</v>
      </c>
      <c r="L126" t="s">
        <v>3171</v>
      </c>
      <c r="M126" t="s">
        <v>3172</v>
      </c>
      <c r="Q126" s="3">
        <f t="shared" si="3"/>
        <v>3293.04</v>
      </c>
      <c r="V126" s="3" t="str">
        <f t="shared" si="4"/>
        <v/>
      </c>
    </row>
    <row r="127" spans="1:22" x14ac:dyDescent="0.35">
      <c r="A127" t="s">
        <v>0</v>
      </c>
      <c r="B127" t="s">
        <v>1566</v>
      </c>
      <c r="C127" t="s">
        <v>16</v>
      </c>
      <c r="D127" t="s">
        <v>17</v>
      </c>
      <c r="E127">
        <v>3293.04</v>
      </c>
      <c r="F127" t="s">
        <v>88</v>
      </c>
      <c r="G127" s="19">
        <v>45474</v>
      </c>
      <c r="H127" t="s">
        <v>89</v>
      </c>
      <c r="I127" t="s">
        <v>3720</v>
      </c>
      <c r="J127"/>
      <c r="K127" t="s">
        <v>101</v>
      </c>
      <c r="L127" t="s">
        <v>3721</v>
      </c>
      <c r="M127" t="s">
        <v>3722</v>
      </c>
      <c r="Q127" s="3">
        <f t="shared" si="3"/>
        <v>3293.04</v>
      </c>
      <c r="V127" s="3" t="str">
        <f t="shared" si="4"/>
        <v/>
      </c>
    </row>
    <row r="128" spans="1:22" x14ac:dyDescent="0.35">
      <c r="A128" t="s">
        <v>0</v>
      </c>
      <c r="B128" t="s">
        <v>1566</v>
      </c>
      <c r="C128" t="s">
        <v>16</v>
      </c>
      <c r="D128" t="s">
        <v>17</v>
      </c>
      <c r="E128">
        <v>3287.28</v>
      </c>
      <c r="F128" t="s">
        <v>88</v>
      </c>
      <c r="G128" s="19">
        <v>45425</v>
      </c>
      <c r="H128" t="s">
        <v>89</v>
      </c>
      <c r="I128" t="s">
        <v>3218</v>
      </c>
      <c r="J128"/>
      <c r="K128" t="s">
        <v>3219</v>
      </c>
      <c r="L128" t="s">
        <v>3220</v>
      </c>
      <c r="M128" t="s">
        <v>3221</v>
      </c>
      <c r="Q128" s="3">
        <f t="shared" si="3"/>
        <v>3287.28</v>
      </c>
      <c r="V128" s="3" t="str">
        <f t="shared" si="4"/>
        <v/>
      </c>
    </row>
    <row r="129" spans="1:22" x14ac:dyDescent="0.35">
      <c r="A129" t="s">
        <v>35</v>
      </c>
      <c r="B129" t="s">
        <v>1566</v>
      </c>
      <c r="C129" t="s">
        <v>16</v>
      </c>
      <c r="D129" t="s">
        <v>17</v>
      </c>
      <c r="E129">
        <v>3248</v>
      </c>
      <c r="F129" t="s">
        <v>88</v>
      </c>
      <c r="G129" s="19">
        <v>45545</v>
      </c>
      <c r="H129" t="s">
        <v>94</v>
      </c>
      <c r="I129" t="s">
        <v>4330</v>
      </c>
      <c r="J129" t="s">
        <v>4331</v>
      </c>
      <c r="O129" t="s">
        <v>4332</v>
      </c>
      <c r="Q129" s="3">
        <f t="shared" si="3"/>
        <v>3248</v>
      </c>
      <c r="V129" s="3" t="str">
        <f t="shared" si="4"/>
        <v/>
      </c>
    </row>
    <row r="130" spans="1:22" x14ac:dyDescent="0.35">
      <c r="A130" t="s">
        <v>35</v>
      </c>
      <c r="B130" t="s">
        <v>1566</v>
      </c>
      <c r="C130" t="s">
        <v>16</v>
      </c>
      <c r="D130" t="s">
        <v>17</v>
      </c>
      <c r="E130">
        <v>3150.13</v>
      </c>
      <c r="F130" t="s">
        <v>88</v>
      </c>
      <c r="G130" s="19">
        <v>45637</v>
      </c>
      <c r="H130" t="s">
        <v>94</v>
      </c>
      <c r="I130" t="s">
        <v>5266</v>
      </c>
      <c r="J130" t="s">
        <v>5269</v>
      </c>
      <c r="O130" t="s">
        <v>5268</v>
      </c>
      <c r="Q130" s="3">
        <f t="shared" si="3"/>
        <v>3150.13</v>
      </c>
      <c r="V130" s="3" t="str">
        <f t="shared" si="4"/>
        <v/>
      </c>
    </row>
    <row r="131" spans="1:22" x14ac:dyDescent="0.35">
      <c r="A131" t="s">
        <v>35</v>
      </c>
      <c r="B131" t="s">
        <v>1566</v>
      </c>
      <c r="C131" t="s">
        <v>16</v>
      </c>
      <c r="D131" t="s">
        <v>17</v>
      </c>
      <c r="E131">
        <v>3140</v>
      </c>
      <c r="F131" t="s">
        <v>88</v>
      </c>
      <c r="G131" s="19">
        <v>45404</v>
      </c>
      <c r="H131" t="s">
        <v>94</v>
      </c>
      <c r="I131" t="s">
        <v>3098</v>
      </c>
      <c r="J131" t="s">
        <v>3099</v>
      </c>
      <c r="O131" t="s">
        <v>3100</v>
      </c>
      <c r="Q131" s="3">
        <f t="shared" si="3"/>
        <v>3140</v>
      </c>
      <c r="V131" s="3" t="str">
        <f t="shared" si="4"/>
        <v/>
      </c>
    </row>
    <row r="132" spans="1:22" x14ac:dyDescent="0.35">
      <c r="A132" t="s">
        <v>0</v>
      </c>
      <c r="B132" t="s">
        <v>1566</v>
      </c>
      <c r="C132" t="s">
        <v>16</v>
      </c>
      <c r="D132" t="s">
        <v>17</v>
      </c>
      <c r="E132">
        <v>-3116.86</v>
      </c>
      <c r="F132" t="s">
        <v>88</v>
      </c>
      <c r="G132" s="19">
        <v>45419</v>
      </c>
      <c r="H132" t="s">
        <v>89</v>
      </c>
      <c r="I132" t="s">
        <v>3135</v>
      </c>
      <c r="J132"/>
      <c r="Q132" s="3">
        <f t="shared" si="3"/>
        <v>3116.86</v>
      </c>
      <c r="V132" s="3" t="str">
        <f t="shared" si="4"/>
        <v/>
      </c>
    </row>
    <row r="133" spans="1:22" x14ac:dyDescent="0.35">
      <c r="A133" t="s">
        <v>35</v>
      </c>
      <c r="B133" t="s">
        <v>1566</v>
      </c>
      <c r="C133" t="s">
        <v>16</v>
      </c>
      <c r="D133" t="s">
        <v>17</v>
      </c>
      <c r="E133">
        <v>2993.24</v>
      </c>
      <c r="F133" t="s">
        <v>88</v>
      </c>
      <c r="G133" s="19">
        <v>45645</v>
      </c>
      <c r="H133" t="s">
        <v>94</v>
      </c>
      <c r="I133" t="s">
        <v>5271</v>
      </c>
      <c r="J133" t="s">
        <v>5308</v>
      </c>
      <c r="O133" t="s">
        <v>5273</v>
      </c>
      <c r="Q133" s="3">
        <f t="shared" si="3"/>
        <v>2993.24</v>
      </c>
      <c r="S133" s="69" t="s">
        <v>53</v>
      </c>
      <c r="T133" t="s">
        <v>64</v>
      </c>
      <c r="U133" t="str">
        <f>B133</f>
        <v>AU032046</v>
      </c>
      <c r="V133" s="3">
        <f t="shared" si="4"/>
        <v>2993.24</v>
      </c>
    </row>
    <row r="134" spans="1:22" x14ac:dyDescent="0.35">
      <c r="A134" t="s">
        <v>35</v>
      </c>
      <c r="B134" t="s">
        <v>1566</v>
      </c>
      <c r="C134" t="s">
        <v>16</v>
      </c>
      <c r="D134" t="s">
        <v>17</v>
      </c>
      <c r="E134">
        <v>2987.5</v>
      </c>
      <c r="F134" t="s">
        <v>88</v>
      </c>
      <c r="G134" s="19">
        <v>45386</v>
      </c>
      <c r="H134" t="s">
        <v>89</v>
      </c>
      <c r="I134" t="s">
        <v>2826</v>
      </c>
      <c r="J134"/>
      <c r="K134" t="s">
        <v>2827</v>
      </c>
      <c r="L134" t="s">
        <v>2828</v>
      </c>
      <c r="M134" t="s">
        <v>2829</v>
      </c>
      <c r="Q134" s="3">
        <f t="shared" si="3"/>
        <v>2987.5</v>
      </c>
      <c r="S134" s="69" t="s">
        <v>53</v>
      </c>
      <c r="T134" t="s">
        <v>64</v>
      </c>
      <c r="U134" t="str">
        <f>B134</f>
        <v>AU032046</v>
      </c>
      <c r="V134" s="3">
        <f t="shared" si="4"/>
        <v>2987.5</v>
      </c>
    </row>
    <row r="135" spans="1:22" x14ac:dyDescent="0.35">
      <c r="A135" t="s">
        <v>0</v>
      </c>
      <c r="B135" t="s">
        <v>1566</v>
      </c>
      <c r="C135" t="s">
        <v>16</v>
      </c>
      <c r="D135" t="s">
        <v>17</v>
      </c>
      <c r="E135">
        <v>2985.69</v>
      </c>
      <c r="F135" t="s">
        <v>88</v>
      </c>
      <c r="G135" s="19">
        <v>45583</v>
      </c>
      <c r="H135" t="s">
        <v>89</v>
      </c>
      <c r="I135" t="s">
        <v>4677</v>
      </c>
      <c r="J135"/>
      <c r="K135" t="s">
        <v>4678</v>
      </c>
      <c r="L135" t="s">
        <v>4679</v>
      </c>
      <c r="M135" t="s">
        <v>4680</v>
      </c>
      <c r="Q135" s="3">
        <f t="shared" si="3"/>
        <v>2985.69</v>
      </c>
      <c r="S135" s="69" t="s">
        <v>53</v>
      </c>
      <c r="T135" t="s">
        <v>64</v>
      </c>
      <c r="U135" t="str">
        <f>B135</f>
        <v>AU032046</v>
      </c>
      <c r="V135" s="3">
        <f t="shared" ref="V135" si="6">IF(T135="Y",E135,"")</f>
        <v>2985.69</v>
      </c>
    </row>
    <row r="136" spans="1:22" x14ac:dyDescent="0.35">
      <c r="A136" t="s">
        <v>35</v>
      </c>
      <c r="B136" t="s">
        <v>1566</v>
      </c>
      <c r="C136" t="s">
        <v>16</v>
      </c>
      <c r="D136" t="s">
        <v>17</v>
      </c>
      <c r="E136">
        <v>2932.73</v>
      </c>
      <c r="F136" t="s">
        <v>88</v>
      </c>
      <c r="G136" s="19">
        <v>45625</v>
      </c>
      <c r="H136" t="s">
        <v>94</v>
      </c>
      <c r="I136" t="s">
        <v>237</v>
      </c>
      <c r="J136" t="s">
        <v>5040</v>
      </c>
      <c r="O136" t="s">
        <v>3748</v>
      </c>
      <c r="Q136" s="3">
        <f t="shared" ref="Q136:Q199" si="7">ABS(E136)</f>
        <v>2932.73</v>
      </c>
      <c r="S136" s="69" t="s">
        <v>53</v>
      </c>
      <c r="T136" t="s">
        <v>64</v>
      </c>
      <c r="U136" t="str">
        <f>B136</f>
        <v>AU032046</v>
      </c>
      <c r="V136" s="3">
        <f t="shared" si="4"/>
        <v>2932.73</v>
      </c>
    </row>
    <row r="137" spans="1:22" x14ac:dyDescent="0.35">
      <c r="A137" t="s">
        <v>35</v>
      </c>
      <c r="B137" t="s">
        <v>1566</v>
      </c>
      <c r="C137" t="s">
        <v>16</v>
      </c>
      <c r="D137" t="s">
        <v>17</v>
      </c>
      <c r="E137">
        <v>2920.45</v>
      </c>
      <c r="F137" t="s">
        <v>88</v>
      </c>
      <c r="G137" s="19">
        <v>45418</v>
      </c>
      <c r="H137" t="s">
        <v>94</v>
      </c>
      <c r="I137" t="s">
        <v>3157</v>
      </c>
      <c r="J137" t="s">
        <v>3158</v>
      </c>
      <c r="O137" t="s">
        <v>3159</v>
      </c>
      <c r="Q137" s="3">
        <f t="shared" si="7"/>
        <v>2920.45</v>
      </c>
      <c r="S137" s="69" t="s">
        <v>53</v>
      </c>
      <c r="T137" t="s">
        <v>64</v>
      </c>
      <c r="U137" t="str">
        <f>B137</f>
        <v>AU032046</v>
      </c>
      <c r="V137" s="3">
        <f t="shared" ref="V137:V200" si="8">IF(T137="Y",E137,"")</f>
        <v>2920.45</v>
      </c>
    </row>
    <row r="138" spans="1:22" x14ac:dyDescent="0.35">
      <c r="A138" t="s">
        <v>0</v>
      </c>
      <c r="B138" t="s">
        <v>789</v>
      </c>
      <c r="C138" t="s">
        <v>16</v>
      </c>
      <c r="D138" t="s">
        <v>17</v>
      </c>
      <c r="E138">
        <v>2904.02</v>
      </c>
      <c r="F138" t="s">
        <v>88</v>
      </c>
      <c r="G138" s="19">
        <v>45581</v>
      </c>
      <c r="H138" t="s">
        <v>89</v>
      </c>
      <c r="I138" t="s">
        <v>4670</v>
      </c>
      <c r="J138"/>
      <c r="K138" t="s">
        <v>4671</v>
      </c>
      <c r="L138" t="s">
        <v>4672</v>
      </c>
      <c r="M138" t="s">
        <v>4673</v>
      </c>
      <c r="Q138" s="3">
        <f t="shared" si="7"/>
        <v>2904.02</v>
      </c>
      <c r="V138" s="3" t="str">
        <f t="shared" si="8"/>
        <v/>
      </c>
    </row>
    <row r="139" spans="1:22" x14ac:dyDescent="0.35">
      <c r="A139" t="s">
        <v>0</v>
      </c>
      <c r="B139" t="s">
        <v>1566</v>
      </c>
      <c r="C139" t="s">
        <v>16</v>
      </c>
      <c r="D139" t="s">
        <v>17</v>
      </c>
      <c r="E139">
        <v>2893.88</v>
      </c>
      <c r="F139" t="s">
        <v>88</v>
      </c>
      <c r="G139" s="19">
        <v>45629</v>
      </c>
      <c r="H139" t="s">
        <v>89</v>
      </c>
      <c r="I139" t="s">
        <v>5094</v>
      </c>
      <c r="J139"/>
      <c r="K139" t="s">
        <v>5095</v>
      </c>
      <c r="L139" t="s">
        <v>5096</v>
      </c>
      <c r="M139" t="s">
        <v>5097</v>
      </c>
      <c r="Q139" s="3">
        <f t="shared" si="7"/>
        <v>2893.88</v>
      </c>
      <c r="S139" s="69" t="s">
        <v>53</v>
      </c>
      <c r="T139" t="s">
        <v>64</v>
      </c>
      <c r="U139" t="str">
        <f>B139</f>
        <v>AU032046</v>
      </c>
      <c r="V139" s="3">
        <f t="shared" si="8"/>
        <v>2893.88</v>
      </c>
    </row>
    <row r="140" spans="1:22" x14ac:dyDescent="0.35">
      <c r="A140" t="s">
        <v>35</v>
      </c>
      <c r="B140" t="s">
        <v>1566</v>
      </c>
      <c r="C140" t="s">
        <v>16</v>
      </c>
      <c r="D140" t="s">
        <v>17</v>
      </c>
      <c r="E140">
        <v>2886</v>
      </c>
      <c r="F140" t="s">
        <v>88</v>
      </c>
      <c r="G140" s="19">
        <v>45394</v>
      </c>
      <c r="H140" t="s">
        <v>94</v>
      </c>
      <c r="I140" t="s">
        <v>986</v>
      </c>
      <c r="J140" t="s">
        <v>2988</v>
      </c>
      <c r="O140" t="s">
        <v>2989</v>
      </c>
      <c r="Q140" s="3">
        <f t="shared" si="7"/>
        <v>2886</v>
      </c>
      <c r="S140" s="69" t="s">
        <v>53</v>
      </c>
      <c r="T140" t="s">
        <v>64</v>
      </c>
      <c r="U140" t="str">
        <f>B140</f>
        <v>AU032046</v>
      </c>
      <c r="V140" s="3">
        <f t="shared" ref="V140" si="9">IF(T140="Y",E140,"")</f>
        <v>2886</v>
      </c>
    </row>
    <row r="141" spans="1:22" x14ac:dyDescent="0.35">
      <c r="A141" t="s">
        <v>0</v>
      </c>
      <c r="B141" t="s">
        <v>1566</v>
      </c>
      <c r="C141" t="s">
        <v>16</v>
      </c>
      <c r="D141" t="s">
        <v>17</v>
      </c>
      <c r="E141">
        <v>2826.53</v>
      </c>
      <c r="F141" t="s">
        <v>88</v>
      </c>
      <c r="G141" s="19">
        <v>45517</v>
      </c>
      <c r="H141" t="s">
        <v>89</v>
      </c>
      <c r="I141" t="s">
        <v>4005</v>
      </c>
      <c r="J141"/>
      <c r="K141" t="s">
        <v>4006</v>
      </c>
      <c r="L141" t="s">
        <v>4007</v>
      </c>
      <c r="M141" t="s">
        <v>147</v>
      </c>
      <c r="Q141" s="3">
        <f t="shared" si="7"/>
        <v>2826.53</v>
      </c>
      <c r="V141" s="3" t="str">
        <f t="shared" si="8"/>
        <v/>
      </c>
    </row>
    <row r="142" spans="1:22" x14ac:dyDescent="0.35">
      <c r="A142" t="s">
        <v>0</v>
      </c>
      <c r="B142" t="s">
        <v>1566</v>
      </c>
      <c r="C142" t="s">
        <v>16</v>
      </c>
      <c r="D142" t="s">
        <v>17</v>
      </c>
      <c r="E142">
        <v>2820</v>
      </c>
      <c r="F142" t="s">
        <v>88</v>
      </c>
      <c r="G142" s="19">
        <v>45394</v>
      </c>
      <c r="H142" t="s">
        <v>89</v>
      </c>
      <c r="I142" t="s">
        <v>2970</v>
      </c>
      <c r="J142"/>
      <c r="K142" t="s">
        <v>2971</v>
      </c>
      <c r="L142" t="s">
        <v>2972</v>
      </c>
      <c r="M142" t="s">
        <v>2973</v>
      </c>
      <c r="Q142" s="3">
        <f t="shared" si="7"/>
        <v>2820</v>
      </c>
      <c r="S142" s="69" t="s">
        <v>53</v>
      </c>
      <c r="T142" t="s">
        <v>64</v>
      </c>
      <c r="U142" t="str">
        <f>B142</f>
        <v>AU032046</v>
      </c>
      <c r="V142" s="3">
        <f t="shared" si="8"/>
        <v>2820</v>
      </c>
    </row>
    <row r="143" spans="1:22" x14ac:dyDescent="0.35">
      <c r="A143" t="s">
        <v>0</v>
      </c>
      <c r="B143" t="s">
        <v>1566</v>
      </c>
      <c r="C143" t="s">
        <v>16</v>
      </c>
      <c r="D143" t="s">
        <v>17</v>
      </c>
      <c r="E143">
        <v>2802.2200000000003</v>
      </c>
      <c r="F143" t="s">
        <v>88</v>
      </c>
      <c r="G143" s="19">
        <v>45636</v>
      </c>
      <c r="H143" t="s">
        <v>89</v>
      </c>
      <c r="I143" t="s">
        <v>5210</v>
      </c>
      <c r="J143"/>
      <c r="K143" t="s">
        <v>3459</v>
      </c>
      <c r="L143" t="s">
        <v>5211</v>
      </c>
      <c r="M143" t="s">
        <v>148</v>
      </c>
      <c r="Q143" s="3">
        <f t="shared" si="7"/>
        <v>2802.2200000000003</v>
      </c>
      <c r="V143" s="3" t="str">
        <f t="shared" si="8"/>
        <v/>
      </c>
    </row>
    <row r="144" spans="1:22" x14ac:dyDescent="0.35">
      <c r="A144" t="s">
        <v>0</v>
      </c>
      <c r="B144" t="s">
        <v>1566</v>
      </c>
      <c r="C144" t="s">
        <v>16</v>
      </c>
      <c r="D144" t="s">
        <v>17</v>
      </c>
      <c r="E144">
        <v>2750</v>
      </c>
      <c r="F144" t="s">
        <v>88</v>
      </c>
      <c r="G144" s="19">
        <v>45545</v>
      </c>
      <c r="H144" t="s">
        <v>89</v>
      </c>
      <c r="I144" t="s">
        <v>4257</v>
      </c>
      <c r="J144"/>
      <c r="K144" t="s">
        <v>4258</v>
      </c>
      <c r="L144" t="s">
        <v>4259</v>
      </c>
      <c r="M144" t="s">
        <v>4260</v>
      </c>
      <c r="Q144" s="3">
        <f t="shared" si="7"/>
        <v>2750</v>
      </c>
      <c r="V144" s="3" t="str">
        <f t="shared" si="8"/>
        <v/>
      </c>
    </row>
    <row r="145" spans="1:22" x14ac:dyDescent="0.35">
      <c r="A145" t="s">
        <v>0</v>
      </c>
      <c r="B145" t="s">
        <v>1566</v>
      </c>
      <c r="C145" t="s">
        <v>16</v>
      </c>
      <c r="D145" t="s">
        <v>17</v>
      </c>
      <c r="E145">
        <v>2750</v>
      </c>
      <c r="F145" t="s">
        <v>88</v>
      </c>
      <c r="G145" s="19">
        <v>45628</v>
      </c>
      <c r="H145" t="s">
        <v>89</v>
      </c>
      <c r="I145" t="s">
        <v>5049</v>
      </c>
      <c r="J145"/>
      <c r="K145" t="s">
        <v>5050</v>
      </c>
      <c r="L145" t="s">
        <v>5051</v>
      </c>
      <c r="M145" t="s">
        <v>5052</v>
      </c>
      <c r="Q145" s="3">
        <f t="shared" si="7"/>
        <v>2750</v>
      </c>
      <c r="V145" s="3" t="str">
        <f t="shared" si="8"/>
        <v/>
      </c>
    </row>
    <row r="146" spans="1:22" x14ac:dyDescent="0.35">
      <c r="A146" t="s">
        <v>0</v>
      </c>
      <c r="B146" t="s">
        <v>1566</v>
      </c>
      <c r="C146" t="s">
        <v>16</v>
      </c>
      <c r="D146" t="s">
        <v>17</v>
      </c>
      <c r="E146">
        <v>2744.2</v>
      </c>
      <c r="F146" t="s">
        <v>88</v>
      </c>
      <c r="G146" s="19">
        <v>45413</v>
      </c>
      <c r="H146" t="s">
        <v>89</v>
      </c>
      <c r="I146" t="s">
        <v>3131</v>
      </c>
      <c r="J146"/>
      <c r="K146" t="s">
        <v>3132</v>
      </c>
      <c r="L146" t="s">
        <v>3133</v>
      </c>
      <c r="M146" t="s">
        <v>3134</v>
      </c>
      <c r="Q146" s="3">
        <f t="shared" si="7"/>
        <v>2744.2</v>
      </c>
      <c r="V146" s="3" t="str">
        <f t="shared" si="8"/>
        <v/>
      </c>
    </row>
    <row r="147" spans="1:22" x14ac:dyDescent="0.35">
      <c r="A147" t="s">
        <v>0</v>
      </c>
      <c r="B147" t="s">
        <v>1566</v>
      </c>
      <c r="C147" t="s">
        <v>16</v>
      </c>
      <c r="D147" t="s">
        <v>17</v>
      </c>
      <c r="E147">
        <v>2744.2</v>
      </c>
      <c r="F147" t="s">
        <v>88</v>
      </c>
      <c r="G147" s="19">
        <v>45505</v>
      </c>
      <c r="H147" t="s">
        <v>89</v>
      </c>
      <c r="I147" t="s">
        <v>3929</v>
      </c>
      <c r="J147"/>
      <c r="K147" t="s">
        <v>3930</v>
      </c>
      <c r="L147" t="s">
        <v>3931</v>
      </c>
      <c r="M147" t="s">
        <v>3932</v>
      </c>
      <c r="Q147" s="3">
        <f t="shared" si="7"/>
        <v>2744.2</v>
      </c>
      <c r="V147" s="3" t="str">
        <f t="shared" si="8"/>
        <v/>
      </c>
    </row>
    <row r="148" spans="1:22" x14ac:dyDescent="0.35">
      <c r="A148" t="s">
        <v>35</v>
      </c>
      <c r="B148" t="s">
        <v>1566</v>
      </c>
      <c r="C148" t="s">
        <v>16</v>
      </c>
      <c r="D148" t="s">
        <v>17</v>
      </c>
      <c r="E148">
        <v>2744.2</v>
      </c>
      <c r="F148" t="s">
        <v>88</v>
      </c>
      <c r="G148" s="19">
        <v>45505</v>
      </c>
      <c r="H148" t="s">
        <v>89</v>
      </c>
      <c r="I148" t="s">
        <v>3937</v>
      </c>
      <c r="J148"/>
      <c r="K148" t="s">
        <v>3938</v>
      </c>
      <c r="L148" t="s">
        <v>3939</v>
      </c>
      <c r="M148" t="s">
        <v>3940</v>
      </c>
      <c r="Q148" s="3">
        <f t="shared" si="7"/>
        <v>2744.2</v>
      </c>
      <c r="V148" s="3" t="str">
        <f t="shared" si="8"/>
        <v/>
      </c>
    </row>
    <row r="149" spans="1:22" x14ac:dyDescent="0.35">
      <c r="A149" t="s">
        <v>35</v>
      </c>
      <c r="B149" t="s">
        <v>1566</v>
      </c>
      <c r="C149" t="s">
        <v>16</v>
      </c>
      <c r="D149" t="s">
        <v>17</v>
      </c>
      <c r="E149">
        <v>2744.2</v>
      </c>
      <c r="F149" t="s">
        <v>88</v>
      </c>
      <c r="G149" s="19">
        <v>45635</v>
      </c>
      <c r="H149" t="s">
        <v>89</v>
      </c>
      <c r="I149" t="s">
        <v>5178</v>
      </c>
      <c r="J149"/>
      <c r="K149" t="s">
        <v>5179</v>
      </c>
      <c r="L149" t="s">
        <v>5180</v>
      </c>
      <c r="M149" t="s">
        <v>5181</v>
      </c>
      <c r="Q149" s="3">
        <f t="shared" si="7"/>
        <v>2744.2</v>
      </c>
      <c r="V149" s="3" t="str">
        <f t="shared" si="8"/>
        <v/>
      </c>
    </row>
    <row r="150" spans="1:22" x14ac:dyDescent="0.35">
      <c r="A150" t="s">
        <v>0</v>
      </c>
      <c r="B150" t="s">
        <v>1566</v>
      </c>
      <c r="C150" t="s">
        <v>16</v>
      </c>
      <c r="D150" t="s">
        <v>17</v>
      </c>
      <c r="E150">
        <v>2744.2</v>
      </c>
      <c r="F150" t="s">
        <v>88</v>
      </c>
      <c r="G150" s="19">
        <v>45637</v>
      </c>
      <c r="H150" t="s">
        <v>89</v>
      </c>
      <c r="I150" t="s">
        <v>5221</v>
      </c>
      <c r="J150"/>
      <c r="K150" t="s">
        <v>5222</v>
      </c>
      <c r="L150" t="s">
        <v>5223</v>
      </c>
      <c r="M150" t="s">
        <v>5224</v>
      </c>
      <c r="Q150" s="3">
        <f t="shared" si="7"/>
        <v>2744.2</v>
      </c>
      <c r="V150" s="3" t="str">
        <f t="shared" si="8"/>
        <v/>
      </c>
    </row>
    <row r="151" spans="1:22" x14ac:dyDescent="0.35">
      <c r="A151" t="s">
        <v>35</v>
      </c>
      <c r="B151" t="s">
        <v>1566</v>
      </c>
      <c r="C151" t="s">
        <v>16</v>
      </c>
      <c r="D151" t="s">
        <v>17</v>
      </c>
      <c r="E151">
        <v>2718.74</v>
      </c>
      <c r="F151" t="s">
        <v>88</v>
      </c>
      <c r="G151" s="19">
        <v>45625</v>
      </c>
      <c r="H151" t="s">
        <v>94</v>
      </c>
      <c r="I151" t="s">
        <v>5041</v>
      </c>
      <c r="J151" t="s">
        <v>5044</v>
      </c>
      <c r="O151" t="s">
        <v>5043</v>
      </c>
      <c r="Q151" s="3">
        <f t="shared" si="7"/>
        <v>2718.74</v>
      </c>
      <c r="S151" s="69" t="s">
        <v>53</v>
      </c>
      <c r="T151" t="s">
        <v>64</v>
      </c>
      <c r="U151" t="str">
        <f>B151</f>
        <v>AU032046</v>
      </c>
      <c r="V151" s="3">
        <f t="shared" si="8"/>
        <v>2718.74</v>
      </c>
    </row>
    <row r="152" spans="1:22" x14ac:dyDescent="0.35">
      <c r="A152" t="s">
        <v>35</v>
      </c>
      <c r="B152" t="s">
        <v>1566</v>
      </c>
      <c r="C152" t="s">
        <v>16</v>
      </c>
      <c r="D152" t="s">
        <v>17</v>
      </c>
      <c r="E152">
        <v>2604.5500000000002</v>
      </c>
      <c r="F152" t="s">
        <v>88</v>
      </c>
      <c r="G152" s="19">
        <v>45453</v>
      </c>
      <c r="H152" t="s">
        <v>94</v>
      </c>
      <c r="I152" t="s">
        <v>3544</v>
      </c>
      <c r="J152" t="s">
        <v>3547</v>
      </c>
      <c r="O152" t="s">
        <v>3546</v>
      </c>
      <c r="Q152" s="3">
        <f t="shared" si="7"/>
        <v>2604.5500000000002</v>
      </c>
      <c r="S152" s="69" t="s">
        <v>53</v>
      </c>
      <c r="T152" t="s">
        <v>64</v>
      </c>
      <c r="U152" t="str">
        <f t="shared" ref="U152:U154" si="10">B152</f>
        <v>AU032046</v>
      </c>
      <c r="V152" s="3">
        <f t="shared" ref="V152:V154" si="11">IF(T152="Y",E152,"")</f>
        <v>2604.5500000000002</v>
      </c>
    </row>
    <row r="153" spans="1:22" x14ac:dyDescent="0.35">
      <c r="A153" t="s">
        <v>35</v>
      </c>
      <c r="B153" t="s">
        <v>1566</v>
      </c>
      <c r="C153" t="s">
        <v>16</v>
      </c>
      <c r="D153" t="s">
        <v>17</v>
      </c>
      <c r="E153">
        <v>2593.86</v>
      </c>
      <c r="F153" t="s">
        <v>88</v>
      </c>
      <c r="G153" s="19">
        <v>45625</v>
      </c>
      <c r="H153" t="s">
        <v>94</v>
      </c>
      <c r="I153" t="s">
        <v>5041</v>
      </c>
      <c r="J153" t="s">
        <v>5042</v>
      </c>
      <c r="O153" t="s">
        <v>5043</v>
      </c>
      <c r="Q153" s="3">
        <f t="shared" si="7"/>
        <v>2593.86</v>
      </c>
      <c r="S153" s="69" t="s">
        <v>53</v>
      </c>
      <c r="T153" t="s">
        <v>64</v>
      </c>
      <c r="U153" t="str">
        <f t="shared" si="10"/>
        <v>AU032046</v>
      </c>
      <c r="V153" s="3">
        <f t="shared" si="11"/>
        <v>2593.86</v>
      </c>
    </row>
    <row r="154" spans="1:22" x14ac:dyDescent="0.35">
      <c r="A154" t="s">
        <v>35</v>
      </c>
      <c r="B154" t="s">
        <v>1566</v>
      </c>
      <c r="C154" t="s">
        <v>16</v>
      </c>
      <c r="D154" t="s">
        <v>17</v>
      </c>
      <c r="E154">
        <v>2562.5</v>
      </c>
      <c r="F154" t="s">
        <v>88</v>
      </c>
      <c r="G154" s="19">
        <v>45474</v>
      </c>
      <c r="H154" t="s">
        <v>94</v>
      </c>
      <c r="I154" t="s">
        <v>3733</v>
      </c>
      <c r="J154" t="s">
        <v>3734</v>
      </c>
      <c r="O154" t="s">
        <v>3735</v>
      </c>
      <c r="Q154" s="3">
        <f t="shared" si="7"/>
        <v>2562.5</v>
      </c>
      <c r="S154" s="69" t="s">
        <v>53</v>
      </c>
      <c r="T154" t="s">
        <v>64</v>
      </c>
      <c r="U154" t="str">
        <f t="shared" si="10"/>
        <v>AU032046</v>
      </c>
      <c r="V154" s="3">
        <f t="shared" si="11"/>
        <v>2562.5</v>
      </c>
    </row>
    <row r="155" spans="1:22" x14ac:dyDescent="0.35">
      <c r="A155" t="s">
        <v>0</v>
      </c>
      <c r="B155" t="s">
        <v>1566</v>
      </c>
      <c r="C155" t="s">
        <v>16</v>
      </c>
      <c r="D155" t="s">
        <v>17</v>
      </c>
      <c r="E155">
        <v>2525</v>
      </c>
      <c r="F155" t="s">
        <v>88</v>
      </c>
      <c r="G155" s="19">
        <v>45629</v>
      </c>
      <c r="H155" t="s">
        <v>89</v>
      </c>
      <c r="I155" t="s">
        <v>5085</v>
      </c>
      <c r="J155"/>
      <c r="K155" t="s">
        <v>5086</v>
      </c>
      <c r="L155" t="s">
        <v>4788</v>
      </c>
      <c r="M155" t="s">
        <v>5087</v>
      </c>
      <c r="Q155" s="3">
        <f t="shared" si="7"/>
        <v>2525</v>
      </c>
      <c r="V155" s="3" t="str">
        <f t="shared" si="8"/>
        <v/>
      </c>
    </row>
    <row r="156" spans="1:22" ht="87" x14ac:dyDescent="0.35">
      <c r="A156" t="s">
        <v>35</v>
      </c>
      <c r="B156" t="s">
        <v>2031</v>
      </c>
      <c r="C156" t="s">
        <v>16</v>
      </c>
      <c r="D156" t="s">
        <v>17</v>
      </c>
      <c r="E156">
        <v>2507.27</v>
      </c>
      <c r="F156" t="s">
        <v>88</v>
      </c>
      <c r="G156" s="19">
        <v>45470</v>
      </c>
      <c r="H156" t="s">
        <v>94</v>
      </c>
      <c r="I156" t="s">
        <v>3706</v>
      </c>
      <c r="J156" t="s">
        <v>3707</v>
      </c>
      <c r="O156" t="s">
        <v>3708</v>
      </c>
      <c r="Q156" s="3">
        <f t="shared" si="7"/>
        <v>2507.27</v>
      </c>
      <c r="R156" s="69" t="s">
        <v>5326</v>
      </c>
      <c r="S156" s="69" t="s">
        <v>5327</v>
      </c>
      <c r="V156" s="3" t="str">
        <f t="shared" si="8"/>
        <v/>
      </c>
    </row>
    <row r="157" spans="1:22" x14ac:dyDescent="0.35">
      <c r="A157" t="s">
        <v>35</v>
      </c>
      <c r="B157" t="s">
        <v>1566</v>
      </c>
      <c r="C157" t="s">
        <v>16</v>
      </c>
      <c r="D157" t="s">
        <v>17</v>
      </c>
      <c r="E157">
        <v>2501.9400000000005</v>
      </c>
      <c r="F157" t="s">
        <v>88</v>
      </c>
      <c r="G157" s="19">
        <v>45453</v>
      </c>
      <c r="H157" t="s">
        <v>94</v>
      </c>
      <c r="I157" t="s">
        <v>254</v>
      </c>
      <c r="J157" t="s">
        <v>3521</v>
      </c>
      <c r="O157" t="s">
        <v>604</v>
      </c>
      <c r="Q157" s="3">
        <f t="shared" si="7"/>
        <v>2501.9400000000005</v>
      </c>
      <c r="V157" s="3" t="str">
        <f t="shared" si="8"/>
        <v/>
      </c>
    </row>
    <row r="158" spans="1:22" x14ac:dyDescent="0.35">
      <c r="A158" t="s">
        <v>35</v>
      </c>
      <c r="B158" t="s">
        <v>1566</v>
      </c>
      <c r="C158" t="s">
        <v>16</v>
      </c>
      <c r="D158" t="s">
        <v>17</v>
      </c>
      <c r="E158">
        <v>2500</v>
      </c>
      <c r="F158" t="s">
        <v>88</v>
      </c>
      <c r="G158" s="19">
        <v>45505</v>
      </c>
      <c r="H158" t="s">
        <v>89</v>
      </c>
      <c r="I158" t="s">
        <v>3933</v>
      </c>
      <c r="J158"/>
      <c r="K158" t="s">
        <v>3934</v>
      </c>
      <c r="L158" t="s">
        <v>3935</v>
      </c>
      <c r="M158" t="s">
        <v>3936</v>
      </c>
      <c r="Q158" s="3">
        <f t="shared" si="7"/>
        <v>2500</v>
      </c>
      <c r="V158" s="3" t="str">
        <f t="shared" si="8"/>
        <v/>
      </c>
    </row>
    <row r="159" spans="1:22" x14ac:dyDescent="0.35">
      <c r="A159" t="s">
        <v>0</v>
      </c>
      <c r="B159" t="s">
        <v>1566</v>
      </c>
      <c r="C159" t="s">
        <v>16</v>
      </c>
      <c r="D159" t="s">
        <v>17</v>
      </c>
      <c r="E159">
        <v>2494.73</v>
      </c>
      <c r="F159" t="s">
        <v>88</v>
      </c>
      <c r="G159" s="19">
        <v>45413</v>
      </c>
      <c r="H159" t="s">
        <v>89</v>
      </c>
      <c r="I159" t="s">
        <v>3142</v>
      </c>
      <c r="J159"/>
      <c r="K159" t="s">
        <v>3143</v>
      </c>
      <c r="L159" t="s">
        <v>3144</v>
      </c>
      <c r="M159" t="s">
        <v>3145</v>
      </c>
      <c r="Q159" s="3">
        <f t="shared" si="7"/>
        <v>2494.73</v>
      </c>
      <c r="V159" s="3" t="str">
        <f t="shared" si="8"/>
        <v/>
      </c>
    </row>
    <row r="160" spans="1:22" x14ac:dyDescent="0.35">
      <c r="A160" t="s">
        <v>0</v>
      </c>
      <c r="B160" t="s">
        <v>1566</v>
      </c>
      <c r="C160" t="s">
        <v>16</v>
      </c>
      <c r="D160" t="s">
        <v>17</v>
      </c>
      <c r="E160">
        <v>2494.73</v>
      </c>
      <c r="F160" t="s">
        <v>88</v>
      </c>
      <c r="G160" s="19">
        <v>45447</v>
      </c>
      <c r="H160" t="s">
        <v>89</v>
      </c>
      <c r="I160" t="s">
        <v>3432</v>
      </c>
      <c r="J160"/>
      <c r="K160" t="s">
        <v>3433</v>
      </c>
      <c r="L160" t="s">
        <v>3434</v>
      </c>
      <c r="M160" t="s">
        <v>3435</v>
      </c>
      <c r="Q160" s="3">
        <f t="shared" si="7"/>
        <v>2494.73</v>
      </c>
      <c r="V160" s="3" t="str">
        <f t="shared" si="8"/>
        <v/>
      </c>
    </row>
    <row r="161" spans="1:22" x14ac:dyDescent="0.35">
      <c r="A161" t="s">
        <v>0</v>
      </c>
      <c r="B161" t="s">
        <v>1566</v>
      </c>
      <c r="C161" t="s">
        <v>16</v>
      </c>
      <c r="D161" t="s">
        <v>17</v>
      </c>
      <c r="E161">
        <v>2494.73</v>
      </c>
      <c r="F161" t="s">
        <v>88</v>
      </c>
      <c r="G161" s="19">
        <v>45505</v>
      </c>
      <c r="H161" t="s">
        <v>89</v>
      </c>
      <c r="I161" t="s">
        <v>3902</v>
      </c>
      <c r="J161"/>
      <c r="K161" t="s">
        <v>3903</v>
      </c>
      <c r="L161" t="s">
        <v>3904</v>
      </c>
      <c r="M161" t="s">
        <v>3905</v>
      </c>
      <c r="Q161" s="3">
        <f t="shared" si="7"/>
        <v>2494.73</v>
      </c>
      <c r="V161" s="3" t="str">
        <f t="shared" si="8"/>
        <v/>
      </c>
    </row>
    <row r="162" spans="1:22" x14ac:dyDescent="0.35">
      <c r="A162" t="s">
        <v>0</v>
      </c>
      <c r="B162" t="s">
        <v>2226</v>
      </c>
      <c r="C162" t="s">
        <v>16</v>
      </c>
      <c r="D162" t="s">
        <v>17</v>
      </c>
      <c r="E162">
        <v>2489.9299999999998</v>
      </c>
      <c r="F162" t="s">
        <v>88</v>
      </c>
      <c r="G162" s="19">
        <v>45432</v>
      </c>
      <c r="H162" t="s">
        <v>89</v>
      </c>
      <c r="I162" t="s">
        <v>3301</v>
      </c>
      <c r="J162"/>
      <c r="K162" t="s">
        <v>3302</v>
      </c>
      <c r="L162" t="s">
        <v>2874</v>
      </c>
      <c r="M162" t="s">
        <v>3303</v>
      </c>
      <c r="Q162" s="3">
        <f t="shared" si="7"/>
        <v>2489.9299999999998</v>
      </c>
      <c r="V162" s="3" t="str">
        <f t="shared" si="8"/>
        <v/>
      </c>
    </row>
    <row r="163" spans="1:22" x14ac:dyDescent="0.35">
      <c r="A163" t="s">
        <v>0</v>
      </c>
      <c r="B163" t="s">
        <v>1566</v>
      </c>
      <c r="C163" t="s">
        <v>16</v>
      </c>
      <c r="D163" t="s">
        <v>17</v>
      </c>
      <c r="E163">
        <v>2447.83</v>
      </c>
      <c r="F163" t="s">
        <v>88</v>
      </c>
      <c r="G163" s="19">
        <v>45538</v>
      </c>
      <c r="H163" t="s">
        <v>89</v>
      </c>
      <c r="I163" t="s">
        <v>4188</v>
      </c>
      <c r="J163"/>
      <c r="K163" t="s">
        <v>4189</v>
      </c>
      <c r="L163" t="s">
        <v>4190</v>
      </c>
      <c r="M163" t="s">
        <v>147</v>
      </c>
      <c r="Q163" s="3">
        <f t="shared" si="7"/>
        <v>2447.83</v>
      </c>
      <c r="V163" s="3" t="str">
        <f t="shared" si="8"/>
        <v/>
      </c>
    </row>
    <row r="164" spans="1:22" x14ac:dyDescent="0.35">
      <c r="A164" t="s">
        <v>35</v>
      </c>
      <c r="B164" t="s">
        <v>1566</v>
      </c>
      <c r="C164" t="s">
        <v>16</v>
      </c>
      <c r="D164" t="s">
        <v>17</v>
      </c>
      <c r="E164">
        <v>2445.4499999999998</v>
      </c>
      <c r="F164" t="s">
        <v>88</v>
      </c>
      <c r="G164" s="19">
        <v>45637</v>
      </c>
      <c r="H164" t="s">
        <v>94</v>
      </c>
      <c r="I164" t="s">
        <v>5036</v>
      </c>
      <c r="J164" t="s">
        <v>5262</v>
      </c>
      <c r="O164" t="s">
        <v>5038</v>
      </c>
      <c r="Q164" s="3">
        <f t="shared" si="7"/>
        <v>2445.4499999999998</v>
      </c>
      <c r="V164" s="3" t="str">
        <f t="shared" si="8"/>
        <v/>
      </c>
    </row>
    <row r="165" spans="1:22" x14ac:dyDescent="0.35">
      <c r="A165" t="s">
        <v>35</v>
      </c>
      <c r="B165" t="s">
        <v>1566</v>
      </c>
      <c r="C165" t="s">
        <v>16</v>
      </c>
      <c r="D165" t="s">
        <v>17</v>
      </c>
      <c r="E165">
        <v>2418.5500000000002</v>
      </c>
      <c r="F165" t="s">
        <v>88</v>
      </c>
      <c r="G165" s="19">
        <v>45545</v>
      </c>
      <c r="H165" t="s">
        <v>94</v>
      </c>
      <c r="I165" t="s">
        <v>4297</v>
      </c>
      <c r="J165" t="s">
        <v>4298</v>
      </c>
      <c r="O165" t="s">
        <v>4299</v>
      </c>
      <c r="Q165" s="3">
        <f t="shared" si="7"/>
        <v>2418.5500000000002</v>
      </c>
      <c r="V165" s="3" t="str">
        <f t="shared" si="8"/>
        <v/>
      </c>
    </row>
    <row r="166" spans="1:22" x14ac:dyDescent="0.35">
      <c r="A166" t="s">
        <v>0</v>
      </c>
      <c r="B166" t="s">
        <v>1566</v>
      </c>
      <c r="C166" t="s">
        <v>16</v>
      </c>
      <c r="D166" t="s">
        <v>17</v>
      </c>
      <c r="E166">
        <v>2381.9699999999998</v>
      </c>
      <c r="F166" t="s">
        <v>88</v>
      </c>
      <c r="G166" s="19">
        <v>45517</v>
      </c>
      <c r="H166" t="s">
        <v>89</v>
      </c>
      <c r="I166" t="s">
        <v>4011</v>
      </c>
      <c r="J166"/>
      <c r="K166" t="s">
        <v>4012</v>
      </c>
      <c r="L166" t="s">
        <v>4013</v>
      </c>
      <c r="M166" t="s">
        <v>4014</v>
      </c>
      <c r="Q166" s="3">
        <f t="shared" si="7"/>
        <v>2381.9699999999998</v>
      </c>
      <c r="V166" s="3" t="str">
        <f t="shared" si="8"/>
        <v/>
      </c>
    </row>
    <row r="167" spans="1:22" x14ac:dyDescent="0.35">
      <c r="A167" t="s">
        <v>35</v>
      </c>
      <c r="B167" t="s">
        <v>1566</v>
      </c>
      <c r="C167" t="s">
        <v>16</v>
      </c>
      <c r="D167" t="s">
        <v>17</v>
      </c>
      <c r="E167">
        <v>2351.8200000000002</v>
      </c>
      <c r="F167" t="s">
        <v>88</v>
      </c>
      <c r="G167" s="19">
        <v>45545</v>
      </c>
      <c r="H167" t="s">
        <v>94</v>
      </c>
      <c r="I167" t="s">
        <v>4294</v>
      </c>
      <c r="J167" t="s">
        <v>4295</v>
      </c>
      <c r="O167" t="s">
        <v>918</v>
      </c>
      <c r="Q167" s="3">
        <f t="shared" si="7"/>
        <v>2351.8200000000002</v>
      </c>
      <c r="V167" s="3" t="str">
        <f t="shared" si="8"/>
        <v/>
      </c>
    </row>
    <row r="168" spans="1:22" x14ac:dyDescent="0.35">
      <c r="A168" t="s">
        <v>35</v>
      </c>
      <c r="B168" t="s">
        <v>1566</v>
      </c>
      <c r="C168" t="s">
        <v>16</v>
      </c>
      <c r="D168" t="s">
        <v>17</v>
      </c>
      <c r="E168">
        <v>2341.36</v>
      </c>
      <c r="F168" t="s">
        <v>88</v>
      </c>
      <c r="G168" s="19">
        <v>45629</v>
      </c>
      <c r="H168" t="s">
        <v>94</v>
      </c>
      <c r="I168" t="s">
        <v>5108</v>
      </c>
      <c r="J168" t="s">
        <v>5109</v>
      </c>
      <c r="O168" t="s">
        <v>5110</v>
      </c>
      <c r="Q168" s="3">
        <f t="shared" si="7"/>
        <v>2341.36</v>
      </c>
      <c r="V168" s="3" t="str">
        <f t="shared" si="8"/>
        <v/>
      </c>
    </row>
    <row r="169" spans="1:22" x14ac:dyDescent="0.35">
      <c r="A169" t="s">
        <v>35</v>
      </c>
      <c r="B169" t="s">
        <v>1566</v>
      </c>
      <c r="C169" t="s">
        <v>16</v>
      </c>
      <c r="D169" t="s">
        <v>17</v>
      </c>
      <c r="E169">
        <v>2303.1999999999998</v>
      </c>
      <c r="F169" t="s">
        <v>88</v>
      </c>
      <c r="G169" s="19">
        <v>45449</v>
      </c>
      <c r="H169" t="s">
        <v>89</v>
      </c>
      <c r="I169" t="s">
        <v>3458</v>
      </c>
      <c r="J169"/>
      <c r="K169" t="s">
        <v>3459</v>
      </c>
      <c r="L169" t="s">
        <v>3460</v>
      </c>
      <c r="M169" t="s">
        <v>148</v>
      </c>
      <c r="Q169" s="3">
        <f t="shared" si="7"/>
        <v>2303.1999999999998</v>
      </c>
      <c r="V169" s="3" t="str">
        <f t="shared" si="8"/>
        <v/>
      </c>
    </row>
    <row r="170" spans="1:22" x14ac:dyDescent="0.35">
      <c r="A170" t="s">
        <v>35</v>
      </c>
      <c r="B170" t="s">
        <v>1566</v>
      </c>
      <c r="C170" t="s">
        <v>16</v>
      </c>
      <c r="D170" t="s">
        <v>17</v>
      </c>
      <c r="E170">
        <v>2303.1999999999998</v>
      </c>
      <c r="F170" t="s">
        <v>88</v>
      </c>
      <c r="G170" s="19">
        <v>45531</v>
      </c>
      <c r="H170" t="s">
        <v>89</v>
      </c>
      <c r="I170" t="s">
        <v>4125</v>
      </c>
      <c r="J170"/>
      <c r="K170" t="s">
        <v>4126</v>
      </c>
      <c r="L170" t="s">
        <v>4127</v>
      </c>
      <c r="M170" t="s">
        <v>148</v>
      </c>
      <c r="Q170" s="3">
        <f t="shared" si="7"/>
        <v>2303.1999999999998</v>
      </c>
      <c r="V170" s="3" t="str">
        <f t="shared" si="8"/>
        <v/>
      </c>
    </row>
    <row r="171" spans="1:22" x14ac:dyDescent="0.35">
      <c r="A171" t="s">
        <v>0</v>
      </c>
      <c r="B171" t="s">
        <v>1566</v>
      </c>
      <c r="C171" t="s">
        <v>16</v>
      </c>
      <c r="D171" t="s">
        <v>17</v>
      </c>
      <c r="E171">
        <v>2303.1999999999998</v>
      </c>
      <c r="F171" t="s">
        <v>88</v>
      </c>
      <c r="G171" s="19">
        <v>45569</v>
      </c>
      <c r="H171" t="s">
        <v>89</v>
      </c>
      <c r="I171" t="s">
        <v>4577</v>
      </c>
      <c r="J171"/>
      <c r="K171" t="s">
        <v>3459</v>
      </c>
      <c r="L171" t="s">
        <v>4578</v>
      </c>
      <c r="M171" t="s">
        <v>148</v>
      </c>
      <c r="Q171" s="3">
        <f t="shared" si="7"/>
        <v>2303.1999999999998</v>
      </c>
      <c r="V171" s="3" t="str">
        <f t="shared" si="8"/>
        <v/>
      </c>
    </row>
    <row r="172" spans="1:22" x14ac:dyDescent="0.35">
      <c r="A172" t="s">
        <v>0</v>
      </c>
      <c r="B172" t="s">
        <v>1566</v>
      </c>
      <c r="C172" t="s">
        <v>16</v>
      </c>
      <c r="D172" t="s">
        <v>17</v>
      </c>
      <c r="E172">
        <v>2299.21</v>
      </c>
      <c r="F172" t="s">
        <v>88</v>
      </c>
      <c r="G172" s="19">
        <v>45387</v>
      </c>
      <c r="H172" t="s">
        <v>89</v>
      </c>
      <c r="I172" t="s">
        <v>2849</v>
      </c>
      <c r="J172"/>
      <c r="K172" t="s">
        <v>2850</v>
      </c>
      <c r="L172" t="s">
        <v>2851</v>
      </c>
      <c r="M172" t="s">
        <v>148</v>
      </c>
      <c r="Q172" s="3">
        <f t="shared" si="7"/>
        <v>2299.21</v>
      </c>
      <c r="V172" s="3" t="str">
        <f t="shared" si="8"/>
        <v/>
      </c>
    </row>
    <row r="173" spans="1:22" x14ac:dyDescent="0.35">
      <c r="A173" t="s">
        <v>0</v>
      </c>
      <c r="B173" t="s">
        <v>1566</v>
      </c>
      <c r="C173" t="s">
        <v>16</v>
      </c>
      <c r="D173" t="s">
        <v>17</v>
      </c>
      <c r="E173">
        <v>2259.37</v>
      </c>
      <c r="F173" t="s">
        <v>88</v>
      </c>
      <c r="G173" s="19">
        <v>45537</v>
      </c>
      <c r="H173" t="s">
        <v>89</v>
      </c>
      <c r="I173" t="s">
        <v>4136</v>
      </c>
      <c r="J173"/>
      <c r="K173" t="s">
        <v>4137</v>
      </c>
      <c r="L173" t="s">
        <v>4138</v>
      </c>
      <c r="M173" t="s">
        <v>100</v>
      </c>
      <c r="Q173" s="3">
        <f t="shared" si="7"/>
        <v>2259.37</v>
      </c>
      <c r="V173" s="3" t="str">
        <f t="shared" si="8"/>
        <v/>
      </c>
    </row>
    <row r="174" spans="1:22" x14ac:dyDescent="0.35">
      <c r="A174" t="s">
        <v>0</v>
      </c>
      <c r="B174" t="s">
        <v>1566</v>
      </c>
      <c r="C174" t="s">
        <v>16</v>
      </c>
      <c r="D174" t="s">
        <v>17</v>
      </c>
      <c r="E174">
        <v>2245.25</v>
      </c>
      <c r="F174" t="s">
        <v>88</v>
      </c>
      <c r="G174" s="19">
        <v>45394</v>
      </c>
      <c r="H174" t="s">
        <v>89</v>
      </c>
      <c r="I174" t="s">
        <v>2978</v>
      </c>
      <c r="J174"/>
      <c r="K174" t="s">
        <v>2979</v>
      </c>
      <c r="L174" t="s">
        <v>2980</v>
      </c>
      <c r="M174" t="s">
        <v>154</v>
      </c>
      <c r="Q174" s="3">
        <f t="shared" si="7"/>
        <v>2245.25</v>
      </c>
      <c r="V174" s="3" t="str">
        <f t="shared" si="8"/>
        <v/>
      </c>
    </row>
    <row r="175" spans="1:22" x14ac:dyDescent="0.35">
      <c r="A175" t="s">
        <v>35</v>
      </c>
      <c r="B175" t="s">
        <v>655</v>
      </c>
      <c r="C175" t="s">
        <v>16</v>
      </c>
      <c r="D175" t="s">
        <v>17</v>
      </c>
      <c r="E175">
        <v>2238.5</v>
      </c>
      <c r="F175" t="s">
        <v>88</v>
      </c>
      <c r="G175" s="19">
        <v>45624</v>
      </c>
      <c r="H175" t="s">
        <v>94</v>
      </c>
      <c r="I175" t="s">
        <v>5033</v>
      </c>
      <c r="J175" t="s">
        <v>5034</v>
      </c>
      <c r="O175" t="s">
        <v>5035</v>
      </c>
      <c r="Q175" s="3">
        <f t="shared" si="7"/>
        <v>2238.5</v>
      </c>
      <c r="V175" s="3" t="str">
        <f t="shared" si="8"/>
        <v/>
      </c>
    </row>
    <row r="176" spans="1:22" x14ac:dyDescent="0.35">
      <c r="A176" t="s">
        <v>0</v>
      </c>
      <c r="B176" t="s">
        <v>1566</v>
      </c>
      <c r="C176" t="s">
        <v>16</v>
      </c>
      <c r="D176" t="s">
        <v>17</v>
      </c>
      <c r="E176">
        <v>2195.36</v>
      </c>
      <c r="F176" t="s">
        <v>88</v>
      </c>
      <c r="G176" s="19">
        <v>45447</v>
      </c>
      <c r="H176" t="s">
        <v>89</v>
      </c>
      <c r="I176" t="s">
        <v>3425</v>
      </c>
      <c r="J176"/>
      <c r="K176" t="s">
        <v>101</v>
      </c>
      <c r="L176" t="s">
        <v>3426</v>
      </c>
      <c r="M176" t="s">
        <v>3427</v>
      </c>
      <c r="Q176" s="3">
        <f t="shared" si="7"/>
        <v>2195.36</v>
      </c>
      <c r="V176" s="3" t="str">
        <f t="shared" si="8"/>
        <v/>
      </c>
    </row>
    <row r="177" spans="1:22" x14ac:dyDescent="0.35">
      <c r="A177" t="s">
        <v>0</v>
      </c>
      <c r="B177" t="s">
        <v>1566</v>
      </c>
      <c r="C177" t="s">
        <v>16</v>
      </c>
      <c r="D177" t="s">
        <v>17</v>
      </c>
      <c r="E177">
        <v>2195.36</v>
      </c>
      <c r="F177" t="s">
        <v>88</v>
      </c>
      <c r="G177" s="19">
        <v>45566</v>
      </c>
      <c r="H177" t="s">
        <v>89</v>
      </c>
      <c r="I177" t="s">
        <v>4544</v>
      </c>
      <c r="J177"/>
      <c r="K177" t="s">
        <v>4545</v>
      </c>
      <c r="L177" t="s">
        <v>4546</v>
      </c>
      <c r="M177" t="s">
        <v>4547</v>
      </c>
      <c r="Q177" s="3">
        <f t="shared" si="7"/>
        <v>2195.36</v>
      </c>
      <c r="V177" s="3" t="str">
        <f t="shared" si="8"/>
        <v/>
      </c>
    </row>
    <row r="178" spans="1:22" x14ac:dyDescent="0.35">
      <c r="A178" t="s">
        <v>0</v>
      </c>
      <c r="B178" t="s">
        <v>1566</v>
      </c>
      <c r="C178" t="s">
        <v>16</v>
      </c>
      <c r="D178" t="s">
        <v>17</v>
      </c>
      <c r="E178">
        <v>2195.36</v>
      </c>
      <c r="F178" t="s">
        <v>88</v>
      </c>
      <c r="G178" s="19">
        <v>45614</v>
      </c>
      <c r="H178" t="s">
        <v>89</v>
      </c>
      <c r="I178" t="s">
        <v>4899</v>
      </c>
      <c r="J178"/>
      <c r="K178" t="s">
        <v>4900</v>
      </c>
      <c r="L178" t="s">
        <v>4901</v>
      </c>
      <c r="M178" t="s">
        <v>4902</v>
      </c>
      <c r="Q178" s="3">
        <f t="shared" si="7"/>
        <v>2195.36</v>
      </c>
      <c r="V178" s="3" t="str">
        <f t="shared" si="8"/>
        <v/>
      </c>
    </row>
    <row r="179" spans="1:22" x14ac:dyDescent="0.35">
      <c r="A179" t="s">
        <v>0</v>
      </c>
      <c r="B179" t="s">
        <v>1566</v>
      </c>
      <c r="C179" t="s">
        <v>16</v>
      </c>
      <c r="D179" t="s">
        <v>17</v>
      </c>
      <c r="E179">
        <v>2192.52</v>
      </c>
      <c r="F179" t="s">
        <v>88</v>
      </c>
      <c r="G179" s="19">
        <v>45456</v>
      </c>
      <c r="H179" t="s">
        <v>89</v>
      </c>
      <c r="I179" t="s">
        <v>3592</v>
      </c>
      <c r="J179"/>
      <c r="K179" t="s">
        <v>101</v>
      </c>
      <c r="L179" t="s">
        <v>3593</v>
      </c>
      <c r="M179" t="s">
        <v>151</v>
      </c>
      <c r="Q179" s="3">
        <f t="shared" si="7"/>
        <v>2192.52</v>
      </c>
      <c r="V179" s="3" t="str">
        <f t="shared" si="8"/>
        <v/>
      </c>
    </row>
    <row r="180" spans="1:22" x14ac:dyDescent="0.35">
      <c r="A180" t="s">
        <v>0</v>
      </c>
      <c r="B180" t="s">
        <v>1566</v>
      </c>
      <c r="C180" t="s">
        <v>16</v>
      </c>
      <c r="D180" t="s">
        <v>17</v>
      </c>
      <c r="E180">
        <v>2175.3200000000002</v>
      </c>
      <c r="F180" t="s">
        <v>88</v>
      </c>
      <c r="G180" s="19">
        <v>45597</v>
      </c>
      <c r="H180" t="s">
        <v>89</v>
      </c>
      <c r="I180" t="s">
        <v>4797</v>
      </c>
      <c r="J180"/>
      <c r="K180" t="s">
        <v>4798</v>
      </c>
      <c r="L180" t="s">
        <v>4799</v>
      </c>
      <c r="M180" t="s">
        <v>149</v>
      </c>
      <c r="Q180" s="3">
        <f t="shared" si="7"/>
        <v>2175.3200000000002</v>
      </c>
      <c r="V180" s="3" t="str">
        <f t="shared" si="8"/>
        <v/>
      </c>
    </row>
    <row r="181" spans="1:22" x14ac:dyDescent="0.35">
      <c r="A181" t="s">
        <v>0</v>
      </c>
      <c r="B181" t="s">
        <v>1566</v>
      </c>
      <c r="C181" t="s">
        <v>16</v>
      </c>
      <c r="D181" t="s">
        <v>17</v>
      </c>
      <c r="E181">
        <v>2145.9700000000003</v>
      </c>
      <c r="F181" t="s">
        <v>88</v>
      </c>
      <c r="G181" s="19">
        <v>45474</v>
      </c>
      <c r="H181" t="s">
        <v>89</v>
      </c>
      <c r="I181" t="s">
        <v>3725</v>
      </c>
      <c r="J181"/>
      <c r="K181" t="s">
        <v>101</v>
      </c>
      <c r="L181" t="s">
        <v>3726</v>
      </c>
      <c r="M181" t="s">
        <v>174</v>
      </c>
      <c r="Q181" s="3">
        <f t="shared" si="7"/>
        <v>2145.9700000000003</v>
      </c>
      <c r="V181" s="3" t="str">
        <f t="shared" si="8"/>
        <v/>
      </c>
    </row>
    <row r="182" spans="1:22" x14ac:dyDescent="0.35">
      <c r="A182" t="s">
        <v>35</v>
      </c>
      <c r="B182" t="s">
        <v>1566</v>
      </c>
      <c r="C182" t="s">
        <v>16</v>
      </c>
      <c r="D182" t="s">
        <v>17</v>
      </c>
      <c r="E182">
        <v>2090.91</v>
      </c>
      <c r="F182" t="s">
        <v>88</v>
      </c>
      <c r="G182" s="19">
        <v>45474</v>
      </c>
      <c r="H182" t="s">
        <v>94</v>
      </c>
      <c r="I182" t="s">
        <v>3751</v>
      </c>
      <c r="J182" t="s">
        <v>3752</v>
      </c>
      <c r="O182" t="s">
        <v>3753</v>
      </c>
      <c r="Q182" s="3">
        <f t="shared" si="7"/>
        <v>2090.91</v>
      </c>
      <c r="S182" s="69" t="s">
        <v>53</v>
      </c>
      <c r="T182" t="s">
        <v>64</v>
      </c>
      <c r="U182" t="str">
        <f>B182</f>
        <v>AU032046</v>
      </c>
      <c r="V182" s="3">
        <f t="shared" ref="V182" si="12">IF(T182="Y",E182,"")</f>
        <v>2090.91</v>
      </c>
    </row>
    <row r="183" spans="1:22" x14ac:dyDescent="0.35">
      <c r="A183" t="s">
        <v>35</v>
      </c>
      <c r="B183" t="s">
        <v>1627</v>
      </c>
      <c r="C183" t="s">
        <v>16</v>
      </c>
      <c r="D183" t="s">
        <v>17</v>
      </c>
      <c r="E183">
        <v>2076.1499999999996</v>
      </c>
      <c r="F183" t="s">
        <v>88</v>
      </c>
      <c r="G183" s="19">
        <v>45631</v>
      </c>
      <c r="H183" t="s">
        <v>94</v>
      </c>
      <c r="I183" t="s">
        <v>250</v>
      </c>
      <c r="J183" t="s">
        <v>4468</v>
      </c>
      <c r="O183" t="s">
        <v>627</v>
      </c>
      <c r="Q183" s="3">
        <f t="shared" si="7"/>
        <v>2076.1499999999996</v>
      </c>
      <c r="V183" s="3" t="str">
        <f t="shared" si="8"/>
        <v/>
      </c>
    </row>
    <row r="184" spans="1:22" x14ac:dyDescent="0.35">
      <c r="A184" t="s">
        <v>35</v>
      </c>
      <c r="B184" t="s">
        <v>1566</v>
      </c>
      <c r="C184" t="s">
        <v>16</v>
      </c>
      <c r="D184" t="s">
        <v>17</v>
      </c>
      <c r="E184">
        <v>2014.76</v>
      </c>
      <c r="F184" t="s">
        <v>88</v>
      </c>
      <c r="G184" s="19">
        <v>45638</v>
      </c>
      <c r="H184" t="s">
        <v>94</v>
      </c>
      <c r="I184" t="s">
        <v>3074</v>
      </c>
      <c r="J184" t="s">
        <v>5276</v>
      </c>
      <c r="O184" t="s">
        <v>5277</v>
      </c>
      <c r="Q184" s="3">
        <f t="shared" si="7"/>
        <v>2014.76</v>
      </c>
      <c r="S184" s="69" t="s">
        <v>53</v>
      </c>
      <c r="T184" t="s">
        <v>64</v>
      </c>
      <c r="U184" t="str">
        <f>B184</f>
        <v>AU032046</v>
      </c>
      <c r="V184" s="3">
        <f t="shared" si="8"/>
        <v>2014.76</v>
      </c>
    </row>
    <row r="185" spans="1:22" x14ac:dyDescent="0.35">
      <c r="A185" t="s">
        <v>0</v>
      </c>
      <c r="B185" t="s">
        <v>1566</v>
      </c>
      <c r="C185" t="s">
        <v>16</v>
      </c>
      <c r="D185" t="s">
        <v>17</v>
      </c>
      <c r="E185">
        <v>2000</v>
      </c>
      <c r="F185" t="s">
        <v>88</v>
      </c>
      <c r="G185" s="19">
        <v>45390</v>
      </c>
      <c r="H185" t="s">
        <v>89</v>
      </c>
      <c r="I185" t="s">
        <v>2859</v>
      </c>
      <c r="J185"/>
      <c r="K185" t="s">
        <v>2860</v>
      </c>
      <c r="L185" t="s">
        <v>2861</v>
      </c>
      <c r="M185" t="s">
        <v>2862</v>
      </c>
      <c r="Q185" s="3">
        <f t="shared" si="7"/>
        <v>2000</v>
      </c>
      <c r="V185" s="3" t="str">
        <f t="shared" si="8"/>
        <v/>
      </c>
    </row>
    <row r="186" spans="1:22" x14ac:dyDescent="0.35">
      <c r="A186" t="s">
        <v>0</v>
      </c>
      <c r="B186" t="s">
        <v>1566</v>
      </c>
      <c r="C186" t="s">
        <v>16</v>
      </c>
      <c r="D186" t="s">
        <v>17</v>
      </c>
      <c r="E186">
        <v>2000</v>
      </c>
      <c r="F186" t="s">
        <v>88</v>
      </c>
      <c r="G186" s="19">
        <v>45635</v>
      </c>
      <c r="H186" t="s">
        <v>89</v>
      </c>
      <c r="I186" t="s">
        <v>5164</v>
      </c>
      <c r="J186"/>
      <c r="K186" t="s">
        <v>5165</v>
      </c>
      <c r="L186" t="s">
        <v>5166</v>
      </c>
      <c r="M186" t="s">
        <v>5167</v>
      </c>
      <c r="Q186" s="3">
        <f t="shared" si="7"/>
        <v>2000</v>
      </c>
      <c r="V186" s="3" t="str">
        <f t="shared" si="8"/>
        <v/>
      </c>
    </row>
    <row r="187" spans="1:22" s="27" customFormat="1" x14ac:dyDescent="0.35">
      <c r="A187" t="s">
        <v>35</v>
      </c>
      <c r="B187" t="s">
        <v>1566</v>
      </c>
      <c r="C187" t="s">
        <v>16</v>
      </c>
      <c r="D187" t="s">
        <v>17</v>
      </c>
      <c r="E187">
        <v>2000</v>
      </c>
      <c r="F187" t="s">
        <v>88</v>
      </c>
      <c r="G187" s="19">
        <v>45637</v>
      </c>
      <c r="H187" t="s">
        <v>89</v>
      </c>
      <c r="I187" t="s">
        <v>5260</v>
      </c>
      <c r="J187"/>
      <c r="K187" t="s">
        <v>5261</v>
      </c>
      <c r="L187" t="s">
        <v>225</v>
      </c>
      <c r="M187" t="s">
        <v>224</v>
      </c>
      <c r="N187"/>
      <c r="O187"/>
      <c r="P187" s="28"/>
      <c r="Q187" s="3">
        <f t="shared" si="7"/>
        <v>2000</v>
      </c>
      <c r="R187" s="71"/>
      <c r="S187" s="71"/>
      <c r="V187" s="3" t="str">
        <f t="shared" si="8"/>
        <v/>
      </c>
    </row>
    <row r="188" spans="1:22" x14ac:dyDescent="0.35">
      <c r="A188" t="s">
        <v>35</v>
      </c>
      <c r="B188" t="s">
        <v>1566</v>
      </c>
      <c r="C188" t="s">
        <v>16</v>
      </c>
      <c r="D188" t="s">
        <v>17</v>
      </c>
      <c r="E188">
        <v>2000</v>
      </c>
      <c r="F188" t="s">
        <v>88</v>
      </c>
      <c r="G188" s="19">
        <v>45638</v>
      </c>
      <c r="H188" t="s">
        <v>94</v>
      </c>
      <c r="I188" t="s">
        <v>4612</v>
      </c>
      <c r="J188" t="s">
        <v>5286</v>
      </c>
      <c r="O188" t="s">
        <v>5287</v>
      </c>
      <c r="Q188" s="3">
        <f t="shared" si="7"/>
        <v>2000</v>
      </c>
      <c r="V188" s="3" t="str">
        <f t="shared" si="8"/>
        <v/>
      </c>
    </row>
    <row r="189" spans="1:22" x14ac:dyDescent="0.35">
      <c r="A189" t="s">
        <v>0</v>
      </c>
      <c r="B189" t="s">
        <v>1566</v>
      </c>
      <c r="C189" t="s">
        <v>16</v>
      </c>
      <c r="D189" t="s">
        <v>17</v>
      </c>
      <c r="E189">
        <v>1995.78</v>
      </c>
      <c r="F189" t="s">
        <v>88</v>
      </c>
      <c r="G189" s="19">
        <v>45457</v>
      </c>
      <c r="H189" t="s">
        <v>89</v>
      </c>
      <c r="I189" t="s">
        <v>3598</v>
      </c>
      <c r="J189"/>
      <c r="K189" t="s">
        <v>101</v>
      </c>
      <c r="L189" t="s">
        <v>3599</v>
      </c>
      <c r="M189" t="s">
        <v>3600</v>
      </c>
      <c r="Q189" s="3">
        <f t="shared" si="7"/>
        <v>1995.78</v>
      </c>
      <c r="V189" s="3" t="str">
        <f t="shared" si="8"/>
        <v/>
      </c>
    </row>
    <row r="190" spans="1:22" x14ac:dyDescent="0.35">
      <c r="A190" t="s">
        <v>0</v>
      </c>
      <c r="B190" t="s">
        <v>1566</v>
      </c>
      <c r="C190" t="s">
        <v>16</v>
      </c>
      <c r="D190" t="s">
        <v>17</v>
      </c>
      <c r="E190">
        <v>1995.78</v>
      </c>
      <c r="F190" t="s">
        <v>88</v>
      </c>
      <c r="G190" s="19">
        <v>45464</v>
      </c>
      <c r="H190" t="s">
        <v>89</v>
      </c>
      <c r="I190" t="s">
        <v>3646</v>
      </c>
      <c r="J190"/>
      <c r="K190" t="s">
        <v>101</v>
      </c>
      <c r="L190" t="s">
        <v>3647</v>
      </c>
      <c r="M190" t="s">
        <v>3648</v>
      </c>
      <c r="Q190" s="3">
        <f t="shared" si="7"/>
        <v>1995.78</v>
      </c>
      <c r="V190" s="3" t="str">
        <f t="shared" si="8"/>
        <v/>
      </c>
    </row>
    <row r="191" spans="1:22" x14ac:dyDescent="0.35">
      <c r="A191" t="s">
        <v>0</v>
      </c>
      <c r="B191" t="s">
        <v>1566</v>
      </c>
      <c r="C191" t="s">
        <v>16</v>
      </c>
      <c r="D191" t="s">
        <v>17</v>
      </c>
      <c r="E191">
        <v>1975.82</v>
      </c>
      <c r="F191" t="s">
        <v>88</v>
      </c>
      <c r="G191" s="19">
        <v>45630</v>
      </c>
      <c r="H191" t="s">
        <v>89</v>
      </c>
      <c r="I191" t="s">
        <v>5137</v>
      </c>
      <c r="J191"/>
      <c r="K191" t="s">
        <v>5138</v>
      </c>
      <c r="L191" t="s">
        <v>196</v>
      </c>
      <c r="M191" t="s">
        <v>162</v>
      </c>
      <c r="Q191" s="3">
        <f t="shared" si="7"/>
        <v>1975.82</v>
      </c>
      <c r="V191" s="3" t="str">
        <f t="shared" si="8"/>
        <v/>
      </c>
    </row>
    <row r="192" spans="1:22" x14ac:dyDescent="0.35">
      <c r="A192" t="s">
        <v>0</v>
      </c>
      <c r="B192" t="s">
        <v>1566</v>
      </c>
      <c r="C192" t="s">
        <v>16</v>
      </c>
      <c r="D192" t="s">
        <v>17</v>
      </c>
      <c r="E192">
        <v>1972.37</v>
      </c>
      <c r="F192" t="s">
        <v>88</v>
      </c>
      <c r="G192" s="19">
        <v>45461</v>
      </c>
      <c r="H192" t="s">
        <v>89</v>
      </c>
      <c r="I192" t="s">
        <v>3632</v>
      </c>
      <c r="J192"/>
      <c r="K192" t="s">
        <v>3633</v>
      </c>
      <c r="L192" t="s">
        <v>3634</v>
      </c>
      <c r="M192" t="s">
        <v>3635</v>
      </c>
      <c r="Q192" s="3">
        <f t="shared" si="7"/>
        <v>1972.37</v>
      </c>
      <c r="V192" s="3" t="str">
        <f t="shared" si="8"/>
        <v/>
      </c>
    </row>
    <row r="193" spans="1:22" x14ac:dyDescent="0.35">
      <c r="A193" t="s">
        <v>0</v>
      </c>
      <c r="B193" t="s">
        <v>1566</v>
      </c>
      <c r="C193" t="s">
        <v>16</v>
      </c>
      <c r="D193" t="s">
        <v>17</v>
      </c>
      <c r="E193">
        <v>1959.25</v>
      </c>
      <c r="F193" t="s">
        <v>88</v>
      </c>
      <c r="G193" s="19">
        <v>45505</v>
      </c>
      <c r="H193" t="s">
        <v>89</v>
      </c>
      <c r="I193" t="s">
        <v>3921</v>
      </c>
      <c r="J193"/>
      <c r="K193" t="s">
        <v>3922</v>
      </c>
      <c r="L193" t="s">
        <v>3923</v>
      </c>
      <c r="M193" t="s">
        <v>2500</v>
      </c>
      <c r="Q193" s="3">
        <f t="shared" si="7"/>
        <v>1959.25</v>
      </c>
      <c r="V193" s="3" t="str">
        <f t="shared" si="8"/>
        <v/>
      </c>
    </row>
    <row r="194" spans="1:22" x14ac:dyDescent="0.35">
      <c r="A194" t="s">
        <v>0</v>
      </c>
      <c r="B194" t="s">
        <v>1566</v>
      </c>
      <c r="C194" t="s">
        <v>16</v>
      </c>
      <c r="D194" t="s">
        <v>17</v>
      </c>
      <c r="E194">
        <v>1949.46</v>
      </c>
      <c r="F194" t="s">
        <v>88</v>
      </c>
      <c r="G194" s="19">
        <v>45537</v>
      </c>
      <c r="H194" t="s">
        <v>89</v>
      </c>
      <c r="I194" t="s">
        <v>4151</v>
      </c>
      <c r="J194"/>
      <c r="K194" t="s">
        <v>4152</v>
      </c>
      <c r="L194" t="s">
        <v>4153</v>
      </c>
      <c r="M194" t="s">
        <v>2500</v>
      </c>
      <c r="Q194" s="3">
        <f t="shared" si="7"/>
        <v>1949.46</v>
      </c>
      <c r="V194" s="3" t="str">
        <f t="shared" si="8"/>
        <v/>
      </c>
    </row>
    <row r="195" spans="1:22" x14ac:dyDescent="0.35">
      <c r="A195" t="s">
        <v>35</v>
      </c>
      <c r="B195" t="s">
        <v>1566</v>
      </c>
      <c r="C195" t="s">
        <v>16</v>
      </c>
      <c r="D195" t="s">
        <v>17</v>
      </c>
      <c r="E195">
        <v>1939.45</v>
      </c>
      <c r="F195" t="s">
        <v>88</v>
      </c>
      <c r="G195" s="19">
        <v>45635</v>
      </c>
      <c r="H195" t="s">
        <v>94</v>
      </c>
      <c r="I195" t="s">
        <v>5189</v>
      </c>
      <c r="J195" t="s">
        <v>5190</v>
      </c>
      <c r="O195" t="s">
        <v>5191</v>
      </c>
      <c r="Q195" s="3">
        <f t="shared" si="7"/>
        <v>1939.45</v>
      </c>
      <c r="V195" s="3" t="str">
        <f t="shared" si="8"/>
        <v/>
      </c>
    </row>
    <row r="196" spans="1:22" x14ac:dyDescent="0.35">
      <c r="A196" t="s">
        <v>0</v>
      </c>
      <c r="B196" t="s">
        <v>1566</v>
      </c>
      <c r="C196" t="s">
        <v>16</v>
      </c>
      <c r="D196" t="s">
        <v>17</v>
      </c>
      <c r="E196">
        <v>1932.52</v>
      </c>
      <c r="F196" t="s">
        <v>88</v>
      </c>
      <c r="G196" s="19">
        <v>45436</v>
      </c>
      <c r="H196" t="s">
        <v>89</v>
      </c>
      <c r="I196" t="s">
        <v>3354</v>
      </c>
      <c r="J196"/>
      <c r="K196" t="s">
        <v>101</v>
      </c>
      <c r="L196" t="s">
        <v>3355</v>
      </c>
      <c r="M196" t="s">
        <v>3356</v>
      </c>
      <c r="Q196" s="3">
        <f t="shared" si="7"/>
        <v>1932.52</v>
      </c>
      <c r="V196" s="3" t="str">
        <f t="shared" si="8"/>
        <v/>
      </c>
    </row>
    <row r="197" spans="1:22" x14ac:dyDescent="0.35">
      <c r="A197" t="s">
        <v>0</v>
      </c>
      <c r="B197" t="s">
        <v>1566</v>
      </c>
      <c r="C197" t="s">
        <v>16</v>
      </c>
      <c r="D197" t="s">
        <v>17</v>
      </c>
      <c r="E197">
        <v>1920.94</v>
      </c>
      <c r="F197" t="s">
        <v>88</v>
      </c>
      <c r="G197" s="19">
        <v>45517</v>
      </c>
      <c r="H197" t="s">
        <v>89</v>
      </c>
      <c r="I197" t="s">
        <v>3998</v>
      </c>
      <c r="J197"/>
      <c r="K197" t="s">
        <v>3999</v>
      </c>
      <c r="L197" t="s">
        <v>4000</v>
      </c>
      <c r="M197" t="s">
        <v>4001</v>
      </c>
      <c r="Q197" s="3">
        <f t="shared" si="7"/>
        <v>1920.94</v>
      </c>
      <c r="V197" s="3" t="str">
        <f t="shared" si="8"/>
        <v/>
      </c>
    </row>
    <row r="198" spans="1:22" x14ac:dyDescent="0.35">
      <c r="A198" t="s">
        <v>35</v>
      </c>
      <c r="B198" t="s">
        <v>1566</v>
      </c>
      <c r="C198" t="s">
        <v>16</v>
      </c>
      <c r="D198" t="s">
        <v>17</v>
      </c>
      <c r="E198">
        <v>1905.97</v>
      </c>
      <c r="F198" t="s">
        <v>88</v>
      </c>
      <c r="G198" s="19">
        <v>45449</v>
      </c>
      <c r="H198" t="s">
        <v>89</v>
      </c>
      <c r="I198" t="s">
        <v>3455</v>
      </c>
      <c r="J198"/>
      <c r="K198" t="s">
        <v>3456</v>
      </c>
      <c r="L198" t="s">
        <v>3457</v>
      </c>
      <c r="M198" t="s">
        <v>195</v>
      </c>
      <c r="Q198" s="3">
        <f t="shared" si="7"/>
        <v>1905.97</v>
      </c>
      <c r="V198" s="3" t="str">
        <f t="shared" si="8"/>
        <v/>
      </c>
    </row>
    <row r="199" spans="1:22" x14ac:dyDescent="0.35">
      <c r="A199" t="s">
        <v>35</v>
      </c>
      <c r="B199" t="s">
        <v>1566</v>
      </c>
      <c r="C199" t="s">
        <v>16</v>
      </c>
      <c r="D199" t="s">
        <v>17</v>
      </c>
      <c r="E199">
        <v>1828.18</v>
      </c>
      <c r="F199" t="s">
        <v>88</v>
      </c>
      <c r="G199" s="19">
        <v>45637</v>
      </c>
      <c r="H199" t="s">
        <v>94</v>
      </c>
      <c r="I199" t="s">
        <v>5266</v>
      </c>
      <c r="J199" t="s">
        <v>5267</v>
      </c>
      <c r="O199" t="s">
        <v>5268</v>
      </c>
      <c r="Q199" s="3">
        <f t="shared" si="7"/>
        <v>1828.18</v>
      </c>
      <c r="V199" s="3" t="str">
        <f t="shared" si="8"/>
        <v/>
      </c>
    </row>
    <row r="200" spans="1:22" x14ac:dyDescent="0.35">
      <c r="A200" t="s">
        <v>0</v>
      </c>
      <c r="B200" t="s">
        <v>1566</v>
      </c>
      <c r="C200" t="s">
        <v>16</v>
      </c>
      <c r="D200" t="s">
        <v>17</v>
      </c>
      <c r="E200">
        <v>1818.16</v>
      </c>
      <c r="F200" t="s">
        <v>88</v>
      </c>
      <c r="G200" s="19">
        <v>45517</v>
      </c>
      <c r="H200" t="s">
        <v>89</v>
      </c>
      <c r="I200" t="s">
        <v>4002</v>
      </c>
      <c r="J200"/>
      <c r="K200" t="s">
        <v>4003</v>
      </c>
      <c r="L200" t="s">
        <v>4004</v>
      </c>
      <c r="M200" t="s">
        <v>147</v>
      </c>
      <c r="Q200" s="3">
        <f t="shared" ref="Q200:Q263" si="13">ABS(E200)</f>
        <v>1818.16</v>
      </c>
      <c r="V200" s="3" t="str">
        <f t="shared" si="8"/>
        <v/>
      </c>
    </row>
    <row r="201" spans="1:22" x14ac:dyDescent="0.35">
      <c r="A201" t="s">
        <v>0</v>
      </c>
      <c r="B201" t="s">
        <v>1566</v>
      </c>
      <c r="C201" t="s">
        <v>16</v>
      </c>
      <c r="D201" t="s">
        <v>17</v>
      </c>
      <c r="E201">
        <v>1793.61</v>
      </c>
      <c r="F201" t="s">
        <v>88</v>
      </c>
      <c r="G201" s="19">
        <v>45488</v>
      </c>
      <c r="H201" t="s">
        <v>89</v>
      </c>
      <c r="I201" t="s">
        <v>3818</v>
      </c>
      <c r="J201"/>
      <c r="K201" t="s">
        <v>3819</v>
      </c>
      <c r="L201" t="s">
        <v>3820</v>
      </c>
      <c r="M201" t="s">
        <v>159</v>
      </c>
      <c r="Q201" s="3">
        <f t="shared" si="13"/>
        <v>1793.61</v>
      </c>
      <c r="V201" s="3" t="str">
        <f t="shared" ref="V201:V264" si="14">IF(T201="Y",E201,"")</f>
        <v/>
      </c>
    </row>
    <row r="202" spans="1:22" x14ac:dyDescent="0.35">
      <c r="A202" t="s">
        <v>0</v>
      </c>
      <c r="B202" t="s">
        <v>1566</v>
      </c>
      <c r="C202" t="s">
        <v>16</v>
      </c>
      <c r="D202" t="s">
        <v>17</v>
      </c>
      <c r="E202">
        <v>-1772.75</v>
      </c>
      <c r="F202" t="s">
        <v>88</v>
      </c>
      <c r="G202" s="19">
        <v>45475</v>
      </c>
      <c r="H202" t="s">
        <v>89</v>
      </c>
      <c r="I202" t="s">
        <v>3716</v>
      </c>
      <c r="J202"/>
      <c r="K202" t="s">
        <v>3717</v>
      </c>
      <c r="L202" t="s">
        <v>3718</v>
      </c>
      <c r="M202" t="s">
        <v>3719</v>
      </c>
      <c r="Q202" s="3">
        <f t="shared" si="13"/>
        <v>1772.75</v>
      </c>
      <c r="V202" s="3" t="str">
        <f t="shared" si="14"/>
        <v/>
      </c>
    </row>
    <row r="203" spans="1:22" x14ac:dyDescent="0.35">
      <c r="A203" t="s">
        <v>0</v>
      </c>
      <c r="B203" t="s">
        <v>1566</v>
      </c>
      <c r="C203" t="s">
        <v>16</v>
      </c>
      <c r="D203" t="s">
        <v>17</v>
      </c>
      <c r="E203">
        <v>1756.58</v>
      </c>
      <c r="F203" t="s">
        <v>88</v>
      </c>
      <c r="G203" s="19">
        <v>45580</v>
      </c>
      <c r="H203" t="s">
        <v>89</v>
      </c>
      <c r="I203" t="s">
        <v>4646</v>
      </c>
      <c r="J203"/>
      <c r="K203" t="s">
        <v>4647</v>
      </c>
      <c r="L203" t="s">
        <v>4648</v>
      </c>
      <c r="M203" t="s">
        <v>166</v>
      </c>
      <c r="Q203" s="3">
        <f t="shared" si="13"/>
        <v>1756.58</v>
      </c>
      <c r="V203" s="3" t="str">
        <f t="shared" si="14"/>
        <v/>
      </c>
    </row>
    <row r="204" spans="1:22" x14ac:dyDescent="0.35">
      <c r="A204" t="s">
        <v>35</v>
      </c>
      <c r="B204" t="s">
        <v>1566</v>
      </c>
      <c r="C204" t="s">
        <v>16</v>
      </c>
      <c r="D204" t="s">
        <v>17</v>
      </c>
      <c r="E204">
        <v>1728.85</v>
      </c>
      <c r="F204" t="s">
        <v>88</v>
      </c>
      <c r="G204" s="19">
        <v>45457</v>
      </c>
      <c r="H204" t="s">
        <v>89</v>
      </c>
      <c r="I204" t="s">
        <v>3601</v>
      </c>
      <c r="J204"/>
      <c r="K204" t="s">
        <v>3602</v>
      </c>
      <c r="L204" t="s">
        <v>3603</v>
      </c>
      <c r="M204" t="s">
        <v>3275</v>
      </c>
      <c r="Q204" s="3">
        <f t="shared" si="13"/>
        <v>1728.85</v>
      </c>
      <c r="V204" s="3" t="str">
        <f t="shared" si="14"/>
        <v/>
      </c>
    </row>
    <row r="205" spans="1:22" x14ac:dyDescent="0.35">
      <c r="A205" t="s">
        <v>0</v>
      </c>
      <c r="B205" t="s">
        <v>1566</v>
      </c>
      <c r="C205" t="s">
        <v>16</v>
      </c>
      <c r="D205" t="s">
        <v>17</v>
      </c>
      <c r="E205">
        <v>1716.37</v>
      </c>
      <c r="F205" t="s">
        <v>88</v>
      </c>
      <c r="G205" s="19">
        <v>45428</v>
      </c>
      <c r="H205" t="s">
        <v>89</v>
      </c>
      <c r="I205" t="s">
        <v>3270</v>
      </c>
      <c r="J205"/>
      <c r="K205" t="s">
        <v>3268</v>
      </c>
      <c r="L205" t="s">
        <v>3271</v>
      </c>
      <c r="M205" t="s">
        <v>195</v>
      </c>
      <c r="Q205" s="3">
        <f t="shared" si="13"/>
        <v>1716.37</v>
      </c>
      <c r="V205" s="3" t="str">
        <f t="shared" si="14"/>
        <v/>
      </c>
    </row>
    <row r="206" spans="1:22" x14ac:dyDescent="0.35">
      <c r="A206" t="s">
        <v>35</v>
      </c>
      <c r="B206" t="s">
        <v>1566</v>
      </c>
      <c r="C206" t="s">
        <v>16</v>
      </c>
      <c r="D206" t="s">
        <v>17</v>
      </c>
      <c r="E206">
        <v>1714.55</v>
      </c>
      <c r="F206" t="s">
        <v>88</v>
      </c>
      <c r="G206" s="19">
        <v>45404</v>
      </c>
      <c r="H206" t="s">
        <v>94</v>
      </c>
      <c r="I206" t="s">
        <v>3082</v>
      </c>
      <c r="J206" t="s">
        <v>3083</v>
      </c>
      <c r="O206" t="s">
        <v>3084</v>
      </c>
      <c r="Q206" s="3">
        <f t="shared" si="13"/>
        <v>1714.55</v>
      </c>
      <c r="S206" s="69" t="s">
        <v>53</v>
      </c>
      <c r="T206" t="s">
        <v>64</v>
      </c>
      <c r="U206" t="str">
        <f>B206</f>
        <v>AU032046</v>
      </c>
      <c r="V206" s="3">
        <f t="shared" si="14"/>
        <v>1714.55</v>
      </c>
    </row>
    <row r="207" spans="1:22" x14ac:dyDescent="0.35">
      <c r="A207" t="s">
        <v>0</v>
      </c>
      <c r="B207" t="s">
        <v>1566</v>
      </c>
      <c r="C207" t="s">
        <v>16</v>
      </c>
      <c r="D207" t="s">
        <v>17</v>
      </c>
      <c r="E207">
        <v>1696.41</v>
      </c>
      <c r="F207" t="s">
        <v>88</v>
      </c>
      <c r="G207" s="19">
        <v>45453</v>
      </c>
      <c r="H207" t="s">
        <v>89</v>
      </c>
      <c r="I207" t="s">
        <v>3475</v>
      </c>
      <c r="J207"/>
      <c r="K207" t="s">
        <v>3476</v>
      </c>
      <c r="L207" t="s">
        <v>3477</v>
      </c>
      <c r="M207" t="s">
        <v>3478</v>
      </c>
      <c r="Q207" s="3">
        <f t="shared" si="13"/>
        <v>1696.41</v>
      </c>
      <c r="V207" s="3" t="str">
        <f t="shared" si="14"/>
        <v/>
      </c>
    </row>
    <row r="208" spans="1:22" x14ac:dyDescent="0.35">
      <c r="A208" t="s">
        <v>0</v>
      </c>
      <c r="B208" t="s">
        <v>1566</v>
      </c>
      <c r="C208" t="s">
        <v>16</v>
      </c>
      <c r="D208" t="s">
        <v>17</v>
      </c>
      <c r="E208">
        <v>1646.52</v>
      </c>
      <c r="F208" t="s">
        <v>88</v>
      </c>
      <c r="G208" s="19">
        <v>45539</v>
      </c>
      <c r="H208" t="s">
        <v>89</v>
      </c>
      <c r="I208" t="s">
        <v>4202</v>
      </c>
      <c r="J208"/>
      <c r="K208" t="s">
        <v>4203</v>
      </c>
      <c r="L208" t="s">
        <v>4204</v>
      </c>
      <c r="M208" t="s">
        <v>4205</v>
      </c>
      <c r="Q208" s="3">
        <f t="shared" si="13"/>
        <v>1646.52</v>
      </c>
      <c r="V208" s="3" t="str">
        <f t="shared" si="14"/>
        <v/>
      </c>
    </row>
    <row r="209" spans="1:22" x14ac:dyDescent="0.35">
      <c r="A209" t="s">
        <v>0</v>
      </c>
      <c r="B209" t="s">
        <v>1566</v>
      </c>
      <c r="C209" t="s">
        <v>16</v>
      </c>
      <c r="D209" t="s">
        <v>17</v>
      </c>
      <c r="E209">
        <v>1646.52</v>
      </c>
      <c r="F209" t="s">
        <v>88</v>
      </c>
      <c r="G209" s="19">
        <v>45558</v>
      </c>
      <c r="H209" t="s">
        <v>89</v>
      </c>
      <c r="I209" t="s">
        <v>4403</v>
      </c>
      <c r="J209"/>
      <c r="K209" t="s">
        <v>4404</v>
      </c>
      <c r="L209" t="s">
        <v>4405</v>
      </c>
      <c r="M209" t="s">
        <v>4406</v>
      </c>
      <c r="Q209" s="3">
        <f t="shared" si="13"/>
        <v>1646.52</v>
      </c>
      <c r="V209" s="3" t="str">
        <f t="shared" si="14"/>
        <v/>
      </c>
    </row>
    <row r="210" spans="1:22" x14ac:dyDescent="0.35">
      <c r="A210" t="s">
        <v>0</v>
      </c>
      <c r="B210" t="s">
        <v>1566</v>
      </c>
      <c r="C210" t="s">
        <v>16</v>
      </c>
      <c r="D210" t="s">
        <v>17</v>
      </c>
      <c r="E210">
        <v>1646.52</v>
      </c>
      <c r="F210" t="s">
        <v>88</v>
      </c>
      <c r="G210" s="19">
        <v>45558</v>
      </c>
      <c r="H210" t="s">
        <v>89</v>
      </c>
      <c r="I210" t="s">
        <v>4413</v>
      </c>
      <c r="J210"/>
      <c r="K210" t="s">
        <v>4414</v>
      </c>
      <c r="L210" t="s">
        <v>4415</v>
      </c>
      <c r="M210" t="s">
        <v>4416</v>
      </c>
      <c r="Q210" s="3">
        <f t="shared" si="13"/>
        <v>1646.52</v>
      </c>
      <c r="V210" s="3" t="str">
        <f t="shared" si="14"/>
        <v/>
      </c>
    </row>
    <row r="211" spans="1:22" x14ac:dyDescent="0.35">
      <c r="A211" t="s">
        <v>0</v>
      </c>
      <c r="B211" t="s">
        <v>1566</v>
      </c>
      <c r="C211" t="s">
        <v>16</v>
      </c>
      <c r="D211" t="s">
        <v>17</v>
      </c>
      <c r="E211">
        <v>1646.52</v>
      </c>
      <c r="F211" t="s">
        <v>88</v>
      </c>
      <c r="G211" s="19">
        <v>45566</v>
      </c>
      <c r="H211" t="s">
        <v>89</v>
      </c>
      <c r="I211" t="s">
        <v>4536</v>
      </c>
      <c r="J211"/>
      <c r="K211" t="s">
        <v>4537</v>
      </c>
      <c r="L211" t="s">
        <v>4538</v>
      </c>
      <c r="M211" t="s">
        <v>4539</v>
      </c>
      <c r="Q211" s="3">
        <f t="shared" si="13"/>
        <v>1646.52</v>
      </c>
      <c r="V211" s="3" t="str">
        <f t="shared" si="14"/>
        <v/>
      </c>
    </row>
    <row r="212" spans="1:22" x14ac:dyDescent="0.35">
      <c r="A212" t="s">
        <v>0</v>
      </c>
      <c r="B212" t="s">
        <v>1566</v>
      </c>
      <c r="C212" t="s">
        <v>16</v>
      </c>
      <c r="D212" t="s">
        <v>17</v>
      </c>
      <c r="E212">
        <v>1632.55</v>
      </c>
      <c r="F212" t="s">
        <v>88</v>
      </c>
      <c r="G212" s="19">
        <v>45492</v>
      </c>
      <c r="H212" t="s">
        <v>89</v>
      </c>
      <c r="I212" t="s">
        <v>3848</v>
      </c>
      <c r="J212"/>
      <c r="K212" t="s">
        <v>3849</v>
      </c>
      <c r="L212" t="s">
        <v>3850</v>
      </c>
      <c r="M212" t="s">
        <v>3851</v>
      </c>
      <c r="Q212" s="3">
        <f t="shared" si="13"/>
        <v>1632.55</v>
      </c>
      <c r="V212" s="3" t="str">
        <f t="shared" si="14"/>
        <v/>
      </c>
    </row>
    <row r="213" spans="1:22" x14ac:dyDescent="0.35">
      <c r="A213" t="s">
        <v>35</v>
      </c>
      <c r="B213" t="s">
        <v>1566</v>
      </c>
      <c r="C213" t="s">
        <v>16</v>
      </c>
      <c r="D213" t="s">
        <v>17</v>
      </c>
      <c r="E213">
        <v>1628</v>
      </c>
      <c r="F213" t="s">
        <v>88</v>
      </c>
      <c r="G213" s="19">
        <v>45537</v>
      </c>
      <c r="H213" t="s">
        <v>94</v>
      </c>
      <c r="I213" t="s">
        <v>229</v>
      </c>
      <c r="J213" t="s">
        <v>4171</v>
      </c>
      <c r="O213" t="s">
        <v>4172</v>
      </c>
      <c r="Q213" s="3">
        <f t="shared" si="13"/>
        <v>1628</v>
      </c>
      <c r="V213" s="3" t="str">
        <f t="shared" si="14"/>
        <v/>
      </c>
    </row>
    <row r="214" spans="1:22" x14ac:dyDescent="0.35">
      <c r="A214" t="s">
        <v>0</v>
      </c>
      <c r="B214" t="s">
        <v>1566</v>
      </c>
      <c r="C214" t="s">
        <v>16</v>
      </c>
      <c r="D214" t="s">
        <v>17</v>
      </c>
      <c r="E214">
        <v>1596.63</v>
      </c>
      <c r="F214" t="s">
        <v>88</v>
      </c>
      <c r="G214" s="19">
        <v>45530</v>
      </c>
      <c r="H214" t="s">
        <v>89</v>
      </c>
      <c r="I214" t="s">
        <v>4108</v>
      </c>
      <c r="J214"/>
      <c r="K214" t="s">
        <v>4109</v>
      </c>
      <c r="L214" t="s">
        <v>4110</v>
      </c>
      <c r="M214" t="s">
        <v>4111</v>
      </c>
      <c r="Q214" s="3">
        <f t="shared" si="13"/>
        <v>1596.63</v>
      </c>
      <c r="V214" s="3" t="str">
        <f t="shared" si="14"/>
        <v/>
      </c>
    </row>
    <row r="215" spans="1:22" x14ac:dyDescent="0.35">
      <c r="A215" t="s">
        <v>0</v>
      </c>
      <c r="B215" t="s">
        <v>1566</v>
      </c>
      <c r="C215" t="s">
        <v>16</v>
      </c>
      <c r="D215" t="s">
        <v>17</v>
      </c>
      <c r="E215">
        <v>1593.83</v>
      </c>
      <c r="F215" t="s">
        <v>88</v>
      </c>
      <c r="G215" s="19">
        <v>45597</v>
      </c>
      <c r="H215" t="s">
        <v>89</v>
      </c>
      <c r="I215" t="s">
        <v>4780</v>
      </c>
      <c r="J215"/>
      <c r="K215" t="s">
        <v>4781</v>
      </c>
      <c r="L215" t="s">
        <v>4782</v>
      </c>
      <c r="M215" t="s">
        <v>147</v>
      </c>
      <c r="Q215" s="3">
        <f t="shared" si="13"/>
        <v>1593.83</v>
      </c>
      <c r="V215" s="3" t="str">
        <f t="shared" si="14"/>
        <v/>
      </c>
    </row>
    <row r="216" spans="1:22" x14ac:dyDescent="0.35">
      <c r="A216" t="s">
        <v>0</v>
      </c>
      <c r="B216" t="s">
        <v>1566</v>
      </c>
      <c r="C216" t="s">
        <v>16</v>
      </c>
      <c r="D216" t="s">
        <v>17</v>
      </c>
      <c r="E216">
        <v>1574.07</v>
      </c>
      <c r="F216" t="s">
        <v>88</v>
      </c>
      <c r="G216" s="19">
        <v>45580</v>
      </c>
      <c r="H216" t="s">
        <v>89</v>
      </c>
      <c r="I216" t="s">
        <v>4643</v>
      </c>
      <c r="J216"/>
      <c r="K216" t="s">
        <v>4644</v>
      </c>
      <c r="L216" t="s">
        <v>4645</v>
      </c>
      <c r="M216" t="s">
        <v>166</v>
      </c>
      <c r="Q216" s="3">
        <f t="shared" si="13"/>
        <v>1574.07</v>
      </c>
      <c r="V216" s="3" t="str">
        <f t="shared" si="14"/>
        <v/>
      </c>
    </row>
    <row r="217" spans="1:22" x14ac:dyDescent="0.35">
      <c r="A217" t="s">
        <v>35</v>
      </c>
      <c r="B217" t="s">
        <v>1566</v>
      </c>
      <c r="C217" t="s">
        <v>16</v>
      </c>
      <c r="D217" t="s">
        <v>17</v>
      </c>
      <c r="E217">
        <v>1538.85</v>
      </c>
      <c r="F217" t="s">
        <v>88</v>
      </c>
      <c r="G217" s="19">
        <v>45404</v>
      </c>
      <c r="H217" t="s">
        <v>94</v>
      </c>
      <c r="I217" t="s">
        <v>204</v>
      </c>
      <c r="J217" t="s">
        <v>3094</v>
      </c>
      <c r="O217" t="s">
        <v>3031</v>
      </c>
      <c r="Q217" s="3">
        <f t="shared" si="13"/>
        <v>1538.85</v>
      </c>
      <c r="V217" s="3" t="str">
        <f t="shared" si="14"/>
        <v/>
      </c>
    </row>
    <row r="218" spans="1:22" x14ac:dyDescent="0.35">
      <c r="A218" t="s">
        <v>35</v>
      </c>
      <c r="B218" t="s">
        <v>1566</v>
      </c>
      <c r="C218" t="s">
        <v>16</v>
      </c>
      <c r="D218" t="s">
        <v>17</v>
      </c>
      <c r="E218">
        <v>1528.09</v>
      </c>
      <c r="F218" t="s">
        <v>88</v>
      </c>
      <c r="G218" s="19">
        <v>45397</v>
      </c>
      <c r="H218" t="s">
        <v>89</v>
      </c>
      <c r="I218" t="s">
        <v>3005</v>
      </c>
      <c r="J218"/>
      <c r="K218" t="s">
        <v>3006</v>
      </c>
      <c r="L218" t="s">
        <v>3007</v>
      </c>
      <c r="M218" t="s">
        <v>3008</v>
      </c>
      <c r="Q218" s="3">
        <f t="shared" si="13"/>
        <v>1528.09</v>
      </c>
      <c r="V218" s="3" t="str">
        <f t="shared" si="14"/>
        <v/>
      </c>
    </row>
    <row r="219" spans="1:22" x14ac:dyDescent="0.35">
      <c r="A219" t="s">
        <v>0</v>
      </c>
      <c r="B219" t="s">
        <v>1566</v>
      </c>
      <c r="C219" t="s">
        <v>16</v>
      </c>
      <c r="D219" t="s">
        <v>17</v>
      </c>
      <c r="E219">
        <v>1516.44</v>
      </c>
      <c r="F219" t="s">
        <v>88</v>
      </c>
      <c r="G219" s="19">
        <v>45637</v>
      </c>
      <c r="H219" t="s">
        <v>89</v>
      </c>
      <c r="I219" t="s">
        <v>5228</v>
      </c>
      <c r="J219"/>
      <c r="K219" t="s">
        <v>5232</v>
      </c>
      <c r="L219" t="s">
        <v>5230</v>
      </c>
      <c r="M219" t="s">
        <v>5231</v>
      </c>
      <c r="Q219" s="3">
        <f t="shared" si="13"/>
        <v>1516.44</v>
      </c>
      <c r="S219" s="69" t="s">
        <v>53</v>
      </c>
      <c r="T219" t="s">
        <v>64</v>
      </c>
      <c r="U219" t="str">
        <f>B219</f>
        <v>AU032046</v>
      </c>
      <c r="V219" s="3">
        <f t="shared" si="14"/>
        <v>1516.44</v>
      </c>
    </row>
    <row r="220" spans="1:22" x14ac:dyDescent="0.35">
      <c r="A220" t="s">
        <v>0</v>
      </c>
      <c r="B220" t="s">
        <v>1566</v>
      </c>
      <c r="C220" t="s">
        <v>16</v>
      </c>
      <c r="D220" t="s">
        <v>17</v>
      </c>
      <c r="E220">
        <v>1500</v>
      </c>
      <c r="F220" t="s">
        <v>88</v>
      </c>
      <c r="G220" s="19">
        <v>45401</v>
      </c>
      <c r="H220" t="s">
        <v>89</v>
      </c>
      <c r="I220" t="s">
        <v>3032</v>
      </c>
      <c r="J220"/>
      <c r="K220" t="s">
        <v>198</v>
      </c>
      <c r="L220" t="s">
        <v>3033</v>
      </c>
      <c r="M220" t="s">
        <v>3034</v>
      </c>
      <c r="Q220" s="3">
        <f t="shared" si="13"/>
        <v>1500</v>
      </c>
      <c r="V220" s="3" t="str">
        <f t="shared" si="14"/>
        <v/>
      </c>
    </row>
    <row r="221" spans="1:22" x14ac:dyDescent="0.35">
      <c r="A221" t="s">
        <v>0</v>
      </c>
      <c r="B221" t="s">
        <v>1566</v>
      </c>
      <c r="C221" t="s">
        <v>16</v>
      </c>
      <c r="D221" t="s">
        <v>17</v>
      </c>
      <c r="E221">
        <v>1500</v>
      </c>
      <c r="F221" t="s">
        <v>88</v>
      </c>
      <c r="G221" s="19">
        <v>45489</v>
      </c>
      <c r="H221" t="s">
        <v>89</v>
      </c>
      <c r="I221" t="s">
        <v>3831</v>
      </c>
      <c r="J221"/>
      <c r="K221" t="s">
        <v>101</v>
      </c>
      <c r="L221" t="s">
        <v>3832</v>
      </c>
      <c r="M221" t="s">
        <v>3833</v>
      </c>
      <c r="Q221" s="3">
        <f t="shared" si="13"/>
        <v>1500</v>
      </c>
      <c r="V221" s="3" t="str">
        <f t="shared" si="14"/>
        <v/>
      </c>
    </row>
    <row r="222" spans="1:22" x14ac:dyDescent="0.35">
      <c r="A222" t="s">
        <v>0</v>
      </c>
      <c r="B222" t="s">
        <v>1566</v>
      </c>
      <c r="C222" t="s">
        <v>16</v>
      </c>
      <c r="D222" t="s">
        <v>17</v>
      </c>
      <c r="E222">
        <v>1500</v>
      </c>
      <c r="F222" t="s">
        <v>88</v>
      </c>
      <c r="G222" s="19">
        <v>45566</v>
      </c>
      <c r="H222" t="s">
        <v>89</v>
      </c>
      <c r="I222" t="s">
        <v>4548</v>
      </c>
      <c r="J222"/>
      <c r="K222" t="s">
        <v>4549</v>
      </c>
      <c r="L222" t="s">
        <v>4550</v>
      </c>
      <c r="M222" t="s">
        <v>4551</v>
      </c>
      <c r="Q222" s="3">
        <f t="shared" si="13"/>
        <v>1500</v>
      </c>
      <c r="V222" s="3" t="str">
        <f t="shared" si="14"/>
        <v/>
      </c>
    </row>
    <row r="223" spans="1:22" x14ac:dyDescent="0.35">
      <c r="A223" t="s">
        <v>0</v>
      </c>
      <c r="B223" t="s">
        <v>1566</v>
      </c>
      <c r="C223" t="s">
        <v>16</v>
      </c>
      <c r="D223" t="s">
        <v>17</v>
      </c>
      <c r="E223">
        <v>1496.84</v>
      </c>
      <c r="F223" t="s">
        <v>88</v>
      </c>
      <c r="G223" s="19">
        <v>45462</v>
      </c>
      <c r="H223" t="s">
        <v>89</v>
      </c>
      <c r="I223" t="s">
        <v>3636</v>
      </c>
      <c r="J223"/>
      <c r="K223" t="s">
        <v>3637</v>
      </c>
      <c r="L223" t="s">
        <v>3638</v>
      </c>
      <c r="M223" t="s">
        <v>3639</v>
      </c>
      <c r="Q223" s="3">
        <f t="shared" si="13"/>
        <v>1496.84</v>
      </c>
      <c r="V223" s="3" t="str">
        <f t="shared" si="14"/>
        <v/>
      </c>
    </row>
    <row r="224" spans="1:22" x14ac:dyDescent="0.35">
      <c r="A224" t="s">
        <v>0</v>
      </c>
      <c r="B224" t="s">
        <v>1566</v>
      </c>
      <c r="C224" t="s">
        <v>16</v>
      </c>
      <c r="D224" t="s">
        <v>17</v>
      </c>
      <c r="E224">
        <v>1496.84</v>
      </c>
      <c r="F224" t="s">
        <v>88</v>
      </c>
      <c r="G224" s="19">
        <v>45475</v>
      </c>
      <c r="H224" t="s">
        <v>89</v>
      </c>
      <c r="I224" t="s">
        <v>3760</v>
      </c>
      <c r="J224"/>
      <c r="K224" t="s">
        <v>101</v>
      </c>
      <c r="L224" t="s">
        <v>3761</v>
      </c>
      <c r="M224" t="s">
        <v>3762</v>
      </c>
      <c r="Q224" s="3">
        <f t="shared" si="13"/>
        <v>1496.84</v>
      </c>
      <c r="V224" s="3" t="str">
        <f t="shared" si="14"/>
        <v/>
      </c>
    </row>
    <row r="225" spans="1:22" x14ac:dyDescent="0.35">
      <c r="A225" t="s">
        <v>0</v>
      </c>
      <c r="B225" t="s">
        <v>1566</v>
      </c>
      <c r="C225" t="s">
        <v>16</v>
      </c>
      <c r="D225" t="s">
        <v>17</v>
      </c>
      <c r="E225">
        <v>1495.24</v>
      </c>
      <c r="F225" t="s">
        <v>88</v>
      </c>
      <c r="G225" s="19">
        <v>45517</v>
      </c>
      <c r="H225" t="s">
        <v>89</v>
      </c>
      <c r="I225" t="s">
        <v>4008</v>
      </c>
      <c r="J225"/>
      <c r="K225" t="s">
        <v>4009</v>
      </c>
      <c r="L225" t="s">
        <v>4010</v>
      </c>
      <c r="M225" t="s">
        <v>3966</v>
      </c>
      <c r="Q225" s="3">
        <f t="shared" si="13"/>
        <v>1495.24</v>
      </c>
      <c r="V225" s="3" t="str">
        <f t="shared" si="14"/>
        <v/>
      </c>
    </row>
    <row r="226" spans="1:22" x14ac:dyDescent="0.35">
      <c r="A226" t="s">
        <v>0</v>
      </c>
      <c r="B226" t="s">
        <v>1566</v>
      </c>
      <c r="C226" t="s">
        <v>16</v>
      </c>
      <c r="D226" t="s">
        <v>17</v>
      </c>
      <c r="E226">
        <v>1486.86</v>
      </c>
      <c r="F226" t="s">
        <v>88</v>
      </c>
      <c r="G226" s="19">
        <v>45428</v>
      </c>
      <c r="H226" t="s">
        <v>89</v>
      </c>
      <c r="I226" t="s">
        <v>3267</v>
      </c>
      <c r="J226"/>
      <c r="K226" t="s">
        <v>3268</v>
      </c>
      <c r="L226" t="s">
        <v>3269</v>
      </c>
      <c r="M226" t="s">
        <v>195</v>
      </c>
      <c r="Q226" s="3">
        <f t="shared" si="13"/>
        <v>1486.86</v>
      </c>
      <c r="V226" s="3" t="str">
        <f t="shared" si="14"/>
        <v/>
      </c>
    </row>
    <row r="227" spans="1:22" x14ac:dyDescent="0.35">
      <c r="A227" t="s">
        <v>35</v>
      </c>
      <c r="B227" t="s">
        <v>1566</v>
      </c>
      <c r="C227" t="s">
        <v>16</v>
      </c>
      <c r="D227" t="s">
        <v>17</v>
      </c>
      <c r="E227">
        <v>1462.22</v>
      </c>
      <c r="F227" t="s">
        <v>88</v>
      </c>
      <c r="G227" s="19">
        <v>45404</v>
      </c>
      <c r="H227" t="s">
        <v>94</v>
      </c>
      <c r="I227" t="s">
        <v>3077</v>
      </c>
      <c r="J227" t="s">
        <v>3078</v>
      </c>
      <c r="O227" t="s">
        <v>818</v>
      </c>
      <c r="Q227" s="3">
        <f t="shared" si="13"/>
        <v>1462.22</v>
      </c>
      <c r="V227" s="3" t="str">
        <f t="shared" si="14"/>
        <v/>
      </c>
    </row>
    <row r="228" spans="1:22" x14ac:dyDescent="0.35">
      <c r="A228" t="s">
        <v>35</v>
      </c>
      <c r="B228" t="s">
        <v>1566</v>
      </c>
      <c r="C228" t="s">
        <v>16</v>
      </c>
      <c r="D228" t="s">
        <v>17</v>
      </c>
      <c r="E228">
        <v>1462.22</v>
      </c>
      <c r="F228" t="s">
        <v>88</v>
      </c>
      <c r="G228" s="19">
        <v>45404</v>
      </c>
      <c r="H228" t="s">
        <v>94</v>
      </c>
      <c r="I228" t="s">
        <v>3096</v>
      </c>
      <c r="J228" t="s">
        <v>3097</v>
      </c>
      <c r="O228" t="s">
        <v>818</v>
      </c>
      <c r="Q228" s="3">
        <f t="shared" si="13"/>
        <v>1462.22</v>
      </c>
      <c r="V228" s="3" t="str">
        <f t="shared" si="14"/>
        <v/>
      </c>
    </row>
    <row r="229" spans="1:22" x14ac:dyDescent="0.35">
      <c r="A229" t="s">
        <v>35</v>
      </c>
      <c r="B229" t="s">
        <v>1566</v>
      </c>
      <c r="C229" t="s">
        <v>16</v>
      </c>
      <c r="D229" t="s">
        <v>17</v>
      </c>
      <c r="E229">
        <v>1454.55</v>
      </c>
      <c r="F229" t="s">
        <v>88</v>
      </c>
      <c r="G229" s="19">
        <v>45474</v>
      </c>
      <c r="H229" t="s">
        <v>94</v>
      </c>
      <c r="I229" t="s">
        <v>237</v>
      </c>
      <c r="J229" t="s">
        <v>3747</v>
      </c>
      <c r="O229" t="s">
        <v>3748</v>
      </c>
      <c r="Q229" s="3">
        <f t="shared" si="13"/>
        <v>1454.55</v>
      </c>
      <c r="S229" s="69" t="s">
        <v>53</v>
      </c>
      <c r="T229" t="s">
        <v>64</v>
      </c>
      <c r="U229" t="str">
        <f>B229</f>
        <v>AU032046</v>
      </c>
      <c r="V229" s="3">
        <f t="shared" si="14"/>
        <v>1454.55</v>
      </c>
    </row>
    <row r="230" spans="1:22" x14ac:dyDescent="0.35">
      <c r="A230" t="s">
        <v>0</v>
      </c>
      <c r="B230" t="s">
        <v>633</v>
      </c>
      <c r="C230" t="s">
        <v>16</v>
      </c>
      <c r="D230" t="s">
        <v>17</v>
      </c>
      <c r="E230">
        <v>1450</v>
      </c>
      <c r="F230" t="s">
        <v>88</v>
      </c>
      <c r="G230" s="19">
        <v>45488</v>
      </c>
      <c r="H230" t="s">
        <v>89</v>
      </c>
      <c r="I230" t="s">
        <v>3826</v>
      </c>
      <c r="J230"/>
      <c r="K230" t="s">
        <v>101</v>
      </c>
      <c r="L230" t="s">
        <v>3827</v>
      </c>
      <c r="M230" t="s">
        <v>3828</v>
      </c>
      <c r="Q230" s="3">
        <f t="shared" si="13"/>
        <v>1450</v>
      </c>
      <c r="V230" s="3" t="str">
        <f t="shared" si="14"/>
        <v/>
      </c>
    </row>
    <row r="231" spans="1:22" x14ac:dyDescent="0.35">
      <c r="A231" t="s">
        <v>0</v>
      </c>
      <c r="B231" t="s">
        <v>1566</v>
      </c>
      <c r="C231" t="s">
        <v>16</v>
      </c>
      <c r="D231" t="s">
        <v>17</v>
      </c>
      <c r="E231">
        <v>1443.45</v>
      </c>
      <c r="F231" t="s">
        <v>88</v>
      </c>
      <c r="G231" s="19">
        <v>45452</v>
      </c>
      <c r="H231" t="s">
        <v>89</v>
      </c>
      <c r="I231" t="s">
        <v>3470</v>
      </c>
      <c r="J231"/>
      <c r="K231" t="s">
        <v>101</v>
      </c>
      <c r="L231" t="s">
        <v>3471</v>
      </c>
      <c r="M231" t="s">
        <v>159</v>
      </c>
      <c r="Q231" s="3">
        <f t="shared" si="13"/>
        <v>1443.45</v>
      </c>
      <c r="V231" s="3" t="str">
        <f t="shared" si="14"/>
        <v/>
      </c>
    </row>
    <row r="232" spans="1:22" x14ac:dyDescent="0.35">
      <c r="A232" t="s">
        <v>35</v>
      </c>
      <c r="B232" t="s">
        <v>1566</v>
      </c>
      <c r="C232" t="s">
        <v>16</v>
      </c>
      <c r="D232" t="s">
        <v>17</v>
      </c>
      <c r="E232">
        <v>1431.82</v>
      </c>
      <c r="F232" t="s">
        <v>88</v>
      </c>
      <c r="G232" s="19">
        <v>45453</v>
      </c>
      <c r="H232" t="s">
        <v>94</v>
      </c>
      <c r="I232" t="s">
        <v>3544</v>
      </c>
      <c r="J232" t="s">
        <v>3545</v>
      </c>
      <c r="O232" t="s">
        <v>3546</v>
      </c>
      <c r="Q232" s="3">
        <f t="shared" si="13"/>
        <v>1431.82</v>
      </c>
      <c r="S232" s="69" t="s">
        <v>53</v>
      </c>
      <c r="T232" t="s">
        <v>64</v>
      </c>
      <c r="U232" t="str">
        <f>B232</f>
        <v>AU032046</v>
      </c>
      <c r="V232" s="3">
        <f t="shared" si="14"/>
        <v>1431.82</v>
      </c>
    </row>
    <row r="233" spans="1:22" x14ac:dyDescent="0.35">
      <c r="A233" t="s">
        <v>0</v>
      </c>
      <c r="B233" t="s">
        <v>1566</v>
      </c>
      <c r="C233" t="s">
        <v>16</v>
      </c>
      <c r="D233" t="s">
        <v>17</v>
      </c>
      <c r="E233">
        <v>1410.28</v>
      </c>
      <c r="F233" t="s">
        <v>88</v>
      </c>
      <c r="G233" s="19">
        <v>45519</v>
      </c>
      <c r="H233" t="s">
        <v>89</v>
      </c>
      <c r="I233" t="s">
        <v>4035</v>
      </c>
      <c r="J233"/>
      <c r="K233" t="s">
        <v>4036</v>
      </c>
      <c r="L233" t="s">
        <v>4037</v>
      </c>
      <c r="M233" t="s">
        <v>158</v>
      </c>
      <c r="Q233" s="3">
        <f t="shared" si="13"/>
        <v>1410.28</v>
      </c>
      <c r="V233" s="3" t="str">
        <f t="shared" si="14"/>
        <v/>
      </c>
    </row>
    <row r="234" spans="1:22" x14ac:dyDescent="0.35">
      <c r="A234" t="s">
        <v>35</v>
      </c>
      <c r="B234" t="s">
        <v>1566</v>
      </c>
      <c r="C234" t="s">
        <v>16</v>
      </c>
      <c r="D234" t="s">
        <v>17</v>
      </c>
      <c r="E234">
        <v>1409.09</v>
      </c>
      <c r="F234" t="s">
        <v>88</v>
      </c>
      <c r="G234" s="19">
        <v>45453</v>
      </c>
      <c r="H234" t="s">
        <v>94</v>
      </c>
      <c r="I234" t="s">
        <v>241</v>
      </c>
      <c r="J234" t="s">
        <v>3493</v>
      </c>
      <c r="O234" t="s">
        <v>3494</v>
      </c>
      <c r="Q234" s="3">
        <f t="shared" si="13"/>
        <v>1409.09</v>
      </c>
      <c r="V234" s="3" t="str">
        <f t="shared" si="14"/>
        <v/>
      </c>
    </row>
    <row r="235" spans="1:22" x14ac:dyDescent="0.35">
      <c r="A235" t="s">
        <v>35</v>
      </c>
      <c r="B235" t="s">
        <v>1566</v>
      </c>
      <c r="C235" t="s">
        <v>16</v>
      </c>
      <c r="D235" t="s">
        <v>17</v>
      </c>
      <c r="E235">
        <v>1404</v>
      </c>
      <c r="F235" t="s">
        <v>88</v>
      </c>
      <c r="G235" s="19">
        <v>45526</v>
      </c>
      <c r="H235" t="s">
        <v>94</v>
      </c>
      <c r="I235" t="s">
        <v>4093</v>
      </c>
      <c r="J235" t="s">
        <v>4094</v>
      </c>
      <c r="O235" t="s">
        <v>4095</v>
      </c>
      <c r="Q235" s="3">
        <f t="shared" si="13"/>
        <v>1404</v>
      </c>
      <c r="V235" s="3" t="str">
        <f t="shared" si="14"/>
        <v/>
      </c>
    </row>
    <row r="236" spans="1:22" x14ac:dyDescent="0.35">
      <c r="A236" t="s">
        <v>35</v>
      </c>
      <c r="B236" t="s">
        <v>1566</v>
      </c>
      <c r="C236" t="s">
        <v>16</v>
      </c>
      <c r="D236" t="s">
        <v>17</v>
      </c>
      <c r="E236">
        <v>1375.11</v>
      </c>
      <c r="F236" t="s">
        <v>88</v>
      </c>
      <c r="G236" s="19">
        <v>45400</v>
      </c>
      <c r="H236" t="s">
        <v>94</v>
      </c>
      <c r="I236" t="s">
        <v>204</v>
      </c>
      <c r="J236" t="s">
        <v>3030</v>
      </c>
      <c r="O236" t="s">
        <v>3031</v>
      </c>
      <c r="Q236" s="3">
        <f t="shared" si="13"/>
        <v>1375.11</v>
      </c>
      <c r="V236" s="3" t="str">
        <f t="shared" si="14"/>
        <v/>
      </c>
    </row>
    <row r="237" spans="1:22" x14ac:dyDescent="0.35">
      <c r="A237" t="s">
        <v>0</v>
      </c>
      <c r="B237" t="s">
        <v>1566</v>
      </c>
      <c r="C237" t="s">
        <v>16</v>
      </c>
      <c r="D237" t="s">
        <v>17</v>
      </c>
      <c r="E237">
        <v>1350.15</v>
      </c>
      <c r="F237" t="s">
        <v>88</v>
      </c>
      <c r="G237" s="19">
        <v>45537</v>
      </c>
      <c r="H237" t="s">
        <v>89</v>
      </c>
      <c r="I237" t="s">
        <v>4148</v>
      </c>
      <c r="J237"/>
      <c r="K237" t="s">
        <v>4149</v>
      </c>
      <c r="L237" t="s">
        <v>4150</v>
      </c>
      <c r="M237" t="s">
        <v>147</v>
      </c>
      <c r="Q237" s="3">
        <f t="shared" si="13"/>
        <v>1350.15</v>
      </c>
      <c r="V237" s="3" t="str">
        <f t="shared" si="14"/>
        <v/>
      </c>
    </row>
    <row r="238" spans="1:22" x14ac:dyDescent="0.35">
      <c r="A238" t="s">
        <v>35</v>
      </c>
      <c r="B238" t="s">
        <v>1566</v>
      </c>
      <c r="C238" t="s">
        <v>16</v>
      </c>
      <c r="D238" t="s">
        <v>17</v>
      </c>
      <c r="E238">
        <v>1323.18</v>
      </c>
      <c r="F238" t="s">
        <v>88</v>
      </c>
      <c r="G238" s="19">
        <v>45537</v>
      </c>
      <c r="H238" t="s">
        <v>94</v>
      </c>
      <c r="I238" t="s">
        <v>229</v>
      </c>
      <c r="J238" t="s">
        <v>4165</v>
      </c>
      <c r="O238" t="s">
        <v>4166</v>
      </c>
      <c r="Q238" s="3">
        <f t="shared" si="13"/>
        <v>1323.18</v>
      </c>
      <c r="V238" s="3" t="str">
        <f t="shared" si="14"/>
        <v/>
      </c>
    </row>
    <row r="239" spans="1:22" x14ac:dyDescent="0.35">
      <c r="A239" t="s">
        <v>0</v>
      </c>
      <c r="B239" t="s">
        <v>1566</v>
      </c>
      <c r="C239" t="s">
        <v>16</v>
      </c>
      <c r="D239" t="s">
        <v>17</v>
      </c>
      <c r="E239">
        <v>1317.22</v>
      </c>
      <c r="F239" t="s">
        <v>88</v>
      </c>
      <c r="G239" s="19">
        <v>45510</v>
      </c>
      <c r="H239" t="s">
        <v>89</v>
      </c>
      <c r="I239" t="s">
        <v>3961</v>
      </c>
      <c r="J239"/>
      <c r="K239" t="s">
        <v>168</v>
      </c>
      <c r="L239" t="s">
        <v>3962</v>
      </c>
      <c r="M239" t="s">
        <v>169</v>
      </c>
      <c r="Q239" s="3">
        <f t="shared" si="13"/>
        <v>1317.22</v>
      </c>
      <c r="V239" s="3" t="str">
        <f t="shared" si="14"/>
        <v/>
      </c>
    </row>
    <row r="240" spans="1:22" ht="87" x14ac:dyDescent="0.35">
      <c r="A240" t="s">
        <v>35</v>
      </c>
      <c r="B240" t="s">
        <v>852</v>
      </c>
      <c r="C240" t="s">
        <v>16</v>
      </c>
      <c r="D240" t="s">
        <v>17</v>
      </c>
      <c r="E240">
        <v>1317.21</v>
      </c>
      <c r="F240" t="s">
        <v>88</v>
      </c>
      <c r="G240" s="19">
        <v>45401</v>
      </c>
      <c r="H240" t="s">
        <v>94</v>
      </c>
      <c r="I240" t="s">
        <v>3058</v>
      </c>
      <c r="J240" t="s">
        <v>3059</v>
      </c>
      <c r="O240" t="s">
        <v>3060</v>
      </c>
      <c r="Q240" s="3">
        <f t="shared" si="13"/>
        <v>1317.21</v>
      </c>
      <c r="R240" s="69" t="s">
        <v>5326</v>
      </c>
      <c r="S240" s="69" t="s">
        <v>5327</v>
      </c>
      <c r="V240" s="3" t="str">
        <f t="shared" si="14"/>
        <v/>
      </c>
    </row>
    <row r="241" spans="1:22" x14ac:dyDescent="0.35">
      <c r="A241" t="s">
        <v>35</v>
      </c>
      <c r="B241" t="s">
        <v>1566</v>
      </c>
      <c r="C241" t="s">
        <v>16</v>
      </c>
      <c r="D241" t="s">
        <v>17</v>
      </c>
      <c r="E241">
        <v>1298.3499999999999</v>
      </c>
      <c r="F241" t="s">
        <v>88</v>
      </c>
      <c r="G241" s="19">
        <v>45583</v>
      </c>
      <c r="H241" t="s">
        <v>94</v>
      </c>
      <c r="I241" t="s">
        <v>4682</v>
      </c>
      <c r="J241" t="s">
        <v>4683</v>
      </c>
      <c r="O241" t="s">
        <v>4684</v>
      </c>
      <c r="Q241" s="3">
        <f t="shared" si="13"/>
        <v>1298.3499999999999</v>
      </c>
      <c r="V241" s="3" t="str">
        <f t="shared" si="14"/>
        <v/>
      </c>
    </row>
    <row r="242" spans="1:22" x14ac:dyDescent="0.35">
      <c r="A242" t="s">
        <v>0</v>
      </c>
      <c r="B242" t="s">
        <v>1566</v>
      </c>
      <c r="C242" t="s">
        <v>16</v>
      </c>
      <c r="D242" t="s">
        <v>17</v>
      </c>
      <c r="E242">
        <v>1289.77</v>
      </c>
      <c r="F242" t="s">
        <v>88</v>
      </c>
      <c r="G242" s="19">
        <v>45435</v>
      </c>
      <c r="H242" t="s">
        <v>89</v>
      </c>
      <c r="I242" t="s">
        <v>3326</v>
      </c>
      <c r="J242"/>
      <c r="K242" t="s">
        <v>3327</v>
      </c>
      <c r="L242" t="s">
        <v>3328</v>
      </c>
      <c r="M242" t="s">
        <v>147</v>
      </c>
      <c r="Q242" s="3">
        <f t="shared" si="13"/>
        <v>1289.77</v>
      </c>
      <c r="V242" s="3" t="str">
        <f t="shared" si="14"/>
        <v/>
      </c>
    </row>
    <row r="243" spans="1:22" x14ac:dyDescent="0.35">
      <c r="A243" t="s">
        <v>35</v>
      </c>
      <c r="B243" t="s">
        <v>1566</v>
      </c>
      <c r="C243" t="s">
        <v>16</v>
      </c>
      <c r="D243" t="s">
        <v>17</v>
      </c>
      <c r="E243">
        <v>1287.0899999999999</v>
      </c>
      <c r="F243" t="s">
        <v>88</v>
      </c>
      <c r="G243" s="19">
        <v>45574</v>
      </c>
      <c r="H243" t="s">
        <v>94</v>
      </c>
      <c r="I243" t="s">
        <v>4608</v>
      </c>
      <c r="J243" t="s">
        <v>4609</v>
      </c>
      <c r="O243" t="s">
        <v>4610</v>
      </c>
      <c r="Q243" s="3">
        <f t="shared" si="13"/>
        <v>1287.0899999999999</v>
      </c>
      <c r="S243" s="69" t="s">
        <v>53</v>
      </c>
      <c r="T243" t="s">
        <v>64</v>
      </c>
      <c r="U243" t="str">
        <f>B243</f>
        <v>AU032046</v>
      </c>
      <c r="V243" s="3">
        <f t="shared" si="14"/>
        <v>1287.0899999999999</v>
      </c>
    </row>
    <row r="244" spans="1:22" x14ac:dyDescent="0.35">
      <c r="A244" t="s">
        <v>35</v>
      </c>
      <c r="B244" t="s">
        <v>1566</v>
      </c>
      <c r="C244" t="s">
        <v>16</v>
      </c>
      <c r="D244" t="s">
        <v>17</v>
      </c>
      <c r="E244">
        <v>1276.3499999999999</v>
      </c>
      <c r="F244" t="s">
        <v>88</v>
      </c>
      <c r="G244" s="19">
        <v>45545</v>
      </c>
      <c r="H244" t="s">
        <v>94</v>
      </c>
      <c r="I244" t="s">
        <v>232</v>
      </c>
      <c r="J244" t="s">
        <v>4278</v>
      </c>
      <c r="O244" t="s">
        <v>4279</v>
      </c>
      <c r="Q244" s="3">
        <f t="shared" si="13"/>
        <v>1276.3499999999999</v>
      </c>
      <c r="V244" s="3" t="str">
        <f t="shared" si="14"/>
        <v/>
      </c>
    </row>
    <row r="245" spans="1:22" x14ac:dyDescent="0.35">
      <c r="A245" t="s">
        <v>35</v>
      </c>
      <c r="B245" t="s">
        <v>1566</v>
      </c>
      <c r="C245" t="s">
        <v>16</v>
      </c>
      <c r="D245" t="s">
        <v>17</v>
      </c>
      <c r="E245">
        <v>1273.6400000000001</v>
      </c>
      <c r="F245" t="s">
        <v>88</v>
      </c>
      <c r="G245" s="19">
        <v>45558</v>
      </c>
      <c r="H245" t="s">
        <v>94</v>
      </c>
      <c r="I245" t="s">
        <v>4442</v>
      </c>
      <c r="J245" t="s">
        <v>4443</v>
      </c>
      <c r="O245" t="s">
        <v>4444</v>
      </c>
      <c r="Q245" s="3">
        <f t="shared" si="13"/>
        <v>1273.6400000000001</v>
      </c>
      <c r="V245" s="3" t="str">
        <f t="shared" si="14"/>
        <v/>
      </c>
    </row>
    <row r="246" spans="1:22" x14ac:dyDescent="0.35">
      <c r="A246" t="s">
        <v>0</v>
      </c>
      <c r="B246" t="s">
        <v>1566</v>
      </c>
      <c r="C246" t="s">
        <v>16</v>
      </c>
      <c r="D246" t="s">
        <v>17</v>
      </c>
      <c r="E246">
        <v>1270.02</v>
      </c>
      <c r="F246" t="s">
        <v>88</v>
      </c>
      <c r="G246" s="19">
        <v>45491</v>
      </c>
      <c r="H246" t="s">
        <v>89</v>
      </c>
      <c r="I246" t="s">
        <v>3834</v>
      </c>
      <c r="J246"/>
      <c r="K246" t="s">
        <v>3835</v>
      </c>
      <c r="L246" t="s">
        <v>3836</v>
      </c>
      <c r="M246" t="s">
        <v>159</v>
      </c>
      <c r="Q246" s="3">
        <f t="shared" si="13"/>
        <v>1270.02</v>
      </c>
      <c r="V246" s="3" t="str">
        <f t="shared" si="14"/>
        <v/>
      </c>
    </row>
    <row r="247" spans="1:22" x14ac:dyDescent="0.35">
      <c r="A247" t="s">
        <v>35</v>
      </c>
      <c r="B247" t="s">
        <v>698</v>
      </c>
      <c r="C247" t="s">
        <v>16</v>
      </c>
      <c r="D247" t="s">
        <v>17</v>
      </c>
      <c r="E247">
        <v>1257.95</v>
      </c>
      <c r="F247" t="s">
        <v>88</v>
      </c>
      <c r="G247" s="19">
        <v>45516</v>
      </c>
      <c r="H247" t="s">
        <v>94</v>
      </c>
      <c r="I247" t="s">
        <v>3649</v>
      </c>
      <c r="J247" t="s">
        <v>3987</v>
      </c>
      <c r="O247" t="s">
        <v>3988</v>
      </c>
      <c r="Q247" s="3">
        <f t="shared" si="13"/>
        <v>1257.95</v>
      </c>
      <c r="V247" s="3" t="str">
        <f t="shared" si="14"/>
        <v/>
      </c>
    </row>
    <row r="248" spans="1:22" x14ac:dyDescent="0.35">
      <c r="A248" t="s">
        <v>0</v>
      </c>
      <c r="B248" t="s">
        <v>1566</v>
      </c>
      <c r="C248" t="s">
        <v>16</v>
      </c>
      <c r="D248" t="s">
        <v>17</v>
      </c>
      <c r="E248">
        <v>1247.3599999999999</v>
      </c>
      <c r="F248" t="s">
        <v>88</v>
      </c>
      <c r="G248" s="19">
        <v>45603</v>
      </c>
      <c r="H248" t="s">
        <v>89</v>
      </c>
      <c r="I248" t="s">
        <v>4844</v>
      </c>
      <c r="J248"/>
      <c r="K248" t="s">
        <v>4845</v>
      </c>
      <c r="L248" t="s">
        <v>4846</v>
      </c>
      <c r="M248" t="s">
        <v>4847</v>
      </c>
      <c r="Q248" s="3">
        <f t="shared" si="13"/>
        <v>1247.3599999999999</v>
      </c>
      <c r="S248" s="69" t="s">
        <v>53</v>
      </c>
      <c r="T248" t="s">
        <v>64</v>
      </c>
      <c r="U248" t="str">
        <f>B248</f>
        <v>AU032046</v>
      </c>
      <c r="V248" s="3">
        <f t="shared" si="14"/>
        <v>1247.3599999999999</v>
      </c>
    </row>
    <row r="249" spans="1:22" x14ac:dyDescent="0.35">
      <c r="A249" t="s">
        <v>35</v>
      </c>
      <c r="B249" t="s">
        <v>1566</v>
      </c>
      <c r="C249" t="s">
        <v>16</v>
      </c>
      <c r="D249" t="s">
        <v>17</v>
      </c>
      <c r="E249">
        <v>1243.73</v>
      </c>
      <c r="F249" t="s">
        <v>88</v>
      </c>
      <c r="G249" s="19">
        <v>45474</v>
      </c>
      <c r="H249" t="s">
        <v>94</v>
      </c>
      <c r="I249" t="s">
        <v>3497</v>
      </c>
      <c r="J249" t="s">
        <v>3745</v>
      </c>
      <c r="O249" t="s">
        <v>3746</v>
      </c>
      <c r="Q249" s="3">
        <f t="shared" si="13"/>
        <v>1243.73</v>
      </c>
      <c r="S249" s="69" t="s">
        <v>53</v>
      </c>
      <c r="T249" t="s">
        <v>64</v>
      </c>
      <c r="U249" t="str">
        <f>B249</f>
        <v>AU032046</v>
      </c>
      <c r="V249" s="3">
        <f t="shared" ref="V249" si="15">IF(T249="Y",E249,"")</f>
        <v>1243.73</v>
      </c>
    </row>
    <row r="250" spans="1:22" x14ac:dyDescent="0.35">
      <c r="A250" t="s">
        <v>35</v>
      </c>
      <c r="B250" t="s">
        <v>1566</v>
      </c>
      <c r="C250" t="s">
        <v>16</v>
      </c>
      <c r="D250" t="s">
        <v>17</v>
      </c>
      <c r="E250">
        <v>1215.1400000000001</v>
      </c>
      <c r="F250" t="s">
        <v>88</v>
      </c>
      <c r="G250" s="19">
        <v>45404</v>
      </c>
      <c r="H250" t="s">
        <v>94</v>
      </c>
      <c r="I250" t="s">
        <v>3104</v>
      </c>
      <c r="J250" t="s">
        <v>3105</v>
      </c>
      <c r="O250" t="s">
        <v>3106</v>
      </c>
      <c r="Q250" s="3">
        <f t="shared" si="13"/>
        <v>1215.1400000000001</v>
      </c>
      <c r="V250" s="3" t="str">
        <f t="shared" si="14"/>
        <v/>
      </c>
    </row>
    <row r="251" spans="1:22" x14ac:dyDescent="0.35">
      <c r="A251" t="s">
        <v>35</v>
      </c>
      <c r="B251" t="s">
        <v>622</v>
      </c>
      <c r="C251" t="s">
        <v>16</v>
      </c>
      <c r="D251" t="s">
        <v>17</v>
      </c>
      <c r="E251">
        <v>1209</v>
      </c>
      <c r="F251" t="s">
        <v>88</v>
      </c>
      <c r="G251" s="19">
        <v>45616</v>
      </c>
      <c r="H251" t="s">
        <v>94</v>
      </c>
      <c r="I251" t="s">
        <v>204</v>
      </c>
      <c r="J251" t="s">
        <v>4971</v>
      </c>
      <c r="O251" t="s">
        <v>4972</v>
      </c>
      <c r="Q251" s="3">
        <f t="shared" si="13"/>
        <v>1209</v>
      </c>
      <c r="V251" s="3" t="str">
        <f t="shared" si="14"/>
        <v/>
      </c>
    </row>
    <row r="252" spans="1:22" x14ac:dyDescent="0.35">
      <c r="A252" t="s">
        <v>35</v>
      </c>
      <c r="B252" t="s">
        <v>1566</v>
      </c>
      <c r="C252" t="s">
        <v>16</v>
      </c>
      <c r="D252" t="s">
        <v>17</v>
      </c>
      <c r="E252">
        <v>1188.18</v>
      </c>
      <c r="F252" t="s">
        <v>88</v>
      </c>
      <c r="G252" s="19">
        <v>45520</v>
      </c>
      <c r="H252" t="s">
        <v>94</v>
      </c>
      <c r="I252" t="s">
        <v>4051</v>
      </c>
      <c r="J252" t="s">
        <v>4052</v>
      </c>
      <c r="O252" t="s">
        <v>4053</v>
      </c>
      <c r="Q252" s="3">
        <f t="shared" si="13"/>
        <v>1188.18</v>
      </c>
      <c r="S252" s="69" t="s">
        <v>53</v>
      </c>
      <c r="T252" t="s">
        <v>64</v>
      </c>
      <c r="U252" t="str">
        <f>B252</f>
        <v>AU032046</v>
      </c>
      <c r="V252" s="3">
        <f t="shared" si="14"/>
        <v>1188.18</v>
      </c>
    </row>
    <row r="253" spans="1:22" x14ac:dyDescent="0.35">
      <c r="A253" t="s">
        <v>35</v>
      </c>
      <c r="B253" t="s">
        <v>1566</v>
      </c>
      <c r="C253" t="s">
        <v>16</v>
      </c>
      <c r="D253" t="s">
        <v>17</v>
      </c>
      <c r="E253">
        <v>1167.27</v>
      </c>
      <c r="F253" t="s">
        <v>88</v>
      </c>
      <c r="G253" s="19">
        <v>45539</v>
      </c>
      <c r="H253" t="s">
        <v>94</v>
      </c>
      <c r="I253" t="s">
        <v>3552</v>
      </c>
      <c r="J253" t="s">
        <v>4242</v>
      </c>
      <c r="O253" t="s">
        <v>4243</v>
      </c>
      <c r="Q253" s="3">
        <f t="shared" si="13"/>
        <v>1167.27</v>
      </c>
      <c r="V253" s="3" t="str">
        <f t="shared" si="14"/>
        <v/>
      </c>
    </row>
    <row r="254" spans="1:22" x14ac:dyDescent="0.35">
      <c r="A254" t="s">
        <v>35</v>
      </c>
      <c r="B254" t="s">
        <v>1566</v>
      </c>
      <c r="C254" t="s">
        <v>16</v>
      </c>
      <c r="D254" t="s">
        <v>17</v>
      </c>
      <c r="E254">
        <v>1123.6400000000001</v>
      </c>
      <c r="F254" t="s">
        <v>88</v>
      </c>
      <c r="G254" s="19">
        <v>45520</v>
      </c>
      <c r="H254" t="s">
        <v>94</v>
      </c>
      <c r="I254" t="s">
        <v>4054</v>
      </c>
      <c r="J254" t="s">
        <v>4055</v>
      </c>
      <c r="O254" t="s">
        <v>4056</v>
      </c>
      <c r="Q254" s="3">
        <f t="shared" si="13"/>
        <v>1123.6400000000001</v>
      </c>
      <c r="V254" s="3" t="str">
        <f t="shared" si="14"/>
        <v/>
      </c>
    </row>
    <row r="255" spans="1:22" x14ac:dyDescent="0.35">
      <c r="A255" t="s">
        <v>35</v>
      </c>
      <c r="B255" t="s">
        <v>1566</v>
      </c>
      <c r="C255" t="s">
        <v>16</v>
      </c>
      <c r="D255" t="s">
        <v>17</v>
      </c>
      <c r="E255">
        <v>1119.25</v>
      </c>
      <c r="F255" t="s">
        <v>88</v>
      </c>
      <c r="G255" s="19">
        <v>45616</v>
      </c>
      <c r="H255" t="s">
        <v>94</v>
      </c>
      <c r="I255" t="s">
        <v>3672</v>
      </c>
      <c r="J255" t="s">
        <v>4975</v>
      </c>
      <c r="O255" t="s">
        <v>4172</v>
      </c>
      <c r="Q255" s="3">
        <f t="shared" si="13"/>
        <v>1119.25</v>
      </c>
      <c r="V255" s="3" t="str">
        <f t="shared" si="14"/>
        <v/>
      </c>
    </row>
    <row r="256" spans="1:22" x14ac:dyDescent="0.35">
      <c r="A256" t="s">
        <v>35</v>
      </c>
      <c r="B256" t="s">
        <v>1566</v>
      </c>
      <c r="C256" t="s">
        <v>16</v>
      </c>
      <c r="D256" t="s">
        <v>17</v>
      </c>
      <c r="E256">
        <v>1113.6400000000001</v>
      </c>
      <c r="F256" t="s">
        <v>88</v>
      </c>
      <c r="G256" s="19">
        <v>45457</v>
      </c>
      <c r="H256" t="s">
        <v>94</v>
      </c>
      <c r="I256" t="s">
        <v>3538</v>
      </c>
      <c r="J256" t="s">
        <v>3608</v>
      </c>
      <c r="O256" t="s">
        <v>3609</v>
      </c>
      <c r="Q256" s="3">
        <f t="shared" si="13"/>
        <v>1113.6400000000001</v>
      </c>
      <c r="V256" s="3" t="str">
        <f t="shared" si="14"/>
        <v/>
      </c>
    </row>
    <row r="257" spans="1:22" x14ac:dyDescent="0.35">
      <c r="A257" t="s">
        <v>35</v>
      </c>
      <c r="B257" t="s">
        <v>1566</v>
      </c>
      <c r="C257" t="s">
        <v>16</v>
      </c>
      <c r="D257" t="s">
        <v>17</v>
      </c>
      <c r="E257">
        <v>1108.49</v>
      </c>
      <c r="F257" t="s">
        <v>88</v>
      </c>
      <c r="G257" s="19">
        <v>45502</v>
      </c>
      <c r="H257" t="s">
        <v>94</v>
      </c>
      <c r="I257" t="s">
        <v>204</v>
      </c>
      <c r="J257" t="s">
        <v>3889</v>
      </c>
      <c r="O257" t="s">
        <v>3890</v>
      </c>
      <c r="Q257" s="3">
        <f t="shared" si="13"/>
        <v>1108.49</v>
      </c>
      <c r="V257" s="3" t="str">
        <f t="shared" si="14"/>
        <v/>
      </c>
    </row>
    <row r="258" spans="1:22" x14ac:dyDescent="0.35">
      <c r="A258" t="s">
        <v>0</v>
      </c>
      <c r="B258" t="s">
        <v>1566</v>
      </c>
      <c r="C258" t="s">
        <v>16</v>
      </c>
      <c r="D258" t="s">
        <v>17</v>
      </c>
      <c r="E258">
        <v>1097.68</v>
      </c>
      <c r="F258" t="s">
        <v>88</v>
      </c>
      <c r="G258" s="19">
        <v>45428</v>
      </c>
      <c r="H258" t="s">
        <v>89</v>
      </c>
      <c r="I258" t="s">
        <v>3286</v>
      </c>
      <c r="J258"/>
      <c r="K258" t="s">
        <v>3287</v>
      </c>
      <c r="L258" t="s">
        <v>3288</v>
      </c>
      <c r="M258" t="s">
        <v>3289</v>
      </c>
      <c r="Q258" s="3">
        <f t="shared" si="13"/>
        <v>1097.68</v>
      </c>
      <c r="V258" s="3" t="str">
        <f t="shared" si="14"/>
        <v/>
      </c>
    </row>
    <row r="259" spans="1:22" x14ac:dyDescent="0.35">
      <c r="A259" t="s">
        <v>0</v>
      </c>
      <c r="B259" t="s">
        <v>1566</v>
      </c>
      <c r="C259" t="s">
        <v>16</v>
      </c>
      <c r="D259" t="s">
        <v>17</v>
      </c>
      <c r="E259">
        <v>1097.68</v>
      </c>
      <c r="F259" t="s">
        <v>88</v>
      </c>
      <c r="G259" s="19">
        <v>45432</v>
      </c>
      <c r="H259" t="s">
        <v>89</v>
      </c>
      <c r="I259" t="s">
        <v>3308</v>
      </c>
      <c r="J259"/>
      <c r="K259" t="s">
        <v>3309</v>
      </c>
      <c r="L259" t="s">
        <v>3310</v>
      </c>
      <c r="M259" t="s">
        <v>3311</v>
      </c>
      <c r="Q259" s="3">
        <f t="shared" si="13"/>
        <v>1097.68</v>
      </c>
      <c r="V259" s="3" t="str">
        <f t="shared" si="14"/>
        <v/>
      </c>
    </row>
    <row r="260" spans="1:22" x14ac:dyDescent="0.35">
      <c r="A260" t="s">
        <v>0</v>
      </c>
      <c r="B260" t="s">
        <v>1566</v>
      </c>
      <c r="C260" t="s">
        <v>16</v>
      </c>
      <c r="D260" t="s">
        <v>17</v>
      </c>
      <c r="E260">
        <v>1097.68</v>
      </c>
      <c r="F260" t="s">
        <v>88</v>
      </c>
      <c r="G260" s="19">
        <v>45446</v>
      </c>
      <c r="H260" t="s">
        <v>89</v>
      </c>
      <c r="I260" t="s">
        <v>3403</v>
      </c>
      <c r="J260"/>
      <c r="K260" t="s">
        <v>101</v>
      </c>
      <c r="L260" t="s">
        <v>3404</v>
      </c>
      <c r="M260" t="s">
        <v>3405</v>
      </c>
      <c r="Q260" s="3">
        <f t="shared" si="13"/>
        <v>1097.68</v>
      </c>
      <c r="V260" s="3" t="str">
        <f t="shared" si="14"/>
        <v/>
      </c>
    </row>
    <row r="261" spans="1:22" x14ac:dyDescent="0.35">
      <c r="A261" t="s">
        <v>0</v>
      </c>
      <c r="B261" t="s">
        <v>1566</v>
      </c>
      <c r="C261" t="s">
        <v>16</v>
      </c>
      <c r="D261" t="s">
        <v>17</v>
      </c>
      <c r="E261">
        <v>1097.68</v>
      </c>
      <c r="F261" t="s">
        <v>88</v>
      </c>
      <c r="G261" s="19">
        <v>45449</v>
      </c>
      <c r="H261" t="s">
        <v>89</v>
      </c>
      <c r="I261" t="s">
        <v>3451</v>
      </c>
      <c r="J261"/>
      <c r="K261" t="s">
        <v>3452</v>
      </c>
      <c r="L261" t="s">
        <v>3453</v>
      </c>
      <c r="M261" t="s">
        <v>3454</v>
      </c>
      <c r="Q261" s="3">
        <f t="shared" si="13"/>
        <v>1097.68</v>
      </c>
      <c r="V261" s="3" t="str">
        <f t="shared" si="14"/>
        <v/>
      </c>
    </row>
    <row r="262" spans="1:22" x14ac:dyDescent="0.35">
      <c r="A262" t="s">
        <v>0</v>
      </c>
      <c r="B262" t="s">
        <v>1566</v>
      </c>
      <c r="C262" t="s">
        <v>16</v>
      </c>
      <c r="D262" t="s">
        <v>17</v>
      </c>
      <c r="E262">
        <v>1097.68</v>
      </c>
      <c r="F262" t="s">
        <v>88</v>
      </c>
      <c r="G262" s="19">
        <v>45460</v>
      </c>
      <c r="H262" t="s">
        <v>89</v>
      </c>
      <c r="I262" t="s">
        <v>3625</v>
      </c>
      <c r="J262"/>
      <c r="K262" t="s">
        <v>101</v>
      </c>
      <c r="L262" t="s">
        <v>3626</v>
      </c>
      <c r="M262" t="s">
        <v>3627</v>
      </c>
      <c r="Q262" s="3">
        <f t="shared" si="13"/>
        <v>1097.68</v>
      </c>
      <c r="V262" s="3" t="str">
        <f t="shared" si="14"/>
        <v/>
      </c>
    </row>
    <row r="263" spans="1:22" x14ac:dyDescent="0.35">
      <c r="A263" t="s">
        <v>0</v>
      </c>
      <c r="B263" t="s">
        <v>1566</v>
      </c>
      <c r="C263" t="s">
        <v>16</v>
      </c>
      <c r="D263" t="s">
        <v>17</v>
      </c>
      <c r="E263">
        <v>1097.68</v>
      </c>
      <c r="F263" t="s">
        <v>88</v>
      </c>
      <c r="G263" s="19">
        <v>45460</v>
      </c>
      <c r="H263" t="s">
        <v>89</v>
      </c>
      <c r="I263" t="s">
        <v>3628</v>
      </c>
      <c r="J263"/>
      <c r="K263" t="s">
        <v>101</v>
      </c>
      <c r="L263" t="s">
        <v>3629</v>
      </c>
      <c r="M263" t="s">
        <v>3630</v>
      </c>
      <c r="Q263" s="3">
        <f t="shared" si="13"/>
        <v>1097.68</v>
      </c>
      <c r="V263" s="3" t="str">
        <f t="shared" si="14"/>
        <v/>
      </c>
    </row>
    <row r="264" spans="1:22" x14ac:dyDescent="0.35">
      <c r="A264" t="s">
        <v>0</v>
      </c>
      <c r="B264" t="s">
        <v>1566</v>
      </c>
      <c r="C264" t="s">
        <v>16</v>
      </c>
      <c r="D264" t="s">
        <v>17</v>
      </c>
      <c r="E264">
        <v>1097.68</v>
      </c>
      <c r="F264" t="s">
        <v>88</v>
      </c>
      <c r="G264" s="19">
        <v>45476</v>
      </c>
      <c r="H264" t="s">
        <v>89</v>
      </c>
      <c r="I264" t="s">
        <v>3773</v>
      </c>
      <c r="J264"/>
      <c r="K264" t="s">
        <v>101</v>
      </c>
      <c r="L264" t="s">
        <v>3774</v>
      </c>
      <c r="M264" t="s">
        <v>3775</v>
      </c>
      <c r="Q264" s="3">
        <f t="shared" ref="Q264:Q327" si="16">ABS(E264)</f>
        <v>1097.68</v>
      </c>
      <c r="V264" s="3" t="str">
        <f t="shared" si="14"/>
        <v/>
      </c>
    </row>
    <row r="265" spans="1:22" x14ac:dyDescent="0.35">
      <c r="A265" t="s">
        <v>0</v>
      </c>
      <c r="B265" t="s">
        <v>1566</v>
      </c>
      <c r="C265" t="s">
        <v>16</v>
      </c>
      <c r="D265" t="s">
        <v>17</v>
      </c>
      <c r="E265">
        <v>1097.68</v>
      </c>
      <c r="F265" t="s">
        <v>88</v>
      </c>
      <c r="G265" s="19">
        <v>45505</v>
      </c>
      <c r="H265" t="s">
        <v>89</v>
      </c>
      <c r="I265" t="s">
        <v>3924</v>
      </c>
      <c r="J265"/>
      <c r="K265" t="s">
        <v>3928</v>
      </c>
      <c r="L265" t="s">
        <v>3926</v>
      </c>
      <c r="M265" t="s">
        <v>3927</v>
      </c>
      <c r="Q265" s="3">
        <f t="shared" si="16"/>
        <v>1097.68</v>
      </c>
      <c r="V265" s="3" t="str">
        <f t="shared" ref="V265:V328" si="17">IF(T265="Y",E265,"")</f>
        <v/>
      </c>
    </row>
    <row r="266" spans="1:22" x14ac:dyDescent="0.35">
      <c r="A266" t="s">
        <v>0</v>
      </c>
      <c r="B266" t="s">
        <v>1566</v>
      </c>
      <c r="C266" t="s">
        <v>16</v>
      </c>
      <c r="D266" t="s">
        <v>17</v>
      </c>
      <c r="E266">
        <v>1097.68</v>
      </c>
      <c r="F266" t="s">
        <v>88</v>
      </c>
      <c r="G266" s="19">
        <v>45586</v>
      </c>
      <c r="H266" t="s">
        <v>89</v>
      </c>
      <c r="I266" t="s">
        <v>4692</v>
      </c>
      <c r="J266"/>
      <c r="K266" t="s">
        <v>4693</v>
      </c>
      <c r="L266" t="s">
        <v>4694</v>
      </c>
      <c r="M266" t="s">
        <v>4695</v>
      </c>
      <c r="Q266" s="3">
        <f t="shared" si="16"/>
        <v>1097.68</v>
      </c>
      <c r="V266" s="3" t="str">
        <f t="shared" si="17"/>
        <v/>
      </c>
    </row>
    <row r="267" spans="1:22" x14ac:dyDescent="0.35">
      <c r="A267" t="s">
        <v>0</v>
      </c>
      <c r="B267" t="s">
        <v>1566</v>
      </c>
      <c r="C267" t="s">
        <v>16</v>
      </c>
      <c r="D267" t="s">
        <v>17</v>
      </c>
      <c r="E267">
        <v>1097.68</v>
      </c>
      <c r="F267" t="s">
        <v>88</v>
      </c>
      <c r="G267" s="19">
        <v>45614</v>
      </c>
      <c r="H267" t="s">
        <v>89</v>
      </c>
      <c r="I267" t="s">
        <v>4919</v>
      </c>
      <c r="J267"/>
      <c r="K267" t="s">
        <v>4920</v>
      </c>
      <c r="L267" t="s">
        <v>4921</v>
      </c>
      <c r="M267" t="s">
        <v>4922</v>
      </c>
      <c r="Q267" s="3">
        <f t="shared" si="16"/>
        <v>1097.68</v>
      </c>
      <c r="V267" s="3" t="str">
        <f t="shared" si="17"/>
        <v/>
      </c>
    </row>
    <row r="268" spans="1:22" x14ac:dyDescent="0.35">
      <c r="A268" t="s">
        <v>0</v>
      </c>
      <c r="B268" t="s">
        <v>1566</v>
      </c>
      <c r="C268" t="s">
        <v>16</v>
      </c>
      <c r="D268" t="s">
        <v>17</v>
      </c>
      <c r="E268">
        <v>1095.76</v>
      </c>
      <c r="F268" t="s">
        <v>88</v>
      </c>
      <c r="G268" s="19">
        <v>45384</v>
      </c>
      <c r="H268" t="s">
        <v>89</v>
      </c>
      <c r="I268" t="s">
        <v>2788</v>
      </c>
      <c r="J268"/>
      <c r="K268" t="s">
        <v>2789</v>
      </c>
      <c r="L268" t="s">
        <v>2790</v>
      </c>
      <c r="M268" t="s">
        <v>2791</v>
      </c>
      <c r="Q268" s="3">
        <f t="shared" si="16"/>
        <v>1095.76</v>
      </c>
      <c r="V268" s="3" t="str">
        <f t="shared" si="17"/>
        <v/>
      </c>
    </row>
    <row r="269" spans="1:22" x14ac:dyDescent="0.35">
      <c r="A269" t="s">
        <v>0</v>
      </c>
      <c r="B269" t="s">
        <v>1566</v>
      </c>
      <c r="C269" t="s">
        <v>16</v>
      </c>
      <c r="D269" t="s">
        <v>17</v>
      </c>
      <c r="E269">
        <v>1095.76</v>
      </c>
      <c r="F269" t="s">
        <v>88</v>
      </c>
      <c r="G269" s="19">
        <v>45401</v>
      </c>
      <c r="H269" t="s">
        <v>89</v>
      </c>
      <c r="I269" t="s">
        <v>3039</v>
      </c>
      <c r="J269"/>
      <c r="K269" t="s">
        <v>3040</v>
      </c>
      <c r="L269" t="s">
        <v>3041</v>
      </c>
      <c r="M269" t="s">
        <v>3042</v>
      </c>
      <c r="Q269" s="3">
        <f t="shared" si="16"/>
        <v>1095.76</v>
      </c>
      <c r="V269" s="3" t="str">
        <f t="shared" si="17"/>
        <v/>
      </c>
    </row>
    <row r="270" spans="1:22" x14ac:dyDescent="0.35">
      <c r="A270" t="s">
        <v>0</v>
      </c>
      <c r="B270" t="s">
        <v>698</v>
      </c>
      <c r="C270" t="s">
        <v>16</v>
      </c>
      <c r="D270" t="s">
        <v>17</v>
      </c>
      <c r="E270">
        <v>1094.95</v>
      </c>
      <c r="F270" t="s">
        <v>88</v>
      </c>
      <c r="G270" s="19">
        <v>45597</v>
      </c>
      <c r="H270" t="s">
        <v>89</v>
      </c>
      <c r="I270" t="s">
        <v>4769</v>
      </c>
      <c r="J270"/>
      <c r="K270" t="s">
        <v>4770</v>
      </c>
      <c r="L270" t="s">
        <v>4771</v>
      </c>
      <c r="M270" t="s">
        <v>4772</v>
      </c>
      <c r="Q270" s="3">
        <f t="shared" si="16"/>
        <v>1094.95</v>
      </c>
      <c r="V270" s="3" t="str">
        <f t="shared" si="17"/>
        <v/>
      </c>
    </row>
    <row r="271" spans="1:22" x14ac:dyDescent="0.35">
      <c r="A271" t="s">
        <v>35</v>
      </c>
      <c r="B271" t="s">
        <v>1566</v>
      </c>
      <c r="C271" t="s">
        <v>16</v>
      </c>
      <c r="D271" t="s">
        <v>17</v>
      </c>
      <c r="E271">
        <v>1086.3599999999999</v>
      </c>
      <c r="F271" t="s">
        <v>88</v>
      </c>
      <c r="G271" s="19">
        <v>45404</v>
      </c>
      <c r="H271" t="s">
        <v>94</v>
      </c>
      <c r="I271" t="s">
        <v>3085</v>
      </c>
      <c r="J271" t="s">
        <v>3086</v>
      </c>
      <c r="O271" t="s">
        <v>3087</v>
      </c>
      <c r="Q271" s="3">
        <f t="shared" si="16"/>
        <v>1086.3599999999999</v>
      </c>
      <c r="V271" s="3" t="str">
        <f t="shared" si="17"/>
        <v/>
      </c>
    </row>
    <row r="272" spans="1:22" x14ac:dyDescent="0.35">
      <c r="A272" t="s">
        <v>35</v>
      </c>
      <c r="B272" t="s">
        <v>1566</v>
      </c>
      <c r="C272" t="s">
        <v>16</v>
      </c>
      <c r="D272" t="s">
        <v>17</v>
      </c>
      <c r="E272">
        <v>1086.3599999999999</v>
      </c>
      <c r="F272" t="s">
        <v>88</v>
      </c>
      <c r="G272" s="19">
        <v>45539</v>
      </c>
      <c r="H272" t="s">
        <v>94</v>
      </c>
      <c r="I272" t="s">
        <v>2756</v>
      </c>
      <c r="J272" t="s">
        <v>4239</v>
      </c>
      <c r="O272" t="s">
        <v>3830</v>
      </c>
      <c r="Q272" s="3">
        <f t="shared" si="16"/>
        <v>1086.3599999999999</v>
      </c>
      <c r="V272" s="3" t="str">
        <f t="shared" si="17"/>
        <v/>
      </c>
    </row>
    <row r="273" spans="1:22" x14ac:dyDescent="0.35">
      <c r="A273" t="s">
        <v>0</v>
      </c>
      <c r="B273" t="s">
        <v>1566</v>
      </c>
      <c r="C273" t="s">
        <v>16</v>
      </c>
      <c r="D273" t="s">
        <v>17</v>
      </c>
      <c r="E273">
        <v>1073.8399999999999</v>
      </c>
      <c r="F273" t="s">
        <v>88</v>
      </c>
      <c r="G273" s="19">
        <v>45391</v>
      </c>
      <c r="H273" t="s">
        <v>89</v>
      </c>
      <c r="I273" t="s">
        <v>2886</v>
      </c>
      <c r="J273"/>
      <c r="K273" t="s">
        <v>2887</v>
      </c>
      <c r="L273" t="s">
        <v>2888</v>
      </c>
      <c r="M273" t="s">
        <v>2889</v>
      </c>
      <c r="Q273" s="3">
        <f t="shared" si="16"/>
        <v>1073.8399999999999</v>
      </c>
      <c r="V273" s="3" t="str">
        <f t="shared" si="17"/>
        <v/>
      </c>
    </row>
    <row r="274" spans="1:22" x14ac:dyDescent="0.35">
      <c r="A274" t="s">
        <v>0</v>
      </c>
      <c r="B274" t="s">
        <v>1566</v>
      </c>
      <c r="C274" t="s">
        <v>16</v>
      </c>
      <c r="D274" t="s">
        <v>17</v>
      </c>
      <c r="E274">
        <v>1035.1099999999999</v>
      </c>
      <c r="F274" t="s">
        <v>88</v>
      </c>
      <c r="G274" s="19">
        <v>45597</v>
      </c>
      <c r="H274" t="s">
        <v>89</v>
      </c>
      <c r="I274" t="s">
        <v>4793</v>
      </c>
      <c r="J274"/>
      <c r="K274" t="s">
        <v>4794</v>
      </c>
      <c r="L274" t="s">
        <v>4795</v>
      </c>
      <c r="M274" t="s">
        <v>149</v>
      </c>
      <c r="Q274" s="3">
        <f t="shared" si="16"/>
        <v>1035.1099999999999</v>
      </c>
      <c r="V274" s="3" t="str">
        <f t="shared" si="17"/>
        <v/>
      </c>
    </row>
    <row r="275" spans="1:22" x14ac:dyDescent="0.35">
      <c r="A275" t="s">
        <v>35</v>
      </c>
      <c r="B275" t="s">
        <v>1566</v>
      </c>
      <c r="C275" t="s">
        <v>16</v>
      </c>
      <c r="D275" t="s">
        <v>17</v>
      </c>
      <c r="E275">
        <v>1026.3599999999999</v>
      </c>
      <c r="F275" t="s">
        <v>88</v>
      </c>
      <c r="G275" s="19">
        <v>45518</v>
      </c>
      <c r="H275" t="s">
        <v>94</v>
      </c>
      <c r="I275" t="s">
        <v>204</v>
      </c>
      <c r="J275" t="s">
        <v>4032</v>
      </c>
      <c r="O275" t="s">
        <v>522</v>
      </c>
      <c r="Q275" s="3">
        <f t="shared" si="16"/>
        <v>1026.3599999999999</v>
      </c>
      <c r="V275" s="3" t="str">
        <f t="shared" si="17"/>
        <v/>
      </c>
    </row>
    <row r="276" spans="1:22" x14ac:dyDescent="0.35">
      <c r="A276" t="s">
        <v>35</v>
      </c>
      <c r="B276" t="s">
        <v>1566</v>
      </c>
      <c r="C276" t="s">
        <v>16</v>
      </c>
      <c r="D276" t="s">
        <v>17</v>
      </c>
      <c r="E276">
        <v>1017.5</v>
      </c>
      <c r="F276" t="s">
        <v>88</v>
      </c>
      <c r="G276" s="19">
        <v>45468</v>
      </c>
      <c r="H276" t="s">
        <v>94</v>
      </c>
      <c r="I276" t="s">
        <v>3682</v>
      </c>
      <c r="J276" t="s">
        <v>3683</v>
      </c>
      <c r="O276" t="s">
        <v>3684</v>
      </c>
      <c r="Q276" s="3">
        <f t="shared" si="16"/>
        <v>1017.5</v>
      </c>
      <c r="V276" s="3" t="str">
        <f t="shared" si="17"/>
        <v/>
      </c>
    </row>
    <row r="277" spans="1:22" x14ac:dyDescent="0.35">
      <c r="A277" t="s">
        <v>35</v>
      </c>
      <c r="B277" t="s">
        <v>1566</v>
      </c>
      <c r="C277" t="s">
        <v>16</v>
      </c>
      <c r="D277" t="s">
        <v>17</v>
      </c>
      <c r="E277">
        <v>1009.09</v>
      </c>
      <c r="F277" t="s">
        <v>88</v>
      </c>
      <c r="G277" s="19">
        <v>45404</v>
      </c>
      <c r="H277" t="s">
        <v>94</v>
      </c>
      <c r="I277" t="s">
        <v>238</v>
      </c>
      <c r="J277" t="s">
        <v>3089</v>
      </c>
      <c r="O277" t="s">
        <v>3093</v>
      </c>
      <c r="Q277" s="3">
        <f t="shared" si="16"/>
        <v>1009.09</v>
      </c>
      <c r="S277" s="69" t="s">
        <v>53</v>
      </c>
      <c r="T277" t="s">
        <v>64</v>
      </c>
      <c r="U277" t="str">
        <f>B277</f>
        <v>AU032046</v>
      </c>
      <c r="V277" s="3">
        <f t="shared" si="17"/>
        <v>1009.09</v>
      </c>
    </row>
    <row r="278" spans="1:22" x14ac:dyDescent="0.35">
      <c r="A278" t="s">
        <v>35</v>
      </c>
      <c r="B278" t="s">
        <v>838</v>
      </c>
      <c r="C278" t="s">
        <v>16</v>
      </c>
      <c r="D278" t="s">
        <v>17</v>
      </c>
      <c r="E278">
        <v>1009.09</v>
      </c>
      <c r="F278" t="s">
        <v>88</v>
      </c>
      <c r="G278" s="19">
        <v>45546</v>
      </c>
      <c r="H278" t="s">
        <v>94</v>
      </c>
      <c r="I278" t="s">
        <v>131</v>
      </c>
      <c r="J278" t="s">
        <v>4337</v>
      </c>
      <c r="O278" t="s">
        <v>1038</v>
      </c>
      <c r="Q278" s="3">
        <f t="shared" si="16"/>
        <v>1009.09</v>
      </c>
      <c r="V278" s="3" t="str">
        <f t="shared" si="17"/>
        <v/>
      </c>
    </row>
    <row r="279" spans="1:22" x14ac:dyDescent="0.35">
      <c r="A279" t="s">
        <v>0</v>
      </c>
      <c r="B279" t="s">
        <v>1566</v>
      </c>
      <c r="C279" t="s">
        <v>16</v>
      </c>
      <c r="D279" t="s">
        <v>17</v>
      </c>
      <c r="E279">
        <v>1006.11</v>
      </c>
      <c r="F279" t="s">
        <v>88</v>
      </c>
      <c r="G279" s="19">
        <v>45390</v>
      </c>
      <c r="H279" t="s">
        <v>89</v>
      </c>
      <c r="I279" t="s">
        <v>2852</v>
      </c>
      <c r="J279"/>
      <c r="K279" t="s">
        <v>2853</v>
      </c>
      <c r="L279" t="s">
        <v>2854</v>
      </c>
      <c r="M279" t="s">
        <v>2855</v>
      </c>
      <c r="Q279" s="3">
        <f t="shared" si="16"/>
        <v>1006.11</v>
      </c>
      <c r="V279" s="3" t="str">
        <f t="shared" si="17"/>
        <v/>
      </c>
    </row>
    <row r="280" spans="1:22" x14ac:dyDescent="0.35">
      <c r="A280" t="s">
        <v>0</v>
      </c>
      <c r="B280" t="s">
        <v>1566</v>
      </c>
      <c r="C280" t="s">
        <v>16</v>
      </c>
      <c r="D280" t="s">
        <v>17</v>
      </c>
      <c r="E280">
        <v>1000</v>
      </c>
      <c r="F280" t="s">
        <v>88</v>
      </c>
      <c r="G280" s="19">
        <v>45384</v>
      </c>
      <c r="H280" t="s">
        <v>89</v>
      </c>
      <c r="I280" t="s">
        <v>2772</v>
      </c>
      <c r="J280"/>
      <c r="K280" t="s">
        <v>2773</v>
      </c>
      <c r="L280" t="s">
        <v>2774</v>
      </c>
      <c r="M280" t="s">
        <v>2775</v>
      </c>
      <c r="Q280" s="3">
        <f t="shared" si="16"/>
        <v>1000</v>
      </c>
      <c r="V280" s="3" t="str">
        <f t="shared" si="17"/>
        <v/>
      </c>
    </row>
    <row r="281" spans="1:22" x14ac:dyDescent="0.35">
      <c r="A281" t="s">
        <v>35</v>
      </c>
      <c r="B281" t="s">
        <v>1566</v>
      </c>
      <c r="C281" t="s">
        <v>16</v>
      </c>
      <c r="D281" t="s">
        <v>17</v>
      </c>
      <c r="E281">
        <v>1000</v>
      </c>
      <c r="F281" t="s">
        <v>88</v>
      </c>
      <c r="G281" s="19">
        <v>45394</v>
      </c>
      <c r="H281" t="s">
        <v>89</v>
      </c>
      <c r="I281" t="s">
        <v>2984</v>
      </c>
      <c r="J281"/>
      <c r="K281" t="s">
        <v>2985</v>
      </c>
      <c r="L281" t="s">
        <v>2986</v>
      </c>
      <c r="M281" t="s">
        <v>2987</v>
      </c>
      <c r="Q281" s="3">
        <f t="shared" si="16"/>
        <v>1000</v>
      </c>
      <c r="V281" s="3" t="str">
        <f t="shared" si="17"/>
        <v/>
      </c>
    </row>
    <row r="282" spans="1:22" x14ac:dyDescent="0.35">
      <c r="A282" t="s">
        <v>0</v>
      </c>
      <c r="B282" t="s">
        <v>3363</v>
      </c>
      <c r="C282" t="s">
        <v>16</v>
      </c>
      <c r="D282" t="s">
        <v>17</v>
      </c>
      <c r="E282">
        <v>1000</v>
      </c>
      <c r="F282" t="s">
        <v>88</v>
      </c>
      <c r="G282" s="19">
        <v>45438</v>
      </c>
      <c r="H282" t="s">
        <v>89</v>
      </c>
      <c r="I282" t="s">
        <v>3364</v>
      </c>
      <c r="J282"/>
      <c r="K282" t="s">
        <v>101</v>
      </c>
      <c r="L282" t="s">
        <v>3365</v>
      </c>
      <c r="M282" t="s">
        <v>3307</v>
      </c>
      <c r="Q282" s="3">
        <f t="shared" si="16"/>
        <v>1000</v>
      </c>
      <c r="V282" s="3" t="str">
        <f t="shared" si="17"/>
        <v/>
      </c>
    </row>
    <row r="283" spans="1:22" x14ac:dyDescent="0.35">
      <c r="A283" t="s">
        <v>0</v>
      </c>
      <c r="B283" t="s">
        <v>1566</v>
      </c>
      <c r="C283" t="s">
        <v>16</v>
      </c>
      <c r="D283" t="s">
        <v>17</v>
      </c>
      <c r="E283">
        <v>1000</v>
      </c>
      <c r="F283" t="s">
        <v>88</v>
      </c>
      <c r="G283" s="19">
        <v>45460</v>
      </c>
      <c r="H283" t="s">
        <v>89</v>
      </c>
      <c r="I283" t="s">
        <v>3616</v>
      </c>
      <c r="J283"/>
      <c r="K283" t="s">
        <v>101</v>
      </c>
      <c r="L283" t="s">
        <v>3617</v>
      </c>
      <c r="M283" t="s">
        <v>3618</v>
      </c>
      <c r="Q283" s="3">
        <f t="shared" si="16"/>
        <v>1000</v>
      </c>
      <c r="V283" s="3" t="str">
        <f t="shared" si="17"/>
        <v/>
      </c>
    </row>
    <row r="284" spans="1:22" x14ac:dyDescent="0.35">
      <c r="A284" t="s">
        <v>0</v>
      </c>
      <c r="B284" t="s">
        <v>1566</v>
      </c>
      <c r="C284" t="s">
        <v>16</v>
      </c>
      <c r="D284" t="s">
        <v>17</v>
      </c>
      <c r="E284">
        <v>1000</v>
      </c>
      <c r="F284" t="s">
        <v>88</v>
      </c>
      <c r="G284" s="19">
        <v>45474</v>
      </c>
      <c r="H284" t="s">
        <v>89</v>
      </c>
      <c r="I284" t="s">
        <v>3713</v>
      </c>
      <c r="J284"/>
      <c r="K284" t="s">
        <v>101</v>
      </c>
      <c r="L284" t="s">
        <v>3714</v>
      </c>
      <c r="M284" t="s">
        <v>3715</v>
      </c>
      <c r="Q284" s="3">
        <f t="shared" si="16"/>
        <v>1000</v>
      </c>
      <c r="V284" s="3" t="str">
        <f t="shared" si="17"/>
        <v/>
      </c>
    </row>
    <row r="285" spans="1:22" x14ac:dyDescent="0.35">
      <c r="A285" t="s">
        <v>0</v>
      </c>
      <c r="B285" t="s">
        <v>1566</v>
      </c>
      <c r="C285" t="s">
        <v>16</v>
      </c>
      <c r="D285" t="s">
        <v>17</v>
      </c>
      <c r="E285">
        <v>1000</v>
      </c>
      <c r="F285" t="s">
        <v>88</v>
      </c>
      <c r="G285" s="19">
        <v>45539</v>
      </c>
      <c r="H285" t="s">
        <v>89</v>
      </c>
      <c r="I285" t="s">
        <v>4206</v>
      </c>
      <c r="J285"/>
      <c r="K285" t="s">
        <v>4207</v>
      </c>
      <c r="L285" t="s">
        <v>2577</v>
      </c>
      <c r="M285" t="s">
        <v>4208</v>
      </c>
      <c r="Q285" s="3">
        <f t="shared" si="16"/>
        <v>1000</v>
      </c>
      <c r="V285" s="3" t="str">
        <f t="shared" si="17"/>
        <v/>
      </c>
    </row>
    <row r="286" spans="1:22" x14ac:dyDescent="0.35">
      <c r="A286" t="s">
        <v>0</v>
      </c>
      <c r="B286" t="s">
        <v>1566</v>
      </c>
      <c r="C286" t="s">
        <v>16</v>
      </c>
      <c r="D286" t="s">
        <v>17</v>
      </c>
      <c r="E286">
        <v>1000</v>
      </c>
      <c r="F286" t="s">
        <v>88</v>
      </c>
      <c r="G286" s="19">
        <v>45568</v>
      </c>
      <c r="H286" t="s">
        <v>89</v>
      </c>
      <c r="I286" t="s">
        <v>4556</v>
      </c>
      <c r="J286"/>
      <c r="K286" t="s">
        <v>4557</v>
      </c>
      <c r="L286" t="s">
        <v>2173</v>
      </c>
      <c r="M286" t="s">
        <v>4558</v>
      </c>
      <c r="Q286" s="3">
        <f t="shared" si="16"/>
        <v>1000</v>
      </c>
      <c r="V286" s="3" t="str">
        <f t="shared" si="17"/>
        <v/>
      </c>
    </row>
    <row r="287" spans="1:22" x14ac:dyDescent="0.35">
      <c r="A287" t="s">
        <v>0</v>
      </c>
      <c r="B287" t="s">
        <v>1566</v>
      </c>
      <c r="C287" t="s">
        <v>16</v>
      </c>
      <c r="D287" t="s">
        <v>17</v>
      </c>
      <c r="E287">
        <v>1000</v>
      </c>
      <c r="F287" t="s">
        <v>88</v>
      </c>
      <c r="G287" s="19">
        <v>45637</v>
      </c>
      <c r="H287" t="s">
        <v>89</v>
      </c>
      <c r="I287" t="s">
        <v>5239</v>
      </c>
      <c r="J287"/>
      <c r="K287" t="s">
        <v>5240</v>
      </c>
      <c r="L287" t="s">
        <v>5241</v>
      </c>
      <c r="M287" t="s">
        <v>150</v>
      </c>
      <c r="Q287" s="3">
        <f t="shared" si="16"/>
        <v>1000</v>
      </c>
      <c r="V287" s="3" t="str">
        <f t="shared" si="17"/>
        <v/>
      </c>
    </row>
    <row r="288" spans="1:22" x14ac:dyDescent="0.35">
      <c r="A288" t="s">
        <v>0</v>
      </c>
      <c r="B288" t="s">
        <v>1566</v>
      </c>
      <c r="C288" t="s">
        <v>16</v>
      </c>
      <c r="D288" t="s">
        <v>17</v>
      </c>
      <c r="E288">
        <v>997.89</v>
      </c>
      <c r="F288" t="s">
        <v>88</v>
      </c>
      <c r="G288" s="19">
        <v>45401</v>
      </c>
      <c r="H288" t="s">
        <v>89</v>
      </c>
      <c r="I288" t="s">
        <v>3051</v>
      </c>
      <c r="J288"/>
      <c r="K288" t="s">
        <v>3052</v>
      </c>
      <c r="L288" t="s">
        <v>3053</v>
      </c>
      <c r="M288" t="s">
        <v>3054</v>
      </c>
      <c r="Q288" s="3">
        <f t="shared" si="16"/>
        <v>997.89</v>
      </c>
      <c r="V288" s="3" t="str">
        <f t="shared" si="17"/>
        <v/>
      </c>
    </row>
    <row r="289" spans="1:22" x14ac:dyDescent="0.35">
      <c r="A289" t="s">
        <v>35</v>
      </c>
      <c r="B289" t="s">
        <v>1566</v>
      </c>
      <c r="C289" t="s">
        <v>16</v>
      </c>
      <c r="D289" t="s">
        <v>17</v>
      </c>
      <c r="E289">
        <v>997.89</v>
      </c>
      <c r="F289" t="s">
        <v>88</v>
      </c>
      <c r="G289" s="19">
        <v>45509</v>
      </c>
      <c r="H289" t="s">
        <v>89</v>
      </c>
      <c r="I289" t="s">
        <v>3943</v>
      </c>
      <c r="J289"/>
      <c r="K289" t="s">
        <v>3944</v>
      </c>
      <c r="L289" t="s">
        <v>3945</v>
      </c>
      <c r="M289" t="s">
        <v>3946</v>
      </c>
      <c r="Q289" s="3">
        <f t="shared" si="16"/>
        <v>997.89</v>
      </c>
      <c r="V289" s="3" t="str">
        <f t="shared" si="17"/>
        <v/>
      </c>
    </row>
    <row r="290" spans="1:22" x14ac:dyDescent="0.35">
      <c r="A290" t="s">
        <v>0</v>
      </c>
      <c r="B290" t="s">
        <v>1566</v>
      </c>
      <c r="C290" t="s">
        <v>16</v>
      </c>
      <c r="D290" t="s">
        <v>17</v>
      </c>
      <c r="E290">
        <v>997.89</v>
      </c>
      <c r="F290" t="s">
        <v>88</v>
      </c>
      <c r="G290" s="19">
        <v>45566</v>
      </c>
      <c r="H290" t="s">
        <v>89</v>
      </c>
      <c r="I290" t="s">
        <v>4524</v>
      </c>
      <c r="J290"/>
      <c r="K290" t="s">
        <v>4525</v>
      </c>
      <c r="L290" t="s">
        <v>4526</v>
      </c>
      <c r="M290" t="s">
        <v>4527</v>
      </c>
      <c r="Q290" s="3">
        <f t="shared" si="16"/>
        <v>997.89</v>
      </c>
      <c r="V290" s="3" t="str">
        <f t="shared" si="17"/>
        <v/>
      </c>
    </row>
    <row r="291" spans="1:22" x14ac:dyDescent="0.35">
      <c r="A291" t="s">
        <v>0</v>
      </c>
      <c r="B291" t="s">
        <v>1566</v>
      </c>
      <c r="C291" t="s">
        <v>16</v>
      </c>
      <c r="D291" t="s">
        <v>17</v>
      </c>
      <c r="E291">
        <v>997.89</v>
      </c>
      <c r="F291" t="s">
        <v>88</v>
      </c>
      <c r="G291" s="19">
        <v>45568</v>
      </c>
      <c r="H291" t="s">
        <v>89</v>
      </c>
      <c r="I291" t="s">
        <v>4566</v>
      </c>
      <c r="J291"/>
      <c r="K291" t="s">
        <v>4567</v>
      </c>
      <c r="L291" t="s">
        <v>4568</v>
      </c>
      <c r="M291" t="s">
        <v>4565</v>
      </c>
      <c r="Q291" s="3">
        <f t="shared" si="16"/>
        <v>997.89</v>
      </c>
      <c r="V291" s="3" t="str">
        <f t="shared" si="17"/>
        <v/>
      </c>
    </row>
    <row r="292" spans="1:22" x14ac:dyDescent="0.35">
      <c r="A292" t="s">
        <v>0</v>
      </c>
      <c r="B292" t="s">
        <v>1566</v>
      </c>
      <c r="C292" t="s">
        <v>16</v>
      </c>
      <c r="D292" t="s">
        <v>17</v>
      </c>
      <c r="E292">
        <v>997.89</v>
      </c>
      <c r="F292" t="s">
        <v>88</v>
      </c>
      <c r="G292" s="19">
        <v>45628</v>
      </c>
      <c r="H292" t="s">
        <v>89</v>
      </c>
      <c r="I292" t="s">
        <v>5045</v>
      </c>
      <c r="J292"/>
      <c r="K292" t="s">
        <v>5046</v>
      </c>
      <c r="L292" t="s">
        <v>5047</v>
      </c>
      <c r="M292" t="s">
        <v>5048</v>
      </c>
      <c r="Q292" s="3">
        <f t="shared" si="16"/>
        <v>997.89</v>
      </c>
      <c r="V292" s="3" t="str">
        <f t="shared" si="17"/>
        <v/>
      </c>
    </row>
    <row r="293" spans="1:22" x14ac:dyDescent="0.35">
      <c r="A293" t="s">
        <v>0</v>
      </c>
      <c r="B293" t="s">
        <v>1566</v>
      </c>
      <c r="C293" t="s">
        <v>16</v>
      </c>
      <c r="D293" t="s">
        <v>17</v>
      </c>
      <c r="E293">
        <v>997.89</v>
      </c>
      <c r="F293" t="s">
        <v>88</v>
      </c>
      <c r="G293" s="19">
        <v>45630</v>
      </c>
      <c r="H293" t="s">
        <v>89</v>
      </c>
      <c r="I293" t="s">
        <v>5139</v>
      </c>
      <c r="J293"/>
      <c r="K293" t="s">
        <v>5140</v>
      </c>
      <c r="L293" t="s">
        <v>5141</v>
      </c>
      <c r="M293" t="s">
        <v>5142</v>
      </c>
      <c r="Q293" s="3">
        <f t="shared" si="16"/>
        <v>997.89</v>
      </c>
      <c r="V293" s="3" t="str">
        <f t="shared" si="17"/>
        <v/>
      </c>
    </row>
    <row r="294" spans="1:22" x14ac:dyDescent="0.35">
      <c r="A294" t="s">
        <v>0</v>
      </c>
      <c r="B294" t="s">
        <v>1566</v>
      </c>
      <c r="C294" t="s">
        <v>16</v>
      </c>
      <c r="D294" t="s">
        <v>17</v>
      </c>
      <c r="E294">
        <v>996.15</v>
      </c>
      <c r="F294" t="s">
        <v>88</v>
      </c>
      <c r="G294" s="19">
        <v>45401</v>
      </c>
      <c r="H294" t="s">
        <v>89</v>
      </c>
      <c r="I294" t="s">
        <v>3035</v>
      </c>
      <c r="J294"/>
      <c r="K294" t="s">
        <v>3036</v>
      </c>
      <c r="L294" t="s">
        <v>3037</v>
      </c>
      <c r="M294" t="s">
        <v>3038</v>
      </c>
      <c r="Q294" s="3">
        <f t="shared" si="16"/>
        <v>996.15</v>
      </c>
      <c r="V294" s="3" t="str">
        <f t="shared" si="17"/>
        <v/>
      </c>
    </row>
    <row r="295" spans="1:22" x14ac:dyDescent="0.35">
      <c r="A295" t="s">
        <v>35</v>
      </c>
      <c r="B295" t="s">
        <v>1566</v>
      </c>
      <c r="C295" t="s">
        <v>16</v>
      </c>
      <c r="D295" t="s">
        <v>17</v>
      </c>
      <c r="E295">
        <v>995</v>
      </c>
      <c r="F295" t="s">
        <v>88</v>
      </c>
      <c r="G295" s="19">
        <v>45539</v>
      </c>
      <c r="H295" t="s">
        <v>94</v>
      </c>
      <c r="I295" t="s">
        <v>4223</v>
      </c>
      <c r="J295" t="s">
        <v>4224</v>
      </c>
      <c r="O295" t="s">
        <v>4225</v>
      </c>
      <c r="Q295" s="3">
        <f t="shared" si="16"/>
        <v>995</v>
      </c>
      <c r="V295" s="3" t="str">
        <f t="shared" si="17"/>
        <v/>
      </c>
    </row>
    <row r="296" spans="1:22" x14ac:dyDescent="0.35">
      <c r="A296" t="s">
        <v>0</v>
      </c>
      <c r="B296" t="s">
        <v>1566</v>
      </c>
      <c r="C296" t="s">
        <v>16</v>
      </c>
      <c r="D296" t="s">
        <v>17</v>
      </c>
      <c r="E296">
        <v>987.91</v>
      </c>
      <c r="F296" t="s">
        <v>88</v>
      </c>
      <c r="G296" s="19">
        <v>45426</v>
      </c>
      <c r="H296" t="s">
        <v>89</v>
      </c>
      <c r="I296" t="s">
        <v>3247</v>
      </c>
      <c r="J296"/>
      <c r="K296" t="s">
        <v>3248</v>
      </c>
      <c r="L296" t="s">
        <v>3249</v>
      </c>
      <c r="M296" t="s">
        <v>3250</v>
      </c>
      <c r="Q296" s="3">
        <f t="shared" si="16"/>
        <v>987.91</v>
      </c>
      <c r="V296" s="3" t="str">
        <f t="shared" si="17"/>
        <v/>
      </c>
    </row>
    <row r="297" spans="1:22" x14ac:dyDescent="0.35">
      <c r="A297" t="s">
        <v>0</v>
      </c>
      <c r="B297" t="s">
        <v>1566</v>
      </c>
      <c r="C297" t="s">
        <v>16</v>
      </c>
      <c r="D297" t="s">
        <v>17</v>
      </c>
      <c r="E297">
        <v>987.91</v>
      </c>
      <c r="F297" t="s">
        <v>88</v>
      </c>
      <c r="G297" s="19">
        <v>45636</v>
      </c>
      <c r="H297" t="s">
        <v>89</v>
      </c>
      <c r="I297" t="s">
        <v>5192</v>
      </c>
      <c r="J297"/>
      <c r="K297" t="s">
        <v>5193</v>
      </c>
      <c r="L297" t="s">
        <v>5194</v>
      </c>
      <c r="M297" t="s">
        <v>162</v>
      </c>
      <c r="Q297" s="3">
        <f t="shared" si="16"/>
        <v>987.91</v>
      </c>
      <c r="V297" s="3" t="str">
        <f t="shared" si="17"/>
        <v/>
      </c>
    </row>
    <row r="298" spans="1:22" x14ac:dyDescent="0.35">
      <c r="A298" t="s">
        <v>0</v>
      </c>
      <c r="B298" t="s">
        <v>1566</v>
      </c>
      <c r="C298" t="s">
        <v>16</v>
      </c>
      <c r="D298" t="s">
        <v>17</v>
      </c>
      <c r="E298">
        <v>974.3</v>
      </c>
      <c r="F298" t="s">
        <v>88</v>
      </c>
      <c r="G298" s="19">
        <v>45491</v>
      </c>
      <c r="H298" t="s">
        <v>89</v>
      </c>
      <c r="I298" t="s">
        <v>3837</v>
      </c>
      <c r="J298"/>
      <c r="K298" t="s">
        <v>3838</v>
      </c>
      <c r="L298" t="s">
        <v>3839</v>
      </c>
      <c r="M298" t="s">
        <v>3840</v>
      </c>
      <c r="Q298" s="3">
        <f t="shared" si="16"/>
        <v>974.3</v>
      </c>
      <c r="V298" s="3" t="str">
        <f t="shared" si="17"/>
        <v/>
      </c>
    </row>
    <row r="299" spans="1:22" x14ac:dyDescent="0.35">
      <c r="A299" t="s">
        <v>0</v>
      </c>
      <c r="B299" t="s">
        <v>1566</v>
      </c>
      <c r="C299" t="s">
        <v>16</v>
      </c>
      <c r="D299" t="s">
        <v>17</v>
      </c>
      <c r="E299">
        <v>965.96</v>
      </c>
      <c r="F299" t="s">
        <v>88</v>
      </c>
      <c r="G299" s="19">
        <v>45629</v>
      </c>
      <c r="H299" t="s">
        <v>89</v>
      </c>
      <c r="I299" t="s">
        <v>5076</v>
      </c>
      <c r="J299"/>
      <c r="K299" t="s">
        <v>5077</v>
      </c>
      <c r="L299" t="s">
        <v>5078</v>
      </c>
      <c r="M299" t="s">
        <v>1784</v>
      </c>
      <c r="Q299" s="3">
        <f t="shared" si="16"/>
        <v>965.96</v>
      </c>
      <c r="V299" s="3" t="str">
        <f t="shared" si="17"/>
        <v/>
      </c>
    </row>
    <row r="300" spans="1:22" x14ac:dyDescent="0.35">
      <c r="A300" t="s">
        <v>35</v>
      </c>
      <c r="B300" t="s">
        <v>1566</v>
      </c>
      <c r="C300" t="s">
        <v>16</v>
      </c>
      <c r="D300" t="s">
        <v>17</v>
      </c>
      <c r="E300">
        <v>955.85</v>
      </c>
      <c r="F300" t="s">
        <v>88</v>
      </c>
      <c r="G300" s="19">
        <v>45502</v>
      </c>
      <c r="H300" t="s">
        <v>94</v>
      </c>
      <c r="I300" t="s">
        <v>3483</v>
      </c>
      <c r="J300" t="s">
        <v>3886</v>
      </c>
      <c r="O300" t="s">
        <v>3485</v>
      </c>
      <c r="Q300" s="3">
        <f t="shared" si="16"/>
        <v>955.85</v>
      </c>
      <c r="V300" s="3" t="str">
        <f t="shared" si="17"/>
        <v/>
      </c>
    </row>
    <row r="301" spans="1:22" x14ac:dyDescent="0.35">
      <c r="A301" t="s">
        <v>35</v>
      </c>
      <c r="B301" t="s">
        <v>1566</v>
      </c>
      <c r="C301" t="s">
        <v>16</v>
      </c>
      <c r="D301" t="s">
        <v>17</v>
      </c>
      <c r="E301">
        <v>922.73</v>
      </c>
      <c r="F301" t="s">
        <v>88</v>
      </c>
      <c r="G301" s="19">
        <v>45404</v>
      </c>
      <c r="H301" t="s">
        <v>94</v>
      </c>
      <c r="I301" t="s">
        <v>1838</v>
      </c>
      <c r="J301" t="s">
        <v>3103</v>
      </c>
      <c r="O301" t="s">
        <v>1840</v>
      </c>
      <c r="Q301" s="3">
        <f t="shared" si="16"/>
        <v>922.73</v>
      </c>
      <c r="V301" s="3" t="str">
        <f t="shared" si="17"/>
        <v/>
      </c>
    </row>
    <row r="302" spans="1:22" x14ac:dyDescent="0.35">
      <c r="A302" t="s">
        <v>35</v>
      </c>
      <c r="B302" t="s">
        <v>1566</v>
      </c>
      <c r="C302" t="s">
        <v>16</v>
      </c>
      <c r="D302" t="s">
        <v>17</v>
      </c>
      <c r="E302">
        <v>919.09</v>
      </c>
      <c r="F302" t="s">
        <v>88</v>
      </c>
      <c r="G302" s="19">
        <v>45453</v>
      </c>
      <c r="H302" t="s">
        <v>94</v>
      </c>
      <c r="I302" t="s">
        <v>3483</v>
      </c>
      <c r="J302" t="s">
        <v>3484</v>
      </c>
      <c r="O302" t="s">
        <v>3485</v>
      </c>
      <c r="Q302" s="3">
        <f t="shared" si="16"/>
        <v>919.09</v>
      </c>
      <c r="V302" s="3" t="str">
        <f t="shared" si="17"/>
        <v/>
      </c>
    </row>
    <row r="303" spans="1:22" x14ac:dyDescent="0.35">
      <c r="A303" t="s">
        <v>35</v>
      </c>
      <c r="B303" t="s">
        <v>698</v>
      </c>
      <c r="C303" t="s">
        <v>16</v>
      </c>
      <c r="D303" t="s">
        <v>17</v>
      </c>
      <c r="E303">
        <v>905.62</v>
      </c>
      <c r="F303" t="s">
        <v>88</v>
      </c>
      <c r="G303" s="19">
        <v>45586</v>
      </c>
      <c r="H303" t="s">
        <v>94</v>
      </c>
      <c r="I303" t="s">
        <v>2954</v>
      </c>
      <c r="J303" t="s">
        <v>4703</v>
      </c>
      <c r="O303" t="s">
        <v>4704</v>
      </c>
      <c r="Q303" s="3">
        <f t="shared" si="16"/>
        <v>905.62</v>
      </c>
      <c r="S303" s="69" t="s">
        <v>53</v>
      </c>
      <c r="T303" t="s">
        <v>64</v>
      </c>
      <c r="U303" t="str">
        <f>B303</f>
        <v>AU030213</v>
      </c>
      <c r="V303" s="3">
        <f t="shared" si="17"/>
        <v>905.62</v>
      </c>
    </row>
    <row r="304" spans="1:22" x14ac:dyDescent="0.35">
      <c r="A304" t="s">
        <v>35</v>
      </c>
      <c r="B304" t="s">
        <v>1566</v>
      </c>
      <c r="C304" t="s">
        <v>16</v>
      </c>
      <c r="D304" t="s">
        <v>17</v>
      </c>
      <c r="E304">
        <v>904.41</v>
      </c>
      <c r="F304" t="s">
        <v>88</v>
      </c>
      <c r="G304" s="19">
        <v>45639</v>
      </c>
      <c r="H304" t="s">
        <v>94</v>
      </c>
      <c r="I304" t="s">
        <v>5108</v>
      </c>
      <c r="J304" t="s">
        <v>5293</v>
      </c>
      <c r="O304" t="s">
        <v>5110</v>
      </c>
      <c r="Q304" s="3">
        <f t="shared" si="16"/>
        <v>904.41</v>
      </c>
      <c r="V304" s="3" t="str">
        <f t="shared" si="17"/>
        <v/>
      </c>
    </row>
    <row r="305" spans="1:22" x14ac:dyDescent="0.35">
      <c r="A305" t="s">
        <v>35</v>
      </c>
      <c r="B305" t="s">
        <v>1566</v>
      </c>
      <c r="C305" t="s">
        <v>16</v>
      </c>
      <c r="D305" t="s">
        <v>17</v>
      </c>
      <c r="E305">
        <v>900.43</v>
      </c>
      <c r="F305" t="s">
        <v>88</v>
      </c>
      <c r="G305" s="19">
        <v>45474</v>
      </c>
      <c r="H305" t="s">
        <v>94</v>
      </c>
      <c r="I305" t="s">
        <v>242</v>
      </c>
      <c r="J305" t="s">
        <v>3743</v>
      </c>
      <c r="O305" t="s">
        <v>3744</v>
      </c>
      <c r="Q305" s="3">
        <f t="shared" si="16"/>
        <v>900.43</v>
      </c>
      <c r="V305" s="3" t="str">
        <f t="shared" si="17"/>
        <v/>
      </c>
    </row>
    <row r="306" spans="1:22" x14ac:dyDescent="0.35">
      <c r="A306" t="s">
        <v>0</v>
      </c>
      <c r="B306" t="s">
        <v>1566</v>
      </c>
      <c r="C306" t="s">
        <v>16</v>
      </c>
      <c r="D306" t="s">
        <v>17</v>
      </c>
      <c r="E306">
        <v>900</v>
      </c>
      <c r="F306" t="s">
        <v>88</v>
      </c>
      <c r="G306" s="19">
        <v>45425</v>
      </c>
      <c r="H306" t="s">
        <v>89</v>
      </c>
      <c r="I306" t="s">
        <v>3200</v>
      </c>
      <c r="J306"/>
      <c r="K306" t="s">
        <v>3201</v>
      </c>
      <c r="L306" t="s">
        <v>3202</v>
      </c>
      <c r="M306" t="s">
        <v>3203</v>
      </c>
      <c r="Q306" s="3">
        <f t="shared" si="16"/>
        <v>900</v>
      </c>
      <c r="V306" s="3" t="str">
        <f t="shared" si="17"/>
        <v/>
      </c>
    </row>
    <row r="307" spans="1:22" x14ac:dyDescent="0.35">
      <c r="A307" t="s">
        <v>0</v>
      </c>
      <c r="B307" t="s">
        <v>1566</v>
      </c>
      <c r="C307" t="s">
        <v>16</v>
      </c>
      <c r="D307" t="s">
        <v>17</v>
      </c>
      <c r="E307">
        <v>898.1</v>
      </c>
      <c r="F307" t="s">
        <v>88</v>
      </c>
      <c r="G307" s="19">
        <v>45457</v>
      </c>
      <c r="H307" t="s">
        <v>89</v>
      </c>
      <c r="I307" t="s">
        <v>3595</v>
      </c>
      <c r="J307"/>
      <c r="K307" t="s">
        <v>101</v>
      </c>
      <c r="L307" t="s">
        <v>3596</v>
      </c>
      <c r="M307" t="s">
        <v>3597</v>
      </c>
      <c r="Q307" s="3">
        <f t="shared" si="16"/>
        <v>898.1</v>
      </c>
      <c r="V307" s="3" t="str">
        <f t="shared" si="17"/>
        <v/>
      </c>
    </row>
    <row r="308" spans="1:22" x14ac:dyDescent="0.35">
      <c r="A308" t="s">
        <v>0</v>
      </c>
      <c r="B308" t="s">
        <v>1566</v>
      </c>
      <c r="C308" t="s">
        <v>16</v>
      </c>
      <c r="D308" t="s">
        <v>17</v>
      </c>
      <c r="E308">
        <v>898.1</v>
      </c>
      <c r="F308" t="s">
        <v>88</v>
      </c>
      <c r="G308" s="19">
        <v>45601</v>
      </c>
      <c r="H308" t="s">
        <v>89</v>
      </c>
      <c r="I308" t="s">
        <v>4826</v>
      </c>
      <c r="J308"/>
      <c r="K308" t="s">
        <v>4827</v>
      </c>
      <c r="L308" t="s">
        <v>4828</v>
      </c>
      <c r="M308" t="s">
        <v>4198</v>
      </c>
      <c r="Q308" s="3">
        <f t="shared" si="16"/>
        <v>898.1</v>
      </c>
      <c r="V308" s="3" t="str">
        <f t="shared" si="17"/>
        <v/>
      </c>
    </row>
    <row r="309" spans="1:22" x14ac:dyDescent="0.35">
      <c r="A309" t="s">
        <v>35</v>
      </c>
      <c r="B309" t="s">
        <v>3466</v>
      </c>
      <c r="C309" t="s">
        <v>16</v>
      </c>
      <c r="D309" t="s">
        <v>17</v>
      </c>
      <c r="E309">
        <v>891.79</v>
      </c>
      <c r="F309" t="s">
        <v>88</v>
      </c>
      <c r="G309" s="19">
        <v>45635</v>
      </c>
      <c r="H309" t="s">
        <v>94</v>
      </c>
      <c r="I309" t="s">
        <v>5143</v>
      </c>
      <c r="J309" t="s">
        <v>5182</v>
      </c>
      <c r="O309" t="s">
        <v>5183</v>
      </c>
      <c r="Q309" s="3">
        <f t="shared" si="16"/>
        <v>891.79</v>
      </c>
      <c r="V309" s="3" t="str">
        <f t="shared" si="17"/>
        <v/>
      </c>
    </row>
    <row r="310" spans="1:22" x14ac:dyDescent="0.35">
      <c r="A310" t="s">
        <v>0</v>
      </c>
      <c r="B310" t="s">
        <v>1566</v>
      </c>
      <c r="C310" t="s">
        <v>16</v>
      </c>
      <c r="D310" t="s">
        <v>17</v>
      </c>
      <c r="E310">
        <v>889.12</v>
      </c>
      <c r="F310" t="s">
        <v>88</v>
      </c>
      <c r="G310" s="19">
        <v>45566</v>
      </c>
      <c r="H310" t="s">
        <v>89</v>
      </c>
      <c r="I310" t="s">
        <v>4517</v>
      </c>
      <c r="J310"/>
      <c r="K310" t="s">
        <v>4518</v>
      </c>
      <c r="L310" t="s">
        <v>4519</v>
      </c>
      <c r="M310" t="s">
        <v>2500</v>
      </c>
      <c r="Q310" s="3">
        <f t="shared" si="16"/>
        <v>889.12</v>
      </c>
      <c r="V310" s="3" t="str">
        <f t="shared" si="17"/>
        <v/>
      </c>
    </row>
    <row r="311" spans="1:22" x14ac:dyDescent="0.35">
      <c r="A311" t="s">
        <v>0</v>
      </c>
      <c r="B311" t="s">
        <v>1566</v>
      </c>
      <c r="C311" t="s">
        <v>16</v>
      </c>
      <c r="D311" t="s">
        <v>17</v>
      </c>
      <c r="E311">
        <v>889.12</v>
      </c>
      <c r="F311" t="s">
        <v>88</v>
      </c>
      <c r="G311" s="19">
        <v>45614</v>
      </c>
      <c r="H311" t="s">
        <v>89</v>
      </c>
      <c r="I311" t="s">
        <v>4910</v>
      </c>
      <c r="J311"/>
      <c r="K311" t="s">
        <v>4911</v>
      </c>
      <c r="L311" t="s">
        <v>4912</v>
      </c>
      <c r="M311" t="s">
        <v>2500</v>
      </c>
      <c r="Q311" s="3">
        <f t="shared" si="16"/>
        <v>889.12</v>
      </c>
      <c r="V311" s="3" t="str">
        <f t="shared" si="17"/>
        <v/>
      </c>
    </row>
    <row r="312" spans="1:22" x14ac:dyDescent="0.35">
      <c r="A312" t="s">
        <v>0</v>
      </c>
      <c r="B312" t="s">
        <v>1566</v>
      </c>
      <c r="C312" t="s">
        <v>16</v>
      </c>
      <c r="D312" t="s">
        <v>17</v>
      </c>
      <c r="E312">
        <v>889.12</v>
      </c>
      <c r="F312" t="s">
        <v>88</v>
      </c>
      <c r="G312" s="19">
        <v>45614</v>
      </c>
      <c r="H312" t="s">
        <v>89</v>
      </c>
      <c r="I312" t="s">
        <v>4913</v>
      </c>
      <c r="J312"/>
      <c r="K312" t="s">
        <v>4914</v>
      </c>
      <c r="L312" t="s">
        <v>4915</v>
      </c>
      <c r="M312" t="s">
        <v>2500</v>
      </c>
      <c r="Q312" s="3">
        <f t="shared" si="16"/>
        <v>889.12</v>
      </c>
      <c r="V312" s="3" t="str">
        <f t="shared" si="17"/>
        <v/>
      </c>
    </row>
    <row r="313" spans="1:22" x14ac:dyDescent="0.35">
      <c r="A313" t="s">
        <v>35</v>
      </c>
      <c r="B313" t="s">
        <v>1566</v>
      </c>
      <c r="C313" t="s">
        <v>16</v>
      </c>
      <c r="D313" t="s">
        <v>17</v>
      </c>
      <c r="E313">
        <v>879.18</v>
      </c>
      <c r="F313" t="s">
        <v>88</v>
      </c>
      <c r="G313" s="19">
        <v>45539</v>
      </c>
      <c r="H313" t="s">
        <v>94</v>
      </c>
      <c r="I313" t="s">
        <v>229</v>
      </c>
      <c r="J313" t="s">
        <v>4245</v>
      </c>
      <c r="O313" t="s">
        <v>818</v>
      </c>
      <c r="Q313" s="3">
        <f t="shared" si="16"/>
        <v>879.18</v>
      </c>
      <c r="V313" s="3" t="str">
        <f t="shared" si="17"/>
        <v/>
      </c>
    </row>
    <row r="314" spans="1:22" x14ac:dyDescent="0.35">
      <c r="A314" t="s">
        <v>35</v>
      </c>
      <c r="B314" t="s">
        <v>1566</v>
      </c>
      <c r="C314" t="s">
        <v>16</v>
      </c>
      <c r="D314" t="s">
        <v>17</v>
      </c>
      <c r="E314">
        <v>879.18</v>
      </c>
      <c r="F314" t="s">
        <v>88</v>
      </c>
      <c r="G314" s="19">
        <v>45545</v>
      </c>
      <c r="H314" t="s">
        <v>94</v>
      </c>
      <c r="I314" t="s">
        <v>229</v>
      </c>
      <c r="J314" t="s">
        <v>4305</v>
      </c>
      <c r="O314" t="s">
        <v>818</v>
      </c>
      <c r="Q314" s="3">
        <f t="shared" si="16"/>
        <v>879.18</v>
      </c>
      <c r="V314" s="3" t="str">
        <f t="shared" si="17"/>
        <v/>
      </c>
    </row>
    <row r="315" spans="1:22" x14ac:dyDescent="0.35">
      <c r="A315" t="s">
        <v>35</v>
      </c>
      <c r="B315" t="s">
        <v>1566</v>
      </c>
      <c r="C315" t="s">
        <v>16</v>
      </c>
      <c r="D315" t="s">
        <v>17</v>
      </c>
      <c r="E315">
        <v>879.18</v>
      </c>
      <c r="F315" t="s">
        <v>88</v>
      </c>
      <c r="G315" s="19">
        <v>45545</v>
      </c>
      <c r="H315" t="s">
        <v>94</v>
      </c>
      <c r="I315" t="s">
        <v>229</v>
      </c>
      <c r="J315" t="s">
        <v>4306</v>
      </c>
      <c r="O315" t="s">
        <v>818</v>
      </c>
      <c r="Q315" s="3">
        <f t="shared" si="16"/>
        <v>879.18</v>
      </c>
      <c r="V315" s="3" t="str">
        <f t="shared" si="17"/>
        <v/>
      </c>
    </row>
    <row r="316" spans="1:22" x14ac:dyDescent="0.35">
      <c r="A316" t="s">
        <v>35</v>
      </c>
      <c r="B316" t="s">
        <v>633</v>
      </c>
      <c r="C316" t="s">
        <v>16</v>
      </c>
      <c r="D316" t="s">
        <v>17</v>
      </c>
      <c r="E316">
        <v>879.18</v>
      </c>
      <c r="F316" t="s">
        <v>88</v>
      </c>
      <c r="G316" s="19">
        <v>45560</v>
      </c>
      <c r="H316" t="s">
        <v>94</v>
      </c>
      <c r="I316" t="s">
        <v>243</v>
      </c>
      <c r="J316" t="s">
        <v>4445</v>
      </c>
      <c r="O316" t="s">
        <v>818</v>
      </c>
      <c r="Q316" s="3">
        <f t="shared" si="16"/>
        <v>879.18</v>
      </c>
      <c r="V316" s="3" t="str">
        <f t="shared" si="17"/>
        <v/>
      </c>
    </row>
    <row r="317" spans="1:22" x14ac:dyDescent="0.35">
      <c r="A317" t="s">
        <v>35</v>
      </c>
      <c r="B317" t="s">
        <v>633</v>
      </c>
      <c r="C317" t="s">
        <v>16</v>
      </c>
      <c r="D317" t="s">
        <v>17</v>
      </c>
      <c r="E317">
        <v>879.18</v>
      </c>
      <c r="F317" t="s">
        <v>88</v>
      </c>
      <c r="G317" s="19">
        <v>45631</v>
      </c>
      <c r="H317" t="s">
        <v>94</v>
      </c>
      <c r="I317" t="s">
        <v>340</v>
      </c>
      <c r="J317" t="s">
        <v>5149</v>
      </c>
      <c r="O317" t="s">
        <v>818</v>
      </c>
      <c r="Q317" s="3">
        <f t="shared" si="16"/>
        <v>879.18</v>
      </c>
      <c r="V317" s="3" t="str">
        <f t="shared" si="17"/>
        <v/>
      </c>
    </row>
    <row r="318" spans="1:22" x14ac:dyDescent="0.35">
      <c r="A318" t="s">
        <v>0</v>
      </c>
      <c r="B318" t="s">
        <v>1566</v>
      </c>
      <c r="C318" t="s">
        <v>16</v>
      </c>
      <c r="D318" t="s">
        <v>17</v>
      </c>
      <c r="E318">
        <v>878.14</v>
      </c>
      <c r="F318" t="s">
        <v>88</v>
      </c>
      <c r="G318" s="19">
        <v>45440</v>
      </c>
      <c r="H318" t="s">
        <v>89</v>
      </c>
      <c r="I318" t="s">
        <v>3389</v>
      </c>
      <c r="J318"/>
      <c r="K318" t="s">
        <v>101</v>
      </c>
      <c r="L318" t="s">
        <v>3390</v>
      </c>
      <c r="M318" t="s">
        <v>3391</v>
      </c>
      <c r="Q318" s="3">
        <f t="shared" si="16"/>
        <v>878.14</v>
      </c>
      <c r="V318" s="3" t="str">
        <f t="shared" si="17"/>
        <v/>
      </c>
    </row>
    <row r="319" spans="1:22" x14ac:dyDescent="0.35">
      <c r="A319" t="s">
        <v>0</v>
      </c>
      <c r="B319" t="s">
        <v>1566</v>
      </c>
      <c r="C319" t="s">
        <v>16</v>
      </c>
      <c r="D319" t="s">
        <v>17</v>
      </c>
      <c r="E319">
        <v>878.14</v>
      </c>
      <c r="F319" t="s">
        <v>88</v>
      </c>
      <c r="G319" s="19">
        <v>45555</v>
      </c>
      <c r="H319" t="s">
        <v>89</v>
      </c>
      <c r="I319" t="s">
        <v>4394</v>
      </c>
      <c r="J319"/>
      <c r="K319" t="s">
        <v>4395</v>
      </c>
      <c r="L319" t="s">
        <v>4396</v>
      </c>
      <c r="M319" t="s">
        <v>3775</v>
      </c>
      <c r="Q319" s="3">
        <f t="shared" si="16"/>
        <v>878.14</v>
      </c>
      <c r="V319" s="3" t="str">
        <f t="shared" si="17"/>
        <v/>
      </c>
    </row>
    <row r="320" spans="1:22" x14ac:dyDescent="0.35">
      <c r="A320" t="s">
        <v>0</v>
      </c>
      <c r="B320" t="s">
        <v>1566</v>
      </c>
      <c r="C320" t="s">
        <v>16</v>
      </c>
      <c r="D320" t="s">
        <v>17</v>
      </c>
      <c r="E320">
        <v>878.14</v>
      </c>
      <c r="F320" t="s">
        <v>88</v>
      </c>
      <c r="G320" s="19">
        <v>45597</v>
      </c>
      <c r="H320" t="s">
        <v>89</v>
      </c>
      <c r="I320" t="s">
        <v>4790</v>
      </c>
      <c r="J320"/>
      <c r="K320" t="s">
        <v>4791</v>
      </c>
      <c r="L320" t="s">
        <v>4792</v>
      </c>
      <c r="M320" t="s">
        <v>174</v>
      </c>
      <c r="Q320" s="3">
        <f t="shared" si="16"/>
        <v>878.14</v>
      </c>
      <c r="V320" s="3" t="str">
        <f t="shared" si="17"/>
        <v/>
      </c>
    </row>
    <row r="321" spans="1:22" x14ac:dyDescent="0.35">
      <c r="A321" t="s">
        <v>35</v>
      </c>
      <c r="B321" t="s">
        <v>1106</v>
      </c>
      <c r="C321" t="s">
        <v>16</v>
      </c>
      <c r="D321" t="s">
        <v>17</v>
      </c>
      <c r="E321">
        <v>868.15</v>
      </c>
      <c r="F321" t="s">
        <v>88</v>
      </c>
      <c r="G321" s="19">
        <v>45436</v>
      </c>
      <c r="H321" t="s">
        <v>94</v>
      </c>
      <c r="I321" t="s">
        <v>3332</v>
      </c>
      <c r="J321" t="s">
        <v>3360</v>
      </c>
      <c r="O321" t="s">
        <v>635</v>
      </c>
      <c r="Q321" s="3">
        <f t="shared" si="16"/>
        <v>868.15</v>
      </c>
      <c r="V321" s="3" t="str">
        <f t="shared" si="17"/>
        <v/>
      </c>
    </row>
    <row r="322" spans="1:22" x14ac:dyDescent="0.35">
      <c r="A322" t="s">
        <v>0</v>
      </c>
      <c r="B322" t="s">
        <v>1566</v>
      </c>
      <c r="C322" t="s">
        <v>16</v>
      </c>
      <c r="D322" t="s">
        <v>17</v>
      </c>
      <c r="E322">
        <v>861.68</v>
      </c>
      <c r="F322" t="s">
        <v>88</v>
      </c>
      <c r="G322" s="19">
        <v>45597</v>
      </c>
      <c r="H322" t="s">
        <v>89</v>
      </c>
      <c r="I322" t="s">
        <v>4777</v>
      </c>
      <c r="J322"/>
      <c r="K322" t="s">
        <v>4778</v>
      </c>
      <c r="L322" t="s">
        <v>4779</v>
      </c>
      <c r="M322" t="s">
        <v>147</v>
      </c>
      <c r="Q322" s="3">
        <f t="shared" si="16"/>
        <v>861.68</v>
      </c>
      <c r="V322" s="3" t="str">
        <f t="shared" si="17"/>
        <v/>
      </c>
    </row>
    <row r="323" spans="1:22" x14ac:dyDescent="0.35">
      <c r="A323" t="s">
        <v>35</v>
      </c>
      <c r="B323" t="s">
        <v>1566</v>
      </c>
      <c r="C323" t="s">
        <v>16</v>
      </c>
      <c r="D323" t="s">
        <v>17</v>
      </c>
      <c r="E323">
        <v>859.09</v>
      </c>
      <c r="F323" t="s">
        <v>88</v>
      </c>
      <c r="G323" s="19">
        <v>45470</v>
      </c>
      <c r="H323" t="s">
        <v>94</v>
      </c>
      <c r="I323" t="s">
        <v>232</v>
      </c>
      <c r="J323" t="s">
        <v>3705</v>
      </c>
      <c r="O323" t="s">
        <v>627</v>
      </c>
      <c r="Q323" s="3">
        <f t="shared" si="16"/>
        <v>859.09</v>
      </c>
      <c r="S323" s="69" t="s">
        <v>53</v>
      </c>
      <c r="T323" t="s">
        <v>64</v>
      </c>
      <c r="U323" t="str">
        <f t="shared" ref="U323:U324" si="18">B323</f>
        <v>AU032046</v>
      </c>
      <c r="V323" s="3">
        <f t="shared" si="17"/>
        <v>859.09</v>
      </c>
    </row>
    <row r="324" spans="1:22" x14ac:dyDescent="0.35">
      <c r="A324" t="s">
        <v>35</v>
      </c>
      <c r="B324" t="s">
        <v>1566</v>
      </c>
      <c r="C324" t="s">
        <v>16</v>
      </c>
      <c r="D324" t="s">
        <v>17</v>
      </c>
      <c r="E324">
        <v>859.09</v>
      </c>
      <c r="F324" t="s">
        <v>88</v>
      </c>
      <c r="G324" s="19">
        <v>45474</v>
      </c>
      <c r="H324" t="s">
        <v>94</v>
      </c>
      <c r="I324" t="s">
        <v>232</v>
      </c>
      <c r="J324" t="s">
        <v>3740</v>
      </c>
      <c r="O324" t="s">
        <v>627</v>
      </c>
      <c r="Q324" s="3">
        <f t="shared" si="16"/>
        <v>859.09</v>
      </c>
      <c r="S324" s="69" t="s">
        <v>53</v>
      </c>
      <c r="T324" t="s">
        <v>64</v>
      </c>
      <c r="U324" t="str">
        <f t="shared" si="18"/>
        <v>AU032046</v>
      </c>
      <c r="V324" s="3">
        <f t="shared" si="17"/>
        <v>859.09</v>
      </c>
    </row>
    <row r="325" spans="1:22" x14ac:dyDescent="0.35">
      <c r="A325" t="s">
        <v>0</v>
      </c>
      <c r="B325" t="s">
        <v>1566</v>
      </c>
      <c r="C325" t="s">
        <v>16</v>
      </c>
      <c r="D325" t="s">
        <v>17</v>
      </c>
      <c r="E325">
        <v>855.14</v>
      </c>
      <c r="F325" t="s">
        <v>88</v>
      </c>
      <c r="G325" s="19">
        <v>45545</v>
      </c>
      <c r="H325" t="s">
        <v>89</v>
      </c>
      <c r="I325" t="s">
        <v>4267</v>
      </c>
      <c r="J325"/>
      <c r="K325" t="s">
        <v>4268</v>
      </c>
      <c r="L325" t="s">
        <v>4269</v>
      </c>
      <c r="M325" t="s">
        <v>100</v>
      </c>
      <c r="Q325" s="3">
        <f t="shared" si="16"/>
        <v>855.14</v>
      </c>
      <c r="V325" s="3" t="str">
        <f t="shared" si="17"/>
        <v/>
      </c>
    </row>
    <row r="326" spans="1:22" x14ac:dyDescent="0.35">
      <c r="A326" t="s">
        <v>0</v>
      </c>
      <c r="B326" t="s">
        <v>1566</v>
      </c>
      <c r="C326" t="s">
        <v>16</v>
      </c>
      <c r="D326" t="s">
        <v>17</v>
      </c>
      <c r="E326">
        <v>848.21</v>
      </c>
      <c r="F326" t="s">
        <v>88</v>
      </c>
      <c r="G326" s="19">
        <v>45488</v>
      </c>
      <c r="H326" t="s">
        <v>89</v>
      </c>
      <c r="I326" t="s">
        <v>3821</v>
      </c>
      <c r="J326"/>
      <c r="K326" t="s">
        <v>101</v>
      </c>
      <c r="L326" t="s">
        <v>3822</v>
      </c>
      <c r="M326" t="s">
        <v>3307</v>
      </c>
      <c r="Q326" s="3">
        <f t="shared" si="16"/>
        <v>848.21</v>
      </c>
      <c r="V326" s="3" t="str">
        <f t="shared" si="17"/>
        <v/>
      </c>
    </row>
    <row r="327" spans="1:22" x14ac:dyDescent="0.35">
      <c r="A327" t="s">
        <v>0</v>
      </c>
      <c r="B327" t="s">
        <v>1566</v>
      </c>
      <c r="C327" t="s">
        <v>16</v>
      </c>
      <c r="D327" t="s">
        <v>17</v>
      </c>
      <c r="E327">
        <v>841.82</v>
      </c>
      <c r="F327" t="s">
        <v>88</v>
      </c>
      <c r="G327" s="19">
        <v>45510</v>
      </c>
      <c r="H327" t="s">
        <v>89</v>
      </c>
      <c r="I327" t="s">
        <v>3958</v>
      </c>
      <c r="J327"/>
      <c r="K327" t="s">
        <v>3959</v>
      </c>
      <c r="L327" t="s">
        <v>3960</v>
      </c>
      <c r="M327" t="s">
        <v>100</v>
      </c>
      <c r="Q327" s="3">
        <f t="shared" si="16"/>
        <v>841.82</v>
      </c>
      <c r="V327" s="3" t="str">
        <f t="shared" si="17"/>
        <v/>
      </c>
    </row>
    <row r="328" spans="1:22" x14ac:dyDescent="0.35">
      <c r="A328" t="s">
        <v>35</v>
      </c>
      <c r="B328" t="s">
        <v>1566</v>
      </c>
      <c r="C328" t="s">
        <v>16</v>
      </c>
      <c r="D328" t="s">
        <v>17</v>
      </c>
      <c r="E328">
        <v>839.09</v>
      </c>
      <c r="F328" t="s">
        <v>88</v>
      </c>
      <c r="G328" s="19">
        <v>45558</v>
      </c>
      <c r="H328" t="s">
        <v>94</v>
      </c>
      <c r="I328" t="s">
        <v>229</v>
      </c>
      <c r="J328" t="s">
        <v>4438</v>
      </c>
      <c r="O328" t="s">
        <v>4439</v>
      </c>
      <c r="Q328" s="3">
        <f t="shared" ref="Q328:Q391" si="19">ABS(E328)</f>
        <v>839.09</v>
      </c>
      <c r="V328" s="3" t="str">
        <f t="shared" si="17"/>
        <v/>
      </c>
    </row>
    <row r="329" spans="1:22" x14ac:dyDescent="0.35">
      <c r="A329" t="s">
        <v>35</v>
      </c>
      <c r="B329" t="s">
        <v>1566</v>
      </c>
      <c r="C329" t="s">
        <v>16</v>
      </c>
      <c r="D329" t="s">
        <v>17</v>
      </c>
      <c r="E329">
        <v>839.09</v>
      </c>
      <c r="F329" t="s">
        <v>88</v>
      </c>
      <c r="G329" s="19">
        <v>45580</v>
      </c>
      <c r="H329" t="s">
        <v>94</v>
      </c>
      <c r="I329" t="s">
        <v>229</v>
      </c>
      <c r="J329" t="s">
        <v>4668</v>
      </c>
      <c r="O329" t="s">
        <v>4669</v>
      </c>
      <c r="Q329" s="3">
        <f t="shared" si="19"/>
        <v>839.09</v>
      </c>
      <c r="V329" s="3" t="str">
        <f t="shared" ref="V329:V392" si="20">IF(T329="Y",E329,"")</f>
        <v/>
      </c>
    </row>
    <row r="330" spans="1:22" x14ac:dyDescent="0.35">
      <c r="A330" t="s">
        <v>0</v>
      </c>
      <c r="B330" t="s">
        <v>1566</v>
      </c>
      <c r="C330" t="s">
        <v>16</v>
      </c>
      <c r="D330" t="s">
        <v>17</v>
      </c>
      <c r="E330">
        <v>823.26</v>
      </c>
      <c r="F330" t="s">
        <v>88</v>
      </c>
      <c r="G330" s="19">
        <v>45574</v>
      </c>
      <c r="H330" t="s">
        <v>89</v>
      </c>
      <c r="I330" t="s">
        <v>4604</v>
      </c>
      <c r="J330"/>
      <c r="K330" t="s">
        <v>4605</v>
      </c>
      <c r="L330" t="s">
        <v>4606</v>
      </c>
      <c r="M330" t="s">
        <v>4607</v>
      </c>
      <c r="Q330" s="3">
        <f t="shared" si="19"/>
        <v>823.26</v>
      </c>
      <c r="V330" s="3" t="str">
        <f t="shared" si="20"/>
        <v/>
      </c>
    </row>
    <row r="331" spans="1:22" x14ac:dyDescent="0.35">
      <c r="A331" t="s">
        <v>0</v>
      </c>
      <c r="B331" t="s">
        <v>1566</v>
      </c>
      <c r="C331" t="s">
        <v>16</v>
      </c>
      <c r="D331" t="s">
        <v>17</v>
      </c>
      <c r="E331">
        <v>823.26</v>
      </c>
      <c r="F331" t="s">
        <v>88</v>
      </c>
      <c r="G331" s="19">
        <v>45607</v>
      </c>
      <c r="H331" t="s">
        <v>89</v>
      </c>
      <c r="I331" t="s">
        <v>4856</v>
      </c>
      <c r="J331"/>
      <c r="K331" t="s">
        <v>4857</v>
      </c>
      <c r="L331" t="s">
        <v>4858</v>
      </c>
      <c r="M331" t="s">
        <v>4859</v>
      </c>
      <c r="Q331" s="3">
        <f t="shared" si="19"/>
        <v>823.26</v>
      </c>
      <c r="V331" s="3" t="str">
        <f t="shared" si="20"/>
        <v/>
      </c>
    </row>
    <row r="332" spans="1:22" x14ac:dyDescent="0.35">
      <c r="A332" t="s">
        <v>35</v>
      </c>
      <c r="B332" t="s">
        <v>698</v>
      </c>
      <c r="C332" t="s">
        <v>16</v>
      </c>
      <c r="D332" t="s">
        <v>17</v>
      </c>
      <c r="E332">
        <v>818.3</v>
      </c>
      <c r="F332" t="s">
        <v>88</v>
      </c>
      <c r="G332" s="19">
        <v>45516</v>
      </c>
      <c r="H332" t="s">
        <v>94</v>
      </c>
      <c r="I332" t="s">
        <v>2656</v>
      </c>
      <c r="J332" t="s">
        <v>3989</v>
      </c>
      <c r="O332" t="s">
        <v>3990</v>
      </c>
      <c r="Q332" s="3">
        <f t="shared" si="19"/>
        <v>818.3</v>
      </c>
      <c r="S332" s="69" t="s">
        <v>53</v>
      </c>
      <c r="T332" t="s">
        <v>64</v>
      </c>
      <c r="U332" t="str">
        <f>B332</f>
        <v>AU030213</v>
      </c>
      <c r="V332" s="3">
        <f t="shared" si="20"/>
        <v>818.3</v>
      </c>
    </row>
    <row r="333" spans="1:22" x14ac:dyDescent="0.35">
      <c r="A333" t="s">
        <v>35</v>
      </c>
      <c r="B333" t="s">
        <v>633</v>
      </c>
      <c r="C333" t="s">
        <v>16</v>
      </c>
      <c r="D333" t="s">
        <v>17</v>
      </c>
      <c r="E333">
        <v>804.55</v>
      </c>
      <c r="F333" t="s">
        <v>88</v>
      </c>
      <c r="G333" s="19">
        <v>45441</v>
      </c>
      <c r="H333" t="s">
        <v>94</v>
      </c>
      <c r="I333" t="s">
        <v>131</v>
      </c>
      <c r="J333" t="s">
        <v>3395</v>
      </c>
      <c r="O333" t="s">
        <v>3396</v>
      </c>
      <c r="Q333" s="3">
        <f t="shared" si="19"/>
        <v>804.55</v>
      </c>
      <c r="V333" s="3" t="str">
        <f t="shared" si="20"/>
        <v/>
      </c>
    </row>
    <row r="334" spans="1:22" x14ac:dyDescent="0.35">
      <c r="A334" t="s">
        <v>0</v>
      </c>
      <c r="B334" t="s">
        <v>1566</v>
      </c>
      <c r="C334" t="s">
        <v>16</v>
      </c>
      <c r="D334" t="s">
        <v>17</v>
      </c>
      <c r="E334">
        <v>800</v>
      </c>
      <c r="F334" t="s">
        <v>88</v>
      </c>
      <c r="G334" s="19">
        <v>45425</v>
      </c>
      <c r="H334" t="s">
        <v>89</v>
      </c>
      <c r="I334" t="s">
        <v>3232</v>
      </c>
      <c r="J334"/>
      <c r="K334" t="s">
        <v>3233</v>
      </c>
      <c r="L334" t="s">
        <v>3234</v>
      </c>
      <c r="M334" t="s">
        <v>3235</v>
      </c>
      <c r="Q334" s="3">
        <f t="shared" si="19"/>
        <v>800</v>
      </c>
      <c r="V334" s="3" t="str">
        <f t="shared" si="20"/>
        <v/>
      </c>
    </row>
    <row r="335" spans="1:22" x14ac:dyDescent="0.35">
      <c r="A335" t="s">
        <v>0</v>
      </c>
      <c r="B335" t="s">
        <v>1566</v>
      </c>
      <c r="C335" t="s">
        <v>16</v>
      </c>
      <c r="D335" t="s">
        <v>17</v>
      </c>
      <c r="E335">
        <v>800</v>
      </c>
      <c r="F335" t="s">
        <v>88</v>
      </c>
      <c r="G335" s="19">
        <v>45614</v>
      </c>
      <c r="H335" t="s">
        <v>89</v>
      </c>
      <c r="I335" t="s">
        <v>4903</v>
      </c>
      <c r="J335"/>
      <c r="K335" t="s">
        <v>4904</v>
      </c>
      <c r="L335" t="s">
        <v>4905</v>
      </c>
      <c r="M335" t="s">
        <v>4906</v>
      </c>
      <c r="Q335" s="3">
        <f t="shared" si="19"/>
        <v>800</v>
      </c>
      <c r="V335" s="3" t="str">
        <f t="shared" si="20"/>
        <v/>
      </c>
    </row>
    <row r="336" spans="1:22" x14ac:dyDescent="0.35">
      <c r="A336" t="s">
        <v>0</v>
      </c>
      <c r="B336" t="s">
        <v>1566</v>
      </c>
      <c r="C336" t="s">
        <v>16</v>
      </c>
      <c r="D336" t="s">
        <v>17</v>
      </c>
      <c r="E336">
        <v>-800</v>
      </c>
      <c r="F336" t="s">
        <v>88</v>
      </c>
      <c r="G336" s="19">
        <v>45623</v>
      </c>
      <c r="H336" t="s">
        <v>89</v>
      </c>
      <c r="I336" t="s">
        <v>4903</v>
      </c>
      <c r="J336"/>
      <c r="K336" t="s">
        <v>4904</v>
      </c>
      <c r="L336" t="s">
        <v>4905</v>
      </c>
      <c r="M336" t="s">
        <v>4906</v>
      </c>
      <c r="Q336" s="3">
        <f t="shared" si="19"/>
        <v>800</v>
      </c>
      <c r="V336" s="3" t="str">
        <f t="shared" si="20"/>
        <v/>
      </c>
    </row>
    <row r="337" spans="1:26" x14ac:dyDescent="0.35">
      <c r="A337" t="s">
        <v>0</v>
      </c>
      <c r="B337" t="s">
        <v>1566</v>
      </c>
      <c r="C337" t="s">
        <v>16</v>
      </c>
      <c r="D337" t="s">
        <v>17</v>
      </c>
      <c r="E337">
        <v>800</v>
      </c>
      <c r="F337" t="s">
        <v>88</v>
      </c>
      <c r="G337" s="19">
        <v>45628</v>
      </c>
      <c r="H337" t="s">
        <v>89</v>
      </c>
      <c r="I337" t="s">
        <v>4903</v>
      </c>
      <c r="J337"/>
      <c r="K337" t="s">
        <v>4904</v>
      </c>
      <c r="L337" t="s">
        <v>4905</v>
      </c>
      <c r="M337" t="s">
        <v>4906</v>
      </c>
      <c r="Q337" s="3">
        <f t="shared" si="19"/>
        <v>800</v>
      </c>
      <c r="V337" s="3" t="str">
        <f t="shared" si="20"/>
        <v/>
      </c>
    </row>
    <row r="338" spans="1:26" x14ac:dyDescent="0.35">
      <c r="A338" t="s">
        <v>0</v>
      </c>
      <c r="B338" t="s">
        <v>1566</v>
      </c>
      <c r="C338" t="s">
        <v>16</v>
      </c>
      <c r="D338" t="s">
        <v>17</v>
      </c>
      <c r="E338">
        <v>800</v>
      </c>
      <c r="F338" t="s">
        <v>88</v>
      </c>
      <c r="G338" s="19">
        <v>45637</v>
      </c>
      <c r="H338" t="s">
        <v>89</v>
      </c>
      <c r="I338" t="s">
        <v>5252</v>
      </c>
      <c r="J338"/>
      <c r="K338" t="s">
        <v>5253</v>
      </c>
      <c r="L338" t="s">
        <v>5254</v>
      </c>
      <c r="M338" t="s">
        <v>5255</v>
      </c>
      <c r="Q338" s="3">
        <f t="shared" si="19"/>
        <v>800</v>
      </c>
      <c r="V338" s="3" t="str">
        <f t="shared" si="20"/>
        <v/>
      </c>
    </row>
    <row r="339" spans="1:26" x14ac:dyDescent="0.35">
      <c r="A339" t="s">
        <v>35</v>
      </c>
      <c r="B339" t="s">
        <v>1566</v>
      </c>
      <c r="C339" t="s">
        <v>16</v>
      </c>
      <c r="D339" t="s">
        <v>17</v>
      </c>
      <c r="E339">
        <v>797</v>
      </c>
      <c r="F339" t="s">
        <v>88</v>
      </c>
      <c r="G339" s="19">
        <v>45453</v>
      </c>
      <c r="H339" t="s">
        <v>94</v>
      </c>
      <c r="I339" t="s">
        <v>3529</v>
      </c>
      <c r="J339" t="s">
        <v>3534</v>
      </c>
      <c r="O339" t="s">
        <v>3535</v>
      </c>
      <c r="Q339" s="3">
        <f t="shared" si="19"/>
        <v>797</v>
      </c>
      <c r="V339" s="3" t="str">
        <f t="shared" si="20"/>
        <v/>
      </c>
    </row>
    <row r="340" spans="1:26" x14ac:dyDescent="0.35">
      <c r="A340" t="s">
        <v>35</v>
      </c>
      <c r="B340" t="s">
        <v>1566</v>
      </c>
      <c r="C340" t="s">
        <v>16</v>
      </c>
      <c r="D340" t="s">
        <v>17</v>
      </c>
      <c r="E340">
        <v>785</v>
      </c>
      <c r="F340" t="s">
        <v>88</v>
      </c>
      <c r="G340" s="19">
        <v>45638</v>
      </c>
      <c r="H340" t="s">
        <v>94</v>
      </c>
      <c r="I340" t="s">
        <v>3497</v>
      </c>
      <c r="J340" t="s">
        <v>5285</v>
      </c>
      <c r="O340" t="s">
        <v>3512</v>
      </c>
      <c r="Q340" s="3">
        <f t="shared" si="19"/>
        <v>785</v>
      </c>
      <c r="V340" s="3" t="str">
        <f t="shared" si="20"/>
        <v/>
      </c>
    </row>
    <row r="341" spans="1:26" x14ac:dyDescent="0.35">
      <c r="A341" t="s">
        <v>0</v>
      </c>
      <c r="B341" t="s">
        <v>1566</v>
      </c>
      <c r="C341" t="s">
        <v>16</v>
      </c>
      <c r="D341" t="s">
        <v>17</v>
      </c>
      <c r="E341">
        <v>782.64</v>
      </c>
      <c r="F341" t="s">
        <v>88</v>
      </c>
      <c r="G341" s="19">
        <v>45413</v>
      </c>
      <c r="H341" t="s">
        <v>89</v>
      </c>
      <c r="I341" t="s">
        <v>3135</v>
      </c>
      <c r="J341"/>
      <c r="K341" t="s">
        <v>3138</v>
      </c>
      <c r="L341" t="s">
        <v>3137</v>
      </c>
      <c r="M341" t="s">
        <v>149</v>
      </c>
      <c r="Q341" s="3">
        <f t="shared" si="19"/>
        <v>782.64</v>
      </c>
      <c r="V341" s="3" t="str">
        <f t="shared" si="20"/>
        <v/>
      </c>
      <c r="Z341" s="26"/>
    </row>
    <row r="342" spans="1:26" ht="29" x14ac:dyDescent="0.35">
      <c r="A342" t="s">
        <v>35</v>
      </c>
      <c r="B342" t="s">
        <v>1566</v>
      </c>
      <c r="C342" t="s">
        <v>16</v>
      </c>
      <c r="D342" t="s">
        <v>17</v>
      </c>
      <c r="E342">
        <v>781.82</v>
      </c>
      <c r="F342" t="s">
        <v>88</v>
      </c>
      <c r="G342" s="19">
        <v>45496</v>
      </c>
      <c r="H342" t="s">
        <v>94</v>
      </c>
      <c r="I342" t="s">
        <v>3868</v>
      </c>
      <c r="J342" t="s">
        <v>3869</v>
      </c>
      <c r="O342" t="s">
        <v>3870</v>
      </c>
      <c r="Q342" s="3">
        <f t="shared" si="19"/>
        <v>781.82</v>
      </c>
      <c r="S342" s="69" t="s">
        <v>5327</v>
      </c>
      <c r="T342" s="69"/>
    </row>
    <row r="343" spans="1:26" x14ac:dyDescent="0.35">
      <c r="A343" t="s">
        <v>35</v>
      </c>
      <c r="B343" t="s">
        <v>1566</v>
      </c>
      <c r="C343" t="s">
        <v>16</v>
      </c>
      <c r="D343" t="s">
        <v>17</v>
      </c>
      <c r="E343">
        <v>780.45</v>
      </c>
      <c r="F343" t="s">
        <v>88</v>
      </c>
      <c r="G343" s="19">
        <v>45635</v>
      </c>
      <c r="H343" t="s">
        <v>94</v>
      </c>
      <c r="I343" t="s">
        <v>5108</v>
      </c>
      <c r="J343" t="s">
        <v>5186</v>
      </c>
      <c r="O343" t="s">
        <v>5110</v>
      </c>
      <c r="Q343" s="3">
        <f t="shared" si="19"/>
        <v>780.45</v>
      </c>
      <c r="V343" s="3" t="str">
        <f t="shared" si="20"/>
        <v/>
      </c>
    </row>
    <row r="344" spans="1:26" x14ac:dyDescent="0.35">
      <c r="A344" t="s">
        <v>35</v>
      </c>
      <c r="B344" t="s">
        <v>1566</v>
      </c>
      <c r="C344" t="s">
        <v>16</v>
      </c>
      <c r="D344" t="s">
        <v>17</v>
      </c>
      <c r="E344">
        <v>763.64</v>
      </c>
      <c r="F344" t="s">
        <v>88</v>
      </c>
      <c r="G344" s="19">
        <v>45468</v>
      </c>
      <c r="H344" t="s">
        <v>94</v>
      </c>
      <c r="I344" t="s">
        <v>3672</v>
      </c>
      <c r="J344" t="s">
        <v>3675</v>
      </c>
      <c r="O344" t="s">
        <v>3676</v>
      </c>
      <c r="Q344" s="3">
        <f t="shared" si="19"/>
        <v>763.64</v>
      </c>
      <c r="S344" s="69" t="s">
        <v>53</v>
      </c>
      <c r="T344" t="s">
        <v>64</v>
      </c>
      <c r="U344" t="str">
        <f>B344</f>
        <v>AU032046</v>
      </c>
      <c r="V344" s="3">
        <f t="shared" si="20"/>
        <v>763.64</v>
      </c>
    </row>
    <row r="345" spans="1:26" x14ac:dyDescent="0.35">
      <c r="A345" t="s">
        <v>0</v>
      </c>
      <c r="B345" t="s">
        <v>1566</v>
      </c>
      <c r="C345" t="s">
        <v>16</v>
      </c>
      <c r="D345" t="s">
        <v>17</v>
      </c>
      <c r="E345">
        <v>762.84</v>
      </c>
      <c r="F345" t="s">
        <v>88</v>
      </c>
      <c r="G345" s="19">
        <v>45439</v>
      </c>
      <c r="H345" t="s">
        <v>89</v>
      </c>
      <c r="I345" t="s">
        <v>3386</v>
      </c>
      <c r="J345"/>
      <c r="K345" t="s">
        <v>3387</v>
      </c>
      <c r="L345" t="s">
        <v>3388</v>
      </c>
      <c r="M345" t="s">
        <v>100</v>
      </c>
      <c r="Q345" s="3">
        <f t="shared" si="19"/>
        <v>762.84</v>
      </c>
      <c r="V345" s="3" t="str">
        <f t="shared" si="20"/>
        <v/>
      </c>
    </row>
    <row r="346" spans="1:26" x14ac:dyDescent="0.35">
      <c r="A346" t="s">
        <v>35</v>
      </c>
      <c r="B346" t="s">
        <v>1566</v>
      </c>
      <c r="C346" t="s">
        <v>16</v>
      </c>
      <c r="D346" t="s">
        <v>17</v>
      </c>
      <c r="E346">
        <v>757.43</v>
      </c>
      <c r="F346" t="s">
        <v>88</v>
      </c>
      <c r="G346" s="19">
        <v>45453</v>
      </c>
      <c r="H346" t="s">
        <v>94</v>
      </c>
      <c r="I346" t="s">
        <v>3538</v>
      </c>
      <c r="J346" t="s">
        <v>3539</v>
      </c>
      <c r="O346" t="s">
        <v>3540</v>
      </c>
      <c r="Q346" s="3">
        <f t="shared" si="19"/>
        <v>757.43</v>
      </c>
      <c r="V346" s="3" t="str">
        <f t="shared" si="20"/>
        <v/>
      </c>
    </row>
    <row r="347" spans="1:26" x14ac:dyDescent="0.35">
      <c r="A347" t="s">
        <v>0</v>
      </c>
      <c r="B347" t="s">
        <v>1566</v>
      </c>
      <c r="C347" t="s">
        <v>16</v>
      </c>
      <c r="D347" t="s">
        <v>17</v>
      </c>
      <c r="E347">
        <v>755.31</v>
      </c>
      <c r="F347" t="s">
        <v>88</v>
      </c>
      <c r="G347" s="19">
        <v>45413</v>
      </c>
      <c r="H347" t="s">
        <v>89</v>
      </c>
      <c r="I347" t="s">
        <v>3135</v>
      </c>
      <c r="J347"/>
      <c r="K347" t="s">
        <v>3139</v>
      </c>
      <c r="L347" t="s">
        <v>3137</v>
      </c>
      <c r="M347" t="s">
        <v>149</v>
      </c>
      <c r="Q347" s="3">
        <f t="shared" si="19"/>
        <v>755.31</v>
      </c>
      <c r="V347" s="3" t="str">
        <f t="shared" si="20"/>
        <v/>
      </c>
    </row>
    <row r="348" spans="1:26" x14ac:dyDescent="0.35">
      <c r="A348" t="s">
        <v>0</v>
      </c>
      <c r="B348" t="s">
        <v>1566</v>
      </c>
      <c r="C348" t="s">
        <v>16</v>
      </c>
      <c r="D348" t="s">
        <v>17</v>
      </c>
      <c r="E348">
        <v>748.42</v>
      </c>
      <c r="F348" t="s">
        <v>88</v>
      </c>
      <c r="G348" s="19">
        <v>45491</v>
      </c>
      <c r="H348" t="s">
        <v>89</v>
      </c>
      <c r="I348" t="s">
        <v>3841</v>
      </c>
      <c r="J348"/>
      <c r="K348" t="s">
        <v>3842</v>
      </c>
      <c r="L348" t="s">
        <v>3843</v>
      </c>
      <c r="M348" t="s">
        <v>3844</v>
      </c>
      <c r="Q348" s="3">
        <f t="shared" si="19"/>
        <v>748.42</v>
      </c>
      <c r="V348" s="3" t="str">
        <f t="shared" si="20"/>
        <v/>
      </c>
    </row>
    <row r="349" spans="1:26" x14ac:dyDescent="0.35">
      <c r="A349" t="s">
        <v>0</v>
      </c>
      <c r="B349" t="s">
        <v>1566</v>
      </c>
      <c r="C349" t="s">
        <v>16</v>
      </c>
      <c r="D349" t="s">
        <v>17</v>
      </c>
      <c r="E349">
        <v>748.42</v>
      </c>
      <c r="F349" t="s">
        <v>88</v>
      </c>
      <c r="G349" s="19">
        <v>45602</v>
      </c>
      <c r="H349" t="s">
        <v>89</v>
      </c>
      <c r="I349" t="s">
        <v>4834</v>
      </c>
      <c r="J349"/>
      <c r="K349" t="s">
        <v>4835</v>
      </c>
      <c r="L349" t="s">
        <v>4836</v>
      </c>
      <c r="M349" t="s">
        <v>4837</v>
      </c>
      <c r="Q349" s="3">
        <f t="shared" si="19"/>
        <v>748.42</v>
      </c>
      <c r="V349" s="3" t="str">
        <f t="shared" si="20"/>
        <v/>
      </c>
    </row>
    <row r="350" spans="1:26" x14ac:dyDescent="0.35">
      <c r="A350" t="s">
        <v>35</v>
      </c>
      <c r="B350" t="s">
        <v>1566</v>
      </c>
      <c r="C350" t="s">
        <v>16</v>
      </c>
      <c r="D350" t="s">
        <v>17</v>
      </c>
      <c r="E350">
        <v>705.45</v>
      </c>
      <c r="F350" t="s">
        <v>88</v>
      </c>
      <c r="G350" s="19">
        <v>45552</v>
      </c>
      <c r="H350" t="s">
        <v>94</v>
      </c>
      <c r="I350" t="s">
        <v>204</v>
      </c>
      <c r="J350" t="s">
        <v>4387</v>
      </c>
      <c r="O350" t="s">
        <v>1973</v>
      </c>
      <c r="Q350" s="3">
        <f t="shared" si="19"/>
        <v>705.45</v>
      </c>
      <c r="V350" s="3" t="str">
        <f t="shared" si="20"/>
        <v/>
      </c>
    </row>
    <row r="351" spans="1:26" x14ac:dyDescent="0.35">
      <c r="A351" t="s">
        <v>35</v>
      </c>
      <c r="B351" t="s">
        <v>1566</v>
      </c>
      <c r="C351" t="s">
        <v>16</v>
      </c>
      <c r="D351" t="s">
        <v>17</v>
      </c>
      <c r="E351">
        <v>694.14</v>
      </c>
      <c r="F351" t="s">
        <v>88</v>
      </c>
      <c r="G351" s="19">
        <v>45404</v>
      </c>
      <c r="H351" t="s">
        <v>94</v>
      </c>
      <c r="I351" t="s">
        <v>204</v>
      </c>
      <c r="J351" t="s">
        <v>3095</v>
      </c>
      <c r="O351" t="s">
        <v>3031</v>
      </c>
      <c r="Q351" s="3">
        <f t="shared" si="19"/>
        <v>694.14</v>
      </c>
      <c r="V351" s="3" t="str">
        <f t="shared" si="20"/>
        <v/>
      </c>
    </row>
    <row r="352" spans="1:26" x14ac:dyDescent="0.35">
      <c r="A352" t="s">
        <v>35</v>
      </c>
      <c r="B352" t="s">
        <v>1627</v>
      </c>
      <c r="C352" t="s">
        <v>16</v>
      </c>
      <c r="D352" t="s">
        <v>17</v>
      </c>
      <c r="E352">
        <v>-681.82</v>
      </c>
      <c r="F352" t="s">
        <v>88</v>
      </c>
      <c r="G352" s="19">
        <v>45565</v>
      </c>
      <c r="H352" t="s">
        <v>94</v>
      </c>
      <c r="I352" t="s">
        <v>250</v>
      </c>
      <c r="J352" t="s">
        <v>4468</v>
      </c>
      <c r="O352" t="s">
        <v>627</v>
      </c>
      <c r="Q352" s="3">
        <f t="shared" si="19"/>
        <v>681.82</v>
      </c>
      <c r="V352" s="3" t="str">
        <f t="shared" si="20"/>
        <v/>
      </c>
    </row>
    <row r="353" spans="1:22" x14ac:dyDescent="0.35">
      <c r="A353" t="s">
        <v>35</v>
      </c>
      <c r="B353" t="s">
        <v>1566</v>
      </c>
      <c r="C353" t="s">
        <v>16</v>
      </c>
      <c r="D353" t="s">
        <v>17</v>
      </c>
      <c r="E353">
        <v>668.98</v>
      </c>
      <c r="F353" t="s">
        <v>88</v>
      </c>
      <c r="G353" s="19">
        <v>45517</v>
      </c>
      <c r="H353" t="s">
        <v>94</v>
      </c>
      <c r="I353" t="s">
        <v>204</v>
      </c>
      <c r="J353" t="s">
        <v>4023</v>
      </c>
      <c r="O353" t="s">
        <v>627</v>
      </c>
      <c r="Q353" s="3">
        <f t="shared" si="19"/>
        <v>668.98</v>
      </c>
      <c r="V353" s="3" t="str">
        <f t="shared" si="20"/>
        <v/>
      </c>
    </row>
    <row r="354" spans="1:22" x14ac:dyDescent="0.35">
      <c r="A354" t="s">
        <v>35</v>
      </c>
      <c r="B354" t="s">
        <v>1566</v>
      </c>
      <c r="C354" t="s">
        <v>16</v>
      </c>
      <c r="D354" t="s">
        <v>17</v>
      </c>
      <c r="E354">
        <v>668.98</v>
      </c>
      <c r="F354" t="s">
        <v>88</v>
      </c>
      <c r="G354" s="19">
        <v>45518</v>
      </c>
      <c r="H354" t="s">
        <v>94</v>
      </c>
      <c r="I354" t="s">
        <v>204</v>
      </c>
      <c r="J354" t="s">
        <v>4031</v>
      </c>
      <c r="O354" t="s">
        <v>627</v>
      </c>
      <c r="Q354" s="3">
        <f t="shared" si="19"/>
        <v>668.98</v>
      </c>
      <c r="V354" s="3" t="str">
        <f t="shared" si="20"/>
        <v/>
      </c>
    </row>
    <row r="355" spans="1:22" x14ac:dyDescent="0.35">
      <c r="A355" t="s">
        <v>35</v>
      </c>
      <c r="B355" t="s">
        <v>1566</v>
      </c>
      <c r="C355" t="s">
        <v>16</v>
      </c>
      <c r="D355" t="s">
        <v>17</v>
      </c>
      <c r="E355">
        <v>666.29</v>
      </c>
      <c r="F355" t="s">
        <v>88</v>
      </c>
      <c r="G355" s="19">
        <v>45482</v>
      </c>
      <c r="H355" t="s">
        <v>94</v>
      </c>
      <c r="I355" t="s">
        <v>3805</v>
      </c>
      <c r="J355" t="s">
        <v>3803</v>
      </c>
      <c r="O355" t="s">
        <v>3806</v>
      </c>
      <c r="Q355" s="3">
        <f t="shared" si="19"/>
        <v>666.29</v>
      </c>
      <c r="V355" s="3" t="str">
        <f t="shared" si="20"/>
        <v/>
      </c>
    </row>
    <row r="356" spans="1:22" x14ac:dyDescent="0.35">
      <c r="A356" t="s">
        <v>35</v>
      </c>
      <c r="B356" t="s">
        <v>838</v>
      </c>
      <c r="C356" t="s">
        <v>16</v>
      </c>
      <c r="D356" t="s">
        <v>17</v>
      </c>
      <c r="E356">
        <v>663.53</v>
      </c>
      <c r="F356" t="s">
        <v>88</v>
      </c>
      <c r="G356" s="19">
        <v>45568</v>
      </c>
      <c r="H356" t="s">
        <v>94</v>
      </c>
      <c r="I356" t="s">
        <v>131</v>
      </c>
      <c r="J356" t="s">
        <v>4573</v>
      </c>
      <c r="O356" t="s">
        <v>1122</v>
      </c>
      <c r="Q356" s="3">
        <f t="shared" si="19"/>
        <v>663.53</v>
      </c>
      <c r="V356" s="3" t="str">
        <f t="shared" si="20"/>
        <v/>
      </c>
    </row>
    <row r="357" spans="1:22" x14ac:dyDescent="0.35">
      <c r="A357" t="s">
        <v>35</v>
      </c>
      <c r="B357" t="s">
        <v>1566</v>
      </c>
      <c r="C357" t="s">
        <v>16</v>
      </c>
      <c r="D357" t="s">
        <v>17</v>
      </c>
      <c r="E357">
        <v>660</v>
      </c>
      <c r="F357" t="s">
        <v>88</v>
      </c>
      <c r="G357" s="19">
        <v>45419</v>
      </c>
      <c r="H357" t="s">
        <v>89</v>
      </c>
      <c r="I357" t="s">
        <v>3164</v>
      </c>
      <c r="J357"/>
      <c r="K357" t="s">
        <v>3165</v>
      </c>
      <c r="L357" t="s">
        <v>3166</v>
      </c>
      <c r="M357" t="s">
        <v>230</v>
      </c>
      <c r="Q357" s="3">
        <f t="shared" si="19"/>
        <v>660</v>
      </c>
      <c r="V357" s="3" t="str">
        <f t="shared" si="20"/>
        <v/>
      </c>
    </row>
    <row r="358" spans="1:22" x14ac:dyDescent="0.35">
      <c r="A358" t="s">
        <v>35</v>
      </c>
      <c r="B358" t="s">
        <v>933</v>
      </c>
      <c r="C358" t="s">
        <v>16</v>
      </c>
      <c r="D358" t="s">
        <v>17</v>
      </c>
      <c r="E358">
        <v>659.09</v>
      </c>
      <c r="F358" t="s">
        <v>88</v>
      </c>
      <c r="G358" s="19">
        <v>45469</v>
      </c>
      <c r="H358" t="s">
        <v>94</v>
      </c>
      <c r="I358" t="s">
        <v>3691</v>
      </c>
      <c r="J358" t="s">
        <v>3692</v>
      </c>
      <c r="O358" t="s">
        <v>627</v>
      </c>
      <c r="Q358" s="3">
        <f t="shared" si="19"/>
        <v>659.09</v>
      </c>
      <c r="V358" s="3" t="str">
        <f t="shared" si="20"/>
        <v/>
      </c>
    </row>
    <row r="359" spans="1:22" x14ac:dyDescent="0.35">
      <c r="A359" t="s">
        <v>35</v>
      </c>
      <c r="B359" t="s">
        <v>1566</v>
      </c>
      <c r="C359" t="s">
        <v>16</v>
      </c>
      <c r="D359" t="s">
        <v>17</v>
      </c>
      <c r="E359">
        <v>659.09</v>
      </c>
      <c r="F359" t="s">
        <v>88</v>
      </c>
      <c r="G359" s="19">
        <v>45470</v>
      </c>
      <c r="H359" t="s">
        <v>94</v>
      </c>
      <c r="I359" t="s">
        <v>232</v>
      </c>
      <c r="J359" t="s">
        <v>3703</v>
      </c>
      <c r="O359" t="s">
        <v>627</v>
      </c>
      <c r="Q359" s="3">
        <f t="shared" si="19"/>
        <v>659.09</v>
      </c>
      <c r="V359" s="3" t="str">
        <f t="shared" si="20"/>
        <v/>
      </c>
    </row>
    <row r="360" spans="1:22" x14ac:dyDescent="0.35">
      <c r="A360" t="s">
        <v>35</v>
      </c>
      <c r="B360" t="s">
        <v>1566</v>
      </c>
      <c r="C360" t="s">
        <v>16</v>
      </c>
      <c r="D360" t="s">
        <v>17</v>
      </c>
      <c r="E360">
        <v>659.09</v>
      </c>
      <c r="F360" t="s">
        <v>88</v>
      </c>
      <c r="G360" s="19">
        <v>45470</v>
      </c>
      <c r="H360" t="s">
        <v>94</v>
      </c>
      <c r="I360" t="s">
        <v>232</v>
      </c>
      <c r="J360" t="s">
        <v>3704</v>
      </c>
      <c r="O360" t="s">
        <v>627</v>
      </c>
      <c r="Q360" s="3">
        <f t="shared" si="19"/>
        <v>659.09</v>
      </c>
      <c r="V360" s="3" t="str">
        <f t="shared" si="20"/>
        <v/>
      </c>
    </row>
    <row r="361" spans="1:22" x14ac:dyDescent="0.35">
      <c r="A361" t="s">
        <v>35</v>
      </c>
      <c r="B361" t="s">
        <v>599</v>
      </c>
      <c r="C361" t="s">
        <v>16</v>
      </c>
      <c r="D361" t="s">
        <v>17</v>
      </c>
      <c r="E361">
        <v>659.09</v>
      </c>
      <c r="F361" t="s">
        <v>88</v>
      </c>
      <c r="G361" s="19">
        <v>45474</v>
      </c>
      <c r="H361" t="s">
        <v>94</v>
      </c>
      <c r="I361" t="s">
        <v>232</v>
      </c>
      <c r="J361" t="s">
        <v>3742</v>
      </c>
      <c r="O361" t="s">
        <v>627</v>
      </c>
      <c r="Q361" s="3">
        <f t="shared" si="19"/>
        <v>659.09</v>
      </c>
      <c r="V361" s="3" t="str">
        <f t="shared" si="20"/>
        <v/>
      </c>
    </row>
    <row r="362" spans="1:22" x14ac:dyDescent="0.35">
      <c r="A362" t="s">
        <v>35</v>
      </c>
      <c r="B362" t="s">
        <v>1566</v>
      </c>
      <c r="C362" t="s">
        <v>16</v>
      </c>
      <c r="D362" t="s">
        <v>17</v>
      </c>
      <c r="E362">
        <v>659.09</v>
      </c>
      <c r="F362" t="s">
        <v>88</v>
      </c>
      <c r="G362" s="19">
        <v>45483</v>
      </c>
      <c r="H362" t="s">
        <v>94</v>
      </c>
      <c r="I362" t="s">
        <v>232</v>
      </c>
      <c r="J362" t="s">
        <v>3810</v>
      </c>
      <c r="O362" t="s">
        <v>627</v>
      </c>
      <c r="Q362" s="3">
        <f t="shared" si="19"/>
        <v>659.09</v>
      </c>
      <c r="V362" s="3" t="str">
        <f t="shared" si="20"/>
        <v/>
      </c>
    </row>
    <row r="363" spans="1:22" x14ac:dyDescent="0.35">
      <c r="A363" t="s">
        <v>35</v>
      </c>
      <c r="B363" t="s">
        <v>1566</v>
      </c>
      <c r="C363" t="s">
        <v>16</v>
      </c>
      <c r="D363" t="s">
        <v>17</v>
      </c>
      <c r="E363">
        <v>659.09</v>
      </c>
      <c r="F363" t="s">
        <v>88</v>
      </c>
      <c r="G363" s="19">
        <v>45495</v>
      </c>
      <c r="H363" t="s">
        <v>94</v>
      </c>
      <c r="I363" t="s">
        <v>232</v>
      </c>
      <c r="J363" t="s">
        <v>3862</v>
      </c>
      <c r="O363" t="s">
        <v>627</v>
      </c>
      <c r="Q363" s="3">
        <f t="shared" si="19"/>
        <v>659.09</v>
      </c>
      <c r="V363" s="3" t="str">
        <f t="shared" si="20"/>
        <v/>
      </c>
    </row>
    <row r="364" spans="1:22" x14ac:dyDescent="0.35">
      <c r="A364" t="s">
        <v>35</v>
      </c>
      <c r="B364" t="s">
        <v>1566</v>
      </c>
      <c r="C364" t="s">
        <v>16</v>
      </c>
      <c r="D364" t="s">
        <v>17</v>
      </c>
      <c r="E364">
        <v>659.09</v>
      </c>
      <c r="F364" t="s">
        <v>88</v>
      </c>
      <c r="G364" s="19">
        <v>45504</v>
      </c>
      <c r="H364" t="s">
        <v>94</v>
      </c>
      <c r="I364" t="s">
        <v>232</v>
      </c>
      <c r="J364" t="s">
        <v>3896</v>
      </c>
      <c r="O364" t="s">
        <v>627</v>
      </c>
      <c r="Q364" s="3">
        <f t="shared" si="19"/>
        <v>659.09</v>
      </c>
      <c r="V364" s="3" t="str">
        <f t="shared" si="20"/>
        <v/>
      </c>
    </row>
    <row r="365" spans="1:22" x14ac:dyDescent="0.35">
      <c r="A365" t="s">
        <v>35</v>
      </c>
      <c r="B365" t="s">
        <v>1566</v>
      </c>
      <c r="C365" t="s">
        <v>16</v>
      </c>
      <c r="D365" t="s">
        <v>17</v>
      </c>
      <c r="E365">
        <v>658.95</v>
      </c>
      <c r="F365" t="s">
        <v>88</v>
      </c>
      <c r="G365" s="19">
        <v>45539</v>
      </c>
      <c r="H365" t="s">
        <v>94</v>
      </c>
      <c r="I365" t="s">
        <v>229</v>
      </c>
      <c r="J365" t="s">
        <v>4244</v>
      </c>
      <c r="O365" t="s">
        <v>3102</v>
      </c>
      <c r="Q365" s="3">
        <f t="shared" si="19"/>
        <v>658.95</v>
      </c>
      <c r="V365" s="3" t="str">
        <f t="shared" si="20"/>
        <v/>
      </c>
    </row>
    <row r="366" spans="1:22" x14ac:dyDescent="0.35">
      <c r="A366" t="s">
        <v>0</v>
      </c>
      <c r="B366" t="s">
        <v>1566</v>
      </c>
      <c r="C366" t="s">
        <v>16</v>
      </c>
      <c r="D366" t="s">
        <v>17</v>
      </c>
      <c r="E366">
        <v>658.61</v>
      </c>
      <c r="F366" t="s">
        <v>88</v>
      </c>
      <c r="G366" s="19">
        <v>45413</v>
      </c>
      <c r="H366" t="s">
        <v>89</v>
      </c>
      <c r="I366" t="s">
        <v>3121</v>
      </c>
      <c r="J366"/>
      <c r="K366" t="s">
        <v>3122</v>
      </c>
      <c r="L366" t="s">
        <v>3123</v>
      </c>
      <c r="M366" t="s">
        <v>166</v>
      </c>
      <c r="Q366" s="3">
        <f t="shared" si="19"/>
        <v>658.61</v>
      </c>
      <c r="V366" s="3" t="str">
        <f t="shared" si="20"/>
        <v/>
      </c>
    </row>
    <row r="367" spans="1:22" x14ac:dyDescent="0.35">
      <c r="A367" t="s">
        <v>0</v>
      </c>
      <c r="B367" t="s">
        <v>1566</v>
      </c>
      <c r="C367" t="s">
        <v>16</v>
      </c>
      <c r="D367" t="s">
        <v>17</v>
      </c>
      <c r="E367">
        <v>658.61</v>
      </c>
      <c r="F367" t="s">
        <v>88</v>
      </c>
      <c r="G367" s="19">
        <v>45450</v>
      </c>
      <c r="H367" t="s">
        <v>89</v>
      </c>
      <c r="I367" t="s">
        <v>3461</v>
      </c>
      <c r="J367"/>
      <c r="K367" t="s">
        <v>101</v>
      </c>
      <c r="L367" t="s">
        <v>225</v>
      </c>
      <c r="M367" t="s">
        <v>3462</v>
      </c>
      <c r="Q367" s="3">
        <f t="shared" si="19"/>
        <v>658.61</v>
      </c>
      <c r="V367" s="3" t="str">
        <f t="shared" si="20"/>
        <v/>
      </c>
    </row>
    <row r="368" spans="1:22" x14ac:dyDescent="0.35">
      <c r="A368" t="s">
        <v>0</v>
      </c>
      <c r="B368" t="s">
        <v>1566</v>
      </c>
      <c r="C368" t="s">
        <v>16</v>
      </c>
      <c r="D368" t="s">
        <v>17</v>
      </c>
      <c r="E368">
        <v>658.61</v>
      </c>
      <c r="F368" t="s">
        <v>88</v>
      </c>
      <c r="G368" s="19">
        <v>45474</v>
      </c>
      <c r="H368" t="s">
        <v>89</v>
      </c>
      <c r="I368" t="s">
        <v>3730</v>
      </c>
      <c r="J368"/>
      <c r="K368" t="s">
        <v>3731</v>
      </c>
      <c r="L368" t="s">
        <v>3732</v>
      </c>
      <c r="M368" t="s">
        <v>175</v>
      </c>
      <c r="Q368" s="3">
        <f t="shared" si="19"/>
        <v>658.61</v>
      </c>
      <c r="V368" s="3" t="str">
        <f t="shared" si="20"/>
        <v/>
      </c>
    </row>
    <row r="369" spans="1:30" x14ac:dyDescent="0.35">
      <c r="A369" t="s">
        <v>35</v>
      </c>
      <c r="B369" t="s">
        <v>1566</v>
      </c>
      <c r="C369" t="s">
        <v>16</v>
      </c>
      <c r="D369" t="s">
        <v>17</v>
      </c>
      <c r="E369">
        <v>658.61</v>
      </c>
      <c r="F369" t="s">
        <v>88</v>
      </c>
      <c r="G369" s="19">
        <v>45517</v>
      </c>
      <c r="H369" t="s">
        <v>89</v>
      </c>
      <c r="I369" t="s">
        <v>4019</v>
      </c>
      <c r="J369"/>
      <c r="K369" t="s">
        <v>4020</v>
      </c>
      <c r="L369" t="s">
        <v>4021</v>
      </c>
      <c r="M369" t="s">
        <v>4022</v>
      </c>
      <c r="Q369" s="3">
        <f t="shared" si="19"/>
        <v>658.61</v>
      </c>
      <c r="V369" s="3" t="str">
        <f t="shared" si="20"/>
        <v/>
      </c>
    </row>
    <row r="370" spans="1:30" x14ac:dyDescent="0.35">
      <c r="A370" t="s">
        <v>35</v>
      </c>
      <c r="B370" t="s">
        <v>1566</v>
      </c>
      <c r="C370" t="s">
        <v>16</v>
      </c>
      <c r="D370" t="s">
        <v>17</v>
      </c>
      <c r="E370">
        <v>656.27</v>
      </c>
      <c r="F370" t="s">
        <v>88</v>
      </c>
      <c r="G370" s="19">
        <v>45537</v>
      </c>
      <c r="H370" t="s">
        <v>94</v>
      </c>
      <c r="I370" t="s">
        <v>4162</v>
      </c>
      <c r="J370" t="s">
        <v>4163</v>
      </c>
      <c r="O370" t="s">
        <v>4164</v>
      </c>
      <c r="Q370" s="3">
        <f t="shared" si="19"/>
        <v>656.27</v>
      </c>
      <c r="V370" s="3" t="str">
        <f t="shared" si="20"/>
        <v/>
      </c>
    </row>
    <row r="371" spans="1:30" ht="87" x14ac:dyDescent="0.35">
      <c r="A371" t="s">
        <v>35</v>
      </c>
      <c r="B371" t="s">
        <v>825</v>
      </c>
      <c r="C371" t="s">
        <v>16</v>
      </c>
      <c r="D371" t="s">
        <v>17</v>
      </c>
      <c r="E371">
        <v>654.44000000000005</v>
      </c>
      <c r="F371" t="s">
        <v>88</v>
      </c>
      <c r="G371" s="19">
        <v>45551</v>
      </c>
      <c r="H371" t="s">
        <v>94</v>
      </c>
      <c r="I371" t="s">
        <v>3807</v>
      </c>
      <c r="J371" t="s">
        <v>4378</v>
      </c>
      <c r="O371" t="s">
        <v>4382</v>
      </c>
      <c r="Q371" s="3">
        <f t="shared" si="19"/>
        <v>654.44000000000005</v>
      </c>
      <c r="R371" s="69" t="s">
        <v>5326</v>
      </c>
      <c r="S371" s="69" t="s">
        <v>5327</v>
      </c>
      <c r="V371" s="3" t="str">
        <f t="shared" si="20"/>
        <v/>
      </c>
    </row>
    <row r="372" spans="1:30" x14ac:dyDescent="0.35">
      <c r="A372" t="s">
        <v>35</v>
      </c>
      <c r="B372" t="s">
        <v>1106</v>
      </c>
      <c r="C372" t="s">
        <v>16</v>
      </c>
      <c r="D372" t="s">
        <v>17</v>
      </c>
      <c r="E372">
        <v>650.87</v>
      </c>
      <c r="F372" t="s">
        <v>88</v>
      </c>
      <c r="G372" s="19">
        <v>45415</v>
      </c>
      <c r="H372" t="s">
        <v>94</v>
      </c>
      <c r="I372" t="s">
        <v>339</v>
      </c>
      <c r="J372" t="s">
        <v>3149</v>
      </c>
      <c r="O372" t="s">
        <v>635</v>
      </c>
      <c r="Q372" s="3">
        <f t="shared" si="19"/>
        <v>650.87</v>
      </c>
      <c r="V372" s="3" t="str">
        <f t="shared" si="20"/>
        <v/>
      </c>
    </row>
    <row r="373" spans="1:30" x14ac:dyDescent="0.35">
      <c r="A373" t="s">
        <v>35</v>
      </c>
      <c r="B373" t="s">
        <v>1566</v>
      </c>
      <c r="C373" t="s">
        <v>16</v>
      </c>
      <c r="D373" t="s">
        <v>17</v>
      </c>
      <c r="E373">
        <v>650</v>
      </c>
      <c r="F373" t="s">
        <v>88</v>
      </c>
      <c r="G373" s="19">
        <v>45455</v>
      </c>
      <c r="H373" t="s">
        <v>94</v>
      </c>
      <c r="I373" t="s">
        <v>3577</v>
      </c>
      <c r="J373" t="s">
        <v>3578</v>
      </c>
      <c r="O373" t="s">
        <v>3579</v>
      </c>
      <c r="Q373" s="3">
        <f t="shared" si="19"/>
        <v>650</v>
      </c>
      <c r="S373" s="69" t="s">
        <v>5318</v>
      </c>
      <c r="V373" s="3" t="str">
        <f t="shared" si="20"/>
        <v/>
      </c>
      <c r="AD373">
        <f>E373</f>
        <v>650</v>
      </c>
    </row>
    <row r="374" spans="1:30" x14ac:dyDescent="0.35">
      <c r="A374" t="s">
        <v>0</v>
      </c>
      <c r="B374" t="s">
        <v>1566</v>
      </c>
      <c r="C374" t="s">
        <v>16</v>
      </c>
      <c r="D374" t="s">
        <v>17</v>
      </c>
      <c r="E374">
        <v>650</v>
      </c>
      <c r="F374" t="s">
        <v>88</v>
      </c>
      <c r="G374" s="19">
        <v>45574</v>
      </c>
      <c r="H374" t="s">
        <v>89</v>
      </c>
      <c r="I374" t="s">
        <v>4589</v>
      </c>
      <c r="J374"/>
      <c r="K374" t="s">
        <v>4590</v>
      </c>
      <c r="L374" t="s">
        <v>4591</v>
      </c>
      <c r="M374" t="s">
        <v>4592</v>
      </c>
      <c r="Q374" s="3">
        <f t="shared" si="19"/>
        <v>650</v>
      </c>
      <c r="V374" s="3" t="str">
        <f t="shared" si="20"/>
        <v/>
      </c>
    </row>
    <row r="375" spans="1:30" x14ac:dyDescent="0.35">
      <c r="A375" t="s">
        <v>0</v>
      </c>
      <c r="B375" t="s">
        <v>1566</v>
      </c>
      <c r="C375" t="s">
        <v>16</v>
      </c>
      <c r="D375" t="s">
        <v>17</v>
      </c>
      <c r="E375">
        <v>650</v>
      </c>
      <c r="F375" t="s">
        <v>88</v>
      </c>
      <c r="G375" s="19">
        <v>45574</v>
      </c>
      <c r="H375" t="s">
        <v>89</v>
      </c>
      <c r="I375" t="s">
        <v>4593</v>
      </c>
      <c r="J375"/>
      <c r="K375" t="s">
        <v>4590</v>
      </c>
      <c r="L375" t="s">
        <v>4594</v>
      </c>
      <c r="M375" t="s">
        <v>4592</v>
      </c>
      <c r="Q375" s="3">
        <f t="shared" si="19"/>
        <v>650</v>
      </c>
      <c r="V375" s="3" t="str">
        <f t="shared" si="20"/>
        <v/>
      </c>
    </row>
    <row r="376" spans="1:30" x14ac:dyDescent="0.35">
      <c r="A376" t="s">
        <v>0</v>
      </c>
      <c r="B376" t="s">
        <v>1566</v>
      </c>
      <c r="C376" t="s">
        <v>16</v>
      </c>
      <c r="D376" t="s">
        <v>17</v>
      </c>
      <c r="E376">
        <v>-650</v>
      </c>
      <c r="F376" t="s">
        <v>88</v>
      </c>
      <c r="G376" s="19">
        <v>45581</v>
      </c>
      <c r="H376" t="s">
        <v>89</v>
      </c>
      <c r="I376" t="s">
        <v>4589</v>
      </c>
      <c r="J376"/>
      <c r="K376" t="s">
        <v>4590</v>
      </c>
      <c r="L376" t="s">
        <v>4591</v>
      </c>
      <c r="M376" t="s">
        <v>4592</v>
      </c>
      <c r="Q376" s="3">
        <f t="shared" si="19"/>
        <v>650</v>
      </c>
      <c r="V376" s="3" t="str">
        <f t="shared" si="20"/>
        <v/>
      </c>
    </row>
    <row r="377" spans="1:30" x14ac:dyDescent="0.35">
      <c r="A377" t="s">
        <v>35</v>
      </c>
      <c r="B377" t="s">
        <v>1106</v>
      </c>
      <c r="C377" t="s">
        <v>16</v>
      </c>
      <c r="D377" t="s">
        <v>17</v>
      </c>
      <c r="E377">
        <v>647.17999999999995</v>
      </c>
      <c r="F377" t="s">
        <v>88</v>
      </c>
      <c r="G377" s="19">
        <v>45384</v>
      </c>
      <c r="H377" t="s">
        <v>94</v>
      </c>
      <c r="I377" t="s">
        <v>1107</v>
      </c>
      <c r="J377" t="s">
        <v>2804</v>
      </c>
      <c r="O377" t="s">
        <v>635</v>
      </c>
      <c r="Q377" s="3">
        <f t="shared" si="19"/>
        <v>647.17999999999995</v>
      </c>
      <c r="V377" s="3" t="str">
        <f t="shared" si="20"/>
        <v/>
      </c>
    </row>
    <row r="378" spans="1:30" x14ac:dyDescent="0.35">
      <c r="A378" t="s">
        <v>0</v>
      </c>
      <c r="B378" t="s">
        <v>1566</v>
      </c>
      <c r="C378" t="s">
        <v>16</v>
      </c>
      <c r="D378" t="s">
        <v>17</v>
      </c>
      <c r="E378">
        <v>645.69000000000005</v>
      </c>
      <c r="F378" t="s">
        <v>88</v>
      </c>
      <c r="G378" s="19">
        <v>45537</v>
      </c>
      <c r="H378" t="s">
        <v>89</v>
      </c>
      <c r="I378" t="s">
        <v>4133</v>
      </c>
      <c r="J378"/>
      <c r="K378" t="s">
        <v>4134</v>
      </c>
      <c r="L378" t="s">
        <v>4135</v>
      </c>
      <c r="M378" t="s">
        <v>100</v>
      </c>
      <c r="Q378" s="3">
        <f t="shared" si="19"/>
        <v>645.69000000000005</v>
      </c>
      <c r="V378" s="3" t="str">
        <f t="shared" si="20"/>
        <v/>
      </c>
    </row>
    <row r="379" spans="1:30" x14ac:dyDescent="0.35">
      <c r="A379" t="s">
        <v>35</v>
      </c>
      <c r="B379" t="s">
        <v>1566</v>
      </c>
      <c r="C379" t="s">
        <v>16</v>
      </c>
      <c r="D379" t="s">
        <v>17</v>
      </c>
      <c r="E379">
        <v>640</v>
      </c>
      <c r="F379" t="s">
        <v>88</v>
      </c>
      <c r="G379" s="19">
        <v>45502</v>
      </c>
      <c r="H379" t="s">
        <v>94</v>
      </c>
      <c r="I379" t="s">
        <v>204</v>
      </c>
      <c r="J379" t="s">
        <v>3888</v>
      </c>
      <c r="O379" t="s">
        <v>3031</v>
      </c>
      <c r="Q379" s="3">
        <f t="shared" si="19"/>
        <v>640</v>
      </c>
      <c r="V379" s="3" t="str">
        <f t="shared" si="20"/>
        <v/>
      </c>
    </row>
    <row r="380" spans="1:30" x14ac:dyDescent="0.35">
      <c r="A380" t="s">
        <v>35</v>
      </c>
      <c r="B380" t="s">
        <v>1566</v>
      </c>
      <c r="C380" t="s">
        <v>16</v>
      </c>
      <c r="D380" t="s">
        <v>17</v>
      </c>
      <c r="E380">
        <v>638.4</v>
      </c>
      <c r="F380" t="s">
        <v>88</v>
      </c>
      <c r="G380" s="19">
        <v>45394</v>
      </c>
      <c r="H380" t="s">
        <v>94</v>
      </c>
      <c r="I380" t="s">
        <v>223</v>
      </c>
      <c r="J380" t="s">
        <v>2992</v>
      </c>
      <c r="O380" t="s">
        <v>2993</v>
      </c>
      <c r="Q380" s="3">
        <f t="shared" si="19"/>
        <v>638.4</v>
      </c>
      <c r="V380" s="3" t="str">
        <f t="shared" si="20"/>
        <v/>
      </c>
    </row>
    <row r="381" spans="1:30" x14ac:dyDescent="0.35">
      <c r="A381" t="s">
        <v>0</v>
      </c>
      <c r="B381" t="s">
        <v>1566</v>
      </c>
      <c r="C381" t="s">
        <v>16</v>
      </c>
      <c r="D381" t="s">
        <v>17</v>
      </c>
      <c r="E381">
        <v>627.87</v>
      </c>
      <c r="F381" t="s">
        <v>88</v>
      </c>
      <c r="G381" s="19">
        <v>45439</v>
      </c>
      <c r="H381" t="s">
        <v>89</v>
      </c>
      <c r="I381" t="s">
        <v>3384</v>
      </c>
      <c r="J381"/>
      <c r="K381" t="s">
        <v>101</v>
      </c>
      <c r="L381" t="s">
        <v>3385</v>
      </c>
      <c r="M381" t="s">
        <v>100</v>
      </c>
      <c r="Q381" s="3">
        <f t="shared" si="19"/>
        <v>627.87</v>
      </c>
      <c r="V381" s="3" t="str">
        <f t="shared" si="20"/>
        <v/>
      </c>
    </row>
    <row r="382" spans="1:30" x14ac:dyDescent="0.35">
      <c r="A382" t="s">
        <v>35</v>
      </c>
      <c r="B382" t="s">
        <v>1566</v>
      </c>
      <c r="C382" t="s">
        <v>16</v>
      </c>
      <c r="D382" t="s">
        <v>17</v>
      </c>
      <c r="E382">
        <v>625.61</v>
      </c>
      <c r="F382" t="s">
        <v>88</v>
      </c>
      <c r="G382" s="19">
        <v>45502</v>
      </c>
      <c r="H382" t="s">
        <v>94</v>
      </c>
      <c r="I382" t="s">
        <v>232</v>
      </c>
      <c r="J382" t="s">
        <v>3887</v>
      </c>
      <c r="O382" t="s">
        <v>627</v>
      </c>
      <c r="Q382" s="3">
        <f t="shared" si="19"/>
        <v>625.61</v>
      </c>
      <c r="V382" s="3" t="str">
        <f t="shared" si="20"/>
        <v/>
      </c>
    </row>
    <row r="383" spans="1:30" x14ac:dyDescent="0.35">
      <c r="A383" t="s">
        <v>0</v>
      </c>
      <c r="B383" t="s">
        <v>1566</v>
      </c>
      <c r="C383" t="s">
        <v>16</v>
      </c>
      <c r="D383" t="s">
        <v>17</v>
      </c>
      <c r="E383">
        <v>622.92999999999995</v>
      </c>
      <c r="F383" t="s">
        <v>88</v>
      </c>
      <c r="G383" s="19">
        <v>45425</v>
      </c>
      <c r="H383" t="s">
        <v>89</v>
      </c>
      <c r="I383" t="s">
        <v>3215</v>
      </c>
      <c r="J383"/>
      <c r="K383" t="s">
        <v>3216</v>
      </c>
      <c r="L383" t="s">
        <v>3217</v>
      </c>
      <c r="M383" t="s">
        <v>2500</v>
      </c>
      <c r="Q383" s="3">
        <f t="shared" si="19"/>
        <v>622.92999999999995</v>
      </c>
      <c r="V383" s="3" t="str">
        <f t="shared" si="20"/>
        <v/>
      </c>
    </row>
    <row r="384" spans="1:30" ht="87" x14ac:dyDescent="0.35">
      <c r="A384" t="s">
        <v>35</v>
      </c>
      <c r="B384" t="s">
        <v>825</v>
      </c>
      <c r="C384" t="s">
        <v>16</v>
      </c>
      <c r="D384" t="s">
        <v>17</v>
      </c>
      <c r="E384">
        <v>613.55999999999995</v>
      </c>
      <c r="F384" t="s">
        <v>88</v>
      </c>
      <c r="G384" s="19">
        <v>45551</v>
      </c>
      <c r="H384" t="s">
        <v>94</v>
      </c>
      <c r="I384" t="s">
        <v>234</v>
      </c>
      <c r="J384" t="s">
        <v>4378</v>
      </c>
      <c r="O384" t="s">
        <v>2664</v>
      </c>
      <c r="Q384" s="3">
        <f t="shared" si="19"/>
        <v>613.55999999999995</v>
      </c>
      <c r="R384" s="69" t="s">
        <v>5326</v>
      </c>
      <c r="S384" s="69" t="s">
        <v>5327</v>
      </c>
      <c r="V384" s="3" t="str">
        <f t="shared" si="20"/>
        <v/>
      </c>
    </row>
    <row r="385" spans="1:22" ht="87" x14ac:dyDescent="0.35">
      <c r="A385" t="s">
        <v>35</v>
      </c>
      <c r="B385" t="s">
        <v>2031</v>
      </c>
      <c r="C385" t="s">
        <v>16</v>
      </c>
      <c r="D385" t="s">
        <v>17</v>
      </c>
      <c r="E385">
        <v>610.27</v>
      </c>
      <c r="F385" t="s">
        <v>88</v>
      </c>
      <c r="G385" s="19">
        <v>45523</v>
      </c>
      <c r="H385" t="s">
        <v>94</v>
      </c>
      <c r="I385" t="s">
        <v>2032</v>
      </c>
      <c r="J385" t="s">
        <v>4062</v>
      </c>
      <c r="O385" t="s">
        <v>2070</v>
      </c>
      <c r="Q385" s="3">
        <f t="shared" si="19"/>
        <v>610.27</v>
      </c>
      <c r="R385" s="69" t="s">
        <v>5326</v>
      </c>
      <c r="S385" s="69" t="s">
        <v>5327</v>
      </c>
      <c r="V385" s="3" t="str">
        <f t="shared" si="20"/>
        <v/>
      </c>
    </row>
    <row r="386" spans="1:22" x14ac:dyDescent="0.35">
      <c r="A386" t="s">
        <v>0</v>
      </c>
      <c r="B386" t="s">
        <v>1566</v>
      </c>
      <c r="C386" t="s">
        <v>16</v>
      </c>
      <c r="D386" t="s">
        <v>17</v>
      </c>
      <c r="E386">
        <v>609.88</v>
      </c>
      <c r="F386" t="s">
        <v>88</v>
      </c>
      <c r="G386" s="19">
        <v>45520</v>
      </c>
      <c r="H386" t="s">
        <v>89</v>
      </c>
      <c r="I386" t="s">
        <v>4046</v>
      </c>
      <c r="J386"/>
      <c r="K386" t="s">
        <v>4041</v>
      </c>
      <c r="L386" t="s">
        <v>4047</v>
      </c>
      <c r="M386" t="s">
        <v>166</v>
      </c>
      <c r="Q386" s="3">
        <f t="shared" si="19"/>
        <v>609.88</v>
      </c>
      <c r="V386" s="3" t="str">
        <f t="shared" si="20"/>
        <v/>
      </c>
    </row>
    <row r="387" spans="1:22" x14ac:dyDescent="0.35">
      <c r="A387" t="s">
        <v>35</v>
      </c>
      <c r="B387" t="s">
        <v>1566</v>
      </c>
      <c r="C387" t="s">
        <v>16</v>
      </c>
      <c r="D387" t="s">
        <v>17</v>
      </c>
      <c r="E387">
        <v>600</v>
      </c>
      <c r="F387" t="s">
        <v>88</v>
      </c>
      <c r="G387" s="19">
        <v>45580</v>
      </c>
      <c r="H387" t="s">
        <v>89</v>
      </c>
      <c r="I387" t="s">
        <v>4664</v>
      </c>
      <c r="J387"/>
      <c r="K387" t="s">
        <v>4665</v>
      </c>
      <c r="L387" t="s">
        <v>4666</v>
      </c>
      <c r="M387" t="s">
        <v>4667</v>
      </c>
      <c r="Q387" s="3">
        <f t="shared" si="19"/>
        <v>600</v>
      </c>
      <c r="V387" s="3" t="str">
        <f t="shared" si="20"/>
        <v/>
      </c>
    </row>
    <row r="388" spans="1:22" x14ac:dyDescent="0.35">
      <c r="A388" t="s">
        <v>0</v>
      </c>
      <c r="B388" t="s">
        <v>1566</v>
      </c>
      <c r="C388" t="s">
        <v>16</v>
      </c>
      <c r="D388" t="s">
        <v>17</v>
      </c>
      <c r="E388">
        <v>598.73</v>
      </c>
      <c r="F388" t="s">
        <v>88</v>
      </c>
      <c r="G388" s="19">
        <v>45579</v>
      </c>
      <c r="H388" t="s">
        <v>89</v>
      </c>
      <c r="I388" t="s">
        <v>4631</v>
      </c>
      <c r="J388"/>
      <c r="K388" t="s">
        <v>4632</v>
      </c>
      <c r="L388" t="s">
        <v>4633</v>
      </c>
      <c r="M388" t="s">
        <v>4634</v>
      </c>
      <c r="Q388" s="3">
        <f t="shared" si="19"/>
        <v>598.73</v>
      </c>
      <c r="V388" s="3" t="str">
        <f t="shared" si="20"/>
        <v/>
      </c>
    </row>
    <row r="389" spans="1:22" x14ac:dyDescent="0.35">
      <c r="A389" t="s">
        <v>0</v>
      </c>
      <c r="B389" t="s">
        <v>1566</v>
      </c>
      <c r="C389" t="s">
        <v>16</v>
      </c>
      <c r="D389" t="s">
        <v>17</v>
      </c>
      <c r="E389">
        <v>594.74</v>
      </c>
      <c r="F389" t="s">
        <v>88</v>
      </c>
      <c r="G389" s="19">
        <v>45630</v>
      </c>
      <c r="H389" t="s">
        <v>89</v>
      </c>
      <c r="I389" t="s">
        <v>5131</v>
      </c>
      <c r="J389"/>
      <c r="K389" t="s">
        <v>5132</v>
      </c>
      <c r="L389" t="s">
        <v>5133</v>
      </c>
      <c r="M389" t="s">
        <v>147</v>
      </c>
      <c r="Q389" s="3">
        <f t="shared" si="19"/>
        <v>594.74</v>
      </c>
      <c r="V389" s="3" t="str">
        <f t="shared" si="20"/>
        <v/>
      </c>
    </row>
    <row r="390" spans="1:22" x14ac:dyDescent="0.35">
      <c r="A390" t="s">
        <v>0</v>
      </c>
      <c r="B390" t="s">
        <v>1566</v>
      </c>
      <c r="C390" t="s">
        <v>16</v>
      </c>
      <c r="D390" t="s">
        <v>17</v>
      </c>
      <c r="E390">
        <v>576.76</v>
      </c>
      <c r="F390" t="s">
        <v>88</v>
      </c>
      <c r="G390" s="19">
        <v>45539</v>
      </c>
      <c r="H390" t="s">
        <v>89</v>
      </c>
      <c r="I390" t="s">
        <v>4209</v>
      </c>
      <c r="J390"/>
      <c r="K390" t="s">
        <v>4210</v>
      </c>
      <c r="L390" t="s">
        <v>4211</v>
      </c>
      <c r="M390" t="s">
        <v>147</v>
      </c>
      <c r="Q390" s="3">
        <f t="shared" si="19"/>
        <v>576.76</v>
      </c>
      <c r="V390" s="3" t="str">
        <f t="shared" si="20"/>
        <v/>
      </c>
    </row>
    <row r="391" spans="1:22" x14ac:dyDescent="0.35">
      <c r="A391" t="s">
        <v>35</v>
      </c>
      <c r="B391" t="s">
        <v>1566</v>
      </c>
      <c r="C391" t="s">
        <v>16</v>
      </c>
      <c r="D391" t="s">
        <v>17</v>
      </c>
      <c r="E391">
        <v>576.65</v>
      </c>
      <c r="F391" t="s">
        <v>88</v>
      </c>
      <c r="G391" s="19">
        <v>45583</v>
      </c>
      <c r="H391" t="s">
        <v>94</v>
      </c>
      <c r="I391" t="s">
        <v>486</v>
      </c>
      <c r="J391" t="s">
        <v>4681</v>
      </c>
      <c r="O391" t="s">
        <v>562</v>
      </c>
      <c r="Q391" s="3">
        <f t="shared" si="19"/>
        <v>576.65</v>
      </c>
      <c r="V391" s="3" t="str">
        <f t="shared" si="20"/>
        <v/>
      </c>
    </row>
    <row r="392" spans="1:22" x14ac:dyDescent="0.35">
      <c r="A392" t="s">
        <v>0</v>
      </c>
      <c r="B392" t="s">
        <v>1566</v>
      </c>
      <c r="C392" t="s">
        <v>16</v>
      </c>
      <c r="D392" t="s">
        <v>17</v>
      </c>
      <c r="E392">
        <v>572.82000000000005</v>
      </c>
      <c r="F392" t="s">
        <v>88</v>
      </c>
      <c r="G392" s="19">
        <v>45609</v>
      </c>
      <c r="H392" t="s">
        <v>89</v>
      </c>
      <c r="I392" t="s">
        <v>4863</v>
      </c>
      <c r="J392"/>
      <c r="K392" t="s">
        <v>4864</v>
      </c>
      <c r="L392" t="s">
        <v>4865</v>
      </c>
      <c r="M392" t="s">
        <v>147</v>
      </c>
      <c r="Q392" s="3">
        <f t="shared" ref="Q392:Q455" si="21">ABS(E392)</f>
        <v>572.82000000000005</v>
      </c>
      <c r="V392" s="3" t="str">
        <f t="shared" si="20"/>
        <v/>
      </c>
    </row>
    <row r="393" spans="1:22" x14ac:dyDescent="0.35">
      <c r="A393" t="s">
        <v>35</v>
      </c>
      <c r="B393" t="s">
        <v>1566</v>
      </c>
      <c r="C393" t="s">
        <v>16</v>
      </c>
      <c r="D393" t="s">
        <v>17</v>
      </c>
      <c r="E393">
        <v>571.27</v>
      </c>
      <c r="F393" t="s">
        <v>88</v>
      </c>
      <c r="G393" s="19">
        <v>45618</v>
      </c>
      <c r="H393" t="s">
        <v>94</v>
      </c>
      <c r="I393" t="s">
        <v>384</v>
      </c>
      <c r="J393" t="s">
        <v>4987</v>
      </c>
      <c r="O393" t="s">
        <v>4988</v>
      </c>
      <c r="Q393" s="3">
        <f t="shared" si="21"/>
        <v>571.27</v>
      </c>
      <c r="V393" s="3" t="str">
        <f t="shared" ref="V393:V456" si="22">IF(T393="Y",E393,"")</f>
        <v/>
      </c>
    </row>
    <row r="394" spans="1:22" x14ac:dyDescent="0.35">
      <c r="A394" t="s">
        <v>35</v>
      </c>
      <c r="B394" t="s">
        <v>1566</v>
      </c>
      <c r="C394" t="s">
        <v>16</v>
      </c>
      <c r="D394" t="s">
        <v>17</v>
      </c>
      <c r="E394">
        <v>567.27</v>
      </c>
      <c r="F394" t="s">
        <v>88</v>
      </c>
      <c r="G394" s="19">
        <v>45455</v>
      </c>
      <c r="H394" t="s">
        <v>94</v>
      </c>
      <c r="I394" t="s">
        <v>337</v>
      </c>
      <c r="J394" t="s">
        <v>3580</v>
      </c>
      <c r="O394" t="s">
        <v>582</v>
      </c>
      <c r="Q394" s="3">
        <f t="shared" si="21"/>
        <v>567.27</v>
      </c>
      <c r="V394" s="3" t="str">
        <f t="shared" si="22"/>
        <v/>
      </c>
    </row>
    <row r="395" spans="1:22" x14ac:dyDescent="0.35">
      <c r="A395" t="s">
        <v>35</v>
      </c>
      <c r="B395" t="s">
        <v>1566</v>
      </c>
      <c r="C395" t="s">
        <v>16</v>
      </c>
      <c r="D395" t="s">
        <v>17</v>
      </c>
      <c r="E395">
        <v>558.17999999999995</v>
      </c>
      <c r="F395" t="s">
        <v>88</v>
      </c>
      <c r="G395" s="19">
        <v>45392</v>
      </c>
      <c r="H395" t="s">
        <v>94</v>
      </c>
      <c r="I395" t="s">
        <v>2928</v>
      </c>
      <c r="J395" t="s">
        <v>2931</v>
      </c>
      <c r="M395" t="s">
        <v>2930</v>
      </c>
      <c r="Q395" s="3">
        <f t="shared" si="21"/>
        <v>558.17999999999995</v>
      </c>
      <c r="S395" s="69" t="s">
        <v>53</v>
      </c>
      <c r="T395" t="s">
        <v>64</v>
      </c>
      <c r="U395" t="str">
        <f t="shared" ref="U395" si="23">B395</f>
        <v>AU032046</v>
      </c>
      <c r="V395" s="3">
        <f t="shared" si="22"/>
        <v>558.17999999999995</v>
      </c>
    </row>
    <row r="396" spans="1:22" x14ac:dyDescent="0.35">
      <c r="A396" t="s">
        <v>35</v>
      </c>
      <c r="B396" t="s">
        <v>1566</v>
      </c>
      <c r="C396" t="s">
        <v>16</v>
      </c>
      <c r="D396" t="s">
        <v>17</v>
      </c>
      <c r="E396">
        <v>554.78</v>
      </c>
      <c r="F396" t="s">
        <v>88</v>
      </c>
      <c r="G396" s="19">
        <v>45537</v>
      </c>
      <c r="H396" t="s">
        <v>94</v>
      </c>
      <c r="I396" t="s">
        <v>4157</v>
      </c>
      <c r="J396" t="s">
        <v>4158</v>
      </c>
      <c r="O396" t="s">
        <v>4159</v>
      </c>
      <c r="Q396" s="3">
        <f t="shared" si="21"/>
        <v>554.78</v>
      </c>
      <c r="V396" s="3" t="str">
        <f t="shared" si="22"/>
        <v/>
      </c>
    </row>
    <row r="397" spans="1:22" x14ac:dyDescent="0.35">
      <c r="A397" t="s">
        <v>35</v>
      </c>
      <c r="B397" t="s">
        <v>4080</v>
      </c>
      <c r="C397" t="s">
        <v>16</v>
      </c>
      <c r="D397" t="s">
        <v>17</v>
      </c>
      <c r="E397">
        <v>553.64</v>
      </c>
      <c r="F397" t="s">
        <v>88</v>
      </c>
      <c r="G397" s="19">
        <v>45524</v>
      </c>
      <c r="H397" t="s">
        <v>94</v>
      </c>
      <c r="I397" t="s">
        <v>232</v>
      </c>
      <c r="J397" t="s">
        <v>4081</v>
      </c>
      <c r="O397" t="s">
        <v>627</v>
      </c>
      <c r="Q397" s="3">
        <f t="shared" si="21"/>
        <v>553.64</v>
      </c>
      <c r="V397" s="3" t="str">
        <f t="shared" si="22"/>
        <v/>
      </c>
    </row>
    <row r="398" spans="1:22" x14ac:dyDescent="0.35">
      <c r="A398" t="s">
        <v>35</v>
      </c>
      <c r="B398" t="s">
        <v>1566</v>
      </c>
      <c r="C398" t="s">
        <v>16</v>
      </c>
      <c r="D398" t="s">
        <v>17</v>
      </c>
      <c r="E398">
        <v>552.45000000000005</v>
      </c>
      <c r="F398" t="s">
        <v>88</v>
      </c>
      <c r="G398" s="19">
        <v>45618</v>
      </c>
      <c r="H398" t="s">
        <v>94</v>
      </c>
      <c r="I398" t="s">
        <v>4993</v>
      </c>
      <c r="J398" t="s">
        <v>4994</v>
      </c>
      <c r="O398" t="s">
        <v>4995</v>
      </c>
      <c r="Q398" s="3">
        <f t="shared" si="21"/>
        <v>552.45000000000005</v>
      </c>
      <c r="V398" s="3" t="str">
        <f t="shared" si="22"/>
        <v/>
      </c>
    </row>
    <row r="399" spans="1:22" x14ac:dyDescent="0.35">
      <c r="A399" t="s">
        <v>35</v>
      </c>
      <c r="B399" t="s">
        <v>1566</v>
      </c>
      <c r="C399" t="s">
        <v>16</v>
      </c>
      <c r="D399" t="s">
        <v>17</v>
      </c>
      <c r="E399">
        <v>550.91</v>
      </c>
      <c r="F399" t="s">
        <v>88</v>
      </c>
      <c r="G399" s="19">
        <v>45539</v>
      </c>
      <c r="H399" t="s">
        <v>94</v>
      </c>
      <c r="I399" t="s">
        <v>289</v>
      </c>
      <c r="J399" t="s">
        <v>4228</v>
      </c>
      <c r="O399" t="s">
        <v>4229</v>
      </c>
      <c r="Q399" s="3">
        <f t="shared" si="21"/>
        <v>550.91</v>
      </c>
      <c r="V399" s="3" t="str">
        <f t="shared" si="22"/>
        <v/>
      </c>
    </row>
    <row r="400" spans="1:22" x14ac:dyDescent="0.35">
      <c r="A400" t="s">
        <v>0</v>
      </c>
      <c r="B400" t="s">
        <v>1566</v>
      </c>
      <c r="C400" t="s">
        <v>16</v>
      </c>
      <c r="D400" t="s">
        <v>17</v>
      </c>
      <c r="E400">
        <v>550.49</v>
      </c>
      <c r="F400" t="s">
        <v>88</v>
      </c>
      <c r="G400" s="19">
        <v>45413</v>
      </c>
      <c r="H400" t="s">
        <v>89</v>
      </c>
      <c r="I400" t="s">
        <v>3135</v>
      </c>
      <c r="J400"/>
      <c r="K400" t="s">
        <v>3141</v>
      </c>
      <c r="L400" t="s">
        <v>3137</v>
      </c>
      <c r="M400" t="s">
        <v>149</v>
      </c>
      <c r="Q400" s="3">
        <f t="shared" si="21"/>
        <v>550.49</v>
      </c>
      <c r="V400" s="3" t="str">
        <f t="shared" si="22"/>
        <v/>
      </c>
    </row>
    <row r="401" spans="1:22" x14ac:dyDescent="0.35">
      <c r="A401" t="s">
        <v>0</v>
      </c>
      <c r="B401" t="s">
        <v>1566</v>
      </c>
      <c r="C401" t="s">
        <v>16</v>
      </c>
      <c r="D401" t="s">
        <v>17</v>
      </c>
      <c r="E401">
        <v>-550.49</v>
      </c>
      <c r="F401" t="s">
        <v>88</v>
      </c>
      <c r="G401" s="19">
        <v>45419</v>
      </c>
      <c r="H401" t="s">
        <v>89</v>
      </c>
      <c r="I401" t="s">
        <v>3135</v>
      </c>
      <c r="J401"/>
      <c r="K401" t="s">
        <v>3139</v>
      </c>
      <c r="L401" t="s">
        <v>3137</v>
      </c>
      <c r="M401" t="s">
        <v>149</v>
      </c>
      <c r="Q401" s="3">
        <f t="shared" si="21"/>
        <v>550.49</v>
      </c>
      <c r="V401" s="3" t="str">
        <f t="shared" si="22"/>
        <v/>
      </c>
    </row>
    <row r="402" spans="1:22" ht="29" x14ac:dyDescent="0.35">
      <c r="A402" t="s">
        <v>35</v>
      </c>
      <c r="B402" t="s">
        <v>1566</v>
      </c>
      <c r="C402" t="s">
        <v>16</v>
      </c>
      <c r="D402" t="s">
        <v>17</v>
      </c>
      <c r="E402">
        <v>549.22</v>
      </c>
      <c r="F402" t="s">
        <v>88</v>
      </c>
      <c r="G402" s="19">
        <v>45637</v>
      </c>
      <c r="H402" t="s">
        <v>94</v>
      </c>
      <c r="I402" t="s">
        <v>5271</v>
      </c>
      <c r="J402" t="s">
        <v>5272</v>
      </c>
      <c r="O402" t="s">
        <v>5273</v>
      </c>
      <c r="Q402" s="3">
        <f t="shared" si="21"/>
        <v>549.22</v>
      </c>
      <c r="S402" s="69" t="s">
        <v>5319</v>
      </c>
      <c r="T402" t="s">
        <v>64</v>
      </c>
      <c r="U402" t="str">
        <f>B402</f>
        <v>AU032046</v>
      </c>
      <c r="V402" s="3">
        <f t="shared" si="22"/>
        <v>549.22</v>
      </c>
    </row>
    <row r="403" spans="1:22" x14ac:dyDescent="0.35">
      <c r="A403" t="s">
        <v>35</v>
      </c>
      <c r="B403" t="s">
        <v>633</v>
      </c>
      <c r="C403" t="s">
        <v>16</v>
      </c>
      <c r="D403" t="s">
        <v>17</v>
      </c>
      <c r="E403">
        <v>549.13</v>
      </c>
      <c r="F403" t="s">
        <v>88</v>
      </c>
      <c r="G403" s="19">
        <v>45475</v>
      </c>
      <c r="H403" t="s">
        <v>89</v>
      </c>
      <c r="I403" t="s">
        <v>3766</v>
      </c>
      <c r="J403"/>
      <c r="K403" t="s">
        <v>101</v>
      </c>
      <c r="L403" t="s">
        <v>3767</v>
      </c>
      <c r="M403" t="s">
        <v>175</v>
      </c>
      <c r="Q403" s="3">
        <f t="shared" si="21"/>
        <v>549.13</v>
      </c>
      <c r="V403" s="3" t="str">
        <f t="shared" si="22"/>
        <v/>
      </c>
    </row>
    <row r="404" spans="1:22" x14ac:dyDescent="0.35">
      <c r="A404" t="s">
        <v>35</v>
      </c>
      <c r="B404" t="s">
        <v>633</v>
      </c>
      <c r="C404" t="s">
        <v>16</v>
      </c>
      <c r="D404" t="s">
        <v>17</v>
      </c>
      <c r="E404">
        <v>-549.13</v>
      </c>
      <c r="F404" t="s">
        <v>88</v>
      </c>
      <c r="G404" s="19">
        <v>45482</v>
      </c>
      <c r="H404" t="s">
        <v>1052</v>
      </c>
      <c r="I404" t="s">
        <v>3766</v>
      </c>
      <c r="J404"/>
      <c r="K404" t="s">
        <v>101</v>
      </c>
      <c r="L404" t="s">
        <v>3767</v>
      </c>
      <c r="M404" t="s">
        <v>175</v>
      </c>
      <c r="Q404" s="3">
        <f t="shared" si="21"/>
        <v>549.13</v>
      </c>
      <c r="V404" s="3" t="str">
        <f t="shared" si="22"/>
        <v/>
      </c>
    </row>
    <row r="405" spans="1:22" x14ac:dyDescent="0.35">
      <c r="A405" t="s">
        <v>0</v>
      </c>
      <c r="B405" t="s">
        <v>1566</v>
      </c>
      <c r="C405" t="s">
        <v>16</v>
      </c>
      <c r="D405" t="s">
        <v>17</v>
      </c>
      <c r="E405">
        <v>548.84</v>
      </c>
      <c r="F405" t="s">
        <v>88</v>
      </c>
      <c r="G405" s="19">
        <v>45401</v>
      </c>
      <c r="H405" t="s">
        <v>89</v>
      </c>
      <c r="I405" t="s">
        <v>3043</v>
      </c>
      <c r="J405"/>
      <c r="K405" t="s">
        <v>3044</v>
      </c>
      <c r="L405" t="s">
        <v>3045</v>
      </c>
      <c r="M405" t="s">
        <v>3046</v>
      </c>
      <c r="Q405" s="3">
        <f t="shared" si="21"/>
        <v>548.84</v>
      </c>
      <c r="V405" s="3" t="str">
        <f t="shared" si="22"/>
        <v/>
      </c>
    </row>
    <row r="406" spans="1:22" x14ac:dyDescent="0.35">
      <c r="A406" t="s">
        <v>0</v>
      </c>
      <c r="B406" t="s">
        <v>1566</v>
      </c>
      <c r="C406" t="s">
        <v>16</v>
      </c>
      <c r="D406" t="s">
        <v>17</v>
      </c>
      <c r="E406">
        <v>548.84</v>
      </c>
      <c r="F406" t="s">
        <v>88</v>
      </c>
      <c r="G406" s="19">
        <v>45418</v>
      </c>
      <c r="H406" t="s">
        <v>89</v>
      </c>
      <c r="I406" t="s">
        <v>3153</v>
      </c>
      <c r="J406"/>
      <c r="K406" t="s">
        <v>3154</v>
      </c>
      <c r="L406" t="s">
        <v>3155</v>
      </c>
      <c r="M406" t="s">
        <v>3156</v>
      </c>
      <c r="Q406" s="3">
        <f t="shared" si="21"/>
        <v>548.84</v>
      </c>
      <c r="V406" s="3" t="str">
        <f t="shared" si="22"/>
        <v/>
      </c>
    </row>
    <row r="407" spans="1:22" x14ac:dyDescent="0.35">
      <c r="A407" t="s">
        <v>0</v>
      </c>
      <c r="B407" t="s">
        <v>1566</v>
      </c>
      <c r="C407" t="s">
        <v>16</v>
      </c>
      <c r="D407" t="s">
        <v>17</v>
      </c>
      <c r="E407">
        <v>548.84</v>
      </c>
      <c r="F407" t="s">
        <v>88</v>
      </c>
      <c r="G407" s="19">
        <v>45425</v>
      </c>
      <c r="H407" t="s">
        <v>89</v>
      </c>
      <c r="I407" t="s">
        <v>3207</v>
      </c>
      <c r="J407"/>
      <c r="K407" t="s">
        <v>3208</v>
      </c>
      <c r="L407" t="s">
        <v>3209</v>
      </c>
      <c r="M407" t="s">
        <v>3210</v>
      </c>
      <c r="Q407" s="3">
        <f t="shared" si="21"/>
        <v>548.84</v>
      </c>
      <c r="V407" s="3" t="str">
        <f t="shared" si="22"/>
        <v/>
      </c>
    </row>
    <row r="408" spans="1:22" x14ac:dyDescent="0.35">
      <c r="A408" t="s">
        <v>0</v>
      </c>
      <c r="B408" t="s">
        <v>1566</v>
      </c>
      <c r="C408" t="s">
        <v>16</v>
      </c>
      <c r="D408" t="s">
        <v>17</v>
      </c>
      <c r="E408">
        <v>548.84</v>
      </c>
      <c r="F408" t="s">
        <v>88</v>
      </c>
      <c r="G408" s="19">
        <v>45446</v>
      </c>
      <c r="H408" t="s">
        <v>89</v>
      </c>
      <c r="I408" t="s">
        <v>3410</v>
      </c>
      <c r="J408"/>
      <c r="K408" t="s">
        <v>101</v>
      </c>
      <c r="L408" t="s">
        <v>3411</v>
      </c>
      <c r="M408" t="s">
        <v>3412</v>
      </c>
      <c r="Q408" s="3">
        <f t="shared" si="21"/>
        <v>548.84</v>
      </c>
      <c r="V408" s="3" t="str">
        <f t="shared" si="22"/>
        <v/>
      </c>
    </row>
    <row r="409" spans="1:22" x14ac:dyDescent="0.35">
      <c r="A409" t="s">
        <v>0</v>
      </c>
      <c r="B409" t="s">
        <v>1566</v>
      </c>
      <c r="C409" t="s">
        <v>16</v>
      </c>
      <c r="D409" t="s">
        <v>17</v>
      </c>
      <c r="E409">
        <v>548.84</v>
      </c>
      <c r="F409" t="s">
        <v>88</v>
      </c>
      <c r="G409" s="19">
        <v>45446</v>
      </c>
      <c r="H409" t="s">
        <v>89</v>
      </c>
      <c r="I409" t="s">
        <v>3413</v>
      </c>
      <c r="J409"/>
      <c r="K409" t="s">
        <v>3414</v>
      </c>
      <c r="L409" t="s">
        <v>3415</v>
      </c>
      <c r="M409" t="s">
        <v>3416</v>
      </c>
      <c r="Q409" s="3">
        <f t="shared" si="21"/>
        <v>548.84</v>
      </c>
      <c r="V409" s="3" t="str">
        <f t="shared" si="22"/>
        <v/>
      </c>
    </row>
    <row r="410" spans="1:22" x14ac:dyDescent="0.35">
      <c r="A410" t="s">
        <v>0</v>
      </c>
      <c r="B410" t="s">
        <v>1566</v>
      </c>
      <c r="C410" t="s">
        <v>16</v>
      </c>
      <c r="D410" t="s">
        <v>17</v>
      </c>
      <c r="E410">
        <v>548.84</v>
      </c>
      <c r="F410" t="s">
        <v>88</v>
      </c>
      <c r="G410" s="19">
        <v>45566</v>
      </c>
      <c r="H410" t="s">
        <v>89</v>
      </c>
      <c r="I410" t="s">
        <v>4532</v>
      </c>
      <c r="J410"/>
      <c r="K410" t="s">
        <v>4533</v>
      </c>
      <c r="L410" t="s">
        <v>4534</v>
      </c>
      <c r="M410" t="s">
        <v>4535</v>
      </c>
      <c r="Q410" s="3">
        <f t="shared" si="21"/>
        <v>548.84</v>
      </c>
      <c r="V410" s="3" t="str">
        <f t="shared" si="22"/>
        <v/>
      </c>
    </row>
    <row r="411" spans="1:22" x14ac:dyDescent="0.35">
      <c r="A411" t="s">
        <v>0</v>
      </c>
      <c r="B411" t="s">
        <v>1566</v>
      </c>
      <c r="C411" t="s">
        <v>16</v>
      </c>
      <c r="D411" t="s">
        <v>17</v>
      </c>
      <c r="E411">
        <v>548.84</v>
      </c>
      <c r="F411" t="s">
        <v>88</v>
      </c>
      <c r="G411" s="19">
        <v>45601</v>
      </c>
      <c r="H411" t="s">
        <v>89</v>
      </c>
      <c r="I411" t="s">
        <v>4822</v>
      </c>
      <c r="J411"/>
      <c r="K411" t="s">
        <v>4823</v>
      </c>
      <c r="L411" t="s">
        <v>4824</v>
      </c>
      <c r="M411" t="s">
        <v>4825</v>
      </c>
      <c r="Q411" s="3">
        <f t="shared" si="21"/>
        <v>548.84</v>
      </c>
      <c r="V411" s="3" t="str">
        <f t="shared" si="22"/>
        <v/>
      </c>
    </row>
    <row r="412" spans="1:22" x14ac:dyDescent="0.35">
      <c r="A412" t="s">
        <v>35</v>
      </c>
      <c r="B412" t="s">
        <v>1566</v>
      </c>
      <c r="C412" t="s">
        <v>16</v>
      </c>
      <c r="D412" t="s">
        <v>17</v>
      </c>
      <c r="E412">
        <v>548.84</v>
      </c>
      <c r="F412" t="s">
        <v>88</v>
      </c>
      <c r="G412" s="19">
        <v>45636</v>
      </c>
      <c r="H412" t="s">
        <v>89</v>
      </c>
      <c r="I412" t="s">
        <v>5216</v>
      </c>
      <c r="J412"/>
      <c r="K412" t="s">
        <v>5217</v>
      </c>
      <c r="L412" t="s">
        <v>5218</v>
      </c>
      <c r="M412" t="s">
        <v>3940</v>
      </c>
      <c r="Q412" s="3">
        <f t="shared" si="21"/>
        <v>548.84</v>
      </c>
      <c r="V412" s="3" t="str">
        <f t="shared" si="22"/>
        <v/>
      </c>
    </row>
    <row r="413" spans="1:22" x14ac:dyDescent="0.35">
      <c r="A413" t="s">
        <v>0</v>
      </c>
      <c r="B413" t="s">
        <v>1566</v>
      </c>
      <c r="C413" t="s">
        <v>16</v>
      </c>
      <c r="D413" t="s">
        <v>17</v>
      </c>
      <c r="E413">
        <v>547.88</v>
      </c>
      <c r="F413" t="s">
        <v>88</v>
      </c>
      <c r="G413" s="19">
        <v>45384</v>
      </c>
      <c r="H413" t="s">
        <v>89</v>
      </c>
      <c r="I413" t="s">
        <v>2785</v>
      </c>
      <c r="J413"/>
      <c r="K413" t="s">
        <v>2187</v>
      </c>
      <c r="L413" t="s">
        <v>2786</v>
      </c>
      <c r="M413" t="s">
        <v>2787</v>
      </c>
      <c r="Q413" s="3">
        <f t="shared" si="21"/>
        <v>547.88</v>
      </c>
      <c r="V413" s="3" t="str">
        <f t="shared" si="22"/>
        <v/>
      </c>
    </row>
    <row r="414" spans="1:22" x14ac:dyDescent="0.35">
      <c r="A414" t="s">
        <v>0</v>
      </c>
      <c r="B414" t="s">
        <v>1566</v>
      </c>
      <c r="C414" t="s">
        <v>16</v>
      </c>
      <c r="D414" t="s">
        <v>17</v>
      </c>
      <c r="E414">
        <v>547.88</v>
      </c>
      <c r="F414" t="s">
        <v>88</v>
      </c>
      <c r="G414" s="19">
        <v>45397</v>
      </c>
      <c r="H414" t="s">
        <v>89</v>
      </c>
      <c r="I414" t="s">
        <v>2994</v>
      </c>
      <c r="J414"/>
      <c r="K414" t="s">
        <v>2995</v>
      </c>
      <c r="L414" t="s">
        <v>2996</v>
      </c>
      <c r="M414" t="s">
        <v>2997</v>
      </c>
      <c r="Q414" s="3">
        <f t="shared" si="21"/>
        <v>547.88</v>
      </c>
      <c r="V414" s="3" t="str">
        <f t="shared" si="22"/>
        <v/>
      </c>
    </row>
    <row r="415" spans="1:22" x14ac:dyDescent="0.35">
      <c r="A415" t="s">
        <v>0</v>
      </c>
      <c r="B415" t="s">
        <v>1566</v>
      </c>
      <c r="C415" t="s">
        <v>16</v>
      </c>
      <c r="D415" t="s">
        <v>17</v>
      </c>
      <c r="E415">
        <v>547.88</v>
      </c>
      <c r="F415" t="s">
        <v>88</v>
      </c>
      <c r="G415" s="19">
        <v>45397</v>
      </c>
      <c r="H415" t="s">
        <v>89</v>
      </c>
      <c r="I415" t="s">
        <v>3001</v>
      </c>
      <c r="J415"/>
      <c r="K415" t="s">
        <v>3002</v>
      </c>
      <c r="L415" t="s">
        <v>3003</v>
      </c>
      <c r="M415" t="s">
        <v>3004</v>
      </c>
      <c r="Q415" s="3">
        <f t="shared" si="21"/>
        <v>547.88</v>
      </c>
      <c r="V415" s="3" t="str">
        <f t="shared" si="22"/>
        <v/>
      </c>
    </row>
    <row r="416" spans="1:22" x14ac:dyDescent="0.35">
      <c r="A416" t="s">
        <v>35</v>
      </c>
      <c r="B416" t="s">
        <v>1566</v>
      </c>
      <c r="C416" t="s">
        <v>16</v>
      </c>
      <c r="D416" t="s">
        <v>17</v>
      </c>
      <c r="E416">
        <v>547.88</v>
      </c>
      <c r="F416" t="s">
        <v>88</v>
      </c>
      <c r="G416" s="19">
        <v>45482</v>
      </c>
      <c r="H416" t="s">
        <v>89</v>
      </c>
      <c r="I416" t="s">
        <v>3800</v>
      </c>
      <c r="J416"/>
      <c r="K416" t="s">
        <v>101</v>
      </c>
      <c r="L416" t="s">
        <v>3801</v>
      </c>
      <c r="M416" t="s">
        <v>175</v>
      </c>
      <c r="Q416" s="3">
        <f t="shared" si="21"/>
        <v>547.88</v>
      </c>
      <c r="V416" s="3" t="str">
        <f t="shared" si="22"/>
        <v/>
      </c>
    </row>
    <row r="417" spans="1:22" x14ac:dyDescent="0.35">
      <c r="A417" t="s">
        <v>35</v>
      </c>
      <c r="B417" t="s">
        <v>1566</v>
      </c>
      <c r="C417" t="s">
        <v>16</v>
      </c>
      <c r="D417" t="s">
        <v>17</v>
      </c>
      <c r="E417">
        <v>545.45000000000005</v>
      </c>
      <c r="F417" t="s">
        <v>88</v>
      </c>
      <c r="G417" s="19">
        <v>45405</v>
      </c>
      <c r="H417" t="s">
        <v>94</v>
      </c>
      <c r="I417" t="s">
        <v>3109</v>
      </c>
      <c r="J417" t="s">
        <v>3110</v>
      </c>
      <c r="O417" t="s">
        <v>3111</v>
      </c>
      <c r="Q417" s="3">
        <f t="shared" si="21"/>
        <v>545.45000000000005</v>
      </c>
      <c r="V417" s="3" t="str">
        <f t="shared" si="22"/>
        <v/>
      </c>
    </row>
    <row r="418" spans="1:22" x14ac:dyDescent="0.35">
      <c r="A418" t="s">
        <v>35</v>
      </c>
      <c r="B418" t="s">
        <v>1566</v>
      </c>
      <c r="C418" t="s">
        <v>16</v>
      </c>
      <c r="D418" t="s">
        <v>17</v>
      </c>
      <c r="E418">
        <v>545.45000000000005</v>
      </c>
      <c r="F418" t="s">
        <v>88</v>
      </c>
      <c r="G418" s="19">
        <v>45474</v>
      </c>
      <c r="H418" t="s">
        <v>94</v>
      </c>
      <c r="I418" t="s">
        <v>3483</v>
      </c>
      <c r="J418" t="s">
        <v>3739</v>
      </c>
      <c r="O418" t="s">
        <v>3485</v>
      </c>
      <c r="Q418" s="3">
        <f t="shared" si="21"/>
        <v>545.45000000000005</v>
      </c>
      <c r="V418" s="3" t="str">
        <f t="shared" si="22"/>
        <v/>
      </c>
    </row>
    <row r="419" spans="1:22" x14ac:dyDescent="0.35">
      <c r="A419" t="s">
        <v>35</v>
      </c>
      <c r="B419" t="s">
        <v>1566</v>
      </c>
      <c r="C419" t="s">
        <v>16</v>
      </c>
      <c r="D419" t="s">
        <v>17</v>
      </c>
      <c r="E419">
        <v>545.45000000000005</v>
      </c>
      <c r="F419" t="s">
        <v>88</v>
      </c>
      <c r="G419" s="19">
        <v>45545</v>
      </c>
      <c r="H419" t="s">
        <v>94</v>
      </c>
      <c r="I419" t="s">
        <v>377</v>
      </c>
      <c r="J419" t="s">
        <v>4289</v>
      </c>
      <c r="O419" t="s">
        <v>4290</v>
      </c>
      <c r="Q419" s="3">
        <f t="shared" si="21"/>
        <v>545.45000000000005</v>
      </c>
      <c r="V419" s="3" t="str">
        <f t="shared" si="22"/>
        <v/>
      </c>
    </row>
    <row r="420" spans="1:22" x14ac:dyDescent="0.35">
      <c r="A420" t="s">
        <v>35</v>
      </c>
      <c r="B420" t="s">
        <v>1566</v>
      </c>
      <c r="C420" t="s">
        <v>16</v>
      </c>
      <c r="D420" t="s">
        <v>17</v>
      </c>
      <c r="E420">
        <v>545.36</v>
      </c>
      <c r="F420" t="s">
        <v>88</v>
      </c>
      <c r="G420" s="19">
        <v>45427</v>
      </c>
      <c r="H420" t="s">
        <v>94</v>
      </c>
      <c r="I420" t="s">
        <v>3264</v>
      </c>
      <c r="J420" t="s">
        <v>3265</v>
      </c>
      <c r="O420" t="s">
        <v>3266</v>
      </c>
      <c r="Q420" s="3">
        <f t="shared" si="21"/>
        <v>545.36</v>
      </c>
      <c r="V420" s="3" t="str">
        <f t="shared" si="22"/>
        <v/>
      </c>
    </row>
    <row r="421" spans="1:22" x14ac:dyDescent="0.35">
      <c r="A421" t="s">
        <v>35</v>
      </c>
      <c r="B421" t="s">
        <v>1566</v>
      </c>
      <c r="C421" t="s">
        <v>16</v>
      </c>
      <c r="D421" t="s">
        <v>17</v>
      </c>
      <c r="E421">
        <v>543.45000000000005</v>
      </c>
      <c r="F421" t="s">
        <v>88</v>
      </c>
      <c r="G421" s="19">
        <v>45618</v>
      </c>
      <c r="H421" t="s">
        <v>94</v>
      </c>
      <c r="I421" t="s">
        <v>3085</v>
      </c>
      <c r="J421" t="s">
        <v>4991</v>
      </c>
      <c r="O421" t="s">
        <v>4992</v>
      </c>
      <c r="Q421" s="3">
        <f t="shared" si="21"/>
        <v>543.45000000000005</v>
      </c>
      <c r="S421" s="69" t="s">
        <v>53</v>
      </c>
      <c r="T421" t="s">
        <v>64</v>
      </c>
      <c r="U421" t="str">
        <f>B421</f>
        <v>AU032046</v>
      </c>
      <c r="V421" s="3">
        <f t="shared" si="22"/>
        <v>543.45000000000005</v>
      </c>
    </row>
    <row r="422" spans="1:22" x14ac:dyDescent="0.35">
      <c r="A422" t="s">
        <v>35</v>
      </c>
      <c r="B422" t="s">
        <v>868</v>
      </c>
      <c r="C422" t="s">
        <v>16</v>
      </c>
      <c r="D422" t="s">
        <v>17</v>
      </c>
      <c r="E422">
        <v>540.91</v>
      </c>
      <c r="F422" t="s">
        <v>88</v>
      </c>
      <c r="G422" s="19">
        <v>45385</v>
      </c>
      <c r="H422" t="s">
        <v>94</v>
      </c>
      <c r="I422" t="s">
        <v>251</v>
      </c>
      <c r="J422" t="s">
        <v>2809</v>
      </c>
      <c r="O422" t="s">
        <v>2808</v>
      </c>
      <c r="Q422" s="3">
        <f t="shared" si="21"/>
        <v>540.91</v>
      </c>
      <c r="V422" s="3" t="str">
        <f t="shared" si="22"/>
        <v/>
      </c>
    </row>
    <row r="423" spans="1:22" x14ac:dyDescent="0.35">
      <c r="A423" t="s">
        <v>35</v>
      </c>
      <c r="B423" t="s">
        <v>1566</v>
      </c>
      <c r="C423" t="s">
        <v>16</v>
      </c>
      <c r="D423" t="s">
        <v>17</v>
      </c>
      <c r="E423">
        <v>540</v>
      </c>
      <c r="F423" t="s">
        <v>88</v>
      </c>
      <c r="G423" s="19">
        <v>45474</v>
      </c>
      <c r="H423" t="s">
        <v>94</v>
      </c>
      <c r="I423" t="s">
        <v>3754</v>
      </c>
      <c r="J423" t="s">
        <v>3755</v>
      </c>
      <c r="O423" t="s">
        <v>3756</v>
      </c>
      <c r="Q423" s="3">
        <f t="shared" si="21"/>
        <v>540</v>
      </c>
      <c r="V423" s="3" t="str">
        <f t="shared" si="22"/>
        <v/>
      </c>
    </row>
    <row r="424" spans="1:22" x14ac:dyDescent="0.35">
      <c r="A424" t="s">
        <v>35</v>
      </c>
      <c r="B424" t="s">
        <v>1566</v>
      </c>
      <c r="C424" t="s">
        <v>16</v>
      </c>
      <c r="D424" t="s">
        <v>17</v>
      </c>
      <c r="E424">
        <v>-538</v>
      </c>
      <c r="F424" t="s">
        <v>88</v>
      </c>
      <c r="G424" s="19">
        <v>45470</v>
      </c>
      <c r="H424" t="s">
        <v>3693</v>
      </c>
      <c r="I424" t="s">
        <v>3693</v>
      </c>
      <c r="J424"/>
      <c r="Q424" s="3">
        <f t="shared" si="21"/>
        <v>538</v>
      </c>
      <c r="V424" s="3" t="str">
        <f t="shared" si="22"/>
        <v/>
      </c>
    </row>
    <row r="425" spans="1:22" x14ac:dyDescent="0.35">
      <c r="A425" t="s">
        <v>35</v>
      </c>
      <c r="B425" t="s">
        <v>1566</v>
      </c>
      <c r="C425" t="s">
        <v>16</v>
      </c>
      <c r="D425" t="s">
        <v>17</v>
      </c>
      <c r="E425">
        <v>524.01</v>
      </c>
      <c r="F425" t="s">
        <v>88</v>
      </c>
      <c r="G425" s="19">
        <v>45562</v>
      </c>
      <c r="H425" t="s">
        <v>94</v>
      </c>
      <c r="I425" t="s">
        <v>846</v>
      </c>
      <c r="J425" t="s">
        <v>1063</v>
      </c>
      <c r="O425" t="s">
        <v>4460</v>
      </c>
      <c r="Q425" s="3">
        <f t="shared" si="21"/>
        <v>524.01</v>
      </c>
      <c r="V425" s="3" t="str">
        <f t="shared" si="22"/>
        <v/>
      </c>
    </row>
    <row r="426" spans="1:22" x14ac:dyDescent="0.35">
      <c r="A426" t="s">
        <v>35</v>
      </c>
      <c r="B426" t="s">
        <v>1566</v>
      </c>
      <c r="C426" t="s">
        <v>16</v>
      </c>
      <c r="D426" t="s">
        <v>17</v>
      </c>
      <c r="E426">
        <v>510</v>
      </c>
      <c r="F426" t="s">
        <v>88</v>
      </c>
      <c r="G426" s="19">
        <v>45391</v>
      </c>
      <c r="H426" t="s">
        <v>89</v>
      </c>
      <c r="I426" t="s">
        <v>2902</v>
      </c>
      <c r="J426"/>
      <c r="K426" t="s">
        <v>2903</v>
      </c>
      <c r="L426" t="s">
        <v>2904</v>
      </c>
      <c r="M426" t="s">
        <v>2905</v>
      </c>
      <c r="Q426" s="3">
        <f t="shared" si="21"/>
        <v>510</v>
      </c>
      <c r="S426" s="69" t="s">
        <v>53</v>
      </c>
      <c r="T426" t="s">
        <v>64</v>
      </c>
      <c r="U426" t="str">
        <f t="shared" ref="U426" si="24">B426</f>
        <v>AU032046</v>
      </c>
      <c r="V426" s="3">
        <f t="shared" si="22"/>
        <v>510</v>
      </c>
    </row>
    <row r="427" spans="1:22" x14ac:dyDescent="0.35">
      <c r="A427" t="s">
        <v>35</v>
      </c>
      <c r="B427" t="s">
        <v>601</v>
      </c>
      <c r="C427" t="s">
        <v>16</v>
      </c>
      <c r="D427" t="s">
        <v>17</v>
      </c>
      <c r="E427">
        <v>509.09</v>
      </c>
      <c r="F427" t="s">
        <v>88</v>
      </c>
      <c r="G427" s="19">
        <v>45544</v>
      </c>
      <c r="H427" t="s">
        <v>94</v>
      </c>
      <c r="I427" t="s">
        <v>3991</v>
      </c>
      <c r="J427" t="s">
        <v>4255</v>
      </c>
      <c r="O427" t="s">
        <v>4256</v>
      </c>
      <c r="Q427" s="3">
        <f t="shared" si="21"/>
        <v>509.09</v>
      </c>
      <c r="V427" s="3" t="str">
        <f t="shared" si="22"/>
        <v/>
      </c>
    </row>
    <row r="428" spans="1:22" x14ac:dyDescent="0.35">
      <c r="A428" t="s">
        <v>0</v>
      </c>
      <c r="B428" t="s">
        <v>1566</v>
      </c>
      <c r="C428" t="s">
        <v>16</v>
      </c>
      <c r="D428" t="s">
        <v>17</v>
      </c>
      <c r="E428">
        <v>503.44</v>
      </c>
      <c r="F428" t="s">
        <v>88</v>
      </c>
      <c r="G428" s="19">
        <v>45637</v>
      </c>
      <c r="H428" t="s">
        <v>89</v>
      </c>
      <c r="I428" t="s">
        <v>5236</v>
      </c>
      <c r="J428"/>
      <c r="K428" t="s">
        <v>5237</v>
      </c>
      <c r="L428" t="s">
        <v>5238</v>
      </c>
      <c r="M428" t="s">
        <v>147</v>
      </c>
      <c r="Q428" s="3">
        <f t="shared" si="21"/>
        <v>503.44</v>
      </c>
      <c r="V428" s="3" t="str">
        <f t="shared" si="22"/>
        <v/>
      </c>
    </row>
    <row r="429" spans="1:22" x14ac:dyDescent="0.35">
      <c r="A429" t="s">
        <v>35</v>
      </c>
      <c r="B429" t="s">
        <v>1566</v>
      </c>
      <c r="C429" t="s">
        <v>16</v>
      </c>
      <c r="D429" t="s">
        <v>17</v>
      </c>
      <c r="E429">
        <v>501.86</v>
      </c>
      <c r="F429" t="s">
        <v>88</v>
      </c>
      <c r="G429" s="19">
        <v>45404</v>
      </c>
      <c r="H429" t="s">
        <v>94</v>
      </c>
      <c r="I429" t="s">
        <v>335</v>
      </c>
      <c r="J429" t="s">
        <v>3089</v>
      </c>
      <c r="O429" t="s">
        <v>546</v>
      </c>
      <c r="Q429" s="3">
        <f t="shared" si="21"/>
        <v>501.86</v>
      </c>
      <c r="S429" s="69" t="s">
        <v>53</v>
      </c>
      <c r="T429" t="s">
        <v>64</v>
      </c>
      <c r="U429" t="str">
        <f>B429</f>
        <v>AU032046</v>
      </c>
      <c r="V429" s="3">
        <f t="shared" si="22"/>
        <v>501.86</v>
      </c>
    </row>
    <row r="430" spans="1:22" x14ac:dyDescent="0.35">
      <c r="A430" t="s">
        <v>0</v>
      </c>
      <c r="B430" t="s">
        <v>1566</v>
      </c>
      <c r="C430" t="s">
        <v>16</v>
      </c>
      <c r="D430" t="s">
        <v>17</v>
      </c>
      <c r="E430">
        <v>500</v>
      </c>
      <c r="F430" t="s">
        <v>88</v>
      </c>
      <c r="G430" s="19">
        <v>45391</v>
      </c>
      <c r="H430" t="s">
        <v>89</v>
      </c>
      <c r="I430" t="s">
        <v>2879</v>
      </c>
      <c r="J430"/>
      <c r="K430" t="s">
        <v>2880</v>
      </c>
      <c r="L430" t="s">
        <v>2881</v>
      </c>
      <c r="M430" t="s">
        <v>2882</v>
      </c>
      <c r="Q430" s="3">
        <f t="shared" si="21"/>
        <v>500</v>
      </c>
      <c r="V430" s="3" t="str">
        <f t="shared" si="22"/>
        <v/>
      </c>
    </row>
    <row r="431" spans="1:22" x14ac:dyDescent="0.35">
      <c r="A431" t="s">
        <v>0</v>
      </c>
      <c r="B431" t="s">
        <v>1566</v>
      </c>
      <c r="C431" t="s">
        <v>16</v>
      </c>
      <c r="D431" t="s">
        <v>17</v>
      </c>
      <c r="E431">
        <v>500</v>
      </c>
      <c r="F431" t="s">
        <v>88</v>
      </c>
      <c r="G431" s="19">
        <v>45394</v>
      </c>
      <c r="H431" t="s">
        <v>89</v>
      </c>
      <c r="I431" t="s">
        <v>2974</v>
      </c>
      <c r="J431"/>
      <c r="K431" t="s">
        <v>2975</v>
      </c>
      <c r="L431" t="s">
        <v>2976</v>
      </c>
      <c r="M431" t="s">
        <v>2977</v>
      </c>
      <c r="Q431" s="3">
        <f t="shared" si="21"/>
        <v>500</v>
      </c>
      <c r="V431" s="3" t="str">
        <f t="shared" si="22"/>
        <v/>
      </c>
    </row>
    <row r="432" spans="1:22" x14ac:dyDescent="0.35">
      <c r="A432" t="s">
        <v>0</v>
      </c>
      <c r="B432" t="s">
        <v>1566</v>
      </c>
      <c r="C432" t="s">
        <v>16</v>
      </c>
      <c r="D432" t="s">
        <v>17</v>
      </c>
      <c r="E432">
        <v>500</v>
      </c>
      <c r="F432" t="s">
        <v>88</v>
      </c>
      <c r="G432" s="19">
        <v>45394</v>
      </c>
      <c r="H432" t="s">
        <v>89</v>
      </c>
      <c r="I432" t="s">
        <v>2981</v>
      </c>
      <c r="J432"/>
      <c r="K432" t="s">
        <v>2982</v>
      </c>
      <c r="L432" t="s">
        <v>2295</v>
      </c>
      <c r="M432" t="s">
        <v>2983</v>
      </c>
      <c r="Q432" s="3">
        <f t="shared" si="21"/>
        <v>500</v>
      </c>
      <c r="V432" s="3" t="str">
        <f t="shared" si="22"/>
        <v/>
      </c>
    </row>
    <row r="433" spans="1:22" x14ac:dyDescent="0.35">
      <c r="A433" t="s">
        <v>0</v>
      </c>
      <c r="B433" t="s">
        <v>1566</v>
      </c>
      <c r="C433" t="s">
        <v>16</v>
      </c>
      <c r="D433" t="s">
        <v>17</v>
      </c>
      <c r="E433">
        <v>500</v>
      </c>
      <c r="F433" t="s">
        <v>88</v>
      </c>
      <c r="G433" s="19">
        <v>45413</v>
      </c>
      <c r="H433" t="s">
        <v>89</v>
      </c>
      <c r="I433" t="s">
        <v>3127</v>
      </c>
      <c r="J433"/>
      <c r="K433" t="s">
        <v>3128</v>
      </c>
      <c r="L433" t="s">
        <v>3129</v>
      </c>
      <c r="M433" t="s">
        <v>3130</v>
      </c>
      <c r="Q433" s="3">
        <f t="shared" si="21"/>
        <v>500</v>
      </c>
      <c r="V433" s="3" t="str">
        <f t="shared" si="22"/>
        <v/>
      </c>
    </row>
    <row r="434" spans="1:22" x14ac:dyDescent="0.35">
      <c r="A434" t="s">
        <v>0</v>
      </c>
      <c r="B434" t="s">
        <v>1566</v>
      </c>
      <c r="C434" t="s">
        <v>16</v>
      </c>
      <c r="D434" t="s">
        <v>17</v>
      </c>
      <c r="E434">
        <v>500</v>
      </c>
      <c r="F434" t="s">
        <v>88</v>
      </c>
      <c r="G434" s="19">
        <v>45419</v>
      </c>
      <c r="H434" t="s">
        <v>89</v>
      </c>
      <c r="I434" t="s">
        <v>3160</v>
      </c>
      <c r="J434"/>
      <c r="K434" t="s">
        <v>3161</v>
      </c>
      <c r="L434" t="s">
        <v>3162</v>
      </c>
      <c r="M434" t="s">
        <v>3163</v>
      </c>
      <c r="Q434" s="3">
        <f t="shared" si="21"/>
        <v>500</v>
      </c>
      <c r="V434" s="3" t="str">
        <f t="shared" si="22"/>
        <v/>
      </c>
    </row>
    <row r="435" spans="1:22" x14ac:dyDescent="0.35">
      <c r="A435" t="s">
        <v>0</v>
      </c>
      <c r="B435" t="s">
        <v>1566</v>
      </c>
      <c r="C435" t="s">
        <v>16</v>
      </c>
      <c r="D435" t="s">
        <v>17</v>
      </c>
      <c r="E435">
        <v>500</v>
      </c>
      <c r="F435" t="s">
        <v>88</v>
      </c>
      <c r="G435" s="19">
        <v>45425</v>
      </c>
      <c r="H435" t="s">
        <v>89</v>
      </c>
      <c r="I435" t="s">
        <v>3196</v>
      </c>
      <c r="J435"/>
      <c r="K435" t="s">
        <v>3197</v>
      </c>
      <c r="L435" t="s">
        <v>3198</v>
      </c>
      <c r="M435" t="s">
        <v>3199</v>
      </c>
      <c r="Q435" s="3">
        <f t="shared" si="21"/>
        <v>500</v>
      </c>
      <c r="V435" s="3" t="str">
        <f t="shared" si="22"/>
        <v/>
      </c>
    </row>
    <row r="436" spans="1:22" x14ac:dyDescent="0.35">
      <c r="A436" t="s">
        <v>35</v>
      </c>
      <c r="B436" t="s">
        <v>1566</v>
      </c>
      <c r="C436" t="s">
        <v>16</v>
      </c>
      <c r="D436" t="s">
        <v>17</v>
      </c>
      <c r="E436">
        <v>500</v>
      </c>
      <c r="F436" t="s">
        <v>88</v>
      </c>
      <c r="G436" s="19">
        <v>45426</v>
      </c>
      <c r="H436" t="s">
        <v>89</v>
      </c>
      <c r="I436" t="s">
        <v>3254</v>
      </c>
      <c r="J436"/>
      <c r="K436" t="s">
        <v>3255</v>
      </c>
      <c r="L436" t="s">
        <v>3256</v>
      </c>
      <c r="M436" t="s">
        <v>3257</v>
      </c>
      <c r="Q436" s="3">
        <f t="shared" si="21"/>
        <v>500</v>
      </c>
      <c r="V436" s="3" t="str">
        <f t="shared" si="22"/>
        <v/>
      </c>
    </row>
    <row r="437" spans="1:22" x14ac:dyDescent="0.35">
      <c r="A437" t="s">
        <v>0</v>
      </c>
      <c r="B437" t="s">
        <v>1566</v>
      </c>
      <c r="C437" t="s">
        <v>16</v>
      </c>
      <c r="D437" t="s">
        <v>17</v>
      </c>
      <c r="E437">
        <v>500</v>
      </c>
      <c r="F437" t="s">
        <v>88</v>
      </c>
      <c r="G437" s="19">
        <v>45428</v>
      </c>
      <c r="H437" t="s">
        <v>89</v>
      </c>
      <c r="I437" t="s">
        <v>3290</v>
      </c>
      <c r="J437"/>
      <c r="K437" t="s">
        <v>3291</v>
      </c>
      <c r="L437" t="s">
        <v>3292</v>
      </c>
      <c r="M437" t="s">
        <v>3293</v>
      </c>
      <c r="Q437" s="3">
        <f t="shared" si="21"/>
        <v>500</v>
      </c>
      <c r="V437" s="3" t="str">
        <f t="shared" si="22"/>
        <v/>
      </c>
    </row>
    <row r="438" spans="1:22" x14ac:dyDescent="0.35">
      <c r="A438" t="s">
        <v>35</v>
      </c>
      <c r="B438" t="s">
        <v>1566</v>
      </c>
      <c r="C438" t="s">
        <v>16</v>
      </c>
      <c r="D438" t="s">
        <v>17</v>
      </c>
      <c r="E438">
        <v>500</v>
      </c>
      <c r="F438" t="s">
        <v>88</v>
      </c>
      <c r="G438" s="19">
        <v>45470</v>
      </c>
      <c r="H438" t="s">
        <v>94</v>
      </c>
      <c r="I438" t="s">
        <v>232</v>
      </c>
      <c r="J438" t="s">
        <v>3700</v>
      </c>
      <c r="O438" t="s">
        <v>627</v>
      </c>
      <c r="Q438" s="3">
        <f t="shared" si="21"/>
        <v>500</v>
      </c>
      <c r="V438" s="3" t="str">
        <f t="shared" si="22"/>
        <v/>
      </c>
    </row>
    <row r="439" spans="1:22" x14ac:dyDescent="0.35">
      <c r="A439" t="s">
        <v>35</v>
      </c>
      <c r="B439" t="s">
        <v>1566</v>
      </c>
      <c r="C439" t="s">
        <v>16</v>
      </c>
      <c r="D439" t="s">
        <v>17</v>
      </c>
      <c r="E439">
        <v>500</v>
      </c>
      <c r="F439" t="s">
        <v>88</v>
      </c>
      <c r="G439" s="19">
        <v>45470</v>
      </c>
      <c r="H439" t="s">
        <v>94</v>
      </c>
      <c r="I439" t="s">
        <v>232</v>
      </c>
      <c r="J439" t="s">
        <v>3701</v>
      </c>
      <c r="O439" t="s">
        <v>627</v>
      </c>
      <c r="Q439" s="3">
        <f t="shared" si="21"/>
        <v>500</v>
      </c>
      <c r="V439" s="3" t="str">
        <f t="shared" si="22"/>
        <v/>
      </c>
    </row>
    <row r="440" spans="1:22" x14ac:dyDescent="0.35">
      <c r="A440" t="s">
        <v>0</v>
      </c>
      <c r="B440" t="s">
        <v>1566</v>
      </c>
      <c r="C440" t="s">
        <v>16</v>
      </c>
      <c r="D440" t="s">
        <v>17</v>
      </c>
      <c r="E440">
        <v>500</v>
      </c>
      <c r="F440" t="s">
        <v>88</v>
      </c>
      <c r="G440" s="19">
        <v>45481</v>
      </c>
      <c r="H440" t="s">
        <v>89</v>
      </c>
      <c r="I440" t="s">
        <v>3793</v>
      </c>
      <c r="J440"/>
      <c r="K440" t="s">
        <v>3794</v>
      </c>
      <c r="L440" t="s">
        <v>3795</v>
      </c>
      <c r="M440" t="s">
        <v>3796</v>
      </c>
      <c r="Q440" s="3">
        <f t="shared" si="21"/>
        <v>500</v>
      </c>
      <c r="V440" s="3" t="str">
        <f t="shared" si="22"/>
        <v/>
      </c>
    </row>
    <row r="441" spans="1:22" x14ac:dyDescent="0.35">
      <c r="A441" t="s">
        <v>0</v>
      </c>
      <c r="B441" t="s">
        <v>1566</v>
      </c>
      <c r="C441" t="s">
        <v>16</v>
      </c>
      <c r="D441" t="s">
        <v>17</v>
      </c>
      <c r="E441">
        <v>500</v>
      </c>
      <c r="F441" t="s">
        <v>88</v>
      </c>
      <c r="G441" s="19">
        <v>45484</v>
      </c>
      <c r="H441" t="s">
        <v>89</v>
      </c>
      <c r="I441" t="s">
        <v>3811</v>
      </c>
      <c r="J441"/>
      <c r="K441" t="s">
        <v>101</v>
      </c>
      <c r="L441" t="s">
        <v>3812</v>
      </c>
      <c r="M441" t="s">
        <v>3813</v>
      </c>
      <c r="Q441" s="3">
        <f t="shared" si="21"/>
        <v>500</v>
      </c>
      <c r="V441" s="3" t="str">
        <f t="shared" si="22"/>
        <v/>
      </c>
    </row>
    <row r="442" spans="1:22" x14ac:dyDescent="0.35">
      <c r="A442" t="s">
        <v>0</v>
      </c>
      <c r="B442" t="s">
        <v>1566</v>
      </c>
      <c r="C442" t="s">
        <v>16</v>
      </c>
      <c r="D442" t="s">
        <v>17</v>
      </c>
      <c r="E442">
        <v>500</v>
      </c>
      <c r="F442" t="s">
        <v>88</v>
      </c>
      <c r="G442" s="19">
        <v>45517</v>
      </c>
      <c r="H442" t="s">
        <v>89</v>
      </c>
      <c r="I442" t="s">
        <v>4015</v>
      </c>
      <c r="J442"/>
      <c r="K442" t="s">
        <v>4016</v>
      </c>
      <c r="L442" t="s">
        <v>4017</v>
      </c>
      <c r="M442" t="s">
        <v>4018</v>
      </c>
      <c r="Q442" s="3">
        <f t="shared" si="21"/>
        <v>500</v>
      </c>
      <c r="V442" s="3" t="str">
        <f t="shared" si="22"/>
        <v/>
      </c>
    </row>
    <row r="443" spans="1:22" x14ac:dyDescent="0.35">
      <c r="A443" t="s">
        <v>0</v>
      </c>
      <c r="B443" t="s">
        <v>1566</v>
      </c>
      <c r="C443" t="s">
        <v>16</v>
      </c>
      <c r="D443" t="s">
        <v>17</v>
      </c>
      <c r="E443">
        <v>500</v>
      </c>
      <c r="F443" t="s">
        <v>88</v>
      </c>
      <c r="G443" s="19">
        <v>45566</v>
      </c>
      <c r="H443" t="s">
        <v>89</v>
      </c>
      <c r="I443" t="s">
        <v>4507</v>
      </c>
      <c r="J443"/>
      <c r="K443" t="s">
        <v>4508</v>
      </c>
      <c r="L443" t="s">
        <v>4509</v>
      </c>
      <c r="M443" t="s">
        <v>4510</v>
      </c>
      <c r="Q443" s="3">
        <f t="shared" si="21"/>
        <v>500</v>
      </c>
      <c r="V443" s="3" t="str">
        <f t="shared" si="22"/>
        <v/>
      </c>
    </row>
    <row r="444" spans="1:22" x14ac:dyDescent="0.35">
      <c r="A444" t="s">
        <v>0</v>
      </c>
      <c r="B444" t="s">
        <v>1566</v>
      </c>
      <c r="C444" t="s">
        <v>16</v>
      </c>
      <c r="D444" t="s">
        <v>17</v>
      </c>
      <c r="E444">
        <v>500</v>
      </c>
      <c r="F444" t="s">
        <v>88</v>
      </c>
      <c r="G444" s="19">
        <v>45580</v>
      </c>
      <c r="H444" t="s">
        <v>89</v>
      </c>
      <c r="I444" t="s">
        <v>4652</v>
      </c>
      <c r="J444"/>
      <c r="K444" t="s">
        <v>4653</v>
      </c>
      <c r="L444" t="s">
        <v>2661</v>
      </c>
      <c r="M444" t="s">
        <v>4654</v>
      </c>
      <c r="Q444" s="3">
        <f t="shared" si="21"/>
        <v>500</v>
      </c>
      <c r="V444" s="3" t="str">
        <f t="shared" si="22"/>
        <v/>
      </c>
    </row>
    <row r="445" spans="1:22" x14ac:dyDescent="0.35">
      <c r="A445" t="s">
        <v>0</v>
      </c>
      <c r="B445" t="s">
        <v>1566</v>
      </c>
      <c r="C445" t="s">
        <v>16</v>
      </c>
      <c r="D445" t="s">
        <v>17</v>
      </c>
      <c r="E445">
        <v>500</v>
      </c>
      <c r="F445" t="s">
        <v>88</v>
      </c>
      <c r="G445" s="19">
        <v>45586</v>
      </c>
      <c r="H445" t="s">
        <v>89</v>
      </c>
      <c r="I445" t="s">
        <v>4688</v>
      </c>
      <c r="J445"/>
      <c r="K445" t="s">
        <v>4689</v>
      </c>
      <c r="L445" t="s">
        <v>4690</v>
      </c>
      <c r="M445" t="s">
        <v>4691</v>
      </c>
      <c r="Q445" s="3">
        <f t="shared" si="21"/>
        <v>500</v>
      </c>
      <c r="V445" s="3" t="str">
        <f t="shared" si="22"/>
        <v/>
      </c>
    </row>
    <row r="446" spans="1:22" x14ac:dyDescent="0.35">
      <c r="A446" t="s">
        <v>0</v>
      </c>
      <c r="B446" t="s">
        <v>1566</v>
      </c>
      <c r="C446" t="s">
        <v>16</v>
      </c>
      <c r="D446" t="s">
        <v>17</v>
      </c>
      <c r="E446">
        <v>500</v>
      </c>
      <c r="F446" t="s">
        <v>88</v>
      </c>
      <c r="G446" s="19">
        <v>45597</v>
      </c>
      <c r="H446" t="s">
        <v>89</v>
      </c>
      <c r="I446" t="s">
        <v>4787</v>
      </c>
      <c r="J446"/>
      <c r="K446" t="s">
        <v>3044</v>
      </c>
      <c r="L446" t="s">
        <v>4788</v>
      </c>
      <c r="M446" t="s">
        <v>4789</v>
      </c>
      <c r="Q446" s="3">
        <f t="shared" si="21"/>
        <v>500</v>
      </c>
      <c r="V446" s="3" t="str">
        <f t="shared" si="22"/>
        <v/>
      </c>
    </row>
    <row r="447" spans="1:22" x14ac:dyDescent="0.35">
      <c r="A447" t="s">
        <v>0</v>
      </c>
      <c r="B447" t="s">
        <v>1566</v>
      </c>
      <c r="C447" t="s">
        <v>16</v>
      </c>
      <c r="D447" t="s">
        <v>17</v>
      </c>
      <c r="E447">
        <v>500</v>
      </c>
      <c r="F447" t="s">
        <v>88</v>
      </c>
      <c r="G447" s="19">
        <v>45636</v>
      </c>
      <c r="H447" t="s">
        <v>89</v>
      </c>
      <c r="I447" t="s">
        <v>5198</v>
      </c>
      <c r="J447"/>
      <c r="K447" t="s">
        <v>5199</v>
      </c>
      <c r="L447" t="s">
        <v>5200</v>
      </c>
      <c r="M447" t="s">
        <v>161</v>
      </c>
      <c r="Q447" s="3">
        <f t="shared" si="21"/>
        <v>500</v>
      </c>
      <c r="V447" s="3" t="str">
        <f t="shared" si="22"/>
        <v/>
      </c>
    </row>
    <row r="448" spans="1:22" x14ac:dyDescent="0.35">
      <c r="A448" t="s">
        <v>0</v>
      </c>
      <c r="B448" t="s">
        <v>1566</v>
      </c>
      <c r="C448" t="s">
        <v>16</v>
      </c>
      <c r="D448" t="s">
        <v>17</v>
      </c>
      <c r="E448">
        <v>500</v>
      </c>
      <c r="F448" t="s">
        <v>88</v>
      </c>
      <c r="G448" s="19">
        <v>45637</v>
      </c>
      <c r="H448" t="s">
        <v>89</v>
      </c>
      <c r="I448" t="s">
        <v>5225</v>
      </c>
      <c r="J448"/>
      <c r="K448" t="s">
        <v>5226</v>
      </c>
      <c r="L448" t="s">
        <v>5227</v>
      </c>
      <c r="M448" t="s">
        <v>170</v>
      </c>
      <c r="Q448" s="3">
        <f t="shared" si="21"/>
        <v>500</v>
      </c>
      <c r="V448" s="3" t="str">
        <f t="shared" si="22"/>
        <v/>
      </c>
    </row>
    <row r="449" spans="1:22" x14ac:dyDescent="0.35">
      <c r="A449" t="s">
        <v>35</v>
      </c>
      <c r="B449" t="s">
        <v>1566</v>
      </c>
      <c r="C449" t="s">
        <v>16</v>
      </c>
      <c r="D449" t="s">
        <v>17</v>
      </c>
      <c r="E449">
        <v>498.95</v>
      </c>
      <c r="F449" t="s">
        <v>88</v>
      </c>
      <c r="G449" s="19">
        <v>45404</v>
      </c>
      <c r="H449" t="s">
        <v>89</v>
      </c>
      <c r="I449" t="s">
        <v>3070</v>
      </c>
      <c r="J449"/>
      <c r="K449" t="s">
        <v>3071</v>
      </c>
      <c r="L449" t="s">
        <v>3072</v>
      </c>
      <c r="M449" t="s">
        <v>3073</v>
      </c>
      <c r="Q449" s="3">
        <f t="shared" si="21"/>
        <v>498.95</v>
      </c>
      <c r="V449" s="3" t="str">
        <f t="shared" si="22"/>
        <v/>
      </c>
    </row>
    <row r="450" spans="1:22" x14ac:dyDescent="0.35">
      <c r="A450" t="s">
        <v>35</v>
      </c>
      <c r="B450" t="s">
        <v>1566</v>
      </c>
      <c r="C450" t="s">
        <v>16</v>
      </c>
      <c r="D450" t="s">
        <v>17</v>
      </c>
      <c r="E450">
        <v>498.95</v>
      </c>
      <c r="F450" t="s">
        <v>88</v>
      </c>
      <c r="G450" s="19">
        <v>45404</v>
      </c>
      <c r="H450" t="s">
        <v>94</v>
      </c>
      <c r="I450" t="s">
        <v>229</v>
      </c>
      <c r="J450" t="s">
        <v>3101</v>
      </c>
      <c r="O450" t="s">
        <v>3102</v>
      </c>
      <c r="Q450" s="3">
        <f t="shared" si="21"/>
        <v>498.95</v>
      </c>
      <c r="V450" s="3" t="str">
        <f t="shared" si="22"/>
        <v/>
      </c>
    </row>
    <row r="451" spans="1:22" x14ac:dyDescent="0.35">
      <c r="A451" t="s">
        <v>0</v>
      </c>
      <c r="B451" t="s">
        <v>1566</v>
      </c>
      <c r="C451" t="s">
        <v>16</v>
      </c>
      <c r="D451" t="s">
        <v>17</v>
      </c>
      <c r="E451">
        <v>498.95</v>
      </c>
      <c r="F451" t="s">
        <v>88</v>
      </c>
      <c r="G451" s="19">
        <v>45439</v>
      </c>
      <c r="H451" t="s">
        <v>89</v>
      </c>
      <c r="I451" t="s">
        <v>3372</v>
      </c>
      <c r="J451"/>
      <c r="K451" t="s">
        <v>101</v>
      </c>
      <c r="L451" t="s">
        <v>3373</v>
      </c>
      <c r="M451" t="s">
        <v>3374</v>
      </c>
      <c r="Q451" s="3">
        <f t="shared" si="21"/>
        <v>498.95</v>
      </c>
      <c r="V451" s="3" t="str">
        <f t="shared" si="22"/>
        <v/>
      </c>
    </row>
    <row r="452" spans="1:22" x14ac:dyDescent="0.35">
      <c r="A452" t="s">
        <v>0</v>
      </c>
      <c r="B452" t="s">
        <v>1566</v>
      </c>
      <c r="C452" t="s">
        <v>16</v>
      </c>
      <c r="D452" t="s">
        <v>17</v>
      </c>
      <c r="E452">
        <v>498.95</v>
      </c>
      <c r="F452" t="s">
        <v>88</v>
      </c>
      <c r="G452" s="19">
        <v>45439</v>
      </c>
      <c r="H452" t="s">
        <v>89</v>
      </c>
      <c r="I452" t="s">
        <v>3378</v>
      </c>
      <c r="J452"/>
      <c r="K452" t="s">
        <v>101</v>
      </c>
      <c r="L452" t="s">
        <v>3379</v>
      </c>
      <c r="M452" t="s">
        <v>3380</v>
      </c>
      <c r="Q452" s="3">
        <f t="shared" si="21"/>
        <v>498.95</v>
      </c>
      <c r="V452" s="3" t="str">
        <f t="shared" si="22"/>
        <v/>
      </c>
    </row>
    <row r="453" spans="1:22" x14ac:dyDescent="0.35">
      <c r="A453" t="s">
        <v>35</v>
      </c>
      <c r="B453" t="s">
        <v>1566</v>
      </c>
      <c r="C453" t="s">
        <v>16</v>
      </c>
      <c r="D453" t="s">
        <v>17</v>
      </c>
      <c r="E453">
        <v>498.95</v>
      </c>
      <c r="F453" t="s">
        <v>88</v>
      </c>
      <c r="G453" s="19">
        <v>45453</v>
      </c>
      <c r="H453" t="s">
        <v>94</v>
      </c>
      <c r="I453" t="s">
        <v>229</v>
      </c>
      <c r="J453" t="s">
        <v>3519</v>
      </c>
      <c r="O453" t="s">
        <v>3102</v>
      </c>
      <c r="Q453" s="3">
        <f t="shared" si="21"/>
        <v>498.95</v>
      </c>
      <c r="V453" s="3" t="str">
        <f t="shared" si="22"/>
        <v/>
      </c>
    </row>
    <row r="454" spans="1:22" x14ac:dyDescent="0.35">
      <c r="A454" t="s">
        <v>0</v>
      </c>
      <c r="B454" t="s">
        <v>1566</v>
      </c>
      <c r="C454" t="s">
        <v>16</v>
      </c>
      <c r="D454" t="s">
        <v>17</v>
      </c>
      <c r="E454">
        <v>498.95</v>
      </c>
      <c r="F454" t="s">
        <v>88</v>
      </c>
      <c r="G454" s="19">
        <v>45460</v>
      </c>
      <c r="H454" t="s">
        <v>89</v>
      </c>
      <c r="I454" t="s">
        <v>3610</v>
      </c>
      <c r="J454"/>
      <c r="K454" t="s">
        <v>101</v>
      </c>
      <c r="L454" t="s">
        <v>3611</v>
      </c>
      <c r="M454" t="s">
        <v>3612</v>
      </c>
      <c r="Q454" s="3">
        <f t="shared" si="21"/>
        <v>498.95</v>
      </c>
      <c r="V454" s="3" t="str">
        <f t="shared" si="22"/>
        <v/>
      </c>
    </row>
    <row r="455" spans="1:22" x14ac:dyDescent="0.35">
      <c r="A455" t="s">
        <v>0</v>
      </c>
      <c r="B455" t="s">
        <v>1566</v>
      </c>
      <c r="C455" t="s">
        <v>16</v>
      </c>
      <c r="D455" t="s">
        <v>17</v>
      </c>
      <c r="E455">
        <v>498.95</v>
      </c>
      <c r="F455" t="s">
        <v>88</v>
      </c>
      <c r="G455" s="19">
        <v>45464</v>
      </c>
      <c r="H455" t="s">
        <v>89</v>
      </c>
      <c r="I455" t="s">
        <v>3643</v>
      </c>
      <c r="J455"/>
      <c r="K455" t="s">
        <v>101</v>
      </c>
      <c r="L455" t="s">
        <v>3644</v>
      </c>
      <c r="M455" t="s">
        <v>3645</v>
      </c>
      <c r="Q455" s="3">
        <f t="shared" si="21"/>
        <v>498.95</v>
      </c>
      <c r="V455" s="3" t="str">
        <f t="shared" si="22"/>
        <v/>
      </c>
    </row>
    <row r="456" spans="1:22" x14ac:dyDescent="0.35">
      <c r="A456" t="s">
        <v>0</v>
      </c>
      <c r="B456" t="s">
        <v>1566</v>
      </c>
      <c r="C456" t="s">
        <v>16</v>
      </c>
      <c r="D456" t="s">
        <v>17</v>
      </c>
      <c r="E456">
        <v>498.95</v>
      </c>
      <c r="F456" t="s">
        <v>88</v>
      </c>
      <c r="G456" s="19">
        <v>45566</v>
      </c>
      <c r="H456" t="s">
        <v>89</v>
      </c>
      <c r="I456" t="s">
        <v>4528</v>
      </c>
      <c r="J456"/>
      <c r="K456" t="s">
        <v>4529</v>
      </c>
      <c r="L456" t="s">
        <v>4530</v>
      </c>
      <c r="M456" t="s">
        <v>4531</v>
      </c>
      <c r="Q456" s="3">
        <f t="shared" ref="Q456:Q519" si="25">ABS(E456)</f>
        <v>498.95</v>
      </c>
      <c r="V456" s="3" t="str">
        <f t="shared" si="22"/>
        <v/>
      </c>
    </row>
    <row r="457" spans="1:22" x14ac:dyDescent="0.35">
      <c r="A457" t="s">
        <v>0</v>
      </c>
      <c r="B457" t="s">
        <v>1566</v>
      </c>
      <c r="C457" t="s">
        <v>16</v>
      </c>
      <c r="D457" t="s">
        <v>17</v>
      </c>
      <c r="E457">
        <v>498.95</v>
      </c>
      <c r="F457" t="s">
        <v>88</v>
      </c>
      <c r="G457" s="19">
        <v>45569</v>
      </c>
      <c r="H457" t="s">
        <v>89</v>
      </c>
      <c r="I457" t="s">
        <v>4579</v>
      </c>
      <c r="J457"/>
      <c r="K457" t="s">
        <v>4580</v>
      </c>
      <c r="L457" t="s">
        <v>4581</v>
      </c>
      <c r="M457" t="s">
        <v>4582</v>
      </c>
      <c r="Q457" s="3">
        <f t="shared" si="25"/>
        <v>498.95</v>
      </c>
      <c r="V457" s="3" t="str">
        <f t="shared" ref="V457:V520" si="26">IF(T457="Y",E457,"")</f>
        <v/>
      </c>
    </row>
    <row r="458" spans="1:22" x14ac:dyDescent="0.35">
      <c r="A458" t="s">
        <v>0</v>
      </c>
      <c r="B458" t="s">
        <v>1566</v>
      </c>
      <c r="C458" t="s">
        <v>16</v>
      </c>
      <c r="D458" t="s">
        <v>17</v>
      </c>
      <c r="E458">
        <v>-498.94</v>
      </c>
      <c r="F458" t="s">
        <v>88</v>
      </c>
      <c r="G458" s="19">
        <v>45548</v>
      </c>
      <c r="H458" t="s">
        <v>4360</v>
      </c>
      <c r="I458" t="s">
        <v>3475</v>
      </c>
      <c r="J458"/>
      <c r="Q458" s="3">
        <f t="shared" si="25"/>
        <v>498.94</v>
      </c>
      <c r="V458" s="3" t="str">
        <f t="shared" si="26"/>
        <v/>
      </c>
    </row>
    <row r="459" spans="1:22" x14ac:dyDescent="0.35">
      <c r="A459" t="s">
        <v>0</v>
      </c>
      <c r="B459" t="s">
        <v>1566</v>
      </c>
      <c r="C459" t="s">
        <v>16</v>
      </c>
      <c r="D459" t="s">
        <v>17</v>
      </c>
      <c r="E459">
        <v>498.07</v>
      </c>
      <c r="F459" t="s">
        <v>88</v>
      </c>
      <c r="G459" s="19">
        <v>45401</v>
      </c>
      <c r="H459" t="s">
        <v>89</v>
      </c>
      <c r="I459" t="s">
        <v>3047</v>
      </c>
      <c r="J459"/>
      <c r="K459" t="s">
        <v>3048</v>
      </c>
      <c r="L459" t="s">
        <v>3049</v>
      </c>
      <c r="M459" t="s">
        <v>3050</v>
      </c>
      <c r="Q459" s="3">
        <f t="shared" si="25"/>
        <v>498.07</v>
      </c>
      <c r="V459" s="3" t="str">
        <f t="shared" si="26"/>
        <v/>
      </c>
    </row>
    <row r="460" spans="1:22" x14ac:dyDescent="0.35">
      <c r="A460" t="s">
        <v>0</v>
      </c>
      <c r="B460" t="s">
        <v>1566</v>
      </c>
      <c r="C460" t="s">
        <v>16</v>
      </c>
      <c r="D460" t="s">
        <v>17</v>
      </c>
      <c r="E460">
        <v>498.07</v>
      </c>
      <c r="F460" t="s">
        <v>88</v>
      </c>
      <c r="G460" s="19">
        <v>45432</v>
      </c>
      <c r="H460" t="s">
        <v>89</v>
      </c>
      <c r="I460" t="s">
        <v>3304</v>
      </c>
      <c r="J460"/>
      <c r="K460" t="s">
        <v>3305</v>
      </c>
      <c r="L460" t="s">
        <v>3306</v>
      </c>
      <c r="M460" t="s">
        <v>3307</v>
      </c>
      <c r="Q460" s="3">
        <f t="shared" si="25"/>
        <v>498.07</v>
      </c>
      <c r="V460" s="3" t="str">
        <f t="shared" si="26"/>
        <v/>
      </c>
    </row>
    <row r="461" spans="1:22" x14ac:dyDescent="0.35">
      <c r="A461" t="s">
        <v>0</v>
      </c>
      <c r="B461" t="s">
        <v>1566</v>
      </c>
      <c r="C461" t="s">
        <v>16</v>
      </c>
      <c r="D461" t="s">
        <v>17</v>
      </c>
      <c r="E461">
        <v>493.96</v>
      </c>
      <c r="F461" t="s">
        <v>88</v>
      </c>
      <c r="G461" s="19">
        <v>45467</v>
      </c>
      <c r="H461" t="s">
        <v>89</v>
      </c>
      <c r="I461" t="s">
        <v>3658</v>
      </c>
      <c r="J461"/>
      <c r="K461" t="s">
        <v>3659</v>
      </c>
      <c r="L461" t="s">
        <v>3660</v>
      </c>
      <c r="M461" t="s">
        <v>174</v>
      </c>
      <c r="Q461" s="3">
        <f t="shared" si="25"/>
        <v>493.96</v>
      </c>
      <c r="V461" s="3" t="str">
        <f t="shared" si="26"/>
        <v/>
      </c>
    </row>
    <row r="462" spans="1:22" x14ac:dyDescent="0.35">
      <c r="A462" t="s">
        <v>0</v>
      </c>
      <c r="B462" t="s">
        <v>1566</v>
      </c>
      <c r="C462" t="s">
        <v>16</v>
      </c>
      <c r="D462" t="s">
        <v>17</v>
      </c>
      <c r="E462">
        <v>493.96</v>
      </c>
      <c r="F462" t="s">
        <v>88</v>
      </c>
      <c r="G462" s="19">
        <v>45629</v>
      </c>
      <c r="H462" t="s">
        <v>89</v>
      </c>
      <c r="I462" t="s">
        <v>5091</v>
      </c>
      <c r="J462"/>
      <c r="K462" t="s">
        <v>5092</v>
      </c>
      <c r="L462" t="s">
        <v>5093</v>
      </c>
      <c r="M462" t="s">
        <v>4252</v>
      </c>
      <c r="Q462" s="3">
        <f t="shared" si="25"/>
        <v>493.96</v>
      </c>
      <c r="V462" s="3" t="str">
        <f t="shared" si="26"/>
        <v/>
      </c>
    </row>
    <row r="463" spans="1:22" x14ac:dyDescent="0.35">
      <c r="A463" t="s">
        <v>35</v>
      </c>
      <c r="B463" t="s">
        <v>633</v>
      </c>
      <c r="C463" t="s">
        <v>16</v>
      </c>
      <c r="D463" t="s">
        <v>17</v>
      </c>
      <c r="E463">
        <v>-490.91</v>
      </c>
      <c r="F463" t="s">
        <v>88</v>
      </c>
      <c r="G463" s="19">
        <v>45595</v>
      </c>
      <c r="H463" t="s">
        <v>4735</v>
      </c>
      <c r="I463" t="s">
        <v>4735</v>
      </c>
      <c r="J463"/>
      <c r="Q463" s="3">
        <f t="shared" si="25"/>
        <v>490.91</v>
      </c>
      <c r="V463" s="3" t="str">
        <f t="shared" si="26"/>
        <v/>
      </c>
    </row>
    <row r="464" spans="1:22" x14ac:dyDescent="0.35">
      <c r="A464" t="s">
        <v>35</v>
      </c>
      <c r="B464" t="s">
        <v>633</v>
      </c>
      <c r="C464" t="s">
        <v>16</v>
      </c>
      <c r="D464" t="s">
        <v>17</v>
      </c>
      <c r="E464">
        <v>490.91</v>
      </c>
      <c r="F464" t="s">
        <v>88</v>
      </c>
      <c r="G464" s="19">
        <v>45618</v>
      </c>
      <c r="H464" t="s">
        <v>94</v>
      </c>
      <c r="I464" t="s">
        <v>4984</v>
      </c>
      <c r="J464" t="s">
        <v>4985</v>
      </c>
      <c r="O464" t="s">
        <v>4986</v>
      </c>
      <c r="Q464" s="3">
        <f t="shared" si="25"/>
        <v>490.91</v>
      </c>
      <c r="V464" s="3" t="str">
        <f t="shared" si="26"/>
        <v/>
      </c>
    </row>
    <row r="465" spans="1:22" x14ac:dyDescent="0.35">
      <c r="A465" t="s">
        <v>0</v>
      </c>
      <c r="B465" t="s">
        <v>819</v>
      </c>
      <c r="C465" t="s">
        <v>16</v>
      </c>
      <c r="D465" t="s">
        <v>17</v>
      </c>
      <c r="E465">
        <v>486.95</v>
      </c>
      <c r="F465" t="s">
        <v>88</v>
      </c>
      <c r="G465" s="19">
        <v>45635</v>
      </c>
      <c r="H465" t="s">
        <v>89</v>
      </c>
      <c r="I465" t="s">
        <v>5161</v>
      </c>
      <c r="J465"/>
      <c r="K465" t="s">
        <v>5162</v>
      </c>
      <c r="L465" t="s">
        <v>5163</v>
      </c>
      <c r="M465" t="s">
        <v>158</v>
      </c>
      <c r="Q465" s="3">
        <f t="shared" si="25"/>
        <v>486.95</v>
      </c>
      <c r="V465" s="3" t="str">
        <f t="shared" si="26"/>
        <v/>
      </c>
    </row>
    <row r="466" spans="1:22" x14ac:dyDescent="0.35">
      <c r="A466" t="s">
        <v>35</v>
      </c>
      <c r="B466" t="s">
        <v>2031</v>
      </c>
      <c r="C466" t="s">
        <v>16</v>
      </c>
      <c r="D466" t="s">
        <v>17</v>
      </c>
      <c r="E466">
        <v>476.09</v>
      </c>
      <c r="F466" t="s">
        <v>88</v>
      </c>
      <c r="G466" s="19">
        <v>45565</v>
      </c>
      <c r="H466" t="s">
        <v>94</v>
      </c>
      <c r="I466" t="s">
        <v>4481</v>
      </c>
      <c r="J466" t="s">
        <v>4482</v>
      </c>
      <c r="O466" t="s">
        <v>4483</v>
      </c>
      <c r="Q466" s="3">
        <f t="shared" si="25"/>
        <v>476.09</v>
      </c>
      <c r="S466" s="69" t="s">
        <v>53</v>
      </c>
      <c r="T466" t="s">
        <v>64</v>
      </c>
      <c r="U466" t="str">
        <f t="shared" ref="U466" si="27">B466</f>
        <v>AU030512</v>
      </c>
      <c r="V466" s="3">
        <f t="shared" si="26"/>
        <v>476.09</v>
      </c>
    </row>
    <row r="467" spans="1:22" x14ac:dyDescent="0.35">
      <c r="A467" t="s">
        <v>35</v>
      </c>
      <c r="B467" t="s">
        <v>1566</v>
      </c>
      <c r="C467" t="s">
        <v>16</v>
      </c>
      <c r="D467" t="s">
        <v>17</v>
      </c>
      <c r="E467">
        <v>470.91</v>
      </c>
      <c r="F467" t="s">
        <v>88</v>
      </c>
      <c r="G467" s="19">
        <v>45642</v>
      </c>
      <c r="H467" t="s">
        <v>94</v>
      </c>
      <c r="I467" t="s">
        <v>5295</v>
      </c>
      <c r="J467" t="s">
        <v>5296</v>
      </c>
      <c r="O467" t="s">
        <v>5297</v>
      </c>
      <c r="Q467" s="3">
        <f t="shared" si="25"/>
        <v>470.91</v>
      </c>
      <c r="V467" s="3" t="str">
        <f t="shared" si="26"/>
        <v/>
      </c>
    </row>
    <row r="468" spans="1:22" x14ac:dyDescent="0.35">
      <c r="A468" t="s">
        <v>35</v>
      </c>
      <c r="B468" t="s">
        <v>909</v>
      </c>
      <c r="C468" t="s">
        <v>16</v>
      </c>
      <c r="D468" t="s">
        <v>17</v>
      </c>
      <c r="E468">
        <v>468.27</v>
      </c>
      <c r="F468" t="s">
        <v>88</v>
      </c>
      <c r="G468" s="19">
        <v>45579</v>
      </c>
      <c r="H468" t="s">
        <v>94</v>
      </c>
      <c r="I468" t="s">
        <v>3112</v>
      </c>
      <c r="J468" t="s">
        <v>4641</v>
      </c>
      <c r="O468" t="s">
        <v>4642</v>
      </c>
      <c r="Q468" s="3">
        <f t="shared" si="25"/>
        <v>468.27</v>
      </c>
      <c r="V468" s="3" t="str">
        <f t="shared" si="26"/>
        <v/>
      </c>
    </row>
    <row r="469" spans="1:22" x14ac:dyDescent="0.35">
      <c r="A469" t="s">
        <v>35</v>
      </c>
      <c r="B469" t="s">
        <v>1566</v>
      </c>
      <c r="C469" t="s">
        <v>16</v>
      </c>
      <c r="D469" t="s">
        <v>17</v>
      </c>
      <c r="E469">
        <v>463.64</v>
      </c>
      <c r="F469" t="s">
        <v>88</v>
      </c>
      <c r="G469" s="19">
        <v>45638</v>
      </c>
      <c r="H469" t="s">
        <v>94</v>
      </c>
      <c r="I469" t="s">
        <v>5279</v>
      </c>
      <c r="J469" t="s">
        <v>5280</v>
      </c>
      <c r="O469" t="s">
        <v>546</v>
      </c>
      <c r="Q469" s="3">
        <f t="shared" si="25"/>
        <v>463.64</v>
      </c>
      <c r="S469" s="69" t="s">
        <v>5320</v>
      </c>
      <c r="V469" s="3" t="str">
        <f t="shared" si="26"/>
        <v/>
      </c>
    </row>
    <row r="470" spans="1:22" x14ac:dyDescent="0.35">
      <c r="A470" t="s">
        <v>35</v>
      </c>
      <c r="B470" t="s">
        <v>1627</v>
      </c>
      <c r="C470" t="s">
        <v>16</v>
      </c>
      <c r="D470" t="s">
        <v>17</v>
      </c>
      <c r="E470">
        <v>460</v>
      </c>
      <c r="F470" t="s">
        <v>88</v>
      </c>
      <c r="G470" s="19">
        <v>45546</v>
      </c>
      <c r="H470" t="s">
        <v>94</v>
      </c>
      <c r="I470" t="s">
        <v>3538</v>
      </c>
      <c r="J470" t="s">
        <v>4338</v>
      </c>
      <c r="O470" t="s">
        <v>4339</v>
      </c>
      <c r="Q470" s="3">
        <f t="shared" si="25"/>
        <v>460</v>
      </c>
      <c r="S470" s="69" t="s">
        <v>53</v>
      </c>
      <c r="T470" t="s">
        <v>64</v>
      </c>
      <c r="U470" t="str">
        <f>B470</f>
        <v>AU036740</v>
      </c>
      <c r="V470" s="3">
        <f t="shared" si="26"/>
        <v>460</v>
      </c>
    </row>
    <row r="471" spans="1:22" x14ac:dyDescent="0.35">
      <c r="A471" t="s">
        <v>35</v>
      </c>
      <c r="B471" t="s">
        <v>1566</v>
      </c>
      <c r="C471" t="s">
        <v>16</v>
      </c>
      <c r="D471" t="s">
        <v>17</v>
      </c>
      <c r="E471">
        <v>455.91</v>
      </c>
      <c r="F471" t="s">
        <v>88</v>
      </c>
      <c r="G471" s="19">
        <v>45637</v>
      </c>
      <c r="H471" t="s">
        <v>94</v>
      </c>
      <c r="I471" t="s">
        <v>5263</v>
      </c>
      <c r="J471" t="s">
        <v>5264</v>
      </c>
      <c r="O471" t="s">
        <v>5265</v>
      </c>
      <c r="Q471" s="3">
        <f t="shared" si="25"/>
        <v>455.91</v>
      </c>
      <c r="S471" s="69" t="s">
        <v>53</v>
      </c>
      <c r="T471" t="s">
        <v>64</v>
      </c>
      <c r="U471" t="str">
        <f>B471</f>
        <v>AU032046</v>
      </c>
      <c r="V471" s="3">
        <f t="shared" si="26"/>
        <v>455.91</v>
      </c>
    </row>
    <row r="472" spans="1:22" x14ac:dyDescent="0.35">
      <c r="A472" t="s">
        <v>35</v>
      </c>
      <c r="B472" t="s">
        <v>1566</v>
      </c>
      <c r="C472" t="s">
        <v>16</v>
      </c>
      <c r="D472" t="s">
        <v>17</v>
      </c>
      <c r="E472">
        <v>454.55</v>
      </c>
      <c r="F472" t="s">
        <v>88</v>
      </c>
      <c r="G472" s="19">
        <v>45615</v>
      </c>
      <c r="H472" t="s">
        <v>94</v>
      </c>
      <c r="I472" t="s">
        <v>4682</v>
      </c>
      <c r="J472" t="s">
        <v>4967</v>
      </c>
      <c r="O472" t="s">
        <v>4968</v>
      </c>
      <c r="Q472" s="3">
        <f t="shared" si="25"/>
        <v>454.55</v>
      </c>
      <c r="V472" s="3" t="str">
        <f t="shared" si="26"/>
        <v/>
      </c>
    </row>
    <row r="473" spans="1:22" x14ac:dyDescent="0.35">
      <c r="A473" t="s">
        <v>35</v>
      </c>
      <c r="B473" t="s">
        <v>1566</v>
      </c>
      <c r="C473" t="s">
        <v>16</v>
      </c>
      <c r="D473" t="s">
        <v>17</v>
      </c>
      <c r="E473">
        <v>454.55</v>
      </c>
      <c r="F473" t="s">
        <v>88</v>
      </c>
      <c r="G473" s="19">
        <v>45625</v>
      </c>
      <c r="H473" t="s">
        <v>94</v>
      </c>
      <c r="I473" t="s">
        <v>5036</v>
      </c>
      <c r="J473" t="s">
        <v>5037</v>
      </c>
      <c r="O473" t="s">
        <v>5038</v>
      </c>
      <c r="Q473" s="3">
        <f t="shared" si="25"/>
        <v>454.55</v>
      </c>
      <c r="V473" s="3" t="str">
        <f t="shared" si="26"/>
        <v/>
      </c>
    </row>
    <row r="474" spans="1:22" x14ac:dyDescent="0.35">
      <c r="A474" t="s">
        <v>35</v>
      </c>
      <c r="B474" t="s">
        <v>1566</v>
      </c>
      <c r="C474" t="s">
        <v>16</v>
      </c>
      <c r="D474" t="s">
        <v>17</v>
      </c>
      <c r="E474">
        <v>454.55</v>
      </c>
      <c r="F474" t="s">
        <v>88</v>
      </c>
      <c r="G474" s="19">
        <v>45630</v>
      </c>
      <c r="H474" t="s">
        <v>94</v>
      </c>
      <c r="I474" t="s">
        <v>5143</v>
      </c>
      <c r="J474" t="s">
        <v>5144</v>
      </c>
      <c r="O474" t="s">
        <v>5145</v>
      </c>
      <c r="Q474" s="3">
        <f t="shared" si="25"/>
        <v>454.55</v>
      </c>
      <c r="V474" s="3" t="str">
        <f t="shared" si="26"/>
        <v/>
      </c>
    </row>
    <row r="475" spans="1:22" x14ac:dyDescent="0.35">
      <c r="A475" t="s">
        <v>0</v>
      </c>
      <c r="B475" t="s">
        <v>1069</v>
      </c>
      <c r="C475" t="s">
        <v>16</v>
      </c>
      <c r="D475" t="s">
        <v>17</v>
      </c>
      <c r="E475">
        <v>450</v>
      </c>
      <c r="F475" t="s">
        <v>88</v>
      </c>
      <c r="G475" s="19">
        <v>45426</v>
      </c>
      <c r="H475" t="s">
        <v>89</v>
      </c>
      <c r="I475" t="s">
        <v>3251</v>
      </c>
      <c r="J475"/>
      <c r="K475" t="s">
        <v>3252</v>
      </c>
      <c r="L475" t="s">
        <v>3253</v>
      </c>
      <c r="M475" t="s">
        <v>1964</v>
      </c>
      <c r="Q475" s="3">
        <f t="shared" si="25"/>
        <v>450</v>
      </c>
      <c r="V475" s="3" t="str">
        <f t="shared" si="26"/>
        <v/>
      </c>
    </row>
    <row r="476" spans="1:22" x14ac:dyDescent="0.35">
      <c r="A476" t="s">
        <v>0</v>
      </c>
      <c r="B476" t="s">
        <v>1566</v>
      </c>
      <c r="C476" t="s">
        <v>16</v>
      </c>
      <c r="D476" t="s">
        <v>17</v>
      </c>
      <c r="E476">
        <v>449.26</v>
      </c>
      <c r="F476" t="s">
        <v>88</v>
      </c>
      <c r="G476" s="19">
        <v>45384</v>
      </c>
      <c r="H476" t="s">
        <v>89</v>
      </c>
      <c r="I476" t="s">
        <v>2779</v>
      </c>
      <c r="J476"/>
      <c r="K476" t="s">
        <v>2780</v>
      </c>
      <c r="L476" t="s">
        <v>2781</v>
      </c>
      <c r="M476" t="s">
        <v>100</v>
      </c>
      <c r="Q476" s="3">
        <f t="shared" si="25"/>
        <v>449.26</v>
      </c>
      <c r="V476" s="3" t="str">
        <f t="shared" si="26"/>
        <v/>
      </c>
    </row>
    <row r="477" spans="1:22" x14ac:dyDescent="0.35">
      <c r="A477" t="s">
        <v>0</v>
      </c>
      <c r="B477" t="s">
        <v>1566</v>
      </c>
      <c r="C477" t="s">
        <v>16</v>
      </c>
      <c r="D477" t="s">
        <v>17</v>
      </c>
      <c r="E477">
        <v>447.5</v>
      </c>
      <c r="F477" t="s">
        <v>88</v>
      </c>
      <c r="G477" s="19">
        <v>45630</v>
      </c>
      <c r="H477" t="s">
        <v>89</v>
      </c>
      <c r="I477" t="s">
        <v>5134</v>
      </c>
      <c r="J477"/>
      <c r="K477" t="s">
        <v>5135</v>
      </c>
      <c r="L477" t="s">
        <v>5136</v>
      </c>
      <c r="M477" t="s">
        <v>147</v>
      </c>
      <c r="Q477" s="3">
        <f t="shared" si="25"/>
        <v>447.5</v>
      </c>
      <c r="V477" s="3" t="str">
        <f t="shared" si="26"/>
        <v/>
      </c>
    </row>
    <row r="478" spans="1:22" x14ac:dyDescent="0.35">
      <c r="A478" t="s">
        <v>35</v>
      </c>
      <c r="B478" t="s">
        <v>1566</v>
      </c>
      <c r="C478" t="s">
        <v>16</v>
      </c>
      <c r="D478" t="s">
        <v>17</v>
      </c>
      <c r="E478">
        <v>446.17</v>
      </c>
      <c r="F478" t="s">
        <v>88</v>
      </c>
      <c r="G478" s="19">
        <v>45595</v>
      </c>
      <c r="H478" t="s">
        <v>94</v>
      </c>
      <c r="I478" t="s">
        <v>4732</v>
      </c>
      <c r="J478" t="s">
        <v>4740</v>
      </c>
      <c r="O478" t="s">
        <v>4704</v>
      </c>
      <c r="Q478" s="3">
        <f t="shared" si="25"/>
        <v>446.17</v>
      </c>
      <c r="S478" s="69" t="s">
        <v>53</v>
      </c>
      <c r="T478" t="s">
        <v>64</v>
      </c>
      <c r="U478" t="str">
        <f>B478</f>
        <v>AU032046</v>
      </c>
      <c r="V478" s="3">
        <f t="shared" si="26"/>
        <v>446.17</v>
      </c>
    </row>
    <row r="479" spans="1:22" x14ac:dyDescent="0.35">
      <c r="A479" t="s">
        <v>0</v>
      </c>
      <c r="B479" t="s">
        <v>1566</v>
      </c>
      <c r="C479" t="s">
        <v>16</v>
      </c>
      <c r="D479" t="s">
        <v>17</v>
      </c>
      <c r="E479">
        <v>444.56</v>
      </c>
      <c r="F479" t="s">
        <v>88</v>
      </c>
      <c r="G479" s="19">
        <v>45446</v>
      </c>
      <c r="H479" t="s">
        <v>89</v>
      </c>
      <c r="I479" t="s">
        <v>3400</v>
      </c>
      <c r="J479"/>
      <c r="K479" t="s">
        <v>3401</v>
      </c>
      <c r="L479" t="s">
        <v>3402</v>
      </c>
      <c r="M479" t="s">
        <v>2500</v>
      </c>
      <c r="Q479" s="3">
        <f t="shared" si="25"/>
        <v>444.56</v>
      </c>
      <c r="V479" s="3" t="str">
        <f t="shared" si="26"/>
        <v/>
      </c>
    </row>
    <row r="480" spans="1:22" x14ac:dyDescent="0.35">
      <c r="A480" t="s">
        <v>35</v>
      </c>
      <c r="B480" t="s">
        <v>698</v>
      </c>
      <c r="C480" t="s">
        <v>16</v>
      </c>
      <c r="D480" t="s">
        <v>17</v>
      </c>
      <c r="E480">
        <v>444.55</v>
      </c>
      <c r="F480" t="s">
        <v>88</v>
      </c>
      <c r="G480" s="19">
        <v>45586</v>
      </c>
      <c r="H480" t="s">
        <v>94</v>
      </c>
      <c r="I480" t="s">
        <v>2433</v>
      </c>
      <c r="J480" t="s">
        <v>4700</v>
      </c>
      <c r="O480" t="s">
        <v>2615</v>
      </c>
      <c r="Q480" s="3">
        <f t="shared" si="25"/>
        <v>444.55</v>
      </c>
      <c r="V480" s="3" t="str">
        <f t="shared" si="26"/>
        <v/>
      </c>
    </row>
    <row r="481" spans="1:31" x14ac:dyDescent="0.35">
      <c r="A481" t="s">
        <v>35</v>
      </c>
      <c r="B481" t="s">
        <v>1566</v>
      </c>
      <c r="C481" t="s">
        <v>16</v>
      </c>
      <c r="D481" t="s">
        <v>17</v>
      </c>
      <c r="E481">
        <v>440.23</v>
      </c>
      <c r="F481" t="s">
        <v>88</v>
      </c>
      <c r="G481" s="19">
        <v>45638</v>
      </c>
      <c r="H481" t="s">
        <v>94</v>
      </c>
      <c r="I481" t="s">
        <v>5290</v>
      </c>
      <c r="J481" t="s">
        <v>5291</v>
      </c>
      <c r="O481" t="s">
        <v>5292</v>
      </c>
      <c r="Q481" s="3">
        <f t="shared" si="25"/>
        <v>440.23</v>
      </c>
      <c r="S481" s="69" t="s">
        <v>53</v>
      </c>
      <c r="T481" t="s">
        <v>64</v>
      </c>
      <c r="U481" t="str">
        <f>B481</f>
        <v>AU032046</v>
      </c>
      <c r="V481" s="3">
        <f t="shared" si="26"/>
        <v>440.23</v>
      </c>
    </row>
    <row r="482" spans="1:31" x14ac:dyDescent="0.35">
      <c r="A482" t="s">
        <v>0</v>
      </c>
      <c r="B482" t="s">
        <v>1566</v>
      </c>
      <c r="C482" t="s">
        <v>16</v>
      </c>
      <c r="D482" t="s">
        <v>17</v>
      </c>
      <c r="E482">
        <v>439.07</v>
      </c>
      <c r="F482" t="s">
        <v>88</v>
      </c>
      <c r="G482" s="19">
        <v>45597</v>
      </c>
      <c r="H482" t="s">
        <v>89</v>
      </c>
      <c r="I482" t="s">
        <v>4790</v>
      </c>
      <c r="J482"/>
      <c r="K482" t="s">
        <v>173</v>
      </c>
      <c r="L482" t="s">
        <v>4792</v>
      </c>
      <c r="M482" t="s">
        <v>174</v>
      </c>
      <c r="Q482" s="3">
        <f t="shared" si="25"/>
        <v>439.07</v>
      </c>
      <c r="V482" s="3" t="str">
        <f t="shared" si="26"/>
        <v/>
      </c>
    </row>
    <row r="483" spans="1:31" x14ac:dyDescent="0.35">
      <c r="A483" t="s">
        <v>35</v>
      </c>
      <c r="B483" t="s">
        <v>2031</v>
      </c>
      <c r="C483" t="s">
        <v>16</v>
      </c>
      <c r="D483" t="s">
        <v>17</v>
      </c>
      <c r="E483">
        <v>436.56</v>
      </c>
      <c r="F483" t="s">
        <v>88</v>
      </c>
      <c r="G483" s="19">
        <v>45565</v>
      </c>
      <c r="H483" t="s">
        <v>94</v>
      </c>
      <c r="I483" t="s">
        <v>3879</v>
      </c>
      <c r="J483" t="s">
        <v>4492</v>
      </c>
      <c r="O483" t="s">
        <v>147</v>
      </c>
      <c r="Q483" s="3">
        <f t="shared" si="25"/>
        <v>436.56</v>
      </c>
      <c r="V483" s="3" t="str">
        <f t="shared" si="26"/>
        <v/>
      </c>
    </row>
    <row r="484" spans="1:31" x14ac:dyDescent="0.35">
      <c r="A484" t="s">
        <v>0</v>
      </c>
      <c r="B484" t="s">
        <v>1566</v>
      </c>
      <c r="C484" t="s">
        <v>16</v>
      </c>
      <c r="D484" t="s">
        <v>17</v>
      </c>
      <c r="E484">
        <v>435.53</v>
      </c>
      <c r="F484" t="s">
        <v>88</v>
      </c>
      <c r="G484" s="19">
        <v>45481</v>
      </c>
      <c r="H484" t="s">
        <v>89</v>
      </c>
      <c r="I484" t="s">
        <v>3797</v>
      </c>
      <c r="J484"/>
      <c r="K484" t="s">
        <v>3798</v>
      </c>
      <c r="L484" t="s">
        <v>3799</v>
      </c>
      <c r="M484" t="s">
        <v>100</v>
      </c>
      <c r="Q484" s="3">
        <f t="shared" si="25"/>
        <v>435.53</v>
      </c>
      <c r="V484" s="3" t="str">
        <f t="shared" si="26"/>
        <v/>
      </c>
    </row>
    <row r="485" spans="1:31" x14ac:dyDescent="0.35">
      <c r="A485" t="s">
        <v>0</v>
      </c>
      <c r="B485" t="s">
        <v>1566</v>
      </c>
      <c r="C485" t="s">
        <v>16</v>
      </c>
      <c r="D485" t="s">
        <v>17</v>
      </c>
      <c r="E485">
        <v>433.43</v>
      </c>
      <c r="F485" t="s">
        <v>88</v>
      </c>
      <c r="G485" s="19">
        <v>45439</v>
      </c>
      <c r="H485" t="s">
        <v>89</v>
      </c>
      <c r="I485" t="s">
        <v>3381</v>
      </c>
      <c r="J485"/>
      <c r="K485" t="s">
        <v>3382</v>
      </c>
      <c r="L485" t="s">
        <v>3383</v>
      </c>
      <c r="M485" t="s">
        <v>100</v>
      </c>
      <c r="Q485" s="3">
        <f t="shared" si="25"/>
        <v>433.43</v>
      </c>
      <c r="V485" s="3" t="str">
        <f t="shared" si="26"/>
        <v/>
      </c>
    </row>
    <row r="486" spans="1:31" x14ac:dyDescent="0.35">
      <c r="A486" t="s">
        <v>35</v>
      </c>
      <c r="B486" t="s">
        <v>1566</v>
      </c>
      <c r="C486" t="s">
        <v>16</v>
      </c>
      <c r="D486" t="s">
        <v>17</v>
      </c>
      <c r="E486">
        <v>-432.73</v>
      </c>
      <c r="F486" t="s">
        <v>88</v>
      </c>
      <c r="G486" s="19">
        <v>45552</v>
      </c>
      <c r="H486" t="s">
        <v>94</v>
      </c>
      <c r="I486" t="s">
        <v>204</v>
      </c>
      <c r="J486" t="s">
        <v>4388</v>
      </c>
      <c r="O486" t="s">
        <v>1973</v>
      </c>
      <c r="Q486" s="3">
        <f t="shared" si="25"/>
        <v>432.73</v>
      </c>
      <c r="V486" s="3" t="str">
        <f t="shared" si="26"/>
        <v/>
      </c>
    </row>
    <row r="487" spans="1:31" x14ac:dyDescent="0.35">
      <c r="A487" t="s">
        <v>0</v>
      </c>
      <c r="B487" t="s">
        <v>1566</v>
      </c>
      <c r="C487" t="s">
        <v>16</v>
      </c>
      <c r="D487" t="s">
        <v>17</v>
      </c>
      <c r="E487">
        <v>431.06</v>
      </c>
      <c r="F487" t="s">
        <v>88</v>
      </c>
      <c r="G487" s="19">
        <v>45637</v>
      </c>
      <c r="H487" t="s">
        <v>89</v>
      </c>
      <c r="I487" t="s">
        <v>5246</v>
      </c>
      <c r="J487"/>
      <c r="K487" t="s">
        <v>5247</v>
      </c>
      <c r="L487" t="s">
        <v>5248</v>
      </c>
      <c r="M487" t="s">
        <v>147</v>
      </c>
      <c r="Q487" s="3">
        <f t="shared" si="25"/>
        <v>431.06</v>
      </c>
      <c r="V487" s="3" t="str">
        <f t="shared" si="26"/>
        <v/>
      </c>
    </row>
    <row r="488" spans="1:31" x14ac:dyDescent="0.35">
      <c r="A488" t="s">
        <v>35</v>
      </c>
      <c r="B488" t="s">
        <v>1566</v>
      </c>
      <c r="C488" t="s">
        <v>16</v>
      </c>
      <c r="D488" t="s">
        <v>17</v>
      </c>
      <c r="E488">
        <v>430.59</v>
      </c>
      <c r="F488" t="s">
        <v>88</v>
      </c>
      <c r="G488" s="19">
        <v>45422</v>
      </c>
      <c r="H488" t="s">
        <v>94</v>
      </c>
      <c r="I488" t="s">
        <v>3179</v>
      </c>
      <c r="J488" t="s">
        <v>3180</v>
      </c>
      <c r="O488" t="s">
        <v>3181</v>
      </c>
      <c r="Q488" s="3">
        <f t="shared" si="25"/>
        <v>430.59</v>
      </c>
      <c r="V488" s="3" t="str">
        <f t="shared" si="26"/>
        <v/>
      </c>
    </row>
    <row r="489" spans="1:31" x14ac:dyDescent="0.35">
      <c r="A489" t="s">
        <v>35</v>
      </c>
      <c r="B489" t="s">
        <v>1566</v>
      </c>
      <c r="C489" t="s">
        <v>16</v>
      </c>
      <c r="D489" t="s">
        <v>17</v>
      </c>
      <c r="E489">
        <v>430.34</v>
      </c>
      <c r="F489" t="s">
        <v>88</v>
      </c>
      <c r="G489" s="19">
        <v>45537</v>
      </c>
      <c r="H489" t="s">
        <v>94</v>
      </c>
      <c r="I489" t="s">
        <v>4173</v>
      </c>
      <c r="J489" t="s">
        <v>4174</v>
      </c>
      <c r="O489" t="s">
        <v>4175</v>
      </c>
      <c r="Q489" s="3">
        <f t="shared" si="25"/>
        <v>430.34</v>
      </c>
      <c r="V489" s="3" t="str">
        <f t="shared" si="26"/>
        <v/>
      </c>
    </row>
    <row r="490" spans="1:31" x14ac:dyDescent="0.35">
      <c r="A490" t="s">
        <v>0</v>
      </c>
      <c r="B490" t="s">
        <v>1566</v>
      </c>
      <c r="C490" t="s">
        <v>16</v>
      </c>
      <c r="D490" t="s">
        <v>17</v>
      </c>
      <c r="E490">
        <v>427</v>
      </c>
      <c r="F490" t="s">
        <v>88</v>
      </c>
      <c r="G490" s="19">
        <v>45505</v>
      </c>
      <c r="H490" t="s">
        <v>89</v>
      </c>
      <c r="I490" t="s">
        <v>3912</v>
      </c>
      <c r="J490"/>
      <c r="K490" t="s">
        <v>3913</v>
      </c>
      <c r="L490" t="s">
        <v>3914</v>
      </c>
      <c r="M490" t="s">
        <v>100</v>
      </c>
      <c r="Q490" s="3">
        <f t="shared" si="25"/>
        <v>427</v>
      </c>
      <c r="V490" s="3" t="str">
        <f t="shared" si="26"/>
        <v/>
      </c>
    </row>
    <row r="491" spans="1:31" x14ac:dyDescent="0.35">
      <c r="A491" t="s">
        <v>0</v>
      </c>
      <c r="B491" t="s">
        <v>1566</v>
      </c>
      <c r="C491" t="s">
        <v>16</v>
      </c>
      <c r="D491" t="s">
        <v>17</v>
      </c>
      <c r="E491">
        <v>424.31</v>
      </c>
      <c r="F491" t="s">
        <v>88</v>
      </c>
      <c r="G491" s="19">
        <v>45609</v>
      </c>
      <c r="H491" t="s">
        <v>89</v>
      </c>
      <c r="I491" t="s">
        <v>4866</v>
      </c>
      <c r="J491"/>
      <c r="K491" t="s">
        <v>4867</v>
      </c>
      <c r="L491" t="s">
        <v>4868</v>
      </c>
      <c r="M491" t="s">
        <v>147</v>
      </c>
      <c r="Q491" s="3">
        <f t="shared" si="25"/>
        <v>424.31</v>
      </c>
      <c r="V491" s="3" t="str">
        <f t="shared" si="26"/>
        <v/>
      </c>
    </row>
    <row r="492" spans="1:31" x14ac:dyDescent="0.35">
      <c r="A492" t="s">
        <v>35</v>
      </c>
      <c r="B492" t="s">
        <v>615</v>
      </c>
      <c r="C492" t="s">
        <v>16</v>
      </c>
      <c r="D492" t="s">
        <v>17</v>
      </c>
      <c r="E492">
        <v>423.87</v>
      </c>
      <c r="F492" t="s">
        <v>88</v>
      </c>
      <c r="G492" s="19">
        <v>45390</v>
      </c>
      <c r="H492" t="s">
        <v>94</v>
      </c>
      <c r="I492" t="s">
        <v>447</v>
      </c>
      <c r="J492" t="s">
        <v>2869</v>
      </c>
      <c r="O492" t="s">
        <v>539</v>
      </c>
      <c r="Q492" s="3">
        <f t="shared" si="25"/>
        <v>423.87</v>
      </c>
      <c r="S492" s="69" t="s">
        <v>53</v>
      </c>
      <c r="T492" t="s">
        <v>64</v>
      </c>
      <c r="U492" t="str">
        <f>B492</f>
        <v>AU030619</v>
      </c>
      <c r="V492" s="3">
        <f t="shared" si="26"/>
        <v>423.87</v>
      </c>
    </row>
    <row r="493" spans="1:31" x14ac:dyDescent="0.35">
      <c r="A493" t="s">
        <v>0</v>
      </c>
      <c r="B493" t="s">
        <v>1566</v>
      </c>
      <c r="C493" t="s">
        <v>16</v>
      </c>
      <c r="D493" t="s">
        <v>17</v>
      </c>
      <c r="E493">
        <v>423.39</v>
      </c>
      <c r="F493" t="s">
        <v>88</v>
      </c>
      <c r="G493" s="19">
        <v>45495</v>
      </c>
      <c r="H493" t="s">
        <v>89</v>
      </c>
      <c r="I493" t="s">
        <v>3859</v>
      </c>
      <c r="J493"/>
      <c r="K493" t="s">
        <v>3860</v>
      </c>
      <c r="L493" t="s">
        <v>3861</v>
      </c>
      <c r="M493" t="s">
        <v>147</v>
      </c>
      <c r="Q493" s="3">
        <f t="shared" si="25"/>
        <v>423.39</v>
      </c>
      <c r="V493" s="3" t="str">
        <f t="shared" si="26"/>
        <v/>
      </c>
    </row>
    <row r="494" spans="1:31" x14ac:dyDescent="0.35">
      <c r="A494" t="s">
        <v>0</v>
      </c>
      <c r="B494" t="s">
        <v>1566</v>
      </c>
      <c r="C494" t="s">
        <v>16</v>
      </c>
      <c r="D494" t="s">
        <v>17</v>
      </c>
      <c r="E494">
        <v>422.71</v>
      </c>
      <c r="F494" t="s">
        <v>88</v>
      </c>
      <c r="G494" s="19">
        <v>45574</v>
      </c>
      <c r="H494" t="s">
        <v>89</v>
      </c>
      <c r="I494" t="s">
        <v>4595</v>
      </c>
      <c r="J494"/>
      <c r="K494" t="s">
        <v>4596</v>
      </c>
      <c r="L494" t="s">
        <v>4597</v>
      </c>
      <c r="M494" t="s">
        <v>100</v>
      </c>
      <c r="Q494" s="3">
        <f t="shared" si="25"/>
        <v>422.71</v>
      </c>
      <c r="V494" s="3" t="str">
        <f t="shared" si="26"/>
        <v/>
      </c>
    </row>
    <row r="495" spans="1:31" x14ac:dyDescent="0.35">
      <c r="A495" t="s">
        <v>0</v>
      </c>
      <c r="B495" t="s">
        <v>1566</v>
      </c>
      <c r="C495" t="s">
        <v>16</v>
      </c>
      <c r="D495" t="s">
        <v>17</v>
      </c>
      <c r="E495">
        <v>420</v>
      </c>
      <c r="F495" t="s">
        <v>88</v>
      </c>
      <c r="G495" s="19">
        <v>45513</v>
      </c>
      <c r="H495" t="s">
        <v>89</v>
      </c>
      <c r="I495" t="s">
        <v>3976</v>
      </c>
      <c r="J495"/>
      <c r="K495" t="s">
        <v>3977</v>
      </c>
      <c r="L495" t="s">
        <v>3978</v>
      </c>
      <c r="M495" t="s">
        <v>3979</v>
      </c>
      <c r="Q495" s="3">
        <f t="shared" si="25"/>
        <v>420</v>
      </c>
      <c r="S495" s="69" t="s">
        <v>53</v>
      </c>
      <c r="T495" t="s">
        <v>64</v>
      </c>
      <c r="U495" t="str">
        <f>B495</f>
        <v>AU032046</v>
      </c>
      <c r="V495" s="3">
        <f t="shared" si="26"/>
        <v>420</v>
      </c>
    </row>
    <row r="496" spans="1:31" ht="29" x14ac:dyDescent="0.35">
      <c r="A496" t="s">
        <v>35</v>
      </c>
      <c r="B496" t="s">
        <v>1566</v>
      </c>
      <c r="C496" t="s">
        <v>16</v>
      </c>
      <c r="D496" t="s">
        <v>17</v>
      </c>
      <c r="E496">
        <v>415.15</v>
      </c>
      <c r="F496" t="s">
        <v>88</v>
      </c>
      <c r="G496" s="19">
        <v>45562</v>
      </c>
      <c r="H496" t="s">
        <v>94</v>
      </c>
      <c r="I496" t="s">
        <v>4452</v>
      </c>
      <c r="J496" t="s">
        <v>4453</v>
      </c>
      <c r="O496" t="s">
        <v>4454</v>
      </c>
      <c r="Q496" s="3">
        <f t="shared" si="25"/>
        <v>415.15</v>
      </c>
      <c r="S496" s="69" t="s">
        <v>5321</v>
      </c>
      <c r="U496" t="str">
        <f>B496</f>
        <v>AU032046</v>
      </c>
      <c r="V496" s="3" t="str">
        <f t="shared" si="26"/>
        <v/>
      </c>
      <c r="AE496">
        <f>E496</f>
        <v>415.15</v>
      </c>
    </row>
    <row r="497" spans="1:22" ht="87" x14ac:dyDescent="0.35">
      <c r="A497" t="s">
        <v>35</v>
      </c>
      <c r="B497" t="s">
        <v>1566</v>
      </c>
      <c r="C497" t="s">
        <v>16</v>
      </c>
      <c r="D497" t="s">
        <v>17</v>
      </c>
      <c r="E497">
        <v>414.55</v>
      </c>
      <c r="F497" t="s">
        <v>88</v>
      </c>
      <c r="G497" s="19">
        <v>45393</v>
      </c>
      <c r="H497" t="s">
        <v>94</v>
      </c>
      <c r="I497" t="s">
        <v>2949</v>
      </c>
      <c r="J497" t="s">
        <v>2950</v>
      </c>
      <c r="O497" t="s">
        <v>2951</v>
      </c>
      <c r="Q497" s="3">
        <f t="shared" si="25"/>
        <v>414.55</v>
      </c>
      <c r="R497" s="69" t="s">
        <v>5326</v>
      </c>
      <c r="S497" s="69" t="s">
        <v>5327</v>
      </c>
      <c r="V497" s="3" t="str">
        <f t="shared" si="26"/>
        <v/>
      </c>
    </row>
    <row r="498" spans="1:22" x14ac:dyDescent="0.35">
      <c r="A498" t="s">
        <v>35</v>
      </c>
      <c r="B498" t="s">
        <v>1566</v>
      </c>
      <c r="C498" t="s">
        <v>16</v>
      </c>
      <c r="D498" t="s">
        <v>17</v>
      </c>
      <c r="E498">
        <v>414.5</v>
      </c>
      <c r="F498" t="s">
        <v>88</v>
      </c>
      <c r="G498" s="19">
        <v>45455</v>
      </c>
      <c r="H498" t="s">
        <v>94</v>
      </c>
      <c r="I498" t="s">
        <v>435</v>
      </c>
      <c r="J498" t="s">
        <v>3565</v>
      </c>
      <c r="O498" t="s">
        <v>3564</v>
      </c>
      <c r="Q498" s="3">
        <f t="shared" si="25"/>
        <v>414.5</v>
      </c>
      <c r="S498" s="69" t="s">
        <v>5322</v>
      </c>
      <c r="V498" s="3" t="str">
        <f t="shared" si="26"/>
        <v/>
      </c>
    </row>
    <row r="499" spans="1:22" x14ac:dyDescent="0.35">
      <c r="A499" t="s">
        <v>35</v>
      </c>
      <c r="B499" t="s">
        <v>1566</v>
      </c>
      <c r="C499" t="s">
        <v>16</v>
      </c>
      <c r="D499" t="s">
        <v>17</v>
      </c>
      <c r="E499">
        <v>406.32</v>
      </c>
      <c r="F499" t="s">
        <v>88</v>
      </c>
      <c r="G499" s="19">
        <v>45637</v>
      </c>
      <c r="H499" t="s">
        <v>94</v>
      </c>
      <c r="I499" t="s">
        <v>673</v>
      </c>
      <c r="J499" t="s">
        <v>5270</v>
      </c>
      <c r="O499" t="s">
        <v>3505</v>
      </c>
      <c r="Q499" s="3">
        <f t="shared" si="25"/>
        <v>406.32</v>
      </c>
      <c r="S499" s="69" t="s">
        <v>5323</v>
      </c>
      <c r="V499" s="3" t="str">
        <f t="shared" si="26"/>
        <v/>
      </c>
    </row>
    <row r="500" spans="1:22" x14ac:dyDescent="0.35">
      <c r="A500" t="s">
        <v>0</v>
      </c>
      <c r="B500" t="s">
        <v>1566</v>
      </c>
      <c r="C500" t="s">
        <v>16</v>
      </c>
      <c r="D500" t="s">
        <v>17</v>
      </c>
      <c r="E500">
        <v>400.65</v>
      </c>
      <c r="F500" t="s">
        <v>88</v>
      </c>
      <c r="G500" s="19">
        <v>45474</v>
      </c>
      <c r="H500" t="s">
        <v>89</v>
      </c>
      <c r="I500" t="s">
        <v>3725</v>
      </c>
      <c r="J500"/>
      <c r="K500" t="s">
        <v>3727</v>
      </c>
      <c r="L500" t="s">
        <v>3726</v>
      </c>
      <c r="M500" t="s">
        <v>174</v>
      </c>
      <c r="Q500" s="3">
        <f t="shared" si="25"/>
        <v>400.65</v>
      </c>
      <c r="V500" s="3" t="str">
        <f t="shared" si="26"/>
        <v/>
      </c>
    </row>
    <row r="501" spans="1:22" x14ac:dyDescent="0.35">
      <c r="A501" t="s">
        <v>0</v>
      </c>
      <c r="B501" t="s">
        <v>969</v>
      </c>
      <c r="C501" t="s">
        <v>16</v>
      </c>
      <c r="D501" t="s">
        <v>17</v>
      </c>
      <c r="E501">
        <v>400.02</v>
      </c>
      <c r="F501" t="s">
        <v>88</v>
      </c>
      <c r="G501" s="19">
        <v>45545</v>
      </c>
      <c r="H501" t="s">
        <v>89</v>
      </c>
      <c r="I501" t="s">
        <v>4261</v>
      </c>
      <c r="J501"/>
      <c r="K501" t="s">
        <v>4262</v>
      </c>
      <c r="L501" t="s">
        <v>4263</v>
      </c>
      <c r="M501" t="s">
        <v>158</v>
      </c>
      <c r="Q501" s="3">
        <f t="shared" si="25"/>
        <v>400.02</v>
      </c>
      <c r="V501" s="3" t="str">
        <f t="shared" si="26"/>
        <v/>
      </c>
    </row>
    <row r="502" spans="1:22" x14ac:dyDescent="0.35">
      <c r="A502" t="s">
        <v>35</v>
      </c>
      <c r="B502" t="s">
        <v>1069</v>
      </c>
      <c r="C502" t="s">
        <v>16</v>
      </c>
      <c r="D502" t="s">
        <v>17</v>
      </c>
      <c r="E502">
        <v>395.4</v>
      </c>
      <c r="F502" t="s">
        <v>88</v>
      </c>
      <c r="G502" s="19">
        <v>45426</v>
      </c>
      <c r="H502" t="s">
        <v>94</v>
      </c>
      <c r="I502" t="s">
        <v>1014</v>
      </c>
      <c r="J502" t="s">
        <v>3258</v>
      </c>
      <c r="O502" t="s">
        <v>3259</v>
      </c>
      <c r="Q502" s="3">
        <f t="shared" si="25"/>
        <v>395.4</v>
      </c>
      <c r="V502" s="3" t="str">
        <f t="shared" si="26"/>
        <v/>
      </c>
    </row>
    <row r="503" spans="1:22" x14ac:dyDescent="0.35">
      <c r="A503" t="s">
        <v>0</v>
      </c>
      <c r="B503" t="s">
        <v>1566</v>
      </c>
      <c r="C503" t="s">
        <v>16</v>
      </c>
      <c r="D503" t="s">
        <v>17</v>
      </c>
      <c r="E503">
        <v>395.16</v>
      </c>
      <c r="F503" t="s">
        <v>88</v>
      </c>
      <c r="G503" s="19">
        <v>45474</v>
      </c>
      <c r="H503" t="s">
        <v>89</v>
      </c>
      <c r="I503" t="s">
        <v>3725</v>
      </c>
      <c r="J503"/>
      <c r="K503" t="s">
        <v>3729</v>
      </c>
      <c r="L503" t="s">
        <v>3726</v>
      </c>
      <c r="M503" t="s">
        <v>174</v>
      </c>
      <c r="Q503" s="3">
        <f t="shared" si="25"/>
        <v>395.16</v>
      </c>
      <c r="V503" s="3" t="str">
        <f t="shared" si="26"/>
        <v/>
      </c>
    </row>
    <row r="504" spans="1:22" x14ac:dyDescent="0.35">
      <c r="A504" t="s">
        <v>0</v>
      </c>
      <c r="B504" t="s">
        <v>1566</v>
      </c>
      <c r="C504" t="s">
        <v>16</v>
      </c>
      <c r="D504" t="s">
        <v>17</v>
      </c>
      <c r="E504">
        <v>393.42</v>
      </c>
      <c r="F504" t="s">
        <v>88</v>
      </c>
      <c r="G504" s="19">
        <v>45583</v>
      </c>
      <c r="H504" t="s">
        <v>89</v>
      </c>
      <c r="I504" t="s">
        <v>4674</v>
      </c>
      <c r="J504"/>
      <c r="K504" t="s">
        <v>4675</v>
      </c>
      <c r="L504" t="s">
        <v>4676</v>
      </c>
      <c r="M504" t="s">
        <v>166</v>
      </c>
      <c r="Q504" s="3">
        <f t="shared" si="25"/>
        <v>393.42</v>
      </c>
      <c r="V504" s="3" t="str">
        <f t="shared" si="26"/>
        <v/>
      </c>
    </row>
    <row r="505" spans="1:22" x14ac:dyDescent="0.35">
      <c r="A505" t="s">
        <v>0</v>
      </c>
      <c r="B505" t="s">
        <v>1566</v>
      </c>
      <c r="C505" t="s">
        <v>16</v>
      </c>
      <c r="D505" t="s">
        <v>17</v>
      </c>
      <c r="E505">
        <v>-391.32</v>
      </c>
      <c r="F505" t="s">
        <v>88</v>
      </c>
      <c r="G505" s="19">
        <v>45419</v>
      </c>
      <c r="H505" t="s">
        <v>89</v>
      </c>
      <c r="I505" t="s">
        <v>3135</v>
      </c>
      <c r="J505"/>
      <c r="K505" t="s">
        <v>3136</v>
      </c>
      <c r="L505" t="s">
        <v>3137</v>
      </c>
      <c r="M505" t="s">
        <v>149</v>
      </c>
      <c r="Q505" s="3">
        <f t="shared" si="25"/>
        <v>391.32</v>
      </c>
      <c r="V505" s="3" t="str">
        <f t="shared" si="26"/>
        <v/>
      </c>
    </row>
    <row r="506" spans="1:22" x14ac:dyDescent="0.35">
      <c r="A506" t="s">
        <v>0</v>
      </c>
      <c r="B506" t="s">
        <v>915</v>
      </c>
      <c r="C506" t="s">
        <v>16</v>
      </c>
      <c r="D506" t="s">
        <v>17</v>
      </c>
      <c r="E506">
        <v>386.75</v>
      </c>
      <c r="F506" t="s">
        <v>88</v>
      </c>
      <c r="G506" s="19">
        <v>45608</v>
      </c>
      <c r="H506" t="s">
        <v>89</v>
      </c>
      <c r="I506" t="s">
        <v>4860</v>
      </c>
      <c r="J506"/>
      <c r="K506" t="s">
        <v>4861</v>
      </c>
      <c r="L506" t="s">
        <v>4862</v>
      </c>
      <c r="M506" t="s">
        <v>158</v>
      </c>
      <c r="Q506" s="3">
        <f t="shared" si="25"/>
        <v>386.75</v>
      </c>
      <c r="V506" s="3" t="str">
        <f t="shared" si="26"/>
        <v/>
      </c>
    </row>
    <row r="507" spans="1:22" x14ac:dyDescent="0.35">
      <c r="A507" t="s">
        <v>35</v>
      </c>
      <c r="B507" t="s">
        <v>1566</v>
      </c>
      <c r="C507" t="s">
        <v>16</v>
      </c>
      <c r="D507" t="s">
        <v>17</v>
      </c>
      <c r="E507">
        <v>386.41</v>
      </c>
      <c r="F507" t="s">
        <v>88</v>
      </c>
      <c r="G507" s="19">
        <v>45562</v>
      </c>
      <c r="H507" t="s">
        <v>94</v>
      </c>
      <c r="I507" t="s">
        <v>252</v>
      </c>
      <c r="J507" t="s">
        <v>4446</v>
      </c>
      <c r="O507" t="s">
        <v>4447</v>
      </c>
      <c r="Q507" s="3">
        <f t="shared" si="25"/>
        <v>386.41</v>
      </c>
      <c r="V507" s="3" t="str">
        <f t="shared" si="26"/>
        <v/>
      </c>
    </row>
    <row r="508" spans="1:22" x14ac:dyDescent="0.35">
      <c r="A508" t="s">
        <v>35</v>
      </c>
      <c r="B508" t="s">
        <v>852</v>
      </c>
      <c r="C508" t="s">
        <v>16</v>
      </c>
      <c r="D508" t="s">
        <v>17</v>
      </c>
      <c r="E508">
        <v>386.36</v>
      </c>
      <c r="F508" t="s">
        <v>88</v>
      </c>
      <c r="G508" s="19">
        <v>45587</v>
      </c>
      <c r="H508" t="s">
        <v>94</v>
      </c>
      <c r="I508" t="s">
        <v>4713</v>
      </c>
      <c r="J508" t="s">
        <v>4714</v>
      </c>
      <c r="O508" t="s">
        <v>4715</v>
      </c>
      <c r="Q508" s="3">
        <f t="shared" si="25"/>
        <v>386.36</v>
      </c>
      <c r="V508" s="3" t="str">
        <f t="shared" si="26"/>
        <v/>
      </c>
    </row>
    <row r="509" spans="1:22" x14ac:dyDescent="0.35">
      <c r="A509" t="s">
        <v>35</v>
      </c>
      <c r="B509" t="s">
        <v>1566</v>
      </c>
      <c r="C509" t="s">
        <v>16</v>
      </c>
      <c r="D509" t="s">
        <v>17</v>
      </c>
      <c r="E509">
        <v>385.7</v>
      </c>
      <c r="F509" t="s">
        <v>88</v>
      </c>
      <c r="G509" s="19">
        <v>45618</v>
      </c>
      <c r="H509" t="s">
        <v>94</v>
      </c>
      <c r="I509" t="s">
        <v>5026</v>
      </c>
      <c r="J509" t="s">
        <v>5023</v>
      </c>
      <c r="O509" t="s">
        <v>5027</v>
      </c>
      <c r="Q509" s="3">
        <f t="shared" si="25"/>
        <v>385.7</v>
      </c>
      <c r="V509" s="3" t="str">
        <f t="shared" si="26"/>
        <v/>
      </c>
    </row>
    <row r="510" spans="1:22" x14ac:dyDescent="0.35">
      <c r="A510" t="s">
        <v>0</v>
      </c>
      <c r="B510" t="s">
        <v>1566</v>
      </c>
      <c r="C510" t="s">
        <v>16</v>
      </c>
      <c r="D510" t="s">
        <v>17</v>
      </c>
      <c r="E510">
        <v>384.04</v>
      </c>
      <c r="F510" t="s">
        <v>88</v>
      </c>
      <c r="G510" s="19">
        <v>45537</v>
      </c>
      <c r="H510" t="s">
        <v>89</v>
      </c>
      <c r="I510" t="s">
        <v>4142</v>
      </c>
      <c r="J510"/>
      <c r="K510" t="s">
        <v>4143</v>
      </c>
      <c r="L510" t="s">
        <v>4144</v>
      </c>
      <c r="M510" t="s">
        <v>100</v>
      </c>
      <c r="Q510" s="3">
        <f t="shared" si="25"/>
        <v>384.04</v>
      </c>
      <c r="V510" s="3" t="str">
        <f t="shared" si="26"/>
        <v/>
      </c>
    </row>
    <row r="511" spans="1:22" x14ac:dyDescent="0.35">
      <c r="A511" t="s">
        <v>0</v>
      </c>
      <c r="B511" t="s">
        <v>1566</v>
      </c>
      <c r="C511" t="s">
        <v>16</v>
      </c>
      <c r="D511" t="s">
        <v>17</v>
      </c>
      <c r="E511">
        <v>383.52</v>
      </c>
      <c r="F511" t="s">
        <v>88</v>
      </c>
      <c r="G511" s="19">
        <v>45384</v>
      </c>
      <c r="H511" t="s">
        <v>89</v>
      </c>
      <c r="I511" t="s">
        <v>2792</v>
      </c>
      <c r="J511"/>
      <c r="K511" t="s">
        <v>2793</v>
      </c>
      <c r="L511" t="s">
        <v>2794</v>
      </c>
      <c r="M511" t="s">
        <v>2795</v>
      </c>
      <c r="Q511" s="3">
        <f t="shared" si="25"/>
        <v>383.52</v>
      </c>
      <c r="V511" s="3" t="str">
        <f t="shared" si="26"/>
        <v/>
      </c>
    </row>
    <row r="512" spans="1:22" x14ac:dyDescent="0.35">
      <c r="A512" t="s">
        <v>35</v>
      </c>
      <c r="B512" t="s">
        <v>1566</v>
      </c>
      <c r="C512" t="s">
        <v>16</v>
      </c>
      <c r="D512" t="s">
        <v>17</v>
      </c>
      <c r="E512">
        <v>381.82</v>
      </c>
      <c r="F512" t="s">
        <v>88</v>
      </c>
      <c r="G512" s="19">
        <v>45574</v>
      </c>
      <c r="H512" t="s">
        <v>94</v>
      </c>
      <c r="I512" t="s">
        <v>3538</v>
      </c>
      <c r="J512" t="s">
        <v>4619</v>
      </c>
      <c r="O512" t="s">
        <v>4620</v>
      </c>
      <c r="Q512" s="3">
        <f t="shared" si="25"/>
        <v>381.82</v>
      </c>
      <c r="S512" s="69" t="s">
        <v>53</v>
      </c>
      <c r="T512" t="s">
        <v>64</v>
      </c>
      <c r="U512" t="str">
        <f>B512</f>
        <v>AU032046</v>
      </c>
      <c r="V512" s="3">
        <f t="shared" si="26"/>
        <v>381.82</v>
      </c>
    </row>
    <row r="513" spans="1:22" ht="87" x14ac:dyDescent="0.35">
      <c r="A513" t="s">
        <v>35</v>
      </c>
      <c r="B513" t="s">
        <v>1566</v>
      </c>
      <c r="C513" t="s">
        <v>16</v>
      </c>
      <c r="D513" t="s">
        <v>17</v>
      </c>
      <c r="E513">
        <v>380.36</v>
      </c>
      <c r="F513" t="s">
        <v>88</v>
      </c>
      <c r="G513" s="19">
        <v>45547</v>
      </c>
      <c r="H513" t="s">
        <v>94</v>
      </c>
      <c r="I513" t="s">
        <v>4348</v>
      </c>
      <c r="J513" t="s">
        <v>4349</v>
      </c>
      <c r="O513" t="s">
        <v>4350</v>
      </c>
      <c r="Q513" s="3">
        <f t="shared" si="25"/>
        <v>380.36</v>
      </c>
      <c r="R513" s="69" t="s">
        <v>5326</v>
      </c>
      <c r="S513" s="69" t="s">
        <v>5327</v>
      </c>
      <c r="V513" s="3" t="str">
        <f t="shared" si="26"/>
        <v/>
      </c>
    </row>
    <row r="514" spans="1:22" x14ac:dyDescent="0.35">
      <c r="A514" t="s">
        <v>0</v>
      </c>
      <c r="B514" t="s">
        <v>1566</v>
      </c>
      <c r="C514" t="s">
        <v>16</v>
      </c>
      <c r="D514" t="s">
        <v>17</v>
      </c>
      <c r="E514">
        <v>-377.6</v>
      </c>
      <c r="F514" t="s">
        <v>88</v>
      </c>
      <c r="G514" s="19">
        <v>45419</v>
      </c>
      <c r="H514" t="s">
        <v>89</v>
      </c>
      <c r="I514" t="s">
        <v>3135</v>
      </c>
      <c r="J514"/>
      <c r="K514" t="s">
        <v>3138</v>
      </c>
      <c r="L514" t="s">
        <v>3137</v>
      </c>
      <c r="M514" t="s">
        <v>149</v>
      </c>
      <c r="Q514" s="3">
        <f t="shared" si="25"/>
        <v>377.6</v>
      </c>
      <c r="V514" s="3" t="str">
        <f t="shared" si="26"/>
        <v/>
      </c>
    </row>
    <row r="515" spans="1:22" x14ac:dyDescent="0.35">
      <c r="A515" t="s">
        <v>35</v>
      </c>
      <c r="B515" t="s">
        <v>1566</v>
      </c>
      <c r="C515" t="s">
        <v>16</v>
      </c>
      <c r="D515" t="s">
        <v>17</v>
      </c>
      <c r="E515">
        <v>376.04</v>
      </c>
      <c r="F515" t="s">
        <v>88</v>
      </c>
      <c r="G515" s="19">
        <v>45644</v>
      </c>
      <c r="H515" t="s">
        <v>94</v>
      </c>
      <c r="I515" t="s">
        <v>5298</v>
      </c>
      <c r="J515" t="s">
        <v>5299</v>
      </c>
      <c r="O515" t="s">
        <v>5300</v>
      </c>
      <c r="Q515" s="3">
        <f t="shared" si="25"/>
        <v>376.04</v>
      </c>
      <c r="V515" s="3" t="str">
        <f t="shared" si="26"/>
        <v/>
      </c>
    </row>
    <row r="516" spans="1:22" x14ac:dyDescent="0.35">
      <c r="A516" t="s">
        <v>35</v>
      </c>
      <c r="B516" t="s">
        <v>1566</v>
      </c>
      <c r="C516" t="s">
        <v>16</v>
      </c>
      <c r="D516" t="s">
        <v>17</v>
      </c>
      <c r="E516">
        <v>376.04</v>
      </c>
      <c r="F516" t="s">
        <v>88</v>
      </c>
      <c r="G516" s="19">
        <v>45644</v>
      </c>
      <c r="H516" t="s">
        <v>94</v>
      </c>
      <c r="I516" t="s">
        <v>5298</v>
      </c>
      <c r="J516" t="s">
        <v>5301</v>
      </c>
      <c r="O516" t="s">
        <v>5300</v>
      </c>
      <c r="Q516" s="3">
        <f t="shared" si="25"/>
        <v>376.04</v>
      </c>
      <c r="V516" s="3" t="str">
        <f t="shared" si="26"/>
        <v/>
      </c>
    </row>
    <row r="517" spans="1:22" x14ac:dyDescent="0.35">
      <c r="A517" t="s">
        <v>35</v>
      </c>
      <c r="B517" t="s">
        <v>1566</v>
      </c>
      <c r="C517" t="s">
        <v>16</v>
      </c>
      <c r="D517" t="s">
        <v>17</v>
      </c>
      <c r="E517">
        <v>376.03</v>
      </c>
      <c r="F517" t="s">
        <v>88</v>
      </c>
      <c r="G517" s="19">
        <v>45644</v>
      </c>
      <c r="H517" t="s">
        <v>94</v>
      </c>
      <c r="I517" t="s">
        <v>5298</v>
      </c>
      <c r="J517" t="s">
        <v>5302</v>
      </c>
      <c r="O517" t="s">
        <v>5300</v>
      </c>
      <c r="Q517" s="3">
        <f t="shared" si="25"/>
        <v>376.03</v>
      </c>
      <c r="V517" s="3" t="str">
        <f t="shared" si="26"/>
        <v/>
      </c>
    </row>
    <row r="518" spans="1:22" x14ac:dyDescent="0.35">
      <c r="A518" t="s">
        <v>35</v>
      </c>
      <c r="B518" t="s">
        <v>1566</v>
      </c>
      <c r="C518" t="s">
        <v>16</v>
      </c>
      <c r="D518" t="s">
        <v>17</v>
      </c>
      <c r="E518">
        <v>376.03</v>
      </c>
      <c r="F518" t="s">
        <v>88</v>
      </c>
      <c r="G518" s="19">
        <v>45644</v>
      </c>
      <c r="H518" t="s">
        <v>94</v>
      </c>
      <c r="I518" t="s">
        <v>5298</v>
      </c>
      <c r="J518" t="s">
        <v>5303</v>
      </c>
      <c r="O518" t="s">
        <v>5300</v>
      </c>
      <c r="Q518" s="3">
        <f t="shared" si="25"/>
        <v>376.03</v>
      </c>
      <c r="V518" s="3" t="str">
        <f t="shared" si="26"/>
        <v/>
      </c>
    </row>
    <row r="519" spans="1:22" x14ac:dyDescent="0.35">
      <c r="A519" t="s">
        <v>0</v>
      </c>
      <c r="B519" t="s">
        <v>1566</v>
      </c>
      <c r="C519" t="s">
        <v>16</v>
      </c>
      <c r="D519" t="s">
        <v>17</v>
      </c>
      <c r="E519">
        <v>375.21</v>
      </c>
      <c r="F519" t="s">
        <v>88</v>
      </c>
      <c r="G519" s="19">
        <v>45537</v>
      </c>
      <c r="H519" t="s">
        <v>89</v>
      </c>
      <c r="I519" t="s">
        <v>4145</v>
      </c>
      <c r="J519"/>
      <c r="K519" t="s">
        <v>4146</v>
      </c>
      <c r="L519" t="s">
        <v>4147</v>
      </c>
      <c r="M519" t="s">
        <v>100</v>
      </c>
      <c r="Q519" s="3">
        <f t="shared" si="25"/>
        <v>375.21</v>
      </c>
      <c r="V519" s="3" t="str">
        <f t="shared" si="26"/>
        <v/>
      </c>
    </row>
    <row r="520" spans="1:22" x14ac:dyDescent="0.35">
      <c r="A520" t="s">
        <v>0</v>
      </c>
      <c r="B520" t="s">
        <v>1566</v>
      </c>
      <c r="C520" t="s">
        <v>16</v>
      </c>
      <c r="D520" t="s">
        <v>17</v>
      </c>
      <c r="E520">
        <v>368.82</v>
      </c>
      <c r="F520" t="s">
        <v>88</v>
      </c>
      <c r="G520" s="19">
        <v>45517</v>
      </c>
      <c r="H520" t="s">
        <v>89</v>
      </c>
      <c r="I520" t="s">
        <v>3994</v>
      </c>
      <c r="J520"/>
      <c r="K520" t="s">
        <v>3995</v>
      </c>
      <c r="L520" t="s">
        <v>3996</v>
      </c>
      <c r="M520" t="s">
        <v>3997</v>
      </c>
      <c r="Q520" s="3">
        <f t="shared" ref="Q520:Q583" si="28">ABS(E520)</f>
        <v>368.82</v>
      </c>
      <c r="V520" s="3" t="str">
        <f t="shared" si="26"/>
        <v/>
      </c>
    </row>
    <row r="521" spans="1:22" x14ac:dyDescent="0.35">
      <c r="A521" t="s">
        <v>35</v>
      </c>
      <c r="B521" t="s">
        <v>1566</v>
      </c>
      <c r="C521" t="s">
        <v>16</v>
      </c>
      <c r="D521" t="s">
        <v>17</v>
      </c>
      <c r="E521">
        <v>367.27</v>
      </c>
      <c r="F521" t="s">
        <v>88</v>
      </c>
      <c r="G521" s="19">
        <v>45614</v>
      </c>
      <c r="H521" t="s">
        <v>94</v>
      </c>
      <c r="I521" t="s">
        <v>4949</v>
      </c>
      <c r="J521" t="s">
        <v>4950</v>
      </c>
      <c r="O521" t="s">
        <v>4951</v>
      </c>
      <c r="Q521" s="3">
        <f t="shared" si="28"/>
        <v>367.27</v>
      </c>
      <c r="V521" s="3" t="str">
        <f t="shared" ref="V521:V584" si="29">IF(T521="Y",E521,"")</f>
        <v/>
      </c>
    </row>
    <row r="522" spans="1:22" x14ac:dyDescent="0.35">
      <c r="A522" t="s">
        <v>35</v>
      </c>
      <c r="B522" t="s">
        <v>1627</v>
      </c>
      <c r="C522" t="s">
        <v>16</v>
      </c>
      <c r="D522" t="s">
        <v>17</v>
      </c>
      <c r="E522">
        <v>367.05</v>
      </c>
      <c r="F522" t="s">
        <v>88</v>
      </c>
      <c r="G522" s="19">
        <v>45600</v>
      </c>
      <c r="H522" t="s">
        <v>94</v>
      </c>
      <c r="I522" t="s">
        <v>4814</v>
      </c>
      <c r="J522" t="s">
        <v>4815</v>
      </c>
      <c r="O522" t="s">
        <v>2382</v>
      </c>
      <c r="Q522" s="3">
        <f t="shared" si="28"/>
        <v>367.05</v>
      </c>
      <c r="V522" s="3" t="str">
        <f t="shared" si="29"/>
        <v/>
      </c>
    </row>
    <row r="523" spans="1:22" x14ac:dyDescent="0.35">
      <c r="A523" t="s">
        <v>35</v>
      </c>
      <c r="B523" t="s">
        <v>698</v>
      </c>
      <c r="C523" t="s">
        <v>16</v>
      </c>
      <c r="D523" t="s">
        <v>17</v>
      </c>
      <c r="E523">
        <v>364.04</v>
      </c>
      <c r="F523" t="s">
        <v>88</v>
      </c>
      <c r="G523" s="19">
        <v>45393</v>
      </c>
      <c r="H523" t="s">
        <v>94</v>
      </c>
      <c r="I523" t="s">
        <v>2957</v>
      </c>
      <c r="J523" t="s">
        <v>2958</v>
      </c>
      <c r="O523" t="s">
        <v>2959</v>
      </c>
      <c r="Q523" s="3">
        <f t="shared" si="28"/>
        <v>364.04</v>
      </c>
      <c r="S523" s="69" t="s">
        <v>53</v>
      </c>
      <c r="T523" t="s">
        <v>64</v>
      </c>
      <c r="U523" t="str">
        <f>B523</f>
        <v>AU030213</v>
      </c>
      <c r="V523" s="3">
        <f t="shared" si="29"/>
        <v>364.04</v>
      </c>
    </row>
    <row r="524" spans="1:22" x14ac:dyDescent="0.35">
      <c r="A524" t="s">
        <v>0</v>
      </c>
      <c r="B524" t="s">
        <v>1566</v>
      </c>
      <c r="C524" t="s">
        <v>16</v>
      </c>
      <c r="D524" t="s">
        <v>17</v>
      </c>
      <c r="E524">
        <v>360</v>
      </c>
      <c r="F524" t="s">
        <v>88</v>
      </c>
      <c r="G524" s="19">
        <v>45617</v>
      </c>
      <c r="H524" t="s">
        <v>89</v>
      </c>
      <c r="I524" t="s">
        <v>4977</v>
      </c>
      <c r="J524"/>
      <c r="K524" t="s">
        <v>4978</v>
      </c>
      <c r="L524" t="s">
        <v>4979</v>
      </c>
      <c r="M524" t="s">
        <v>4980</v>
      </c>
      <c r="Q524" s="3">
        <f t="shared" si="28"/>
        <v>360</v>
      </c>
      <c r="V524" s="3" t="str">
        <f t="shared" si="29"/>
        <v/>
      </c>
    </row>
    <row r="525" spans="1:22" x14ac:dyDescent="0.35">
      <c r="A525" t="s">
        <v>35</v>
      </c>
      <c r="B525" t="s">
        <v>1566</v>
      </c>
      <c r="C525" t="s">
        <v>16</v>
      </c>
      <c r="D525" t="s">
        <v>17</v>
      </c>
      <c r="E525">
        <v>359.09</v>
      </c>
      <c r="F525" t="s">
        <v>88</v>
      </c>
      <c r="G525" s="19">
        <v>45453</v>
      </c>
      <c r="H525" t="s">
        <v>94</v>
      </c>
      <c r="I525" t="s">
        <v>339</v>
      </c>
      <c r="J525" t="s">
        <v>3542</v>
      </c>
      <c r="O525" t="s">
        <v>3543</v>
      </c>
      <c r="Q525" s="3">
        <f t="shared" si="28"/>
        <v>359.09</v>
      </c>
      <c r="V525" s="3" t="str">
        <f t="shared" si="29"/>
        <v/>
      </c>
    </row>
    <row r="526" spans="1:22" x14ac:dyDescent="0.35">
      <c r="A526" t="s">
        <v>35</v>
      </c>
      <c r="B526" t="s">
        <v>1566</v>
      </c>
      <c r="C526" t="s">
        <v>16</v>
      </c>
      <c r="D526" t="s">
        <v>17</v>
      </c>
      <c r="E526">
        <v>358.87</v>
      </c>
      <c r="F526" t="s">
        <v>88</v>
      </c>
      <c r="G526" s="19">
        <v>45645</v>
      </c>
      <c r="H526" t="s">
        <v>94</v>
      </c>
      <c r="I526" t="s">
        <v>3497</v>
      </c>
      <c r="J526" t="s">
        <v>5306</v>
      </c>
      <c r="O526" t="s">
        <v>5307</v>
      </c>
      <c r="Q526" s="3">
        <f t="shared" si="28"/>
        <v>358.87</v>
      </c>
      <c r="V526" s="3" t="str">
        <f t="shared" si="29"/>
        <v/>
      </c>
    </row>
    <row r="527" spans="1:22" x14ac:dyDescent="0.35">
      <c r="A527" t="s">
        <v>0</v>
      </c>
      <c r="B527" t="s">
        <v>1566</v>
      </c>
      <c r="C527" t="s">
        <v>16</v>
      </c>
      <c r="D527" t="s">
        <v>17</v>
      </c>
      <c r="E527">
        <v>357.79</v>
      </c>
      <c r="F527" t="s">
        <v>88</v>
      </c>
      <c r="G527" s="19">
        <v>45456</v>
      </c>
      <c r="H527" t="s">
        <v>89</v>
      </c>
      <c r="I527" t="s">
        <v>3587</v>
      </c>
      <c r="J527"/>
      <c r="K527" t="s">
        <v>101</v>
      </c>
      <c r="L527" t="s">
        <v>3588</v>
      </c>
      <c r="M527" t="s">
        <v>100</v>
      </c>
      <c r="Q527" s="3">
        <f t="shared" si="28"/>
        <v>357.79</v>
      </c>
      <c r="V527" s="3" t="str">
        <f t="shared" si="29"/>
        <v/>
      </c>
    </row>
    <row r="528" spans="1:22" x14ac:dyDescent="0.35">
      <c r="A528" t="s">
        <v>35</v>
      </c>
      <c r="B528" t="s">
        <v>1566</v>
      </c>
      <c r="C528" t="s">
        <v>16</v>
      </c>
      <c r="D528" t="s">
        <v>17</v>
      </c>
      <c r="E528">
        <v>354.55</v>
      </c>
      <c r="F528" t="s">
        <v>88</v>
      </c>
      <c r="G528" s="19">
        <v>45558</v>
      </c>
      <c r="H528" t="s">
        <v>94</v>
      </c>
      <c r="I528" t="s">
        <v>229</v>
      </c>
      <c r="J528" t="s">
        <v>4440</v>
      </c>
      <c r="O528" t="s">
        <v>4441</v>
      </c>
      <c r="Q528" s="3">
        <f t="shared" si="28"/>
        <v>354.55</v>
      </c>
      <c r="V528" s="3" t="str">
        <f t="shared" si="29"/>
        <v/>
      </c>
    </row>
    <row r="529" spans="1:22" x14ac:dyDescent="0.35">
      <c r="A529" t="s">
        <v>0</v>
      </c>
      <c r="B529" t="s">
        <v>1566</v>
      </c>
      <c r="C529" t="s">
        <v>16</v>
      </c>
      <c r="D529" t="s">
        <v>17</v>
      </c>
      <c r="E529">
        <v>350</v>
      </c>
      <c r="F529" t="s">
        <v>88</v>
      </c>
      <c r="G529" s="19">
        <v>45566</v>
      </c>
      <c r="H529" t="s">
        <v>89</v>
      </c>
      <c r="I529" t="s">
        <v>4540</v>
      </c>
      <c r="J529"/>
      <c r="K529" t="s">
        <v>4541</v>
      </c>
      <c r="L529" t="s">
        <v>4542</v>
      </c>
      <c r="M529" t="s">
        <v>4543</v>
      </c>
      <c r="Q529" s="3">
        <f t="shared" si="28"/>
        <v>350</v>
      </c>
      <c r="V529" s="3" t="str">
        <f t="shared" si="29"/>
        <v/>
      </c>
    </row>
    <row r="530" spans="1:22" x14ac:dyDescent="0.35">
      <c r="A530" t="s">
        <v>35</v>
      </c>
      <c r="B530" t="s">
        <v>1566</v>
      </c>
      <c r="C530" t="s">
        <v>16</v>
      </c>
      <c r="D530" t="s">
        <v>17</v>
      </c>
      <c r="E530">
        <v>348.65</v>
      </c>
      <c r="F530" t="s">
        <v>88</v>
      </c>
      <c r="G530" s="19">
        <v>45384</v>
      </c>
      <c r="H530" t="s">
        <v>89</v>
      </c>
      <c r="I530" t="s">
        <v>2800</v>
      </c>
      <c r="J530"/>
      <c r="K530" t="s">
        <v>2801</v>
      </c>
      <c r="L530" t="s">
        <v>2802</v>
      </c>
      <c r="M530" t="s">
        <v>2803</v>
      </c>
      <c r="Q530" s="3">
        <f t="shared" si="28"/>
        <v>348.65</v>
      </c>
      <c r="V530" s="3" t="str">
        <f t="shared" si="29"/>
        <v/>
      </c>
    </row>
    <row r="531" spans="1:22" x14ac:dyDescent="0.35">
      <c r="A531" t="s">
        <v>0</v>
      </c>
      <c r="B531" t="s">
        <v>1566</v>
      </c>
      <c r="C531" t="s">
        <v>16</v>
      </c>
      <c r="D531" t="s">
        <v>17</v>
      </c>
      <c r="E531">
        <v>335.62</v>
      </c>
      <c r="F531" t="s">
        <v>88</v>
      </c>
      <c r="G531" s="19">
        <v>45505</v>
      </c>
      <c r="H531" t="s">
        <v>89</v>
      </c>
      <c r="I531" t="s">
        <v>3899</v>
      </c>
      <c r="J531"/>
      <c r="K531" t="s">
        <v>3900</v>
      </c>
      <c r="L531" t="s">
        <v>3901</v>
      </c>
      <c r="M531" t="s">
        <v>166</v>
      </c>
      <c r="Q531" s="3">
        <f t="shared" si="28"/>
        <v>335.62</v>
      </c>
      <c r="V531" s="3" t="str">
        <f t="shared" si="29"/>
        <v/>
      </c>
    </row>
    <row r="532" spans="1:22" x14ac:dyDescent="0.35">
      <c r="A532" t="s">
        <v>0</v>
      </c>
      <c r="B532" t="s">
        <v>1566</v>
      </c>
      <c r="C532" t="s">
        <v>16</v>
      </c>
      <c r="D532" t="s">
        <v>17</v>
      </c>
      <c r="E532">
        <v>335.62</v>
      </c>
      <c r="F532" t="s">
        <v>88</v>
      </c>
      <c r="G532" s="19">
        <v>45531</v>
      </c>
      <c r="H532" t="s">
        <v>89</v>
      </c>
      <c r="I532" t="s">
        <v>4112</v>
      </c>
      <c r="J532"/>
      <c r="K532" t="s">
        <v>4113</v>
      </c>
      <c r="L532" t="s">
        <v>4114</v>
      </c>
      <c r="M532" t="s">
        <v>166</v>
      </c>
      <c r="Q532" s="3">
        <f t="shared" si="28"/>
        <v>335.62</v>
      </c>
      <c r="V532" s="3" t="str">
        <f t="shared" si="29"/>
        <v/>
      </c>
    </row>
    <row r="533" spans="1:22" x14ac:dyDescent="0.35">
      <c r="A533" t="s">
        <v>0</v>
      </c>
      <c r="B533" t="s">
        <v>1566</v>
      </c>
      <c r="C533" t="s">
        <v>16</v>
      </c>
      <c r="D533" t="s">
        <v>17</v>
      </c>
      <c r="E533">
        <v>335.52</v>
      </c>
      <c r="F533" t="s">
        <v>88</v>
      </c>
      <c r="G533" s="19">
        <v>45552</v>
      </c>
      <c r="H533" t="s">
        <v>89</v>
      </c>
      <c r="I533" t="s">
        <v>4384</v>
      </c>
      <c r="J533"/>
      <c r="K533" t="s">
        <v>4385</v>
      </c>
      <c r="L533" t="s">
        <v>4386</v>
      </c>
      <c r="M533" t="s">
        <v>166</v>
      </c>
      <c r="Q533" s="3">
        <f t="shared" si="28"/>
        <v>335.52</v>
      </c>
      <c r="V533" s="3" t="str">
        <f t="shared" si="29"/>
        <v/>
      </c>
    </row>
    <row r="534" spans="1:22" x14ac:dyDescent="0.35">
      <c r="A534" t="s">
        <v>0</v>
      </c>
      <c r="B534" t="s">
        <v>1566</v>
      </c>
      <c r="C534" t="s">
        <v>16</v>
      </c>
      <c r="D534" t="s">
        <v>17</v>
      </c>
      <c r="E534">
        <v>335.52</v>
      </c>
      <c r="F534" t="s">
        <v>88</v>
      </c>
      <c r="G534" s="19">
        <v>45614</v>
      </c>
      <c r="H534" t="s">
        <v>89</v>
      </c>
      <c r="I534" t="s">
        <v>4897</v>
      </c>
      <c r="J534"/>
      <c r="K534" t="s">
        <v>3614</v>
      </c>
      <c r="L534" t="s">
        <v>4898</v>
      </c>
      <c r="M534" t="s">
        <v>166</v>
      </c>
      <c r="Q534" s="3">
        <f t="shared" si="28"/>
        <v>335.52</v>
      </c>
      <c r="V534" s="3" t="str">
        <f t="shared" si="29"/>
        <v/>
      </c>
    </row>
    <row r="535" spans="1:22" x14ac:dyDescent="0.35">
      <c r="A535" t="s">
        <v>0</v>
      </c>
      <c r="B535" t="s">
        <v>1566</v>
      </c>
      <c r="C535" t="s">
        <v>16</v>
      </c>
      <c r="D535" t="s">
        <v>17</v>
      </c>
      <c r="E535">
        <v>335.52</v>
      </c>
      <c r="F535" t="s">
        <v>88</v>
      </c>
      <c r="G535" s="19">
        <v>45629</v>
      </c>
      <c r="H535" t="s">
        <v>89</v>
      </c>
      <c r="I535" t="s">
        <v>5060</v>
      </c>
      <c r="J535"/>
      <c r="K535" t="s">
        <v>5061</v>
      </c>
      <c r="L535" t="s">
        <v>5062</v>
      </c>
      <c r="M535" t="s">
        <v>166</v>
      </c>
      <c r="Q535" s="3">
        <f t="shared" si="28"/>
        <v>335.52</v>
      </c>
      <c r="V535" s="3" t="str">
        <f t="shared" si="29"/>
        <v/>
      </c>
    </row>
    <row r="536" spans="1:22" x14ac:dyDescent="0.35">
      <c r="A536" t="s">
        <v>35</v>
      </c>
      <c r="B536" t="s">
        <v>1566</v>
      </c>
      <c r="C536" t="s">
        <v>16</v>
      </c>
      <c r="D536" t="s">
        <v>17</v>
      </c>
      <c r="E536">
        <v>332.63</v>
      </c>
      <c r="F536" t="s">
        <v>88</v>
      </c>
      <c r="G536" s="19">
        <v>45432</v>
      </c>
      <c r="H536" t="s">
        <v>89</v>
      </c>
      <c r="I536" t="s">
        <v>3316</v>
      </c>
      <c r="J536"/>
      <c r="K536" t="s">
        <v>101</v>
      </c>
      <c r="L536" t="s">
        <v>3317</v>
      </c>
      <c r="M536" t="s">
        <v>166</v>
      </c>
      <c r="Q536" s="3">
        <f t="shared" si="28"/>
        <v>332.63</v>
      </c>
      <c r="V536" s="3" t="str">
        <f t="shared" si="29"/>
        <v/>
      </c>
    </row>
    <row r="537" spans="1:22" x14ac:dyDescent="0.35">
      <c r="A537" t="s">
        <v>35</v>
      </c>
      <c r="B537" t="s">
        <v>1566</v>
      </c>
      <c r="C537" t="s">
        <v>16</v>
      </c>
      <c r="D537" t="s">
        <v>17</v>
      </c>
      <c r="E537">
        <v>329.41</v>
      </c>
      <c r="F537" t="s">
        <v>88</v>
      </c>
      <c r="G537" s="19">
        <v>45539</v>
      </c>
      <c r="H537" t="s">
        <v>94</v>
      </c>
      <c r="I537" t="s">
        <v>4236</v>
      </c>
      <c r="J537" t="s">
        <v>4237</v>
      </c>
      <c r="O537" t="s">
        <v>4238</v>
      </c>
      <c r="Q537" s="3">
        <f t="shared" si="28"/>
        <v>329.41</v>
      </c>
      <c r="S537" s="69" t="s">
        <v>53</v>
      </c>
      <c r="T537" t="s">
        <v>64</v>
      </c>
      <c r="U537" t="str">
        <f>B537</f>
        <v>AU032046</v>
      </c>
      <c r="V537" s="3">
        <f t="shared" si="29"/>
        <v>329.41</v>
      </c>
    </row>
    <row r="538" spans="1:22" x14ac:dyDescent="0.35">
      <c r="A538" t="s">
        <v>0</v>
      </c>
      <c r="B538" t="s">
        <v>852</v>
      </c>
      <c r="C538" t="s">
        <v>16</v>
      </c>
      <c r="D538" t="s">
        <v>17</v>
      </c>
      <c r="E538">
        <v>329.32</v>
      </c>
      <c r="F538" t="s">
        <v>88</v>
      </c>
      <c r="G538" s="19">
        <v>45545</v>
      </c>
      <c r="H538" t="s">
        <v>89</v>
      </c>
      <c r="I538" t="s">
        <v>4264</v>
      </c>
      <c r="J538"/>
      <c r="K538" t="s">
        <v>4265</v>
      </c>
      <c r="L538" t="s">
        <v>4266</v>
      </c>
      <c r="M538" t="s">
        <v>197</v>
      </c>
      <c r="Q538" s="3">
        <f t="shared" si="28"/>
        <v>329.32</v>
      </c>
      <c r="V538" s="3" t="str">
        <f t="shared" si="29"/>
        <v/>
      </c>
    </row>
    <row r="539" spans="1:22" x14ac:dyDescent="0.35">
      <c r="A539" t="s">
        <v>0</v>
      </c>
      <c r="B539" t="s">
        <v>1566</v>
      </c>
      <c r="C539" t="s">
        <v>16</v>
      </c>
      <c r="D539" t="s">
        <v>17</v>
      </c>
      <c r="E539">
        <v>329.3</v>
      </c>
      <c r="F539" t="s">
        <v>88</v>
      </c>
      <c r="G539" s="19">
        <v>45432</v>
      </c>
      <c r="H539" t="s">
        <v>89</v>
      </c>
      <c r="I539" t="s">
        <v>3312</v>
      </c>
      <c r="J539"/>
      <c r="K539" t="s">
        <v>3313</v>
      </c>
      <c r="L539" t="s">
        <v>3314</v>
      </c>
      <c r="M539" t="s">
        <v>3315</v>
      </c>
      <c r="Q539" s="3">
        <f t="shared" si="28"/>
        <v>329.3</v>
      </c>
      <c r="V539" s="3" t="str">
        <f t="shared" si="29"/>
        <v/>
      </c>
    </row>
    <row r="540" spans="1:22" x14ac:dyDescent="0.35">
      <c r="A540" t="s">
        <v>0</v>
      </c>
      <c r="B540" t="s">
        <v>1566</v>
      </c>
      <c r="C540" t="s">
        <v>16</v>
      </c>
      <c r="D540" t="s">
        <v>17</v>
      </c>
      <c r="E540">
        <v>329.3</v>
      </c>
      <c r="F540" t="s">
        <v>88</v>
      </c>
      <c r="G540" s="19">
        <v>45635</v>
      </c>
      <c r="H540" t="s">
        <v>89</v>
      </c>
      <c r="I540" t="s">
        <v>5175</v>
      </c>
      <c r="J540"/>
      <c r="K540" t="s">
        <v>5176</v>
      </c>
      <c r="L540" t="s">
        <v>5177</v>
      </c>
      <c r="M540" t="s">
        <v>3412</v>
      </c>
      <c r="Q540" s="3">
        <f t="shared" si="28"/>
        <v>329.3</v>
      </c>
      <c r="V540" s="3" t="str">
        <f t="shared" si="29"/>
        <v/>
      </c>
    </row>
    <row r="541" spans="1:22" x14ac:dyDescent="0.35">
      <c r="A541" t="s">
        <v>0</v>
      </c>
      <c r="B541" t="s">
        <v>1566</v>
      </c>
      <c r="C541" t="s">
        <v>16</v>
      </c>
      <c r="D541" t="s">
        <v>17</v>
      </c>
      <c r="E541">
        <v>327.41000000000003</v>
      </c>
      <c r="F541" t="s">
        <v>88</v>
      </c>
      <c r="G541" s="19">
        <v>45580</v>
      </c>
      <c r="H541" t="s">
        <v>89</v>
      </c>
      <c r="I541" t="s">
        <v>4658</v>
      </c>
      <c r="J541"/>
      <c r="K541" t="s">
        <v>4659</v>
      </c>
      <c r="L541" t="s">
        <v>4660</v>
      </c>
      <c r="M541" t="s">
        <v>100</v>
      </c>
      <c r="Q541" s="3">
        <f t="shared" si="28"/>
        <v>327.41000000000003</v>
      </c>
      <c r="V541" s="3" t="str">
        <f t="shared" si="29"/>
        <v/>
      </c>
    </row>
    <row r="542" spans="1:22" x14ac:dyDescent="0.35">
      <c r="A542" t="s">
        <v>35</v>
      </c>
      <c r="B542" t="s">
        <v>915</v>
      </c>
      <c r="C542" t="s">
        <v>16</v>
      </c>
      <c r="D542" t="s">
        <v>17</v>
      </c>
      <c r="E542">
        <v>327.27</v>
      </c>
      <c r="F542" t="s">
        <v>88</v>
      </c>
      <c r="G542" s="19">
        <v>45558</v>
      </c>
      <c r="H542" t="s">
        <v>94</v>
      </c>
      <c r="I542" t="s">
        <v>216</v>
      </c>
      <c r="J542" t="s">
        <v>4433</v>
      </c>
      <c r="O542" t="s">
        <v>4434</v>
      </c>
      <c r="Q542" s="3">
        <f t="shared" si="28"/>
        <v>327.27</v>
      </c>
      <c r="V542" s="3" t="str">
        <f t="shared" si="29"/>
        <v/>
      </c>
    </row>
    <row r="543" spans="1:22" x14ac:dyDescent="0.35">
      <c r="A543" t="s">
        <v>35</v>
      </c>
      <c r="B543" t="s">
        <v>1566</v>
      </c>
      <c r="C543" t="s">
        <v>16</v>
      </c>
      <c r="D543" t="s">
        <v>17</v>
      </c>
      <c r="E543">
        <v>324.83</v>
      </c>
      <c r="F543" t="s">
        <v>88</v>
      </c>
      <c r="G543" s="19">
        <v>45457</v>
      </c>
      <c r="H543" t="s">
        <v>94</v>
      </c>
      <c r="I543" t="s">
        <v>3605</v>
      </c>
      <c r="J543" t="s">
        <v>3606</v>
      </c>
      <c r="O543" t="s">
        <v>3607</v>
      </c>
      <c r="Q543" s="3">
        <f t="shared" si="28"/>
        <v>324.83</v>
      </c>
      <c r="V543" s="3" t="str">
        <f t="shared" si="29"/>
        <v/>
      </c>
    </row>
    <row r="544" spans="1:22" x14ac:dyDescent="0.35">
      <c r="A544" t="s">
        <v>0</v>
      </c>
      <c r="B544" t="s">
        <v>1566</v>
      </c>
      <c r="C544" t="s">
        <v>16</v>
      </c>
      <c r="D544" t="s">
        <v>17</v>
      </c>
      <c r="E544">
        <v>324.69</v>
      </c>
      <c r="F544" t="s">
        <v>88</v>
      </c>
      <c r="G544" s="19">
        <v>45460</v>
      </c>
      <c r="H544" t="s">
        <v>89</v>
      </c>
      <c r="I544" t="s">
        <v>3613</v>
      </c>
      <c r="J544"/>
      <c r="K544" t="s">
        <v>3614</v>
      </c>
      <c r="L544" t="s">
        <v>3615</v>
      </c>
      <c r="M544" t="s">
        <v>166</v>
      </c>
      <c r="Q544" s="3">
        <f t="shared" si="28"/>
        <v>324.69</v>
      </c>
      <c r="V544" s="3" t="str">
        <f t="shared" si="29"/>
        <v/>
      </c>
    </row>
    <row r="545" spans="1:22" x14ac:dyDescent="0.35">
      <c r="A545" t="s">
        <v>0</v>
      </c>
      <c r="B545" t="s">
        <v>1566</v>
      </c>
      <c r="C545" t="s">
        <v>16</v>
      </c>
      <c r="D545" t="s">
        <v>17</v>
      </c>
      <c r="E545">
        <v>324.69</v>
      </c>
      <c r="F545" t="s">
        <v>88</v>
      </c>
      <c r="G545" s="19">
        <v>45520</v>
      </c>
      <c r="H545" t="s">
        <v>89</v>
      </c>
      <c r="I545" t="s">
        <v>4043</v>
      </c>
      <c r="J545"/>
      <c r="K545" t="s">
        <v>4044</v>
      </c>
      <c r="L545" t="s">
        <v>4045</v>
      </c>
      <c r="M545" t="s">
        <v>166</v>
      </c>
      <c r="Q545" s="3">
        <f t="shared" si="28"/>
        <v>324.69</v>
      </c>
      <c r="V545" s="3" t="str">
        <f t="shared" si="29"/>
        <v/>
      </c>
    </row>
    <row r="546" spans="1:22" x14ac:dyDescent="0.35">
      <c r="A546" t="s">
        <v>0</v>
      </c>
      <c r="B546" t="s">
        <v>1566</v>
      </c>
      <c r="C546" t="s">
        <v>16</v>
      </c>
      <c r="D546" t="s">
        <v>17</v>
      </c>
      <c r="E546">
        <v>324.69</v>
      </c>
      <c r="F546" t="s">
        <v>88</v>
      </c>
      <c r="G546" s="19">
        <v>45597</v>
      </c>
      <c r="H546" t="s">
        <v>89</v>
      </c>
      <c r="I546" t="s">
        <v>4751</v>
      </c>
      <c r="J546"/>
      <c r="K546" t="s">
        <v>4752</v>
      </c>
      <c r="L546" t="s">
        <v>4753</v>
      </c>
      <c r="M546" t="s">
        <v>166</v>
      </c>
      <c r="Q546" s="3">
        <f t="shared" si="28"/>
        <v>324.69</v>
      </c>
      <c r="V546" s="3" t="str">
        <f t="shared" si="29"/>
        <v/>
      </c>
    </row>
    <row r="547" spans="1:22" x14ac:dyDescent="0.35">
      <c r="A547" t="s">
        <v>35</v>
      </c>
      <c r="B547" t="s">
        <v>1566</v>
      </c>
      <c r="C547" t="s">
        <v>16</v>
      </c>
      <c r="D547" t="s">
        <v>17</v>
      </c>
      <c r="E547">
        <v>324.33</v>
      </c>
      <c r="F547" t="s">
        <v>88</v>
      </c>
      <c r="G547" s="19">
        <v>45404</v>
      </c>
      <c r="H547" t="s">
        <v>94</v>
      </c>
      <c r="I547" t="s">
        <v>3104</v>
      </c>
      <c r="J547" t="s">
        <v>3107</v>
      </c>
      <c r="O547" t="s">
        <v>3108</v>
      </c>
      <c r="Q547" s="3">
        <f t="shared" si="28"/>
        <v>324.33</v>
      </c>
      <c r="V547" s="3" t="str">
        <f t="shared" si="29"/>
        <v/>
      </c>
    </row>
    <row r="548" spans="1:22" x14ac:dyDescent="0.35">
      <c r="A548" t="s">
        <v>35</v>
      </c>
      <c r="B548" t="s">
        <v>852</v>
      </c>
      <c r="C548" t="s">
        <v>16</v>
      </c>
      <c r="D548" t="s">
        <v>17</v>
      </c>
      <c r="E548">
        <v>318.18</v>
      </c>
      <c r="F548" t="s">
        <v>88</v>
      </c>
      <c r="G548" s="19">
        <v>45504</v>
      </c>
      <c r="H548" t="s">
        <v>94</v>
      </c>
      <c r="I548" t="s">
        <v>428</v>
      </c>
      <c r="J548" t="s">
        <v>3897</v>
      </c>
      <c r="O548" t="s">
        <v>3898</v>
      </c>
      <c r="Q548" s="3">
        <f t="shared" si="28"/>
        <v>318.18</v>
      </c>
      <c r="V548" s="3" t="str">
        <f t="shared" si="29"/>
        <v/>
      </c>
    </row>
    <row r="549" spans="1:22" x14ac:dyDescent="0.35">
      <c r="A549" t="s">
        <v>35</v>
      </c>
      <c r="B549" t="s">
        <v>1566</v>
      </c>
      <c r="C549" t="s">
        <v>16</v>
      </c>
      <c r="D549" t="s">
        <v>17</v>
      </c>
      <c r="E549">
        <v>311.82</v>
      </c>
      <c r="F549" t="s">
        <v>88</v>
      </c>
      <c r="G549" s="19">
        <v>45629</v>
      </c>
      <c r="H549" t="s">
        <v>94</v>
      </c>
      <c r="I549" t="s">
        <v>5111</v>
      </c>
      <c r="J549" t="s">
        <v>5112</v>
      </c>
      <c r="O549" t="s">
        <v>5113</v>
      </c>
      <c r="Q549" s="3">
        <f t="shared" si="28"/>
        <v>311.82</v>
      </c>
      <c r="V549" s="3" t="str">
        <f t="shared" si="29"/>
        <v/>
      </c>
    </row>
    <row r="550" spans="1:22" x14ac:dyDescent="0.35">
      <c r="A550" t="s">
        <v>35</v>
      </c>
      <c r="B550" t="s">
        <v>764</v>
      </c>
      <c r="C550" t="s">
        <v>16</v>
      </c>
      <c r="D550" t="s">
        <v>17</v>
      </c>
      <c r="E550">
        <v>309.95</v>
      </c>
      <c r="F550" t="s">
        <v>88</v>
      </c>
      <c r="G550" s="19">
        <v>45504</v>
      </c>
      <c r="H550" t="s">
        <v>94</v>
      </c>
      <c r="I550" t="s">
        <v>3891</v>
      </c>
      <c r="J550" t="s">
        <v>3892</v>
      </c>
      <c r="O550" t="s">
        <v>3893</v>
      </c>
      <c r="Q550" s="3">
        <f t="shared" si="28"/>
        <v>309.95</v>
      </c>
      <c r="V550" s="3" t="str">
        <f t="shared" si="29"/>
        <v/>
      </c>
    </row>
    <row r="551" spans="1:22" x14ac:dyDescent="0.35">
      <c r="A551" t="s">
        <v>35</v>
      </c>
      <c r="B551" t="s">
        <v>1566</v>
      </c>
      <c r="C551" t="s">
        <v>16</v>
      </c>
      <c r="D551" t="s">
        <v>17</v>
      </c>
      <c r="E551">
        <v>303.64</v>
      </c>
      <c r="F551" t="s">
        <v>88</v>
      </c>
      <c r="G551" s="19">
        <v>45558</v>
      </c>
      <c r="H551" t="s">
        <v>94</v>
      </c>
      <c r="I551" t="s">
        <v>3868</v>
      </c>
      <c r="J551" t="s">
        <v>4425</v>
      </c>
      <c r="O551" t="s">
        <v>2930</v>
      </c>
      <c r="Q551" s="3">
        <f t="shared" si="28"/>
        <v>303.64</v>
      </c>
      <c r="V551" s="3" t="str">
        <f t="shared" si="29"/>
        <v/>
      </c>
    </row>
    <row r="552" spans="1:22" x14ac:dyDescent="0.35">
      <c r="A552" t="s">
        <v>0</v>
      </c>
      <c r="B552" t="s">
        <v>1566</v>
      </c>
      <c r="C552" t="s">
        <v>16</v>
      </c>
      <c r="D552" t="s">
        <v>17</v>
      </c>
      <c r="E552">
        <v>300</v>
      </c>
      <c r="F552" t="s">
        <v>88</v>
      </c>
      <c r="G552" s="19">
        <v>45391</v>
      </c>
      <c r="H552" t="s">
        <v>89</v>
      </c>
      <c r="I552" t="s">
        <v>2872</v>
      </c>
      <c r="J552"/>
      <c r="K552" t="s">
        <v>2873</v>
      </c>
      <c r="L552" t="s">
        <v>2874</v>
      </c>
      <c r="M552" t="s">
        <v>2875</v>
      </c>
      <c r="Q552" s="3">
        <f t="shared" si="28"/>
        <v>300</v>
      </c>
      <c r="V552" s="3" t="str">
        <f t="shared" si="29"/>
        <v/>
      </c>
    </row>
    <row r="553" spans="1:22" x14ac:dyDescent="0.35">
      <c r="A553" t="s">
        <v>0</v>
      </c>
      <c r="B553" t="s">
        <v>1566</v>
      </c>
      <c r="C553" t="s">
        <v>16</v>
      </c>
      <c r="D553" t="s">
        <v>17</v>
      </c>
      <c r="E553">
        <v>300</v>
      </c>
      <c r="F553" t="s">
        <v>88</v>
      </c>
      <c r="G553" s="19">
        <v>45413</v>
      </c>
      <c r="H553" t="s">
        <v>89</v>
      </c>
      <c r="I553" t="s">
        <v>3124</v>
      </c>
      <c r="J553"/>
      <c r="K553" t="s">
        <v>3125</v>
      </c>
      <c r="L553" t="s">
        <v>3126</v>
      </c>
      <c r="M553" t="s">
        <v>230</v>
      </c>
      <c r="Q553" s="3">
        <f t="shared" si="28"/>
        <v>300</v>
      </c>
      <c r="V553" s="3" t="str">
        <f t="shared" si="29"/>
        <v/>
      </c>
    </row>
    <row r="554" spans="1:22" x14ac:dyDescent="0.35">
      <c r="A554" t="s">
        <v>0</v>
      </c>
      <c r="B554" t="s">
        <v>1566</v>
      </c>
      <c r="C554" t="s">
        <v>16</v>
      </c>
      <c r="D554" t="s">
        <v>17</v>
      </c>
      <c r="E554">
        <v>300</v>
      </c>
      <c r="F554" t="s">
        <v>88</v>
      </c>
      <c r="G554" s="19">
        <v>45428</v>
      </c>
      <c r="H554" t="s">
        <v>89</v>
      </c>
      <c r="I554" t="s">
        <v>3280</v>
      </c>
      <c r="J554"/>
      <c r="K554" t="s">
        <v>3281</v>
      </c>
      <c r="L554" t="s">
        <v>2451</v>
      </c>
      <c r="M554" t="s">
        <v>3282</v>
      </c>
      <c r="Q554" s="3">
        <f t="shared" si="28"/>
        <v>300</v>
      </c>
      <c r="V554" s="3" t="str">
        <f t="shared" si="29"/>
        <v/>
      </c>
    </row>
    <row r="555" spans="1:22" x14ac:dyDescent="0.35">
      <c r="A555" t="s">
        <v>35</v>
      </c>
      <c r="B555" t="s">
        <v>2031</v>
      </c>
      <c r="C555" t="s">
        <v>16</v>
      </c>
      <c r="D555" t="s">
        <v>17</v>
      </c>
      <c r="E555">
        <v>300</v>
      </c>
      <c r="F555" t="s">
        <v>88</v>
      </c>
      <c r="G555" s="19">
        <v>45523</v>
      </c>
      <c r="H555" t="s">
        <v>94</v>
      </c>
      <c r="I555" t="s">
        <v>4067</v>
      </c>
      <c r="J555" t="s">
        <v>4068</v>
      </c>
      <c r="O555" t="s">
        <v>4069</v>
      </c>
      <c r="Q555" s="3">
        <f t="shared" si="28"/>
        <v>300</v>
      </c>
      <c r="V555" s="3" t="str">
        <f t="shared" si="29"/>
        <v/>
      </c>
    </row>
    <row r="556" spans="1:22" x14ac:dyDescent="0.35">
      <c r="A556" t="s">
        <v>0</v>
      </c>
      <c r="B556" t="s">
        <v>1566</v>
      </c>
      <c r="C556" t="s">
        <v>16</v>
      </c>
      <c r="D556" t="s">
        <v>17</v>
      </c>
      <c r="E556">
        <v>300</v>
      </c>
      <c r="F556" t="s">
        <v>88</v>
      </c>
      <c r="G556" s="19">
        <v>45610</v>
      </c>
      <c r="H556" t="s">
        <v>89</v>
      </c>
      <c r="I556" t="s">
        <v>4893</v>
      </c>
      <c r="J556"/>
      <c r="K556" t="s">
        <v>4894</v>
      </c>
      <c r="L556" t="s">
        <v>4895</v>
      </c>
      <c r="M556" t="s">
        <v>4896</v>
      </c>
      <c r="Q556" s="3">
        <f t="shared" si="28"/>
        <v>300</v>
      </c>
      <c r="V556" s="3" t="str">
        <f t="shared" si="29"/>
        <v/>
      </c>
    </row>
    <row r="557" spans="1:22" x14ac:dyDescent="0.35">
      <c r="A557" t="s">
        <v>35</v>
      </c>
      <c r="B557" t="s">
        <v>1566</v>
      </c>
      <c r="C557" t="s">
        <v>16</v>
      </c>
      <c r="D557" t="s">
        <v>17</v>
      </c>
      <c r="E557">
        <v>292.95999999999998</v>
      </c>
      <c r="F557" t="s">
        <v>88</v>
      </c>
      <c r="G557" s="19">
        <v>45545</v>
      </c>
      <c r="H557" t="s">
        <v>94</v>
      </c>
      <c r="I557" t="s">
        <v>229</v>
      </c>
      <c r="J557" t="s">
        <v>4303</v>
      </c>
      <c r="O557" t="s">
        <v>4304</v>
      </c>
      <c r="Q557" s="3">
        <f t="shared" si="28"/>
        <v>292.95999999999998</v>
      </c>
      <c r="V557" s="3" t="str">
        <f t="shared" si="29"/>
        <v/>
      </c>
    </row>
    <row r="558" spans="1:22" x14ac:dyDescent="0.35">
      <c r="A558" t="s">
        <v>35</v>
      </c>
      <c r="B558" t="s">
        <v>1566</v>
      </c>
      <c r="C558" t="s">
        <v>16</v>
      </c>
      <c r="D558" t="s">
        <v>17</v>
      </c>
      <c r="E558">
        <v>292.81</v>
      </c>
      <c r="F558" t="s">
        <v>88</v>
      </c>
      <c r="G558" s="19">
        <v>45404</v>
      </c>
      <c r="H558" t="s">
        <v>94</v>
      </c>
      <c r="I558" t="s">
        <v>3085</v>
      </c>
      <c r="J558" t="s">
        <v>3086</v>
      </c>
      <c r="O558" t="s">
        <v>3088</v>
      </c>
      <c r="Q558" s="3">
        <f t="shared" si="28"/>
        <v>292.81</v>
      </c>
      <c r="V558" s="3" t="str">
        <f t="shared" si="29"/>
        <v/>
      </c>
    </row>
    <row r="559" spans="1:22" x14ac:dyDescent="0.35">
      <c r="A559" t="s">
        <v>0</v>
      </c>
      <c r="B559" t="s">
        <v>1566</v>
      </c>
      <c r="C559" t="s">
        <v>16</v>
      </c>
      <c r="D559" t="s">
        <v>17</v>
      </c>
      <c r="E559">
        <v>292.67</v>
      </c>
      <c r="F559" t="s">
        <v>88</v>
      </c>
      <c r="G559" s="19">
        <v>45614</v>
      </c>
      <c r="H559" t="s">
        <v>89</v>
      </c>
      <c r="I559" t="s">
        <v>4907</v>
      </c>
      <c r="J559"/>
      <c r="K559" t="s">
        <v>4908</v>
      </c>
      <c r="L559" t="s">
        <v>4909</v>
      </c>
      <c r="M559" t="s">
        <v>147</v>
      </c>
      <c r="Q559" s="3">
        <f t="shared" si="28"/>
        <v>292.67</v>
      </c>
      <c r="V559" s="3" t="str">
        <f t="shared" si="29"/>
        <v/>
      </c>
    </row>
    <row r="560" spans="1:22" x14ac:dyDescent="0.35">
      <c r="A560" t="s">
        <v>35</v>
      </c>
      <c r="B560" t="s">
        <v>1069</v>
      </c>
      <c r="C560" t="s">
        <v>16</v>
      </c>
      <c r="D560" t="s">
        <v>17</v>
      </c>
      <c r="E560">
        <v>290.91000000000003</v>
      </c>
      <c r="F560" t="s">
        <v>88</v>
      </c>
      <c r="G560" s="19">
        <v>45476</v>
      </c>
      <c r="H560" t="s">
        <v>94</v>
      </c>
      <c r="I560" t="s">
        <v>3776</v>
      </c>
      <c r="J560" t="s">
        <v>3777</v>
      </c>
      <c r="O560" t="s">
        <v>3778</v>
      </c>
      <c r="Q560" s="3">
        <f t="shared" si="28"/>
        <v>290.91000000000003</v>
      </c>
      <c r="V560" s="3" t="str">
        <f t="shared" si="29"/>
        <v/>
      </c>
    </row>
    <row r="561" spans="1:22" x14ac:dyDescent="0.35">
      <c r="A561" t="s">
        <v>35</v>
      </c>
      <c r="B561" t="s">
        <v>2031</v>
      </c>
      <c r="C561" t="s">
        <v>16</v>
      </c>
      <c r="D561" t="s">
        <v>17</v>
      </c>
      <c r="E561">
        <v>290.91000000000003</v>
      </c>
      <c r="F561" t="s">
        <v>88</v>
      </c>
      <c r="G561" s="19">
        <v>45565</v>
      </c>
      <c r="H561" t="s">
        <v>94</v>
      </c>
      <c r="I561" t="s">
        <v>4067</v>
      </c>
      <c r="J561" t="s">
        <v>4495</v>
      </c>
      <c r="O561" t="s">
        <v>4069</v>
      </c>
      <c r="Q561" s="3">
        <f t="shared" si="28"/>
        <v>290.91000000000003</v>
      </c>
      <c r="V561" s="3" t="str">
        <f t="shared" si="29"/>
        <v/>
      </c>
    </row>
    <row r="562" spans="1:22" x14ac:dyDescent="0.35">
      <c r="A562" t="s">
        <v>35</v>
      </c>
      <c r="B562" t="s">
        <v>1566</v>
      </c>
      <c r="C562" t="s">
        <v>16</v>
      </c>
      <c r="D562" t="s">
        <v>17</v>
      </c>
      <c r="E562">
        <v>289.74</v>
      </c>
      <c r="F562" t="s">
        <v>88</v>
      </c>
      <c r="G562" s="19">
        <v>45539</v>
      </c>
      <c r="H562" t="s">
        <v>94</v>
      </c>
      <c r="I562" t="s">
        <v>232</v>
      </c>
      <c r="J562" t="s">
        <v>4217</v>
      </c>
      <c r="O562" t="s">
        <v>627</v>
      </c>
      <c r="Q562" s="3">
        <f t="shared" si="28"/>
        <v>289.74</v>
      </c>
      <c r="V562" s="3" t="str">
        <f t="shared" si="29"/>
        <v/>
      </c>
    </row>
    <row r="563" spans="1:22" x14ac:dyDescent="0.35">
      <c r="A563" t="s">
        <v>0</v>
      </c>
      <c r="B563" t="s">
        <v>1566</v>
      </c>
      <c r="C563" t="s">
        <v>16</v>
      </c>
      <c r="D563" t="s">
        <v>17</v>
      </c>
      <c r="E563">
        <v>289.24</v>
      </c>
      <c r="F563" t="s">
        <v>88</v>
      </c>
      <c r="G563" s="19">
        <v>45446</v>
      </c>
      <c r="H563" t="s">
        <v>89</v>
      </c>
      <c r="I563" t="s">
        <v>3397</v>
      </c>
      <c r="J563"/>
      <c r="K563" t="s">
        <v>3398</v>
      </c>
      <c r="L563" t="s">
        <v>3399</v>
      </c>
      <c r="M563" t="s">
        <v>147</v>
      </c>
      <c r="Q563" s="3">
        <f t="shared" si="28"/>
        <v>289.24</v>
      </c>
      <c r="V563" s="3" t="str">
        <f t="shared" si="29"/>
        <v/>
      </c>
    </row>
    <row r="564" spans="1:22" x14ac:dyDescent="0.35">
      <c r="A564" t="s">
        <v>35</v>
      </c>
      <c r="B564" t="s">
        <v>642</v>
      </c>
      <c r="C564" t="s">
        <v>16</v>
      </c>
      <c r="D564" t="s">
        <v>17</v>
      </c>
      <c r="E564">
        <v>289.08999999999997</v>
      </c>
      <c r="F564" t="s">
        <v>88</v>
      </c>
      <c r="G564" s="19">
        <v>45488</v>
      </c>
      <c r="H564" t="s">
        <v>94</v>
      </c>
      <c r="I564" t="s">
        <v>924</v>
      </c>
      <c r="J564" t="s">
        <v>3829</v>
      </c>
      <c r="O564" t="s">
        <v>3830</v>
      </c>
      <c r="Q564" s="3">
        <f t="shared" si="28"/>
        <v>289.08999999999997</v>
      </c>
      <c r="V564" s="3" t="str">
        <f t="shared" si="29"/>
        <v/>
      </c>
    </row>
    <row r="565" spans="1:22" x14ac:dyDescent="0.35">
      <c r="A565" t="s">
        <v>0</v>
      </c>
      <c r="B565" t="s">
        <v>1566</v>
      </c>
      <c r="C565" t="s">
        <v>16</v>
      </c>
      <c r="D565" t="s">
        <v>17</v>
      </c>
      <c r="E565">
        <v>280.95999999999998</v>
      </c>
      <c r="F565" t="s">
        <v>88</v>
      </c>
      <c r="G565" s="19">
        <v>45387</v>
      </c>
      <c r="H565" t="s">
        <v>89</v>
      </c>
      <c r="I565" t="s">
        <v>2840</v>
      </c>
      <c r="J565"/>
      <c r="K565" t="s">
        <v>2841</v>
      </c>
      <c r="L565" t="s">
        <v>2842</v>
      </c>
      <c r="M565" t="s">
        <v>100</v>
      </c>
      <c r="Q565" s="3">
        <f t="shared" si="28"/>
        <v>280.95999999999998</v>
      </c>
      <c r="V565" s="3" t="str">
        <f t="shared" si="29"/>
        <v/>
      </c>
    </row>
    <row r="566" spans="1:22" x14ac:dyDescent="0.35">
      <c r="A566" t="s">
        <v>35</v>
      </c>
      <c r="B566" t="s">
        <v>1566</v>
      </c>
      <c r="C566" t="s">
        <v>16</v>
      </c>
      <c r="D566" t="s">
        <v>17</v>
      </c>
      <c r="E566">
        <v>280</v>
      </c>
      <c r="F566" t="s">
        <v>88</v>
      </c>
      <c r="G566" s="19">
        <v>45545</v>
      </c>
      <c r="H566" t="s">
        <v>94</v>
      </c>
      <c r="I566" t="s">
        <v>289</v>
      </c>
      <c r="J566" t="s">
        <v>4284</v>
      </c>
      <c r="O566" t="s">
        <v>4285</v>
      </c>
      <c r="Q566" s="3">
        <f t="shared" si="28"/>
        <v>280</v>
      </c>
      <c r="V566" s="3" t="str">
        <f t="shared" si="29"/>
        <v/>
      </c>
    </row>
    <row r="567" spans="1:22" x14ac:dyDescent="0.35">
      <c r="A567" t="s">
        <v>35</v>
      </c>
      <c r="B567" t="s">
        <v>1566</v>
      </c>
      <c r="C567" t="s">
        <v>16</v>
      </c>
      <c r="D567" t="s">
        <v>17</v>
      </c>
      <c r="E567">
        <v>279.42</v>
      </c>
      <c r="F567" t="s">
        <v>88</v>
      </c>
      <c r="G567" s="19">
        <v>45408</v>
      </c>
      <c r="H567" t="s">
        <v>94</v>
      </c>
      <c r="I567" t="s">
        <v>3116</v>
      </c>
      <c r="J567" t="s">
        <v>3117</v>
      </c>
      <c r="O567" t="s">
        <v>3118</v>
      </c>
      <c r="Q567" s="3">
        <f t="shared" si="28"/>
        <v>279.42</v>
      </c>
      <c r="V567" s="3" t="str">
        <f t="shared" si="29"/>
        <v/>
      </c>
    </row>
    <row r="568" spans="1:22" x14ac:dyDescent="0.35">
      <c r="A568" t="s">
        <v>35</v>
      </c>
      <c r="B568" t="s">
        <v>3466</v>
      </c>
      <c r="C568" t="s">
        <v>16</v>
      </c>
      <c r="D568" t="s">
        <v>17</v>
      </c>
      <c r="E568">
        <v>278.18</v>
      </c>
      <c r="F568" t="s">
        <v>88</v>
      </c>
      <c r="G568" s="19">
        <v>45635</v>
      </c>
      <c r="H568" t="s">
        <v>94</v>
      </c>
      <c r="I568" t="s">
        <v>239</v>
      </c>
      <c r="J568" t="s">
        <v>5184</v>
      </c>
      <c r="O568" t="s">
        <v>5185</v>
      </c>
      <c r="Q568" s="3">
        <f t="shared" si="28"/>
        <v>278.18</v>
      </c>
      <c r="V568" s="3" t="str">
        <f t="shared" si="29"/>
        <v/>
      </c>
    </row>
    <row r="569" spans="1:22" x14ac:dyDescent="0.35">
      <c r="A569" t="s">
        <v>35</v>
      </c>
      <c r="B569" t="s">
        <v>698</v>
      </c>
      <c r="C569" t="s">
        <v>16</v>
      </c>
      <c r="D569" t="s">
        <v>17</v>
      </c>
      <c r="E569">
        <v>278.17</v>
      </c>
      <c r="F569" t="s">
        <v>88</v>
      </c>
      <c r="G569" s="19">
        <v>45586</v>
      </c>
      <c r="H569" t="s">
        <v>94</v>
      </c>
      <c r="I569" t="s">
        <v>2954</v>
      </c>
      <c r="J569" t="s">
        <v>4705</v>
      </c>
      <c r="O569" t="s">
        <v>4706</v>
      </c>
      <c r="Q569" s="3">
        <f t="shared" si="28"/>
        <v>278.17</v>
      </c>
      <c r="S569" s="69" t="s">
        <v>53</v>
      </c>
      <c r="T569" t="s">
        <v>64</v>
      </c>
      <c r="U569" t="str">
        <f>B569</f>
        <v>AU030213</v>
      </c>
      <c r="V569" s="3">
        <f t="shared" si="29"/>
        <v>278.17</v>
      </c>
    </row>
    <row r="570" spans="1:22" x14ac:dyDescent="0.35">
      <c r="A570" t="s">
        <v>0</v>
      </c>
      <c r="B570" t="s">
        <v>1566</v>
      </c>
      <c r="C570" t="s">
        <v>16</v>
      </c>
      <c r="D570" t="s">
        <v>17</v>
      </c>
      <c r="E570">
        <v>277.2</v>
      </c>
      <c r="F570" t="s">
        <v>88</v>
      </c>
      <c r="G570" s="19">
        <v>45597</v>
      </c>
      <c r="H570" t="s">
        <v>89</v>
      </c>
      <c r="I570" t="s">
        <v>4793</v>
      </c>
      <c r="J570"/>
      <c r="K570" t="s">
        <v>4796</v>
      </c>
      <c r="L570" t="s">
        <v>4795</v>
      </c>
      <c r="M570" t="s">
        <v>149</v>
      </c>
      <c r="Q570" s="3">
        <f t="shared" si="28"/>
        <v>277.2</v>
      </c>
      <c r="V570" s="3" t="str">
        <f t="shared" si="29"/>
        <v/>
      </c>
    </row>
    <row r="571" spans="1:22" x14ac:dyDescent="0.35">
      <c r="A571" t="s">
        <v>35</v>
      </c>
      <c r="B571" t="s">
        <v>1566</v>
      </c>
      <c r="C571" t="s">
        <v>16</v>
      </c>
      <c r="D571" t="s">
        <v>17</v>
      </c>
      <c r="E571">
        <v>276.82</v>
      </c>
      <c r="F571" t="s">
        <v>88</v>
      </c>
      <c r="G571" s="19">
        <v>45539</v>
      </c>
      <c r="H571" t="s">
        <v>94</v>
      </c>
      <c r="I571" t="s">
        <v>232</v>
      </c>
      <c r="J571" t="s">
        <v>4218</v>
      </c>
      <c r="O571" t="s">
        <v>627</v>
      </c>
      <c r="Q571" s="3">
        <f t="shared" si="28"/>
        <v>276.82</v>
      </c>
      <c r="V571" s="3" t="str">
        <f t="shared" si="29"/>
        <v/>
      </c>
    </row>
    <row r="572" spans="1:22" x14ac:dyDescent="0.35">
      <c r="A572" t="s">
        <v>35</v>
      </c>
      <c r="B572" t="s">
        <v>1566</v>
      </c>
      <c r="C572" t="s">
        <v>16</v>
      </c>
      <c r="D572" t="s">
        <v>17</v>
      </c>
      <c r="E572">
        <v>276.82</v>
      </c>
      <c r="F572" t="s">
        <v>88</v>
      </c>
      <c r="G572" s="19">
        <v>45539</v>
      </c>
      <c r="H572" t="s">
        <v>94</v>
      </c>
      <c r="I572" t="s">
        <v>232</v>
      </c>
      <c r="J572" t="s">
        <v>4219</v>
      </c>
      <c r="O572" t="s">
        <v>627</v>
      </c>
      <c r="Q572" s="3">
        <f t="shared" si="28"/>
        <v>276.82</v>
      </c>
      <c r="V572" s="3" t="str">
        <f t="shared" si="29"/>
        <v/>
      </c>
    </row>
    <row r="573" spans="1:22" x14ac:dyDescent="0.35">
      <c r="A573" t="s">
        <v>35</v>
      </c>
      <c r="B573" t="s">
        <v>1566</v>
      </c>
      <c r="C573" t="s">
        <v>16</v>
      </c>
      <c r="D573" t="s">
        <v>17</v>
      </c>
      <c r="E573">
        <v>276.82</v>
      </c>
      <c r="F573" t="s">
        <v>88</v>
      </c>
      <c r="G573" s="19">
        <v>45545</v>
      </c>
      <c r="H573" t="s">
        <v>94</v>
      </c>
      <c r="I573" t="s">
        <v>232</v>
      </c>
      <c r="J573" t="s">
        <v>4277</v>
      </c>
      <c r="O573" t="s">
        <v>627</v>
      </c>
      <c r="Q573" s="3">
        <f t="shared" si="28"/>
        <v>276.82</v>
      </c>
      <c r="V573" s="3" t="str">
        <f t="shared" si="29"/>
        <v/>
      </c>
    </row>
    <row r="574" spans="1:22" x14ac:dyDescent="0.35">
      <c r="A574" t="s">
        <v>35</v>
      </c>
      <c r="B574" t="s">
        <v>1566</v>
      </c>
      <c r="C574" t="s">
        <v>16</v>
      </c>
      <c r="D574" t="s">
        <v>17</v>
      </c>
      <c r="E574">
        <v>276.82</v>
      </c>
      <c r="F574" t="s">
        <v>88</v>
      </c>
      <c r="G574" s="19">
        <v>45547</v>
      </c>
      <c r="H574" t="s">
        <v>94</v>
      </c>
      <c r="I574" t="s">
        <v>3672</v>
      </c>
      <c r="J574" t="s">
        <v>4353</v>
      </c>
      <c r="O574" t="s">
        <v>627</v>
      </c>
      <c r="Q574" s="3">
        <f t="shared" si="28"/>
        <v>276.82</v>
      </c>
      <c r="V574" s="3" t="str">
        <f t="shared" si="29"/>
        <v/>
      </c>
    </row>
    <row r="575" spans="1:22" x14ac:dyDescent="0.35">
      <c r="A575" t="s">
        <v>35</v>
      </c>
      <c r="B575" t="s">
        <v>1566</v>
      </c>
      <c r="C575" t="s">
        <v>16</v>
      </c>
      <c r="D575" t="s">
        <v>17</v>
      </c>
      <c r="E575">
        <v>276.08999999999997</v>
      </c>
      <c r="F575" t="s">
        <v>88</v>
      </c>
      <c r="G575" s="19">
        <v>45453</v>
      </c>
      <c r="H575" t="s">
        <v>94</v>
      </c>
      <c r="I575" t="s">
        <v>3522</v>
      </c>
      <c r="J575" t="s">
        <v>3523</v>
      </c>
      <c r="O575" t="s">
        <v>3524</v>
      </c>
      <c r="Q575" s="3">
        <f t="shared" si="28"/>
        <v>276.08999999999997</v>
      </c>
      <c r="V575" s="3" t="str">
        <f t="shared" si="29"/>
        <v/>
      </c>
    </row>
    <row r="576" spans="1:22" x14ac:dyDescent="0.35">
      <c r="A576" t="s">
        <v>35</v>
      </c>
      <c r="B576" t="s">
        <v>1566</v>
      </c>
      <c r="C576" t="s">
        <v>16</v>
      </c>
      <c r="D576" t="s">
        <v>17</v>
      </c>
      <c r="E576">
        <v>274.42</v>
      </c>
      <c r="F576" t="s">
        <v>88</v>
      </c>
      <c r="G576" s="19">
        <v>45551</v>
      </c>
      <c r="H576" t="s">
        <v>89</v>
      </c>
      <c r="I576" t="s">
        <v>4368</v>
      </c>
      <c r="J576"/>
      <c r="K576" t="s">
        <v>4369</v>
      </c>
      <c r="L576" t="s">
        <v>4370</v>
      </c>
      <c r="M576" t="s">
        <v>4371</v>
      </c>
      <c r="Q576" s="3">
        <f t="shared" si="28"/>
        <v>274.42</v>
      </c>
      <c r="V576" s="3" t="str">
        <f t="shared" si="29"/>
        <v/>
      </c>
    </row>
    <row r="577" spans="1:22" x14ac:dyDescent="0.35">
      <c r="A577" t="s">
        <v>35</v>
      </c>
      <c r="B577" t="s">
        <v>1566</v>
      </c>
      <c r="C577" t="s">
        <v>16</v>
      </c>
      <c r="D577" t="s">
        <v>17</v>
      </c>
      <c r="E577">
        <v>274.42</v>
      </c>
      <c r="F577" t="s">
        <v>88</v>
      </c>
      <c r="G577" s="19">
        <v>45551</v>
      </c>
      <c r="H577" t="s">
        <v>89</v>
      </c>
      <c r="I577" t="s">
        <v>4372</v>
      </c>
      <c r="J577"/>
      <c r="K577" t="s">
        <v>4373</v>
      </c>
      <c r="L577" t="s">
        <v>4374</v>
      </c>
      <c r="M577" t="s">
        <v>4371</v>
      </c>
      <c r="Q577" s="3">
        <f t="shared" si="28"/>
        <v>274.42</v>
      </c>
      <c r="V577" s="3" t="str">
        <f t="shared" si="29"/>
        <v/>
      </c>
    </row>
    <row r="578" spans="1:22" x14ac:dyDescent="0.35">
      <c r="A578" t="s">
        <v>35</v>
      </c>
      <c r="B578" t="s">
        <v>825</v>
      </c>
      <c r="C578" t="s">
        <v>16</v>
      </c>
      <c r="D578" t="s">
        <v>17</v>
      </c>
      <c r="E578">
        <v>272.73</v>
      </c>
      <c r="F578" t="s">
        <v>88</v>
      </c>
      <c r="G578" s="19">
        <v>45483</v>
      </c>
      <c r="H578" t="s">
        <v>94</v>
      </c>
      <c r="I578" t="s">
        <v>3807</v>
      </c>
      <c r="J578" t="s">
        <v>3808</v>
      </c>
      <c r="O578" t="s">
        <v>3809</v>
      </c>
      <c r="Q578" s="3">
        <f t="shared" si="28"/>
        <v>272.73</v>
      </c>
      <c r="V578" s="3" t="str">
        <f t="shared" si="29"/>
        <v/>
      </c>
    </row>
    <row r="579" spans="1:22" x14ac:dyDescent="0.35">
      <c r="A579" t="s">
        <v>35</v>
      </c>
      <c r="B579" t="s">
        <v>1566</v>
      </c>
      <c r="C579" t="s">
        <v>16</v>
      </c>
      <c r="D579" t="s">
        <v>17</v>
      </c>
      <c r="E579">
        <v>272.73</v>
      </c>
      <c r="F579" t="s">
        <v>88</v>
      </c>
      <c r="G579" s="19">
        <v>45545</v>
      </c>
      <c r="H579" t="s">
        <v>94</v>
      </c>
      <c r="I579" t="s">
        <v>232</v>
      </c>
      <c r="J579" t="s">
        <v>4276</v>
      </c>
      <c r="O579" t="s">
        <v>627</v>
      </c>
      <c r="Q579" s="3">
        <f t="shared" si="28"/>
        <v>272.73</v>
      </c>
      <c r="V579" s="3" t="str">
        <f t="shared" si="29"/>
        <v/>
      </c>
    </row>
    <row r="580" spans="1:22" x14ac:dyDescent="0.35">
      <c r="A580" t="s">
        <v>35</v>
      </c>
      <c r="B580" t="s">
        <v>1566</v>
      </c>
      <c r="C580" t="s">
        <v>16</v>
      </c>
      <c r="D580" t="s">
        <v>17</v>
      </c>
      <c r="E580">
        <v>272.73</v>
      </c>
      <c r="F580" t="s">
        <v>88</v>
      </c>
      <c r="G580" s="19">
        <v>45545</v>
      </c>
      <c r="H580" t="s">
        <v>94</v>
      </c>
      <c r="I580" t="s">
        <v>4300</v>
      </c>
      <c r="J580" t="s">
        <v>4301</v>
      </c>
      <c r="O580" t="s">
        <v>4302</v>
      </c>
      <c r="Q580" s="3">
        <f t="shared" si="28"/>
        <v>272.73</v>
      </c>
      <c r="V580" s="3" t="str">
        <f t="shared" si="29"/>
        <v/>
      </c>
    </row>
    <row r="581" spans="1:22" x14ac:dyDescent="0.35">
      <c r="A581" t="s">
        <v>35</v>
      </c>
      <c r="B581" t="s">
        <v>1566</v>
      </c>
      <c r="C581" t="s">
        <v>16</v>
      </c>
      <c r="D581" t="s">
        <v>17</v>
      </c>
      <c r="E581">
        <v>272.73</v>
      </c>
      <c r="F581" t="s">
        <v>88</v>
      </c>
      <c r="G581" s="19">
        <v>45558</v>
      </c>
      <c r="H581" t="s">
        <v>94</v>
      </c>
      <c r="I581" t="s">
        <v>4435</v>
      </c>
      <c r="J581" t="s">
        <v>4436</v>
      </c>
      <c r="O581" t="s">
        <v>4437</v>
      </c>
      <c r="Q581" s="3">
        <f t="shared" si="28"/>
        <v>272.73</v>
      </c>
      <c r="S581" s="69" t="s">
        <v>53</v>
      </c>
      <c r="T581" t="s">
        <v>64</v>
      </c>
      <c r="U581" t="str">
        <f t="shared" ref="U581" si="30">B581</f>
        <v>AU032046</v>
      </c>
      <c r="V581" s="3">
        <f t="shared" ref="V581" si="31">IF(T581="Y",E581,"")</f>
        <v>272.73</v>
      </c>
    </row>
    <row r="582" spans="1:22" x14ac:dyDescent="0.35">
      <c r="A582" t="s">
        <v>35</v>
      </c>
      <c r="B582" t="s">
        <v>1627</v>
      </c>
      <c r="C582" t="s">
        <v>16</v>
      </c>
      <c r="D582" t="s">
        <v>17</v>
      </c>
      <c r="E582">
        <v>270</v>
      </c>
      <c r="F582" t="s">
        <v>88</v>
      </c>
      <c r="G582" s="19">
        <v>45534</v>
      </c>
      <c r="H582" t="s">
        <v>94</v>
      </c>
      <c r="I582" t="s">
        <v>4128</v>
      </c>
      <c r="J582" t="s">
        <v>4129</v>
      </c>
      <c r="O582" t="s">
        <v>4130</v>
      </c>
      <c r="Q582" s="3">
        <f t="shared" si="28"/>
        <v>270</v>
      </c>
      <c r="V582" s="3" t="str">
        <f t="shared" si="29"/>
        <v/>
      </c>
    </row>
    <row r="583" spans="1:22" x14ac:dyDescent="0.35">
      <c r="A583" t="s">
        <v>35</v>
      </c>
      <c r="B583" t="s">
        <v>1566</v>
      </c>
      <c r="C583" t="s">
        <v>16</v>
      </c>
      <c r="D583" t="s">
        <v>17</v>
      </c>
      <c r="E583">
        <v>263.64</v>
      </c>
      <c r="F583" t="s">
        <v>88</v>
      </c>
      <c r="G583" s="19">
        <v>45496</v>
      </c>
      <c r="H583" t="s">
        <v>94</v>
      </c>
      <c r="I583" t="s">
        <v>223</v>
      </c>
      <c r="J583" t="s">
        <v>3874</v>
      </c>
      <c r="O583" t="s">
        <v>3875</v>
      </c>
      <c r="Q583" s="3">
        <f t="shared" si="28"/>
        <v>263.64</v>
      </c>
      <c r="S583" s="69" t="s">
        <v>53</v>
      </c>
      <c r="T583" t="s">
        <v>64</v>
      </c>
      <c r="U583" t="str">
        <f t="shared" ref="U583" si="32">B583</f>
        <v>AU032046</v>
      </c>
      <c r="V583" s="3">
        <f t="shared" si="29"/>
        <v>263.64</v>
      </c>
    </row>
    <row r="584" spans="1:22" ht="87" x14ac:dyDescent="0.35">
      <c r="A584" t="s">
        <v>35</v>
      </c>
      <c r="B584" t="s">
        <v>1566</v>
      </c>
      <c r="C584" t="s">
        <v>16</v>
      </c>
      <c r="D584" t="s">
        <v>17</v>
      </c>
      <c r="E584">
        <v>260.41000000000003</v>
      </c>
      <c r="F584" t="s">
        <v>88</v>
      </c>
      <c r="G584" s="19">
        <v>45398</v>
      </c>
      <c r="H584" t="s">
        <v>94</v>
      </c>
      <c r="I584" t="s">
        <v>3025</v>
      </c>
      <c r="J584" t="s">
        <v>3026</v>
      </c>
      <c r="O584" t="s">
        <v>546</v>
      </c>
      <c r="Q584" s="3">
        <f t="shared" ref="Q584:Q647" si="33">ABS(E584)</f>
        <v>260.41000000000003</v>
      </c>
      <c r="R584" s="69" t="s">
        <v>5326</v>
      </c>
      <c r="S584" s="69" t="s">
        <v>5327</v>
      </c>
      <c r="V584" s="3" t="str">
        <f t="shared" si="29"/>
        <v/>
      </c>
    </row>
    <row r="585" spans="1:22" x14ac:dyDescent="0.35">
      <c r="A585" t="s">
        <v>0</v>
      </c>
      <c r="B585" t="s">
        <v>1566</v>
      </c>
      <c r="C585" t="s">
        <v>16</v>
      </c>
      <c r="D585" t="s">
        <v>17</v>
      </c>
      <c r="E585">
        <v>260.14999999999998</v>
      </c>
      <c r="F585" t="s">
        <v>88</v>
      </c>
      <c r="G585" s="19">
        <v>45597</v>
      </c>
      <c r="H585" t="s">
        <v>89</v>
      </c>
      <c r="I585" t="s">
        <v>4766</v>
      </c>
      <c r="J585"/>
      <c r="K585" t="s">
        <v>4767</v>
      </c>
      <c r="L585" t="s">
        <v>4768</v>
      </c>
      <c r="M585" t="s">
        <v>100</v>
      </c>
      <c r="Q585" s="3">
        <f t="shared" si="33"/>
        <v>260.14999999999998</v>
      </c>
      <c r="V585" s="3" t="str">
        <f t="shared" ref="V585:V648" si="34">IF(T585="Y",E585,"")</f>
        <v/>
      </c>
    </row>
    <row r="586" spans="1:22" ht="87" x14ac:dyDescent="0.35">
      <c r="A586" t="s">
        <v>35</v>
      </c>
      <c r="B586" t="s">
        <v>1566</v>
      </c>
      <c r="C586" t="s">
        <v>16</v>
      </c>
      <c r="D586" t="s">
        <v>17</v>
      </c>
      <c r="E586">
        <v>260</v>
      </c>
      <c r="F586" t="s">
        <v>88</v>
      </c>
      <c r="G586" s="19">
        <v>45618</v>
      </c>
      <c r="H586" t="s">
        <v>94</v>
      </c>
      <c r="I586" t="s">
        <v>384</v>
      </c>
      <c r="J586" t="s">
        <v>4989</v>
      </c>
      <c r="O586" t="s">
        <v>4990</v>
      </c>
      <c r="Q586" s="3">
        <f t="shared" si="33"/>
        <v>260</v>
      </c>
      <c r="R586" s="69" t="s">
        <v>5326</v>
      </c>
      <c r="S586" s="69" t="s">
        <v>5327</v>
      </c>
      <c r="V586" s="3" t="str">
        <f t="shared" si="34"/>
        <v/>
      </c>
    </row>
    <row r="587" spans="1:22" x14ac:dyDescent="0.35">
      <c r="A587" t="s">
        <v>0</v>
      </c>
      <c r="B587" t="s">
        <v>1566</v>
      </c>
      <c r="C587" t="s">
        <v>16</v>
      </c>
      <c r="D587" t="s">
        <v>17</v>
      </c>
      <c r="E587">
        <v>259.49</v>
      </c>
      <c r="F587" t="s">
        <v>88</v>
      </c>
      <c r="G587" s="19">
        <v>45478</v>
      </c>
      <c r="H587" t="s">
        <v>89</v>
      </c>
      <c r="I587" t="s">
        <v>3779</v>
      </c>
      <c r="J587"/>
      <c r="K587" t="s">
        <v>3780</v>
      </c>
      <c r="L587" t="s">
        <v>3781</v>
      </c>
      <c r="M587" t="s">
        <v>159</v>
      </c>
      <c r="Q587" s="3">
        <f t="shared" si="33"/>
        <v>259.49</v>
      </c>
      <c r="V587" s="3" t="str">
        <f t="shared" si="34"/>
        <v/>
      </c>
    </row>
    <row r="588" spans="1:22" x14ac:dyDescent="0.35">
      <c r="A588" t="s">
        <v>0</v>
      </c>
      <c r="B588" t="s">
        <v>1566</v>
      </c>
      <c r="C588" t="s">
        <v>16</v>
      </c>
      <c r="D588" t="s">
        <v>17</v>
      </c>
      <c r="E588">
        <v>259.49</v>
      </c>
      <c r="F588" t="s">
        <v>88</v>
      </c>
      <c r="G588" s="19">
        <v>45478</v>
      </c>
      <c r="H588" t="s">
        <v>89</v>
      </c>
      <c r="I588" t="s">
        <v>3782</v>
      </c>
      <c r="J588"/>
      <c r="K588" t="s">
        <v>3783</v>
      </c>
      <c r="L588" t="s">
        <v>3784</v>
      </c>
      <c r="M588" t="s">
        <v>159</v>
      </c>
      <c r="Q588" s="3">
        <f t="shared" si="33"/>
        <v>259.49</v>
      </c>
      <c r="V588" s="3" t="str">
        <f t="shared" si="34"/>
        <v/>
      </c>
    </row>
    <row r="589" spans="1:22" x14ac:dyDescent="0.35">
      <c r="A589" t="s">
        <v>0</v>
      </c>
      <c r="B589" t="s">
        <v>1566</v>
      </c>
      <c r="C589" t="s">
        <v>16</v>
      </c>
      <c r="D589" t="s">
        <v>17</v>
      </c>
      <c r="E589">
        <v>259.49</v>
      </c>
      <c r="F589" t="s">
        <v>88</v>
      </c>
      <c r="G589" s="19">
        <v>45539</v>
      </c>
      <c r="H589" t="s">
        <v>89</v>
      </c>
      <c r="I589" t="s">
        <v>4199</v>
      </c>
      <c r="J589"/>
      <c r="K589" t="s">
        <v>4200</v>
      </c>
      <c r="L589" t="s">
        <v>4201</v>
      </c>
      <c r="M589" t="s">
        <v>159</v>
      </c>
      <c r="Q589" s="3">
        <f t="shared" si="33"/>
        <v>259.49</v>
      </c>
      <c r="V589" s="3" t="str">
        <f t="shared" si="34"/>
        <v/>
      </c>
    </row>
    <row r="590" spans="1:22" x14ac:dyDescent="0.35">
      <c r="A590" t="s">
        <v>0</v>
      </c>
      <c r="B590" t="s">
        <v>1566</v>
      </c>
      <c r="C590" t="s">
        <v>16</v>
      </c>
      <c r="D590" t="s">
        <v>17</v>
      </c>
      <c r="E590">
        <v>259.49</v>
      </c>
      <c r="F590" t="s">
        <v>88</v>
      </c>
      <c r="G590" s="19">
        <v>45558</v>
      </c>
      <c r="H590" t="s">
        <v>89</v>
      </c>
      <c r="I590" t="s">
        <v>4407</v>
      </c>
      <c r="J590"/>
      <c r="K590" t="s">
        <v>4408</v>
      </c>
      <c r="L590" t="s">
        <v>4409</v>
      </c>
      <c r="M590" t="s">
        <v>159</v>
      </c>
      <c r="Q590" s="3">
        <f t="shared" si="33"/>
        <v>259.49</v>
      </c>
      <c r="V590" s="3" t="str">
        <f t="shared" si="34"/>
        <v/>
      </c>
    </row>
    <row r="591" spans="1:22" x14ac:dyDescent="0.35">
      <c r="A591" t="s">
        <v>0</v>
      </c>
      <c r="B591" t="s">
        <v>1566</v>
      </c>
      <c r="C591" t="s">
        <v>16</v>
      </c>
      <c r="D591" t="s">
        <v>17</v>
      </c>
      <c r="E591">
        <v>259.49</v>
      </c>
      <c r="F591" t="s">
        <v>88</v>
      </c>
      <c r="G591" s="19">
        <v>45597</v>
      </c>
      <c r="H591" t="s">
        <v>89</v>
      </c>
      <c r="I591" t="s">
        <v>4754</v>
      </c>
      <c r="J591"/>
      <c r="K591" t="s">
        <v>4755</v>
      </c>
      <c r="L591" t="s">
        <v>4756</v>
      </c>
      <c r="M591" t="s">
        <v>159</v>
      </c>
      <c r="Q591" s="3">
        <f t="shared" si="33"/>
        <v>259.49</v>
      </c>
      <c r="V591" s="3" t="str">
        <f t="shared" si="34"/>
        <v/>
      </c>
    </row>
    <row r="592" spans="1:22" x14ac:dyDescent="0.35">
      <c r="A592" t="s">
        <v>0</v>
      </c>
      <c r="B592" t="s">
        <v>1566</v>
      </c>
      <c r="C592" t="s">
        <v>16</v>
      </c>
      <c r="D592" t="s">
        <v>17</v>
      </c>
      <c r="E592">
        <v>259.49</v>
      </c>
      <c r="F592" t="s">
        <v>88</v>
      </c>
      <c r="G592" s="19">
        <v>45629</v>
      </c>
      <c r="H592" t="s">
        <v>89</v>
      </c>
      <c r="I592" t="s">
        <v>5063</v>
      </c>
      <c r="J592"/>
      <c r="K592" t="s">
        <v>5064</v>
      </c>
      <c r="L592" t="s">
        <v>5065</v>
      </c>
      <c r="M592" t="s">
        <v>159</v>
      </c>
      <c r="Q592" s="3">
        <f t="shared" si="33"/>
        <v>259.49</v>
      </c>
      <c r="V592" s="3" t="str">
        <f t="shared" si="34"/>
        <v/>
      </c>
    </row>
    <row r="593" spans="1:22" x14ac:dyDescent="0.35">
      <c r="A593" t="s">
        <v>0</v>
      </c>
      <c r="B593" t="s">
        <v>1566</v>
      </c>
      <c r="C593" t="s">
        <v>16</v>
      </c>
      <c r="D593" t="s">
        <v>17</v>
      </c>
      <c r="E593">
        <v>259.49</v>
      </c>
      <c r="F593" t="s">
        <v>88</v>
      </c>
      <c r="G593" s="19">
        <v>45629</v>
      </c>
      <c r="H593" t="s">
        <v>89</v>
      </c>
      <c r="I593" t="s">
        <v>5066</v>
      </c>
      <c r="J593"/>
      <c r="K593" t="s">
        <v>5067</v>
      </c>
      <c r="L593" t="s">
        <v>5068</v>
      </c>
      <c r="M593" t="s">
        <v>159</v>
      </c>
      <c r="Q593" s="3">
        <f t="shared" si="33"/>
        <v>259.49</v>
      </c>
      <c r="V593" s="3" t="str">
        <f t="shared" si="34"/>
        <v/>
      </c>
    </row>
    <row r="594" spans="1:22" x14ac:dyDescent="0.35">
      <c r="A594" t="s">
        <v>0</v>
      </c>
      <c r="B594" t="s">
        <v>1566</v>
      </c>
      <c r="C594" t="s">
        <v>16</v>
      </c>
      <c r="D594" t="s">
        <v>17</v>
      </c>
      <c r="E594">
        <v>259.49</v>
      </c>
      <c r="F594" t="s">
        <v>88</v>
      </c>
      <c r="G594" s="19">
        <v>45629</v>
      </c>
      <c r="H594" t="s">
        <v>89</v>
      </c>
      <c r="I594" t="s">
        <v>5069</v>
      </c>
      <c r="J594"/>
      <c r="K594" t="s">
        <v>5070</v>
      </c>
      <c r="L594" t="s">
        <v>5071</v>
      </c>
      <c r="M594" t="s">
        <v>159</v>
      </c>
      <c r="Q594" s="3">
        <f t="shared" si="33"/>
        <v>259.49</v>
      </c>
      <c r="V594" s="3" t="str">
        <f t="shared" si="34"/>
        <v/>
      </c>
    </row>
    <row r="595" spans="1:22" x14ac:dyDescent="0.35">
      <c r="A595" t="s">
        <v>0</v>
      </c>
      <c r="B595" t="s">
        <v>1566</v>
      </c>
      <c r="C595" t="s">
        <v>16</v>
      </c>
      <c r="D595" t="s">
        <v>17</v>
      </c>
      <c r="E595">
        <v>-259.49</v>
      </c>
      <c r="F595" t="s">
        <v>88</v>
      </c>
      <c r="G595" s="19">
        <v>45635</v>
      </c>
      <c r="H595" t="s">
        <v>89</v>
      </c>
      <c r="I595" t="s">
        <v>5069</v>
      </c>
      <c r="J595"/>
      <c r="K595" t="s">
        <v>5070</v>
      </c>
      <c r="L595" t="s">
        <v>5071</v>
      </c>
      <c r="M595" t="s">
        <v>159</v>
      </c>
      <c r="Q595" s="3">
        <f t="shared" si="33"/>
        <v>259.49</v>
      </c>
      <c r="V595" s="3" t="str">
        <f t="shared" si="34"/>
        <v/>
      </c>
    </row>
    <row r="596" spans="1:22" x14ac:dyDescent="0.35">
      <c r="A596" t="s">
        <v>0</v>
      </c>
      <c r="B596" t="s">
        <v>1566</v>
      </c>
      <c r="C596" t="s">
        <v>16</v>
      </c>
      <c r="D596" t="s">
        <v>17</v>
      </c>
      <c r="E596">
        <v>259.04000000000002</v>
      </c>
      <c r="F596" t="s">
        <v>88</v>
      </c>
      <c r="G596" s="19">
        <v>45425</v>
      </c>
      <c r="H596" t="s">
        <v>89</v>
      </c>
      <c r="I596" t="s">
        <v>3193</v>
      </c>
      <c r="J596"/>
      <c r="K596" t="s">
        <v>3194</v>
      </c>
      <c r="L596" t="s">
        <v>3195</v>
      </c>
      <c r="M596" t="s">
        <v>159</v>
      </c>
      <c r="Q596" s="3">
        <f t="shared" si="33"/>
        <v>259.04000000000002</v>
      </c>
      <c r="V596" s="3" t="str">
        <f t="shared" si="34"/>
        <v/>
      </c>
    </row>
    <row r="597" spans="1:22" x14ac:dyDescent="0.35">
      <c r="A597" t="s">
        <v>35</v>
      </c>
      <c r="B597" t="s">
        <v>698</v>
      </c>
      <c r="C597" t="s">
        <v>16</v>
      </c>
      <c r="D597" t="s">
        <v>17</v>
      </c>
      <c r="E597">
        <v>257.82</v>
      </c>
      <c r="F597" t="s">
        <v>88</v>
      </c>
      <c r="G597" s="19">
        <v>45586</v>
      </c>
      <c r="H597" t="s">
        <v>94</v>
      </c>
      <c r="I597" t="s">
        <v>2957</v>
      </c>
      <c r="J597" t="s">
        <v>4709</v>
      </c>
      <c r="O597" t="s">
        <v>4710</v>
      </c>
      <c r="Q597" s="3">
        <f t="shared" si="33"/>
        <v>257.82</v>
      </c>
      <c r="V597" s="3" t="str">
        <f t="shared" si="34"/>
        <v/>
      </c>
    </row>
    <row r="598" spans="1:22" x14ac:dyDescent="0.35">
      <c r="A598" t="s">
        <v>35</v>
      </c>
      <c r="B598" t="s">
        <v>1106</v>
      </c>
      <c r="C598" t="s">
        <v>16</v>
      </c>
      <c r="D598" t="s">
        <v>17</v>
      </c>
      <c r="E598">
        <v>257.60000000000002</v>
      </c>
      <c r="F598" t="s">
        <v>88</v>
      </c>
      <c r="G598" s="19">
        <v>45435</v>
      </c>
      <c r="H598" t="s">
        <v>94</v>
      </c>
      <c r="I598" t="s">
        <v>3332</v>
      </c>
      <c r="J598" t="s">
        <v>3333</v>
      </c>
      <c r="O598" t="s">
        <v>3334</v>
      </c>
      <c r="Q598" s="3">
        <f t="shared" si="33"/>
        <v>257.60000000000002</v>
      </c>
      <c r="V598" s="3" t="str">
        <f t="shared" si="34"/>
        <v/>
      </c>
    </row>
    <row r="599" spans="1:22" x14ac:dyDescent="0.35">
      <c r="A599" t="s">
        <v>35</v>
      </c>
      <c r="B599" t="s">
        <v>622</v>
      </c>
      <c r="C599" t="s">
        <v>16</v>
      </c>
      <c r="D599" t="s">
        <v>17</v>
      </c>
      <c r="E599">
        <v>256.24</v>
      </c>
      <c r="F599" t="s">
        <v>88</v>
      </c>
      <c r="G599" s="19">
        <v>45520</v>
      </c>
      <c r="H599" t="s">
        <v>89</v>
      </c>
      <c r="I599" t="s">
        <v>4048</v>
      </c>
      <c r="J599"/>
      <c r="K599" t="s">
        <v>4049</v>
      </c>
      <c r="L599" t="s">
        <v>4050</v>
      </c>
      <c r="M599" t="s">
        <v>159</v>
      </c>
      <c r="Q599" s="3">
        <f t="shared" si="33"/>
        <v>256.24</v>
      </c>
      <c r="V599" s="3" t="str">
        <f t="shared" si="34"/>
        <v/>
      </c>
    </row>
    <row r="600" spans="1:22" x14ac:dyDescent="0.35">
      <c r="A600" t="s">
        <v>35</v>
      </c>
      <c r="B600" t="s">
        <v>825</v>
      </c>
      <c r="C600" t="s">
        <v>16</v>
      </c>
      <c r="D600" t="s">
        <v>17</v>
      </c>
      <c r="E600">
        <v>254.54000000000002</v>
      </c>
      <c r="F600" t="s">
        <v>88</v>
      </c>
      <c r="G600" s="19">
        <v>45551</v>
      </c>
      <c r="H600" t="s">
        <v>94</v>
      </c>
      <c r="I600" t="s">
        <v>448</v>
      </c>
      <c r="J600" t="s">
        <v>4379</v>
      </c>
      <c r="O600" t="s">
        <v>4383</v>
      </c>
      <c r="Q600" s="3">
        <f t="shared" si="33"/>
        <v>254.54000000000002</v>
      </c>
      <c r="V600" s="3" t="str">
        <f t="shared" si="34"/>
        <v/>
      </c>
    </row>
    <row r="601" spans="1:22" x14ac:dyDescent="0.35">
      <c r="A601" t="s">
        <v>35</v>
      </c>
      <c r="B601" t="s">
        <v>2226</v>
      </c>
      <c r="C601" t="s">
        <v>16</v>
      </c>
      <c r="D601" t="s">
        <v>17</v>
      </c>
      <c r="E601">
        <v>254.45</v>
      </c>
      <c r="F601" t="s">
        <v>88</v>
      </c>
      <c r="G601" s="19">
        <v>45436</v>
      </c>
      <c r="H601" t="s">
        <v>94</v>
      </c>
      <c r="I601" t="s">
        <v>238</v>
      </c>
      <c r="J601" t="s">
        <v>3361</v>
      </c>
      <c r="O601" t="s">
        <v>3362</v>
      </c>
      <c r="Q601" s="3">
        <f t="shared" si="33"/>
        <v>254.45</v>
      </c>
      <c r="V601" s="3" t="str">
        <f t="shared" si="34"/>
        <v/>
      </c>
    </row>
    <row r="602" spans="1:22" x14ac:dyDescent="0.35">
      <c r="A602" t="s">
        <v>35</v>
      </c>
      <c r="B602" t="s">
        <v>2031</v>
      </c>
      <c r="C602" t="s">
        <v>16</v>
      </c>
      <c r="D602" t="s">
        <v>17</v>
      </c>
      <c r="E602">
        <v>254.36</v>
      </c>
      <c r="F602" t="s">
        <v>88</v>
      </c>
      <c r="G602" s="19">
        <v>45523</v>
      </c>
      <c r="H602" t="s">
        <v>94</v>
      </c>
      <c r="I602" t="s">
        <v>450</v>
      </c>
      <c r="J602" t="s">
        <v>4066</v>
      </c>
      <c r="O602" t="s">
        <v>540</v>
      </c>
      <c r="Q602" s="3">
        <f t="shared" si="33"/>
        <v>254.36</v>
      </c>
      <c r="V602" s="3" t="str">
        <f t="shared" si="34"/>
        <v/>
      </c>
    </row>
    <row r="603" spans="1:22" x14ac:dyDescent="0.35">
      <c r="A603" t="s">
        <v>35</v>
      </c>
      <c r="B603" t="s">
        <v>1566</v>
      </c>
      <c r="C603" t="s">
        <v>16</v>
      </c>
      <c r="D603" t="s">
        <v>17</v>
      </c>
      <c r="E603">
        <v>250</v>
      </c>
      <c r="F603" t="s">
        <v>88</v>
      </c>
      <c r="G603" s="19">
        <v>45453</v>
      </c>
      <c r="H603" t="s">
        <v>94</v>
      </c>
      <c r="I603" t="s">
        <v>3506</v>
      </c>
      <c r="J603" t="s">
        <v>3507</v>
      </c>
      <c r="O603" t="s">
        <v>3508</v>
      </c>
      <c r="Q603" s="3">
        <f t="shared" si="33"/>
        <v>250</v>
      </c>
      <c r="V603" s="3" t="str">
        <f t="shared" si="34"/>
        <v/>
      </c>
    </row>
    <row r="604" spans="1:22" x14ac:dyDescent="0.35">
      <c r="A604" t="s">
        <v>35</v>
      </c>
      <c r="B604" t="s">
        <v>1566</v>
      </c>
      <c r="C604" t="s">
        <v>16</v>
      </c>
      <c r="D604" t="s">
        <v>17</v>
      </c>
      <c r="E604">
        <v>250</v>
      </c>
      <c r="F604" t="s">
        <v>88</v>
      </c>
      <c r="G604" s="19">
        <v>45455</v>
      </c>
      <c r="H604" t="s">
        <v>94</v>
      </c>
      <c r="I604" t="s">
        <v>3569</v>
      </c>
      <c r="J604" t="s">
        <v>3570</v>
      </c>
      <c r="O604" t="s">
        <v>3571</v>
      </c>
      <c r="Q604" s="3">
        <f t="shared" si="33"/>
        <v>250</v>
      </c>
      <c r="V604" s="3" t="str">
        <f t="shared" si="34"/>
        <v/>
      </c>
    </row>
    <row r="605" spans="1:22" x14ac:dyDescent="0.35">
      <c r="A605" t="s">
        <v>0</v>
      </c>
      <c r="B605" t="s">
        <v>1566</v>
      </c>
      <c r="C605" t="s">
        <v>16</v>
      </c>
      <c r="D605" t="s">
        <v>17</v>
      </c>
      <c r="E605">
        <v>250</v>
      </c>
      <c r="F605" t="s">
        <v>88</v>
      </c>
      <c r="G605" s="19">
        <v>45475</v>
      </c>
      <c r="H605" t="s">
        <v>89</v>
      </c>
      <c r="I605" t="s">
        <v>3757</v>
      </c>
      <c r="J605"/>
      <c r="K605" t="s">
        <v>101</v>
      </c>
      <c r="L605" t="s">
        <v>3758</v>
      </c>
      <c r="M605" t="s">
        <v>3759</v>
      </c>
      <c r="Q605" s="3">
        <f t="shared" si="33"/>
        <v>250</v>
      </c>
      <c r="V605" s="3" t="str">
        <f t="shared" si="34"/>
        <v/>
      </c>
    </row>
    <row r="606" spans="1:22" x14ac:dyDescent="0.35">
      <c r="A606" t="s">
        <v>0</v>
      </c>
      <c r="B606" t="s">
        <v>1566</v>
      </c>
      <c r="C606" t="s">
        <v>16</v>
      </c>
      <c r="D606" t="s">
        <v>17</v>
      </c>
      <c r="E606">
        <v>-249.83</v>
      </c>
      <c r="F606" t="s">
        <v>88</v>
      </c>
      <c r="G606" s="19">
        <v>45534</v>
      </c>
      <c r="H606" t="s">
        <v>3837</v>
      </c>
      <c r="I606" t="s">
        <v>3837</v>
      </c>
      <c r="J606"/>
      <c r="Q606" s="3">
        <f t="shared" si="33"/>
        <v>249.83</v>
      </c>
      <c r="V606" s="3" t="str">
        <f t="shared" si="34"/>
        <v/>
      </c>
    </row>
    <row r="607" spans="1:22" x14ac:dyDescent="0.35">
      <c r="A607" t="s">
        <v>35</v>
      </c>
      <c r="B607" t="s">
        <v>1566</v>
      </c>
      <c r="C607" t="s">
        <v>16</v>
      </c>
      <c r="D607" t="s">
        <v>17</v>
      </c>
      <c r="E607">
        <v>249.47</v>
      </c>
      <c r="F607" t="s">
        <v>88</v>
      </c>
      <c r="G607" s="19">
        <v>45475</v>
      </c>
      <c r="H607" t="s">
        <v>89</v>
      </c>
      <c r="I607" t="s">
        <v>3763</v>
      </c>
      <c r="J607"/>
      <c r="K607" t="s">
        <v>101</v>
      </c>
      <c r="L607" t="s">
        <v>3764</v>
      </c>
      <c r="M607" t="s">
        <v>3765</v>
      </c>
      <c r="Q607" s="3">
        <f t="shared" si="33"/>
        <v>249.47</v>
      </c>
      <c r="V607" s="3" t="str">
        <f t="shared" si="34"/>
        <v/>
      </c>
    </row>
    <row r="608" spans="1:22" x14ac:dyDescent="0.35">
      <c r="A608" t="s">
        <v>0</v>
      </c>
      <c r="B608" t="s">
        <v>1566</v>
      </c>
      <c r="C608" t="s">
        <v>16</v>
      </c>
      <c r="D608" t="s">
        <v>17</v>
      </c>
      <c r="E608">
        <v>249.47</v>
      </c>
      <c r="F608" t="s">
        <v>88</v>
      </c>
      <c r="G608" s="19">
        <v>45566</v>
      </c>
      <c r="H608" t="s">
        <v>89</v>
      </c>
      <c r="I608" t="s">
        <v>4520</v>
      </c>
      <c r="J608"/>
      <c r="K608" t="s">
        <v>4521</v>
      </c>
      <c r="L608" t="s">
        <v>4522</v>
      </c>
      <c r="M608" t="s">
        <v>4523</v>
      </c>
      <c r="Q608" s="3">
        <f t="shared" si="33"/>
        <v>249.47</v>
      </c>
      <c r="V608" s="3" t="str">
        <f t="shared" si="34"/>
        <v/>
      </c>
    </row>
    <row r="609" spans="1:22" x14ac:dyDescent="0.35">
      <c r="A609" t="s">
        <v>0</v>
      </c>
      <c r="B609" t="s">
        <v>1566</v>
      </c>
      <c r="C609" t="s">
        <v>16</v>
      </c>
      <c r="D609" t="s">
        <v>17</v>
      </c>
      <c r="E609">
        <v>249.47</v>
      </c>
      <c r="F609" t="s">
        <v>88</v>
      </c>
      <c r="G609" s="19">
        <v>45576</v>
      </c>
      <c r="H609" t="s">
        <v>89</v>
      </c>
      <c r="I609" t="s">
        <v>4625</v>
      </c>
      <c r="J609"/>
      <c r="K609" t="s">
        <v>4626</v>
      </c>
      <c r="L609" t="s">
        <v>4627</v>
      </c>
      <c r="M609" t="s">
        <v>4523</v>
      </c>
      <c r="Q609" s="3">
        <f t="shared" si="33"/>
        <v>249.47</v>
      </c>
      <c r="V609" s="3" t="str">
        <f t="shared" si="34"/>
        <v/>
      </c>
    </row>
    <row r="610" spans="1:22" x14ac:dyDescent="0.35">
      <c r="A610" t="s">
        <v>35</v>
      </c>
      <c r="B610" t="s">
        <v>1566</v>
      </c>
      <c r="C610" t="s">
        <v>16</v>
      </c>
      <c r="D610" t="s">
        <v>17</v>
      </c>
      <c r="E610">
        <v>249.47</v>
      </c>
      <c r="F610" t="s">
        <v>88</v>
      </c>
      <c r="G610" s="19">
        <v>45614</v>
      </c>
      <c r="H610" t="s">
        <v>89</v>
      </c>
      <c r="I610" t="s">
        <v>4939</v>
      </c>
      <c r="J610"/>
      <c r="K610" t="s">
        <v>4940</v>
      </c>
      <c r="L610" t="s">
        <v>4941</v>
      </c>
      <c r="M610" t="s">
        <v>4942</v>
      </c>
      <c r="Q610" s="3">
        <f t="shared" si="33"/>
        <v>249.47</v>
      </c>
      <c r="V610" s="3" t="str">
        <f t="shared" si="34"/>
        <v/>
      </c>
    </row>
    <row r="611" spans="1:22" x14ac:dyDescent="0.35">
      <c r="A611" t="s">
        <v>0</v>
      </c>
      <c r="B611" t="s">
        <v>1566</v>
      </c>
      <c r="C611" t="s">
        <v>16</v>
      </c>
      <c r="D611" t="s">
        <v>17</v>
      </c>
      <c r="E611">
        <v>249.47</v>
      </c>
      <c r="F611" t="s">
        <v>88</v>
      </c>
      <c r="G611" s="19">
        <v>45629</v>
      </c>
      <c r="H611" t="s">
        <v>89</v>
      </c>
      <c r="I611" t="s">
        <v>5072</v>
      </c>
      <c r="J611"/>
      <c r="K611" t="s">
        <v>5073</v>
      </c>
      <c r="L611" t="s">
        <v>5074</v>
      </c>
      <c r="M611" t="s">
        <v>5075</v>
      </c>
      <c r="Q611" s="3">
        <f t="shared" si="33"/>
        <v>249.47</v>
      </c>
      <c r="V611" s="3" t="str">
        <f t="shared" si="34"/>
        <v/>
      </c>
    </row>
    <row r="612" spans="1:22" x14ac:dyDescent="0.35">
      <c r="A612" t="s">
        <v>35</v>
      </c>
      <c r="B612" t="s">
        <v>1566</v>
      </c>
      <c r="C612" t="s">
        <v>16</v>
      </c>
      <c r="D612" t="s">
        <v>17</v>
      </c>
      <c r="E612">
        <v>245.54</v>
      </c>
      <c r="F612" t="s">
        <v>88</v>
      </c>
      <c r="G612" s="19">
        <v>45392</v>
      </c>
      <c r="H612" t="s">
        <v>94</v>
      </c>
      <c r="I612" t="s">
        <v>2923</v>
      </c>
      <c r="J612" t="s">
        <v>2924</v>
      </c>
      <c r="O612" t="s">
        <v>541</v>
      </c>
      <c r="Q612" s="3">
        <f t="shared" si="33"/>
        <v>245.54</v>
      </c>
      <c r="V612" s="3" t="str">
        <f t="shared" si="34"/>
        <v/>
      </c>
    </row>
    <row r="613" spans="1:22" x14ac:dyDescent="0.35">
      <c r="A613" t="s">
        <v>35</v>
      </c>
      <c r="B613" t="s">
        <v>915</v>
      </c>
      <c r="C613" t="s">
        <v>16</v>
      </c>
      <c r="D613" t="s">
        <v>17</v>
      </c>
      <c r="E613">
        <v>245.45</v>
      </c>
      <c r="F613" t="s">
        <v>88</v>
      </c>
      <c r="G613" s="19">
        <v>45636</v>
      </c>
      <c r="H613" t="s">
        <v>94</v>
      </c>
      <c r="I613" t="s">
        <v>4746</v>
      </c>
      <c r="J613" t="s">
        <v>5219</v>
      </c>
      <c r="O613" t="s">
        <v>5220</v>
      </c>
      <c r="Q613" s="3">
        <f t="shared" si="33"/>
        <v>245.45</v>
      </c>
      <c r="S613" s="69" t="s">
        <v>53</v>
      </c>
      <c r="T613" t="s">
        <v>64</v>
      </c>
      <c r="U613" t="str">
        <f>B613</f>
        <v>AU030423</v>
      </c>
      <c r="V613" s="3">
        <f t="shared" si="34"/>
        <v>245.45</v>
      </c>
    </row>
    <row r="614" spans="1:22" x14ac:dyDescent="0.35">
      <c r="A614" t="s">
        <v>0</v>
      </c>
      <c r="B614" t="s">
        <v>1566</v>
      </c>
      <c r="C614" t="s">
        <v>16</v>
      </c>
      <c r="D614" t="s">
        <v>17</v>
      </c>
      <c r="E614">
        <v>245.07</v>
      </c>
      <c r="F614" t="s">
        <v>88</v>
      </c>
      <c r="G614" s="19">
        <v>45387</v>
      </c>
      <c r="H614" t="s">
        <v>89</v>
      </c>
      <c r="I614" t="s">
        <v>2846</v>
      </c>
      <c r="J614"/>
      <c r="K614" t="s">
        <v>2847</v>
      </c>
      <c r="L614" t="s">
        <v>2848</v>
      </c>
      <c r="M614" t="s">
        <v>147</v>
      </c>
      <c r="Q614" s="3">
        <f t="shared" si="33"/>
        <v>245.07</v>
      </c>
      <c r="V614" s="3" t="str">
        <f t="shared" si="34"/>
        <v/>
      </c>
    </row>
    <row r="615" spans="1:22" x14ac:dyDescent="0.35">
      <c r="A615" t="s">
        <v>0</v>
      </c>
      <c r="B615" t="s">
        <v>1566</v>
      </c>
      <c r="C615" t="s">
        <v>16</v>
      </c>
      <c r="D615" t="s">
        <v>17</v>
      </c>
      <c r="E615">
        <v>244</v>
      </c>
      <c r="F615" t="s">
        <v>88</v>
      </c>
      <c r="G615" s="19">
        <v>45538</v>
      </c>
      <c r="H615" t="s">
        <v>89</v>
      </c>
      <c r="I615" t="s">
        <v>4191</v>
      </c>
      <c r="J615"/>
      <c r="K615" t="s">
        <v>4192</v>
      </c>
      <c r="L615" t="s">
        <v>4193</v>
      </c>
      <c r="M615" t="s">
        <v>4194</v>
      </c>
      <c r="Q615" s="3">
        <f t="shared" si="33"/>
        <v>244</v>
      </c>
      <c r="V615" s="3" t="str">
        <f t="shared" si="34"/>
        <v/>
      </c>
    </row>
    <row r="616" spans="1:22" x14ac:dyDescent="0.35">
      <c r="A616" t="s">
        <v>0</v>
      </c>
      <c r="B616" t="s">
        <v>1566</v>
      </c>
      <c r="C616" t="s">
        <v>16</v>
      </c>
      <c r="D616" t="s">
        <v>17</v>
      </c>
      <c r="E616">
        <v>242.64</v>
      </c>
      <c r="F616" t="s">
        <v>88</v>
      </c>
      <c r="G616" s="19">
        <v>45569</v>
      </c>
      <c r="H616" t="s">
        <v>89</v>
      </c>
      <c r="I616" t="s">
        <v>4574</v>
      </c>
      <c r="J616"/>
      <c r="K616" t="s">
        <v>4575</v>
      </c>
      <c r="L616" t="s">
        <v>4576</v>
      </c>
      <c r="M616" t="s">
        <v>147</v>
      </c>
      <c r="Q616" s="3">
        <f t="shared" si="33"/>
        <v>242.64</v>
      </c>
      <c r="V616" s="3" t="str">
        <f t="shared" si="34"/>
        <v/>
      </c>
    </row>
    <row r="617" spans="1:22" x14ac:dyDescent="0.35">
      <c r="A617" t="s">
        <v>35</v>
      </c>
      <c r="B617" t="s">
        <v>1566</v>
      </c>
      <c r="C617" t="s">
        <v>16</v>
      </c>
      <c r="D617" t="s">
        <v>17</v>
      </c>
      <c r="E617">
        <v>240</v>
      </c>
      <c r="F617" t="s">
        <v>88</v>
      </c>
      <c r="G617" s="19">
        <v>45629</v>
      </c>
      <c r="H617" t="s">
        <v>89</v>
      </c>
      <c r="I617" t="s">
        <v>5105</v>
      </c>
      <c r="J617"/>
      <c r="K617" t="s">
        <v>5106</v>
      </c>
      <c r="L617" t="s">
        <v>5107</v>
      </c>
      <c r="M617" t="s">
        <v>230</v>
      </c>
      <c r="Q617" s="3">
        <f t="shared" si="33"/>
        <v>240</v>
      </c>
      <c r="V617" s="3" t="str">
        <f t="shared" si="34"/>
        <v/>
      </c>
    </row>
    <row r="618" spans="1:22" x14ac:dyDescent="0.35">
      <c r="A618" t="s">
        <v>35</v>
      </c>
      <c r="B618" t="s">
        <v>1627</v>
      </c>
      <c r="C618" t="s">
        <v>16</v>
      </c>
      <c r="D618" t="s">
        <v>17</v>
      </c>
      <c r="E618">
        <v>240</v>
      </c>
      <c r="F618" t="s">
        <v>88</v>
      </c>
      <c r="G618" s="19">
        <v>45635</v>
      </c>
      <c r="H618" t="s">
        <v>94</v>
      </c>
      <c r="I618" t="s">
        <v>203</v>
      </c>
      <c r="J618" t="s">
        <v>5187</v>
      </c>
      <c r="O618" t="s">
        <v>5188</v>
      </c>
      <c r="Q618" s="3">
        <f t="shared" si="33"/>
        <v>240</v>
      </c>
      <c r="V618" s="3" t="str">
        <f t="shared" si="34"/>
        <v/>
      </c>
    </row>
    <row r="619" spans="1:22" x14ac:dyDescent="0.35">
      <c r="A619" t="s">
        <v>35</v>
      </c>
      <c r="B619" t="s">
        <v>1069</v>
      </c>
      <c r="C619" t="s">
        <v>16</v>
      </c>
      <c r="D619" t="s">
        <v>17</v>
      </c>
      <c r="E619">
        <v>236.36</v>
      </c>
      <c r="F619" t="s">
        <v>88</v>
      </c>
      <c r="G619" s="19">
        <v>45426</v>
      </c>
      <c r="H619" t="s">
        <v>94</v>
      </c>
      <c r="I619" t="s">
        <v>1014</v>
      </c>
      <c r="J619" t="s">
        <v>3258</v>
      </c>
      <c r="O619" t="s">
        <v>3260</v>
      </c>
      <c r="Q619" s="3">
        <f t="shared" si="33"/>
        <v>236.36</v>
      </c>
      <c r="V619" s="3" t="str">
        <f t="shared" si="34"/>
        <v/>
      </c>
    </row>
    <row r="620" spans="1:22" x14ac:dyDescent="0.35">
      <c r="A620" t="s">
        <v>35</v>
      </c>
      <c r="B620" t="s">
        <v>1566</v>
      </c>
      <c r="C620" t="s">
        <v>16</v>
      </c>
      <c r="D620" t="s">
        <v>17</v>
      </c>
      <c r="E620">
        <v>236.36</v>
      </c>
      <c r="F620" t="s">
        <v>88</v>
      </c>
      <c r="G620" s="19">
        <v>45474</v>
      </c>
      <c r="H620" t="s">
        <v>94</v>
      </c>
      <c r="I620" t="s">
        <v>477</v>
      </c>
      <c r="J620" t="s">
        <v>3749</v>
      </c>
      <c r="O620" t="s">
        <v>3750</v>
      </c>
      <c r="Q620" s="3">
        <f t="shared" si="33"/>
        <v>236.36</v>
      </c>
      <c r="V620" s="3" t="str">
        <f t="shared" si="34"/>
        <v/>
      </c>
    </row>
    <row r="621" spans="1:22" x14ac:dyDescent="0.35">
      <c r="A621" t="s">
        <v>35</v>
      </c>
      <c r="B621" t="s">
        <v>1566</v>
      </c>
      <c r="C621" t="s">
        <v>16</v>
      </c>
      <c r="D621" t="s">
        <v>17</v>
      </c>
      <c r="E621">
        <v>234.14</v>
      </c>
      <c r="F621" t="s">
        <v>88</v>
      </c>
      <c r="G621" s="19">
        <v>45545</v>
      </c>
      <c r="H621" t="s">
        <v>94</v>
      </c>
      <c r="I621" t="s">
        <v>2932</v>
      </c>
      <c r="J621" t="s">
        <v>4313</v>
      </c>
      <c r="O621" t="s">
        <v>4314</v>
      </c>
      <c r="Q621" s="3">
        <f t="shared" si="33"/>
        <v>234.14</v>
      </c>
      <c r="V621" s="3" t="str">
        <f t="shared" si="34"/>
        <v/>
      </c>
    </row>
    <row r="622" spans="1:22" x14ac:dyDescent="0.35">
      <c r="A622" t="s">
        <v>35</v>
      </c>
      <c r="B622" t="s">
        <v>1566</v>
      </c>
      <c r="C622" t="s">
        <v>16</v>
      </c>
      <c r="D622" t="s">
        <v>17</v>
      </c>
      <c r="E622">
        <v>233.64</v>
      </c>
      <c r="F622" t="s">
        <v>88</v>
      </c>
      <c r="G622" s="19">
        <v>45558</v>
      </c>
      <c r="H622" t="s">
        <v>94</v>
      </c>
      <c r="I622" t="s">
        <v>3868</v>
      </c>
      <c r="J622" t="s">
        <v>4421</v>
      </c>
      <c r="O622" t="s">
        <v>4422</v>
      </c>
      <c r="Q622" s="3">
        <f t="shared" si="33"/>
        <v>233.64</v>
      </c>
      <c r="S622" s="69" t="s">
        <v>53</v>
      </c>
      <c r="T622" t="s">
        <v>64</v>
      </c>
      <c r="U622" t="str">
        <f>B622</f>
        <v>AU032046</v>
      </c>
      <c r="V622" s="3">
        <f t="shared" si="34"/>
        <v>233.64</v>
      </c>
    </row>
    <row r="623" spans="1:22" x14ac:dyDescent="0.35">
      <c r="A623" t="s">
        <v>0</v>
      </c>
      <c r="B623" t="s">
        <v>1566</v>
      </c>
      <c r="C623" t="s">
        <v>16</v>
      </c>
      <c r="D623" t="s">
        <v>17</v>
      </c>
      <c r="E623">
        <v>233.51</v>
      </c>
      <c r="F623" t="s">
        <v>88</v>
      </c>
      <c r="G623" s="19">
        <v>45537</v>
      </c>
      <c r="H623" t="s">
        <v>89</v>
      </c>
      <c r="I623" t="s">
        <v>4139</v>
      </c>
      <c r="J623"/>
      <c r="K623" t="s">
        <v>4140</v>
      </c>
      <c r="L623" t="s">
        <v>4141</v>
      </c>
      <c r="M623" t="s">
        <v>100</v>
      </c>
      <c r="Q623" s="3">
        <f t="shared" si="33"/>
        <v>233.51</v>
      </c>
      <c r="V623" s="3" t="str">
        <f t="shared" si="34"/>
        <v/>
      </c>
    </row>
    <row r="624" spans="1:22" x14ac:dyDescent="0.35">
      <c r="A624" t="s">
        <v>35</v>
      </c>
      <c r="B624" t="s">
        <v>1566</v>
      </c>
      <c r="C624" t="s">
        <v>16</v>
      </c>
      <c r="D624" t="s">
        <v>17</v>
      </c>
      <c r="E624">
        <v>233.27</v>
      </c>
      <c r="F624" t="s">
        <v>88</v>
      </c>
      <c r="G624" s="19">
        <v>45618</v>
      </c>
      <c r="H624" t="s">
        <v>94</v>
      </c>
      <c r="I624" t="s">
        <v>5022</v>
      </c>
      <c r="J624" t="s">
        <v>5023</v>
      </c>
      <c r="O624" t="s">
        <v>5025</v>
      </c>
      <c r="Q624" s="3">
        <f t="shared" si="33"/>
        <v>233.27</v>
      </c>
      <c r="V624" s="3" t="str">
        <f t="shared" si="34"/>
        <v/>
      </c>
    </row>
    <row r="625" spans="1:22" x14ac:dyDescent="0.35">
      <c r="A625" t="s">
        <v>35</v>
      </c>
      <c r="B625" t="s">
        <v>615</v>
      </c>
      <c r="C625" t="s">
        <v>16</v>
      </c>
      <c r="D625" t="s">
        <v>17</v>
      </c>
      <c r="E625">
        <v>227.27</v>
      </c>
      <c r="F625" t="s">
        <v>88</v>
      </c>
      <c r="G625" s="19">
        <v>45390</v>
      </c>
      <c r="H625" t="s">
        <v>94</v>
      </c>
      <c r="I625" t="s">
        <v>2863</v>
      </c>
      <c r="J625" t="s">
        <v>2864</v>
      </c>
      <c r="O625" t="s">
        <v>580</v>
      </c>
      <c r="Q625" s="3">
        <f t="shared" si="33"/>
        <v>227.27</v>
      </c>
      <c r="V625" s="3" t="str">
        <f t="shared" si="34"/>
        <v/>
      </c>
    </row>
    <row r="626" spans="1:22" x14ac:dyDescent="0.35">
      <c r="A626" t="s">
        <v>35</v>
      </c>
      <c r="B626" t="s">
        <v>1566</v>
      </c>
      <c r="C626" t="s">
        <v>16</v>
      </c>
      <c r="D626" t="s">
        <v>17</v>
      </c>
      <c r="E626">
        <v>227.27</v>
      </c>
      <c r="F626" t="s">
        <v>88</v>
      </c>
      <c r="G626" s="19">
        <v>45453</v>
      </c>
      <c r="H626" t="s">
        <v>94</v>
      </c>
      <c r="I626" t="s">
        <v>229</v>
      </c>
      <c r="J626" t="s">
        <v>3511</v>
      </c>
      <c r="O626" t="s">
        <v>3512</v>
      </c>
      <c r="Q626" s="3">
        <f t="shared" si="33"/>
        <v>227.27</v>
      </c>
      <c r="V626" s="3" t="str">
        <f t="shared" si="34"/>
        <v/>
      </c>
    </row>
    <row r="627" spans="1:22" x14ac:dyDescent="0.35">
      <c r="A627" t="s">
        <v>35</v>
      </c>
      <c r="B627" t="s">
        <v>1566</v>
      </c>
      <c r="C627" t="s">
        <v>16</v>
      </c>
      <c r="D627" t="s">
        <v>17</v>
      </c>
      <c r="E627">
        <v>227.27</v>
      </c>
      <c r="F627" t="s">
        <v>88</v>
      </c>
      <c r="G627" s="19">
        <v>45455</v>
      </c>
      <c r="H627" t="s">
        <v>94</v>
      </c>
      <c r="I627" t="s">
        <v>3575</v>
      </c>
      <c r="J627" t="s">
        <v>3573</v>
      </c>
      <c r="O627" t="s">
        <v>3576</v>
      </c>
      <c r="Q627" s="3">
        <f t="shared" si="33"/>
        <v>227.27</v>
      </c>
      <c r="V627" s="3" t="str">
        <f t="shared" si="34"/>
        <v/>
      </c>
    </row>
    <row r="628" spans="1:22" x14ac:dyDescent="0.35">
      <c r="A628" t="s">
        <v>35</v>
      </c>
      <c r="B628" t="s">
        <v>1566</v>
      </c>
      <c r="C628" t="s">
        <v>16</v>
      </c>
      <c r="D628" t="s">
        <v>17</v>
      </c>
      <c r="E628">
        <v>227.27</v>
      </c>
      <c r="F628" t="s">
        <v>88</v>
      </c>
      <c r="G628" s="19">
        <v>45539</v>
      </c>
      <c r="H628" t="s">
        <v>94</v>
      </c>
      <c r="I628" t="s">
        <v>4212</v>
      </c>
      <c r="J628" t="s">
        <v>4213</v>
      </c>
      <c r="O628" t="s">
        <v>4214</v>
      </c>
      <c r="Q628" s="3">
        <f t="shared" si="33"/>
        <v>227.27</v>
      </c>
      <c r="S628" s="69" t="s">
        <v>53</v>
      </c>
      <c r="T628" t="s">
        <v>64</v>
      </c>
      <c r="U628" t="str">
        <f t="shared" ref="U628" si="35">B628</f>
        <v>AU032046</v>
      </c>
      <c r="V628" s="3">
        <f t="shared" si="34"/>
        <v>227.27</v>
      </c>
    </row>
    <row r="629" spans="1:22" ht="87" x14ac:dyDescent="0.35">
      <c r="A629" t="s">
        <v>35</v>
      </c>
      <c r="B629" t="s">
        <v>2561</v>
      </c>
      <c r="C629" t="s">
        <v>16</v>
      </c>
      <c r="D629" t="s">
        <v>17</v>
      </c>
      <c r="E629">
        <v>227.27</v>
      </c>
      <c r="F629" t="s">
        <v>88</v>
      </c>
      <c r="G629" s="19">
        <v>45565</v>
      </c>
      <c r="H629" t="s">
        <v>94</v>
      </c>
      <c r="I629" t="s">
        <v>2863</v>
      </c>
      <c r="J629" t="s">
        <v>4469</v>
      </c>
      <c r="O629" t="s">
        <v>580</v>
      </c>
      <c r="Q629" s="3">
        <f t="shared" si="33"/>
        <v>227.27</v>
      </c>
      <c r="R629" s="69" t="s">
        <v>5326</v>
      </c>
      <c r="S629" s="69" t="s">
        <v>5327</v>
      </c>
      <c r="V629" s="3" t="str">
        <f t="shared" si="34"/>
        <v/>
      </c>
    </row>
    <row r="630" spans="1:22" x14ac:dyDescent="0.35">
      <c r="A630" t="s">
        <v>35</v>
      </c>
      <c r="B630" t="s">
        <v>1566</v>
      </c>
      <c r="C630" t="s">
        <v>16</v>
      </c>
      <c r="D630" t="s">
        <v>17</v>
      </c>
      <c r="E630">
        <v>227.27</v>
      </c>
      <c r="F630" t="s">
        <v>88</v>
      </c>
      <c r="G630" s="19">
        <v>45609</v>
      </c>
      <c r="H630" t="s">
        <v>94</v>
      </c>
      <c r="I630" t="s">
        <v>204</v>
      </c>
      <c r="J630" t="s">
        <v>4891</v>
      </c>
      <c r="O630" t="s">
        <v>3744</v>
      </c>
      <c r="Q630" s="3">
        <f t="shared" si="33"/>
        <v>227.27</v>
      </c>
      <c r="V630" s="3" t="str">
        <f t="shared" si="34"/>
        <v/>
      </c>
    </row>
    <row r="631" spans="1:22" x14ac:dyDescent="0.35">
      <c r="A631" t="s">
        <v>35</v>
      </c>
      <c r="B631" t="s">
        <v>825</v>
      </c>
      <c r="C631" t="s">
        <v>16</v>
      </c>
      <c r="D631" t="s">
        <v>17</v>
      </c>
      <c r="E631">
        <v>227.23</v>
      </c>
      <c r="F631" t="s">
        <v>88</v>
      </c>
      <c r="G631" s="19">
        <v>45565</v>
      </c>
      <c r="H631" t="s">
        <v>94</v>
      </c>
      <c r="I631" t="s">
        <v>3807</v>
      </c>
      <c r="J631" t="s">
        <v>4473</v>
      </c>
      <c r="O631" t="s">
        <v>4382</v>
      </c>
      <c r="Q631" s="3">
        <f t="shared" si="33"/>
        <v>227.23</v>
      </c>
      <c r="V631" s="3" t="str">
        <f t="shared" si="34"/>
        <v/>
      </c>
    </row>
    <row r="632" spans="1:22" x14ac:dyDescent="0.35">
      <c r="A632" t="s">
        <v>35</v>
      </c>
      <c r="B632" t="s">
        <v>1566</v>
      </c>
      <c r="C632" t="s">
        <v>16</v>
      </c>
      <c r="D632" t="s">
        <v>17</v>
      </c>
      <c r="E632">
        <v>225.17</v>
      </c>
      <c r="F632" t="s">
        <v>88</v>
      </c>
      <c r="G632" s="19">
        <v>45491</v>
      </c>
      <c r="H632" t="s">
        <v>89</v>
      </c>
      <c r="I632" t="s">
        <v>3845</v>
      </c>
      <c r="J632"/>
      <c r="K632" t="s">
        <v>3846</v>
      </c>
      <c r="L632" t="s">
        <v>3847</v>
      </c>
      <c r="M632" t="s">
        <v>147</v>
      </c>
      <c r="Q632" s="3">
        <f t="shared" si="33"/>
        <v>225.17</v>
      </c>
      <c r="V632" s="3" t="str">
        <f t="shared" si="34"/>
        <v/>
      </c>
    </row>
    <row r="633" spans="1:22" x14ac:dyDescent="0.35">
      <c r="A633" t="s">
        <v>35</v>
      </c>
      <c r="B633" t="s">
        <v>1566</v>
      </c>
      <c r="C633" t="s">
        <v>16</v>
      </c>
      <c r="D633" t="s">
        <v>17</v>
      </c>
      <c r="E633">
        <v>224.5</v>
      </c>
      <c r="F633" t="s">
        <v>88</v>
      </c>
      <c r="G633" s="19">
        <v>45517</v>
      </c>
      <c r="H633" t="s">
        <v>94</v>
      </c>
      <c r="I633" t="s">
        <v>4027</v>
      </c>
      <c r="J633" t="s">
        <v>260</v>
      </c>
      <c r="O633" t="s">
        <v>4028</v>
      </c>
      <c r="Q633" s="3">
        <f t="shared" si="33"/>
        <v>224.5</v>
      </c>
      <c r="V633" s="3" t="str">
        <f t="shared" si="34"/>
        <v/>
      </c>
    </row>
    <row r="634" spans="1:22" x14ac:dyDescent="0.35">
      <c r="A634" t="s">
        <v>35</v>
      </c>
      <c r="B634" t="s">
        <v>909</v>
      </c>
      <c r="C634" t="s">
        <v>16</v>
      </c>
      <c r="D634" t="s">
        <v>17</v>
      </c>
      <c r="E634">
        <v>222.73</v>
      </c>
      <c r="F634" t="s">
        <v>88</v>
      </c>
      <c r="G634" s="19">
        <v>45427</v>
      </c>
      <c r="H634" t="s">
        <v>94</v>
      </c>
      <c r="I634" t="s">
        <v>3261</v>
      </c>
      <c r="J634" t="s">
        <v>3262</v>
      </c>
      <c r="O634" t="s">
        <v>3263</v>
      </c>
      <c r="Q634" s="3">
        <f t="shared" si="33"/>
        <v>222.73</v>
      </c>
      <c r="V634" s="3" t="str">
        <f t="shared" si="34"/>
        <v/>
      </c>
    </row>
    <row r="635" spans="1:22" x14ac:dyDescent="0.35">
      <c r="A635" t="s">
        <v>35</v>
      </c>
      <c r="B635" t="s">
        <v>867</v>
      </c>
      <c r="C635" t="s">
        <v>16</v>
      </c>
      <c r="D635" t="s">
        <v>17</v>
      </c>
      <c r="E635">
        <v>222.34</v>
      </c>
      <c r="F635" t="s">
        <v>88</v>
      </c>
      <c r="G635" s="19">
        <v>45600</v>
      </c>
      <c r="H635" t="s">
        <v>94</v>
      </c>
      <c r="I635" t="s">
        <v>4811</v>
      </c>
      <c r="J635" t="s">
        <v>4812</v>
      </c>
      <c r="O635" t="s">
        <v>4813</v>
      </c>
      <c r="Q635" s="3">
        <f t="shared" si="33"/>
        <v>222.34</v>
      </c>
      <c r="V635" s="3" t="str">
        <f t="shared" si="34"/>
        <v/>
      </c>
    </row>
    <row r="636" spans="1:22" x14ac:dyDescent="0.35">
      <c r="A636" t="s">
        <v>0</v>
      </c>
      <c r="B636" t="s">
        <v>1566</v>
      </c>
      <c r="C636" t="s">
        <v>16</v>
      </c>
      <c r="D636" t="s">
        <v>17</v>
      </c>
      <c r="E636">
        <v>218.42</v>
      </c>
      <c r="F636" t="s">
        <v>88</v>
      </c>
      <c r="G636" s="19">
        <v>45636</v>
      </c>
      <c r="H636" t="s">
        <v>89</v>
      </c>
      <c r="I636" t="s">
        <v>5201</v>
      </c>
      <c r="J636"/>
      <c r="K636" t="s">
        <v>5202</v>
      </c>
      <c r="L636" t="s">
        <v>5203</v>
      </c>
      <c r="M636" t="s">
        <v>147</v>
      </c>
      <c r="Q636" s="3">
        <f t="shared" si="33"/>
        <v>218.42</v>
      </c>
      <c r="V636" s="3" t="str">
        <f t="shared" si="34"/>
        <v/>
      </c>
    </row>
    <row r="637" spans="1:22" x14ac:dyDescent="0.35">
      <c r="A637" t="s">
        <v>35</v>
      </c>
      <c r="B637" t="s">
        <v>1566</v>
      </c>
      <c r="C637" t="s">
        <v>16</v>
      </c>
      <c r="D637" t="s">
        <v>17</v>
      </c>
      <c r="E637">
        <v>211.39</v>
      </c>
      <c r="F637" t="s">
        <v>88</v>
      </c>
      <c r="G637" s="19">
        <v>45393</v>
      </c>
      <c r="H637" t="s">
        <v>94</v>
      </c>
      <c r="I637" t="s">
        <v>242</v>
      </c>
      <c r="J637" t="s">
        <v>2944</v>
      </c>
      <c r="O637" t="s">
        <v>2945</v>
      </c>
      <c r="Q637" s="3">
        <f t="shared" si="33"/>
        <v>211.39</v>
      </c>
      <c r="V637" s="3" t="str">
        <f t="shared" si="34"/>
        <v/>
      </c>
    </row>
    <row r="638" spans="1:22" x14ac:dyDescent="0.35">
      <c r="A638" t="s">
        <v>0</v>
      </c>
      <c r="B638" t="s">
        <v>1566</v>
      </c>
      <c r="C638" t="s">
        <v>16</v>
      </c>
      <c r="D638" t="s">
        <v>17</v>
      </c>
      <c r="E638">
        <v>210.56</v>
      </c>
      <c r="F638" t="s">
        <v>88</v>
      </c>
      <c r="G638" s="19">
        <v>45538</v>
      </c>
      <c r="H638" t="s">
        <v>89</v>
      </c>
      <c r="I638" t="s">
        <v>4185</v>
      </c>
      <c r="J638"/>
      <c r="K638" t="s">
        <v>4186</v>
      </c>
      <c r="L638" t="s">
        <v>4187</v>
      </c>
      <c r="M638" t="s">
        <v>100</v>
      </c>
      <c r="Q638" s="3">
        <f t="shared" si="33"/>
        <v>210.56</v>
      </c>
      <c r="V638" s="3" t="str">
        <f t="shared" si="34"/>
        <v/>
      </c>
    </row>
    <row r="639" spans="1:22" x14ac:dyDescent="0.35">
      <c r="A639" t="s">
        <v>0</v>
      </c>
      <c r="B639" t="s">
        <v>1566</v>
      </c>
      <c r="C639" t="s">
        <v>16</v>
      </c>
      <c r="D639" t="s">
        <v>17</v>
      </c>
      <c r="E639">
        <v>210.11</v>
      </c>
      <c r="F639" t="s">
        <v>88</v>
      </c>
      <c r="G639" s="19">
        <v>45510</v>
      </c>
      <c r="H639" t="s">
        <v>89</v>
      </c>
      <c r="I639" t="s">
        <v>3952</v>
      </c>
      <c r="J639"/>
      <c r="K639" t="s">
        <v>3953</v>
      </c>
      <c r="L639" t="s">
        <v>3954</v>
      </c>
      <c r="M639" t="s">
        <v>100</v>
      </c>
      <c r="Q639" s="3">
        <f t="shared" si="33"/>
        <v>210.11</v>
      </c>
      <c r="V639" s="3" t="str">
        <f t="shared" si="34"/>
        <v/>
      </c>
    </row>
    <row r="640" spans="1:22" x14ac:dyDescent="0.35">
      <c r="A640" t="s">
        <v>35</v>
      </c>
      <c r="B640" t="s">
        <v>838</v>
      </c>
      <c r="C640" t="s">
        <v>16</v>
      </c>
      <c r="D640" t="s">
        <v>17</v>
      </c>
      <c r="E640">
        <v>208</v>
      </c>
      <c r="F640" t="s">
        <v>88</v>
      </c>
      <c r="G640" s="19">
        <v>45519</v>
      </c>
      <c r="H640" t="s">
        <v>94</v>
      </c>
      <c r="I640" t="s">
        <v>131</v>
      </c>
      <c r="J640" t="s">
        <v>4039</v>
      </c>
      <c r="O640" t="s">
        <v>582</v>
      </c>
      <c r="Q640" s="3">
        <f t="shared" si="33"/>
        <v>208</v>
      </c>
      <c r="V640" s="3" t="str">
        <f t="shared" si="34"/>
        <v/>
      </c>
    </row>
    <row r="641" spans="1:22" x14ac:dyDescent="0.35">
      <c r="A641" t="s">
        <v>35</v>
      </c>
      <c r="B641" t="s">
        <v>1566</v>
      </c>
      <c r="C641" t="s">
        <v>16</v>
      </c>
      <c r="D641" t="s">
        <v>17</v>
      </c>
      <c r="E641">
        <v>207.57</v>
      </c>
      <c r="F641" t="s">
        <v>88</v>
      </c>
      <c r="G641" s="19">
        <v>45562</v>
      </c>
      <c r="H641" t="s">
        <v>94</v>
      </c>
      <c r="I641" t="s">
        <v>4452</v>
      </c>
      <c r="J641" t="s">
        <v>4455</v>
      </c>
      <c r="O641" t="s">
        <v>4454</v>
      </c>
      <c r="Q641" s="3">
        <f t="shared" si="33"/>
        <v>207.57</v>
      </c>
      <c r="V641" s="3" t="str">
        <f t="shared" si="34"/>
        <v/>
      </c>
    </row>
    <row r="642" spans="1:22" x14ac:dyDescent="0.35">
      <c r="A642" t="s">
        <v>0</v>
      </c>
      <c r="B642" t="s">
        <v>1566</v>
      </c>
      <c r="C642" t="s">
        <v>16</v>
      </c>
      <c r="D642" t="s">
        <v>17</v>
      </c>
      <c r="E642">
        <v>204.62</v>
      </c>
      <c r="F642" t="s">
        <v>88</v>
      </c>
      <c r="G642" s="19">
        <v>45436</v>
      </c>
      <c r="H642" t="s">
        <v>89</v>
      </c>
      <c r="I642" t="s">
        <v>3339</v>
      </c>
      <c r="J642"/>
      <c r="K642" t="s">
        <v>3340</v>
      </c>
      <c r="L642" t="s">
        <v>3341</v>
      </c>
      <c r="M642" t="s">
        <v>100</v>
      </c>
      <c r="Q642" s="3">
        <f t="shared" si="33"/>
        <v>204.62</v>
      </c>
      <c r="V642" s="3" t="str">
        <f t="shared" si="34"/>
        <v/>
      </c>
    </row>
    <row r="643" spans="1:22" x14ac:dyDescent="0.35">
      <c r="A643" t="s">
        <v>35</v>
      </c>
      <c r="B643" t="s">
        <v>1566</v>
      </c>
      <c r="C643" t="s">
        <v>16</v>
      </c>
      <c r="D643" t="s">
        <v>17</v>
      </c>
      <c r="E643">
        <v>-204.55</v>
      </c>
      <c r="F643" t="s">
        <v>88</v>
      </c>
      <c r="G643" s="19">
        <v>45539</v>
      </c>
      <c r="H643" t="s">
        <v>94</v>
      </c>
      <c r="I643" t="s">
        <v>232</v>
      </c>
      <c r="J643" t="s">
        <v>4221</v>
      </c>
      <c r="O643" t="s">
        <v>627</v>
      </c>
      <c r="Q643" s="3">
        <f t="shared" si="33"/>
        <v>204.55</v>
      </c>
      <c r="V643" s="3" t="str">
        <f t="shared" si="34"/>
        <v/>
      </c>
    </row>
    <row r="644" spans="1:22" x14ac:dyDescent="0.35">
      <c r="A644" t="s">
        <v>35</v>
      </c>
      <c r="B644" t="s">
        <v>1566</v>
      </c>
      <c r="C644" t="s">
        <v>16</v>
      </c>
      <c r="D644" t="s">
        <v>17</v>
      </c>
      <c r="E644">
        <v>204.55</v>
      </c>
      <c r="F644" t="s">
        <v>88</v>
      </c>
      <c r="G644" s="19">
        <v>45629</v>
      </c>
      <c r="H644" t="s">
        <v>94</v>
      </c>
      <c r="I644" t="s">
        <v>249</v>
      </c>
      <c r="J644" t="s">
        <v>5126</v>
      </c>
      <c r="O644" t="s">
        <v>5127</v>
      </c>
      <c r="Q644" s="3">
        <f t="shared" si="33"/>
        <v>204.55</v>
      </c>
      <c r="V644" s="3" t="str">
        <f t="shared" si="34"/>
        <v/>
      </c>
    </row>
    <row r="645" spans="1:22" x14ac:dyDescent="0.35">
      <c r="A645" t="s">
        <v>35</v>
      </c>
      <c r="B645" t="s">
        <v>1566</v>
      </c>
      <c r="C645" t="s">
        <v>16</v>
      </c>
      <c r="D645" t="s">
        <v>17</v>
      </c>
      <c r="E645">
        <v>203</v>
      </c>
      <c r="F645" t="s">
        <v>88</v>
      </c>
      <c r="G645" s="19">
        <v>45474</v>
      </c>
      <c r="H645" t="s">
        <v>94</v>
      </c>
      <c r="I645" t="s">
        <v>232</v>
      </c>
      <c r="J645" t="s">
        <v>3741</v>
      </c>
      <c r="O645" t="s">
        <v>627</v>
      </c>
      <c r="Q645" s="3">
        <f t="shared" si="33"/>
        <v>203</v>
      </c>
      <c r="S645" s="69" t="s">
        <v>53</v>
      </c>
      <c r="T645" t="s">
        <v>64</v>
      </c>
      <c r="U645" t="str">
        <f t="shared" ref="U645" si="36">B645</f>
        <v>AU032046</v>
      </c>
      <c r="V645" s="3">
        <f t="shared" si="34"/>
        <v>203</v>
      </c>
    </row>
    <row r="646" spans="1:22" x14ac:dyDescent="0.35">
      <c r="A646" t="s">
        <v>0</v>
      </c>
      <c r="B646" t="s">
        <v>1566</v>
      </c>
      <c r="C646" t="s">
        <v>16</v>
      </c>
      <c r="D646" t="s">
        <v>17</v>
      </c>
      <c r="E646">
        <v>202.62</v>
      </c>
      <c r="F646" t="s">
        <v>88</v>
      </c>
      <c r="G646" s="19">
        <v>45460</v>
      </c>
      <c r="H646" t="s">
        <v>89</v>
      </c>
      <c r="I646" t="s">
        <v>3622</v>
      </c>
      <c r="J646"/>
      <c r="K646" t="s">
        <v>3623</v>
      </c>
      <c r="L646" t="s">
        <v>3624</v>
      </c>
      <c r="M646" t="s">
        <v>147</v>
      </c>
      <c r="Q646" s="3">
        <f t="shared" si="33"/>
        <v>202.62</v>
      </c>
      <c r="V646" s="3" t="str">
        <f t="shared" si="34"/>
        <v/>
      </c>
    </row>
    <row r="647" spans="1:22" x14ac:dyDescent="0.35">
      <c r="A647" t="s">
        <v>35</v>
      </c>
      <c r="B647" t="s">
        <v>1566</v>
      </c>
      <c r="C647" t="s">
        <v>16</v>
      </c>
      <c r="D647" t="s">
        <v>17</v>
      </c>
      <c r="E647">
        <v>202.4</v>
      </c>
      <c r="F647" t="s">
        <v>88</v>
      </c>
      <c r="G647" s="19">
        <v>45545</v>
      </c>
      <c r="H647" t="s">
        <v>94</v>
      </c>
      <c r="I647" t="s">
        <v>232</v>
      </c>
      <c r="J647" t="s">
        <v>4280</v>
      </c>
      <c r="O647" t="s">
        <v>4279</v>
      </c>
      <c r="Q647" s="3">
        <f t="shared" si="33"/>
        <v>202.4</v>
      </c>
      <c r="V647" s="3" t="str">
        <f t="shared" si="34"/>
        <v/>
      </c>
    </row>
    <row r="648" spans="1:22" x14ac:dyDescent="0.35">
      <c r="A648" t="s">
        <v>35</v>
      </c>
      <c r="B648" t="s">
        <v>1566</v>
      </c>
      <c r="C648" t="s">
        <v>16</v>
      </c>
      <c r="D648" t="s">
        <v>17</v>
      </c>
      <c r="E648">
        <v>201.73</v>
      </c>
      <c r="F648" t="s">
        <v>88</v>
      </c>
      <c r="G648" s="19">
        <v>45595</v>
      </c>
      <c r="H648" t="s">
        <v>94</v>
      </c>
      <c r="I648" t="s">
        <v>504</v>
      </c>
      <c r="J648" t="s">
        <v>4741</v>
      </c>
      <c r="O648" t="s">
        <v>568</v>
      </c>
      <c r="Q648" s="3">
        <f t="shared" ref="Q648:Q711" si="37">ABS(E648)</f>
        <v>201.73</v>
      </c>
      <c r="V648" s="3" t="str">
        <f t="shared" si="34"/>
        <v/>
      </c>
    </row>
    <row r="649" spans="1:22" x14ac:dyDescent="0.35">
      <c r="A649" t="s">
        <v>0</v>
      </c>
      <c r="B649" t="s">
        <v>708</v>
      </c>
      <c r="C649" t="s">
        <v>16</v>
      </c>
      <c r="D649" t="s">
        <v>17</v>
      </c>
      <c r="E649">
        <v>200</v>
      </c>
      <c r="F649" t="s">
        <v>88</v>
      </c>
      <c r="G649" s="19">
        <v>45390</v>
      </c>
      <c r="H649" t="s">
        <v>89</v>
      </c>
      <c r="I649" t="s">
        <v>2856</v>
      </c>
      <c r="J649"/>
      <c r="K649" t="s">
        <v>101</v>
      </c>
      <c r="L649" t="s">
        <v>2857</v>
      </c>
      <c r="M649" t="s">
        <v>2858</v>
      </c>
      <c r="Q649" s="3">
        <f t="shared" si="37"/>
        <v>200</v>
      </c>
      <c r="V649" s="3" t="str">
        <f t="shared" ref="V649:V712" si="38">IF(T649="Y",E649,"")</f>
        <v/>
      </c>
    </row>
    <row r="650" spans="1:22" x14ac:dyDescent="0.35">
      <c r="A650" t="s">
        <v>35</v>
      </c>
      <c r="B650" t="s">
        <v>1566</v>
      </c>
      <c r="C650" t="s">
        <v>16</v>
      </c>
      <c r="D650" t="s">
        <v>17</v>
      </c>
      <c r="E650">
        <v>200</v>
      </c>
      <c r="F650" t="s">
        <v>88</v>
      </c>
      <c r="G650" s="19">
        <v>45391</v>
      </c>
      <c r="H650" t="s">
        <v>89</v>
      </c>
      <c r="I650" t="s">
        <v>2898</v>
      </c>
      <c r="J650"/>
      <c r="K650" t="s">
        <v>2899</v>
      </c>
      <c r="L650" t="s">
        <v>2900</v>
      </c>
      <c r="M650" t="s">
        <v>2901</v>
      </c>
      <c r="Q650" s="3">
        <f t="shared" si="37"/>
        <v>200</v>
      </c>
      <c r="V650" s="3" t="str">
        <f t="shared" si="38"/>
        <v/>
      </c>
    </row>
    <row r="651" spans="1:22" x14ac:dyDescent="0.35">
      <c r="A651" t="s">
        <v>35</v>
      </c>
      <c r="B651" t="s">
        <v>3466</v>
      </c>
      <c r="C651" t="s">
        <v>16</v>
      </c>
      <c r="D651" t="s">
        <v>17</v>
      </c>
      <c r="E651">
        <v>200</v>
      </c>
      <c r="F651" t="s">
        <v>88</v>
      </c>
      <c r="G651" s="19">
        <v>45463</v>
      </c>
      <c r="H651" t="s">
        <v>94</v>
      </c>
      <c r="I651" t="s">
        <v>3640</v>
      </c>
      <c r="J651" t="s">
        <v>3641</v>
      </c>
      <c r="O651" t="s">
        <v>3642</v>
      </c>
      <c r="Q651" s="3">
        <f t="shared" si="37"/>
        <v>200</v>
      </c>
      <c r="S651" s="69" t="s">
        <v>53</v>
      </c>
      <c r="T651" t="s">
        <v>64</v>
      </c>
      <c r="U651" t="str">
        <f>B651</f>
        <v>AU030211</v>
      </c>
      <c r="V651" s="3">
        <f t="shared" si="38"/>
        <v>200</v>
      </c>
    </row>
    <row r="652" spans="1:22" x14ac:dyDescent="0.35">
      <c r="A652" t="s">
        <v>35</v>
      </c>
      <c r="B652" t="s">
        <v>1566</v>
      </c>
      <c r="C652" t="s">
        <v>16</v>
      </c>
      <c r="D652" t="s">
        <v>17</v>
      </c>
      <c r="E652">
        <v>200</v>
      </c>
      <c r="F652" t="s">
        <v>88</v>
      </c>
      <c r="G652" s="19">
        <v>45470</v>
      </c>
      <c r="H652" t="s">
        <v>94</v>
      </c>
      <c r="I652" t="s">
        <v>232</v>
      </c>
      <c r="J652" t="s">
        <v>3699</v>
      </c>
      <c r="O652" t="s">
        <v>627</v>
      </c>
      <c r="Q652" s="3">
        <f t="shared" si="37"/>
        <v>200</v>
      </c>
      <c r="S652" s="69" t="s">
        <v>53</v>
      </c>
      <c r="T652" t="s">
        <v>64</v>
      </c>
      <c r="U652" t="str">
        <f t="shared" ref="U652:U657" si="39">B652</f>
        <v>AU032046</v>
      </c>
      <c r="V652" s="3">
        <f t="shared" si="38"/>
        <v>200</v>
      </c>
    </row>
    <row r="653" spans="1:22" x14ac:dyDescent="0.35">
      <c r="A653" t="s">
        <v>35</v>
      </c>
      <c r="B653" t="s">
        <v>1566</v>
      </c>
      <c r="C653" t="s">
        <v>16</v>
      </c>
      <c r="D653" t="s">
        <v>17</v>
      </c>
      <c r="E653">
        <v>200</v>
      </c>
      <c r="F653" t="s">
        <v>88</v>
      </c>
      <c r="G653" s="19">
        <v>45470</v>
      </c>
      <c r="H653" t="s">
        <v>94</v>
      </c>
      <c r="I653" t="s">
        <v>232</v>
      </c>
      <c r="J653" t="s">
        <v>3702</v>
      </c>
      <c r="O653" t="s">
        <v>627</v>
      </c>
      <c r="Q653" s="3">
        <f t="shared" si="37"/>
        <v>200</v>
      </c>
      <c r="S653" s="69" t="s">
        <v>53</v>
      </c>
      <c r="T653" t="s">
        <v>64</v>
      </c>
      <c r="U653" t="str">
        <f t="shared" si="39"/>
        <v>AU032046</v>
      </c>
      <c r="V653" s="3">
        <f t="shared" si="38"/>
        <v>200</v>
      </c>
    </row>
    <row r="654" spans="1:22" x14ac:dyDescent="0.35">
      <c r="A654" t="s">
        <v>35</v>
      </c>
      <c r="B654" t="s">
        <v>1566</v>
      </c>
      <c r="C654" t="s">
        <v>16</v>
      </c>
      <c r="D654" t="s">
        <v>17</v>
      </c>
      <c r="E654">
        <v>200</v>
      </c>
      <c r="F654" t="s">
        <v>88</v>
      </c>
      <c r="G654" s="19">
        <v>45495</v>
      </c>
      <c r="H654" t="s">
        <v>94</v>
      </c>
      <c r="I654" t="s">
        <v>232</v>
      </c>
      <c r="J654" t="s">
        <v>3863</v>
      </c>
      <c r="O654" t="s">
        <v>627</v>
      </c>
      <c r="Q654" s="3">
        <f t="shared" si="37"/>
        <v>200</v>
      </c>
      <c r="S654" s="69" t="s">
        <v>53</v>
      </c>
      <c r="T654" t="s">
        <v>64</v>
      </c>
      <c r="U654" t="str">
        <f t="shared" si="39"/>
        <v>AU032046</v>
      </c>
      <c r="V654" s="3">
        <f t="shared" si="38"/>
        <v>200</v>
      </c>
    </row>
    <row r="655" spans="1:22" x14ac:dyDescent="0.35">
      <c r="A655" t="s">
        <v>35</v>
      </c>
      <c r="B655" t="s">
        <v>1566</v>
      </c>
      <c r="C655" t="s">
        <v>16</v>
      </c>
      <c r="D655" t="s">
        <v>17</v>
      </c>
      <c r="E655">
        <v>200</v>
      </c>
      <c r="F655" t="s">
        <v>88</v>
      </c>
      <c r="G655" s="19">
        <v>45504</v>
      </c>
      <c r="H655" t="s">
        <v>94</v>
      </c>
      <c r="I655" t="s">
        <v>232</v>
      </c>
      <c r="J655" t="s">
        <v>3894</v>
      </c>
      <c r="O655" t="s">
        <v>627</v>
      </c>
      <c r="Q655" s="3">
        <f t="shared" si="37"/>
        <v>200</v>
      </c>
      <c r="S655" s="69" t="s">
        <v>53</v>
      </c>
      <c r="T655" t="s">
        <v>64</v>
      </c>
      <c r="U655" t="str">
        <f t="shared" si="39"/>
        <v>AU032046</v>
      </c>
      <c r="V655" s="3">
        <f t="shared" si="38"/>
        <v>200</v>
      </c>
    </row>
    <row r="656" spans="1:22" x14ac:dyDescent="0.35">
      <c r="A656" t="s">
        <v>35</v>
      </c>
      <c r="B656" t="s">
        <v>1566</v>
      </c>
      <c r="C656" t="s">
        <v>16</v>
      </c>
      <c r="D656" t="s">
        <v>17</v>
      </c>
      <c r="E656">
        <v>200</v>
      </c>
      <c r="F656" t="s">
        <v>88</v>
      </c>
      <c r="G656" s="19">
        <v>45504</v>
      </c>
      <c r="H656" t="s">
        <v>94</v>
      </c>
      <c r="I656" t="s">
        <v>232</v>
      </c>
      <c r="J656" t="s">
        <v>3895</v>
      </c>
      <c r="O656" t="s">
        <v>627</v>
      </c>
      <c r="Q656" s="3">
        <f t="shared" si="37"/>
        <v>200</v>
      </c>
      <c r="S656" s="69" t="s">
        <v>53</v>
      </c>
      <c r="T656" t="s">
        <v>64</v>
      </c>
      <c r="U656" t="str">
        <f t="shared" si="39"/>
        <v>AU032046</v>
      </c>
      <c r="V656" s="3">
        <f t="shared" si="38"/>
        <v>200</v>
      </c>
    </row>
    <row r="657" spans="1:22" x14ac:dyDescent="0.35">
      <c r="A657" t="s">
        <v>35</v>
      </c>
      <c r="B657" t="s">
        <v>1566</v>
      </c>
      <c r="C657" t="s">
        <v>16</v>
      </c>
      <c r="D657" t="s">
        <v>17</v>
      </c>
      <c r="E657">
        <v>-200</v>
      </c>
      <c r="F657" t="s">
        <v>88</v>
      </c>
      <c r="G657" s="19">
        <v>45539</v>
      </c>
      <c r="H657" t="s">
        <v>94</v>
      </c>
      <c r="I657" t="s">
        <v>232</v>
      </c>
      <c r="J657" t="s">
        <v>4220</v>
      </c>
      <c r="O657" t="s">
        <v>627</v>
      </c>
      <c r="Q657" s="3">
        <f t="shared" si="37"/>
        <v>200</v>
      </c>
      <c r="S657" s="69" t="s">
        <v>53</v>
      </c>
      <c r="T657" t="s">
        <v>64</v>
      </c>
      <c r="U657" t="str">
        <f t="shared" si="39"/>
        <v>AU032046</v>
      </c>
      <c r="V657" s="3">
        <f t="shared" si="38"/>
        <v>-200</v>
      </c>
    </row>
    <row r="658" spans="1:22" x14ac:dyDescent="0.35">
      <c r="A658" t="s">
        <v>35</v>
      </c>
      <c r="B658" t="s">
        <v>915</v>
      </c>
      <c r="C658" t="s">
        <v>16</v>
      </c>
      <c r="D658" t="s">
        <v>17</v>
      </c>
      <c r="E658">
        <v>200</v>
      </c>
      <c r="F658" t="s">
        <v>88</v>
      </c>
      <c r="G658" s="19">
        <v>45617</v>
      </c>
      <c r="H658" t="s">
        <v>94</v>
      </c>
      <c r="I658" t="s">
        <v>3552</v>
      </c>
      <c r="J658" t="s">
        <v>217</v>
      </c>
      <c r="O658" t="s">
        <v>4982</v>
      </c>
      <c r="Q658" s="3">
        <f t="shared" si="37"/>
        <v>200</v>
      </c>
      <c r="V658" s="3" t="str">
        <f t="shared" si="38"/>
        <v/>
      </c>
    </row>
    <row r="659" spans="1:22" x14ac:dyDescent="0.35">
      <c r="A659" t="s">
        <v>0</v>
      </c>
      <c r="B659" t="s">
        <v>1566</v>
      </c>
      <c r="C659" t="s">
        <v>16</v>
      </c>
      <c r="D659" t="s">
        <v>17</v>
      </c>
      <c r="E659">
        <v>198.58</v>
      </c>
      <c r="F659" t="s">
        <v>88</v>
      </c>
      <c r="G659" s="19">
        <v>45545</v>
      </c>
      <c r="H659" t="s">
        <v>89</v>
      </c>
      <c r="I659" t="s">
        <v>4270</v>
      </c>
      <c r="J659"/>
      <c r="K659" t="s">
        <v>4271</v>
      </c>
      <c r="L659" t="s">
        <v>4272</v>
      </c>
      <c r="M659" t="s">
        <v>100</v>
      </c>
      <c r="Q659" s="3">
        <f t="shared" si="37"/>
        <v>198.58</v>
      </c>
      <c r="V659" s="3" t="str">
        <f t="shared" si="38"/>
        <v/>
      </c>
    </row>
    <row r="660" spans="1:22" x14ac:dyDescent="0.35">
      <c r="A660" t="s">
        <v>0</v>
      </c>
      <c r="B660" t="s">
        <v>1566</v>
      </c>
      <c r="C660" t="s">
        <v>16</v>
      </c>
      <c r="D660" t="s">
        <v>17</v>
      </c>
      <c r="E660">
        <v>198.13</v>
      </c>
      <c r="F660" t="s">
        <v>88</v>
      </c>
      <c r="G660" s="19">
        <v>45425</v>
      </c>
      <c r="H660" t="s">
        <v>89</v>
      </c>
      <c r="I660" t="s">
        <v>3222</v>
      </c>
      <c r="J660"/>
      <c r="K660" t="s">
        <v>3226</v>
      </c>
      <c r="L660" t="s">
        <v>3224</v>
      </c>
      <c r="M660" t="s">
        <v>3225</v>
      </c>
      <c r="Q660" s="3">
        <f t="shared" si="37"/>
        <v>198.13</v>
      </c>
      <c r="V660" s="3" t="str">
        <f t="shared" si="38"/>
        <v/>
      </c>
    </row>
    <row r="661" spans="1:22" x14ac:dyDescent="0.35">
      <c r="A661" t="s">
        <v>0</v>
      </c>
      <c r="B661" t="s">
        <v>1566</v>
      </c>
      <c r="C661" t="s">
        <v>16</v>
      </c>
      <c r="D661" t="s">
        <v>17</v>
      </c>
      <c r="E661">
        <v>198.13</v>
      </c>
      <c r="F661" t="s">
        <v>88</v>
      </c>
      <c r="G661" s="19">
        <v>45425</v>
      </c>
      <c r="H661" t="s">
        <v>89</v>
      </c>
      <c r="I661" t="s">
        <v>3227</v>
      </c>
      <c r="J661"/>
      <c r="K661" t="s">
        <v>3226</v>
      </c>
      <c r="L661" t="s">
        <v>3224</v>
      </c>
      <c r="M661" t="s">
        <v>3228</v>
      </c>
      <c r="Q661" s="3">
        <f t="shared" si="37"/>
        <v>198.13</v>
      </c>
      <c r="V661" s="3" t="str">
        <f t="shared" si="38"/>
        <v/>
      </c>
    </row>
    <row r="662" spans="1:22" x14ac:dyDescent="0.35">
      <c r="A662" t="s">
        <v>0</v>
      </c>
      <c r="B662" t="s">
        <v>1566</v>
      </c>
      <c r="C662" t="s">
        <v>16</v>
      </c>
      <c r="D662" t="s">
        <v>17</v>
      </c>
      <c r="E662">
        <v>-198.13</v>
      </c>
      <c r="F662" t="s">
        <v>88</v>
      </c>
      <c r="G662" s="19">
        <v>45433</v>
      </c>
      <c r="H662" t="s">
        <v>89</v>
      </c>
      <c r="I662" t="s">
        <v>3222</v>
      </c>
      <c r="J662"/>
      <c r="K662" t="s">
        <v>3226</v>
      </c>
      <c r="L662" t="s">
        <v>3224</v>
      </c>
      <c r="M662" t="s">
        <v>3225</v>
      </c>
      <c r="Q662" s="3">
        <f t="shared" si="37"/>
        <v>198.13</v>
      </c>
      <c r="V662" s="3" t="str">
        <f t="shared" si="38"/>
        <v/>
      </c>
    </row>
    <row r="663" spans="1:22" x14ac:dyDescent="0.35">
      <c r="A663" t="s">
        <v>0</v>
      </c>
      <c r="B663" t="s">
        <v>1566</v>
      </c>
      <c r="C663" t="s">
        <v>16</v>
      </c>
      <c r="D663" t="s">
        <v>17</v>
      </c>
      <c r="E663">
        <v>197.58</v>
      </c>
      <c r="F663" t="s">
        <v>88</v>
      </c>
      <c r="G663" s="19">
        <v>45474</v>
      </c>
      <c r="H663" t="s">
        <v>89</v>
      </c>
      <c r="I663" t="s">
        <v>3725</v>
      </c>
      <c r="J663"/>
      <c r="K663" t="s">
        <v>3728</v>
      </c>
      <c r="L663" t="s">
        <v>3726</v>
      </c>
      <c r="M663" t="s">
        <v>174</v>
      </c>
      <c r="Q663" s="3">
        <f t="shared" si="37"/>
        <v>197.58</v>
      </c>
      <c r="V663" s="3" t="str">
        <f t="shared" si="38"/>
        <v/>
      </c>
    </row>
    <row r="664" spans="1:22" x14ac:dyDescent="0.35">
      <c r="A664" t="s">
        <v>0</v>
      </c>
      <c r="B664" t="s">
        <v>1566</v>
      </c>
      <c r="C664" t="s">
        <v>16</v>
      </c>
      <c r="D664" t="s">
        <v>17</v>
      </c>
      <c r="E664">
        <v>195.05</v>
      </c>
      <c r="F664" t="s">
        <v>88</v>
      </c>
      <c r="G664" s="19">
        <v>45384</v>
      </c>
      <c r="H664" t="s">
        <v>89</v>
      </c>
      <c r="I664" t="s">
        <v>2776</v>
      </c>
      <c r="J664"/>
      <c r="K664" t="s">
        <v>2777</v>
      </c>
      <c r="L664" t="s">
        <v>2778</v>
      </c>
      <c r="M664" t="s">
        <v>100</v>
      </c>
      <c r="Q664" s="3">
        <f t="shared" si="37"/>
        <v>195.05</v>
      </c>
      <c r="V664" s="3" t="str">
        <f t="shared" si="38"/>
        <v/>
      </c>
    </row>
    <row r="665" spans="1:22" x14ac:dyDescent="0.35">
      <c r="A665" t="s">
        <v>35</v>
      </c>
      <c r="B665" t="s">
        <v>1566</v>
      </c>
      <c r="C665" t="s">
        <v>16</v>
      </c>
      <c r="D665" t="s">
        <v>17</v>
      </c>
      <c r="E665">
        <v>193.55</v>
      </c>
      <c r="F665" t="s">
        <v>88</v>
      </c>
      <c r="G665" s="19">
        <v>45545</v>
      </c>
      <c r="H665" t="s">
        <v>94</v>
      </c>
      <c r="I665" t="s">
        <v>229</v>
      </c>
      <c r="J665" t="s">
        <v>4307</v>
      </c>
      <c r="O665" t="s">
        <v>4308</v>
      </c>
      <c r="Q665" s="3">
        <f t="shared" si="37"/>
        <v>193.55</v>
      </c>
      <c r="V665" s="3" t="str">
        <f t="shared" si="38"/>
        <v/>
      </c>
    </row>
    <row r="666" spans="1:22" x14ac:dyDescent="0.35">
      <c r="A666" t="s">
        <v>35</v>
      </c>
      <c r="B666" t="s">
        <v>708</v>
      </c>
      <c r="C666" t="s">
        <v>16</v>
      </c>
      <c r="D666" t="s">
        <v>17</v>
      </c>
      <c r="E666">
        <v>193.55</v>
      </c>
      <c r="F666" t="s">
        <v>88</v>
      </c>
      <c r="G666" s="19">
        <v>45639</v>
      </c>
      <c r="H666" t="s">
        <v>229</v>
      </c>
      <c r="I666" t="s">
        <v>229</v>
      </c>
      <c r="J666"/>
      <c r="Q666" s="3">
        <f t="shared" si="37"/>
        <v>193.55</v>
      </c>
      <c r="V666" s="3" t="str">
        <f t="shared" si="38"/>
        <v/>
      </c>
    </row>
    <row r="667" spans="1:22" x14ac:dyDescent="0.35">
      <c r="A667" t="s">
        <v>35</v>
      </c>
      <c r="B667" t="s">
        <v>1566</v>
      </c>
      <c r="C667" t="s">
        <v>16</v>
      </c>
      <c r="D667" t="s">
        <v>17</v>
      </c>
      <c r="E667">
        <v>-193.55</v>
      </c>
      <c r="F667" t="s">
        <v>88</v>
      </c>
      <c r="G667" s="19">
        <v>45639</v>
      </c>
      <c r="H667" t="s">
        <v>229</v>
      </c>
      <c r="I667" t="s">
        <v>229</v>
      </c>
      <c r="J667"/>
      <c r="Q667" s="3">
        <f t="shared" si="37"/>
        <v>193.55</v>
      </c>
      <c r="V667" s="3" t="str">
        <f t="shared" si="38"/>
        <v/>
      </c>
    </row>
    <row r="668" spans="1:22" x14ac:dyDescent="0.35">
      <c r="A668" t="s">
        <v>35</v>
      </c>
      <c r="B668" t="s">
        <v>1566</v>
      </c>
      <c r="C668" t="s">
        <v>16</v>
      </c>
      <c r="D668" t="s">
        <v>17</v>
      </c>
      <c r="E668">
        <v>189.3</v>
      </c>
      <c r="F668" t="s">
        <v>88</v>
      </c>
      <c r="G668" s="19">
        <v>45629</v>
      </c>
      <c r="H668" t="s">
        <v>94</v>
      </c>
      <c r="I668" t="s">
        <v>5123</v>
      </c>
      <c r="J668" t="s">
        <v>5122</v>
      </c>
      <c r="O668" t="s">
        <v>5124</v>
      </c>
      <c r="Q668" s="3">
        <f t="shared" si="37"/>
        <v>189.3</v>
      </c>
      <c r="V668" s="3" t="str">
        <f t="shared" si="38"/>
        <v/>
      </c>
    </row>
    <row r="669" spans="1:22" x14ac:dyDescent="0.35">
      <c r="A669" t="s">
        <v>35</v>
      </c>
      <c r="B669" t="s">
        <v>1566</v>
      </c>
      <c r="C669" t="s">
        <v>16</v>
      </c>
      <c r="D669" t="s">
        <v>17</v>
      </c>
      <c r="E669">
        <v>187.27</v>
      </c>
      <c r="F669" t="s">
        <v>88</v>
      </c>
      <c r="G669" s="19">
        <v>45394</v>
      </c>
      <c r="H669" t="s">
        <v>94</v>
      </c>
      <c r="I669" t="s">
        <v>2910</v>
      </c>
      <c r="J669" t="s">
        <v>2990</v>
      </c>
      <c r="O669" t="s">
        <v>2991</v>
      </c>
      <c r="Q669" s="3">
        <f t="shared" si="37"/>
        <v>187.27</v>
      </c>
      <c r="V669" s="3" t="str">
        <f t="shared" si="38"/>
        <v/>
      </c>
    </row>
    <row r="670" spans="1:22" x14ac:dyDescent="0.35">
      <c r="A670" t="s">
        <v>35</v>
      </c>
      <c r="B670" t="s">
        <v>1566</v>
      </c>
      <c r="C670" t="s">
        <v>16</v>
      </c>
      <c r="D670" t="s">
        <v>17</v>
      </c>
      <c r="E670">
        <v>187.25</v>
      </c>
      <c r="F670" t="s">
        <v>88</v>
      </c>
      <c r="G670" s="19">
        <v>45638</v>
      </c>
      <c r="H670" t="s">
        <v>94</v>
      </c>
      <c r="I670" t="s">
        <v>471</v>
      </c>
      <c r="J670" t="s">
        <v>5288</v>
      </c>
      <c r="O670" t="s">
        <v>5289</v>
      </c>
      <c r="Q670" s="3">
        <f t="shared" si="37"/>
        <v>187.25</v>
      </c>
      <c r="S670" s="69" t="s">
        <v>53</v>
      </c>
      <c r="T670" t="s">
        <v>64</v>
      </c>
      <c r="U670" t="str">
        <f t="shared" ref="U670" si="40">B670</f>
        <v>AU032046</v>
      </c>
      <c r="V670" s="3">
        <f t="shared" si="38"/>
        <v>187.25</v>
      </c>
    </row>
    <row r="671" spans="1:22" x14ac:dyDescent="0.35">
      <c r="A671" t="s">
        <v>35</v>
      </c>
      <c r="B671" t="s">
        <v>698</v>
      </c>
      <c r="C671" t="s">
        <v>16</v>
      </c>
      <c r="D671" t="s">
        <v>17</v>
      </c>
      <c r="E671">
        <v>185.41</v>
      </c>
      <c r="F671" t="s">
        <v>88</v>
      </c>
      <c r="G671" s="19">
        <v>45505</v>
      </c>
      <c r="H671" t="s">
        <v>94</v>
      </c>
      <c r="I671" t="s">
        <v>832</v>
      </c>
      <c r="J671" t="s">
        <v>3941</v>
      </c>
      <c r="O671" t="s">
        <v>3942</v>
      </c>
      <c r="Q671" s="3">
        <f t="shared" si="37"/>
        <v>185.41</v>
      </c>
      <c r="V671" s="3" t="str">
        <f t="shared" si="38"/>
        <v/>
      </c>
    </row>
    <row r="672" spans="1:22" x14ac:dyDescent="0.35">
      <c r="A672" t="s">
        <v>35</v>
      </c>
      <c r="B672" t="s">
        <v>1566</v>
      </c>
      <c r="C672" t="s">
        <v>16</v>
      </c>
      <c r="D672" t="s">
        <v>17</v>
      </c>
      <c r="E672">
        <v>185</v>
      </c>
      <c r="F672" t="s">
        <v>88</v>
      </c>
      <c r="G672" s="19">
        <v>45545</v>
      </c>
      <c r="H672" t="s">
        <v>94</v>
      </c>
      <c r="I672" t="s">
        <v>4223</v>
      </c>
      <c r="J672" t="s">
        <v>4281</v>
      </c>
      <c r="O672" t="s">
        <v>4282</v>
      </c>
      <c r="Q672" s="3">
        <f t="shared" si="37"/>
        <v>185</v>
      </c>
      <c r="V672" s="3" t="str">
        <f t="shared" si="38"/>
        <v/>
      </c>
    </row>
    <row r="673" spans="1:22" x14ac:dyDescent="0.35">
      <c r="A673" t="s">
        <v>35</v>
      </c>
      <c r="B673" t="s">
        <v>1566</v>
      </c>
      <c r="C673" t="s">
        <v>16</v>
      </c>
      <c r="D673" t="s">
        <v>17</v>
      </c>
      <c r="E673">
        <v>183.64</v>
      </c>
      <c r="F673" t="s">
        <v>88</v>
      </c>
      <c r="G673" s="19">
        <v>45638</v>
      </c>
      <c r="H673" t="s">
        <v>94</v>
      </c>
      <c r="I673" t="s">
        <v>5279</v>
      </c>
      <c r="J673" t="s">
        <v>5276</v>
      </c>
      <c r="O673" t="s">
        <v>5281</v>
      </c>
      <c r="Q673" s="3">
        <f t="shared" si="37"/>
        <v>183.64</v>
      </c>
      <c r="V673" s="3" t="str">
        <f t="shared" si="38"/>
        <v/>
      </c>
    </row>
    <row r="674" spans="1:22" x14ac:dyDescent="0.35">
      <c r="A674" t="s">
        <v>35</v>
      </c>
      <c r="B674" t="s">
        <v>1566</v>
      </c>
      <c r="C674" t="s">
        <v>16</v>
      </c>
      <c r="D674" t="s">
        <v>17</v>
      </c>
      <c r="E674">
        <v>183.51</v>
      </c>
      <c r="F674" t="s">
        <v>88</v>
      </c>
      <c r="G674" s="19">
        <v>45562</v>
      </c>
      <c r="H674" t="s">
        <v>94</v>
      </c>
      <c r="I674" t="s">
        <v>4456</v>
      </c>
      <c r="J674" t="s">
        <v>1063</v>
      </c>
      <c r="O674" t="s">
        <v>4457</v>
      </c>
      <c r="Q674" s="3">
        <f t="shared" si="37"/>
        <v>183.51</v>
      </c>
      <c r="V674" s="3" t="str">
        <f t="shared" si="38"/>
        <v/>
      </c>
    </row>
    <row r="675" spans="1:22" ht="87" x14ac:dyDescent="0.35">
      <c r="A675" t="s">
        <v>35</v>
      </c>
      <c r="B675" t="s">
        <v>1627</v>
      </c>
      <c r="C675" t="s">
        <v>16</v>
      </c>
      <c r="D675" t="s">
        <v>17</v>
      </c>
      <c r="E675">
        <v>182.65</v>
      </c>
      <c r="F675" t="s">
        <v>88</v>
      </c>
      <c r="G675" s="19">
        <v>45566</v>
      </c>
      <c r="H675" t="s">
        <v>94</v>
      </c>
      <c r="I675" t="s">
        <v>4554</v>
      </c>
      <c r="J675" t="s">
        <v>4555</v>
      </c>
      <c r="O675" t="s">
        <v>964</v>
      </c>
      <c r="Q675" s="3">
        <f t="shared" si="37"/>
        <v>182.65</v>
      </c>
      <c r="R675" s="69" t="s">
        <v>5326</v>
      </c>
      <c r="S675" s="69" t="s">
        <v>5327</v>
      </c>
      <c r="V675" s="3" t="str">
        <f t="shared" si="38"/>
        <v/>
      </c>
    </row>
    <row r="676" spans="1:22" x14ac:dyDescent="0.35">
      <c r="A676" t="s">
        <v>0</v>
      </c>
      <c r="B676" t="s">
        <v>1566</v>
      </c>
      <c r="C676" t="s">
        <v>16</v>
      </c>
      <c r="D676" t="s">
        <v>17</v>
      </c>
      <c r="E676">
        <v>182.56</v>
      </c>
      <c r="F676" t="s">
        <v>88</v>
      </c>
      <c r="G676" s="19">
        <v>45418</v>
      </c>
      <c r="H676" t="s">
        <v>89</v>
      </c>
      <c r="I676" t="s">
        <v>3150</v>
      </c>
      <c r="J676"/>
      <c r="K676" t="s">
        <v>3151</v>
      </c>
      <c r="L676" t="s">
        <v>3152</v>
      </c>
      <c r="M676" t="s">
        <v>100</v>
      </c>
      <c r="Q676" s="3">
        <f t="shared" si="37"/>
        <v>182.56</v>
      </c>
      <c r="V676" s="3" t="str">
        <f t="shared" si="38"/>
        <v/>
      </c>
    </row>
    <row r="677" spans="1:22" x14ac:dyDescent="0.35">
      <c r="A677" t="s">
        <v>35</v>
      </c>
      <c r="B677" t="s">
        <v>825</v>
      </c>
      <c r="C677" t="s">
        <v>16</v>
      </c>
      <c r="D677" t="s">
        <v>17</v>
      </c>
      <c r="E677">
        <v>181.82</v>
      </c>
      <c r="F677" t="s">
        <v>88</v>
      </c>
      <c r="G677" s="19">
        <v>45390</v>
      </c>
      <c r="H677" t="s">
        <v>94</v>
      </c>
      <c r="I677" t="s">
        <v>234</v>
      </c>
      <c r="J677" t="s">
        <v>2870</v>
      </c>
      <c r="O677" t="s">
        <v>2871</v>
      </c>
      <c r="Q677" s="3">
        <f t="shared" si="37"/>
        <v>181.82</v>
      </c>
      <c r="V677" s="3" t="str">
        <f t="shared" si="38"/>
        <v/>
      </c>
    </row>
    <row r="678" spans="1:22" x14ac:dyDescent="0.35">
      <c r="A678" t="s">
        <v>35</v>
      </c>
      <c r="B678" t="s">
        <v>825</v>
      </c>
      <c r="C678" t="s">
        <v>16</v>
      </c>
      <c r="D678" t="s">
        <v>17</v>
      </c>
      <c r="E678">
        <v>181.82</v>
      </c>
      <c r="F678" t="s">
        <v>88</v>
      </c>
      <c r="G678" s="19">
        <v>45600</v>
      </c>
      <c r="H678" t="s">
        <v>94</v>
      </c>
      <c r="I678" t="s">
        <v>4808</v>
      </c>
      <c r="J678" t="s">
        <v>4809</v>
      </c>
      <c r="O678" t="s">
        <v>4810</v>
      </c>
      <c r="Q678" s="3">
        <f t="shared" si="37"/>
        <v>181.82</v>
      </c>
      <c r="V678" s="3" t="str">
        <f t="shared" si="38"/>
        <v/>
      </c>
    </row>
    <row r="679" spans="1:22" x14ac:dyDescent="0.35">
      <c r="A679" t="s">
        <v>35</v>
      </c>
      <c r="B679" t="s">
        <v>893</v>
      </c>
      <c r="C679" t="s">
        <v>16</v>
      </c>
      <c r="D679" t="s">
        <v>17</v>
      </c>
      <c r="E679">
        <v>180</v>
      </c>
      <c r="F679" t="s">
        <v>88</v>
      </c>
      <c r="G679" s="19">
        <v>45384</v>
      </c>
      <c r="H679" t="s">
        <v>94</v>
      </c>
      <c r="I679" t="s">
        <v>231</v>
      </c>
      <c r="J679" t="s">
        <v>2805</v>
      </c>
      <c r="O679" t="s">
        <v>2806</v>
      </c>
      <c r="Q679" s="3">
        <f t="shared" si="37"/>
        <v>180</v>
      </c>
      <c r="V679" s="3" t="str">
        <f t="shared" si="38"/>
        <v/>
      </c>
    </row>
    <row r="680" spans="1:22" ht="87" x14ac:dyDescent="0.35">
      <c r="A680" t="s">
        <v>35</v>
      </c>
      <c r="B680" t="s">
        <v>1566</v>
      </c>
      <c r="C680" t="s">
        <v>16</v>
      </c>
      <c r="D680" t="s">
        <v>17</v>
      </c>
      <c r="E680">
        <v>180</v>
      </c>
      <c r="F680" t="s">
        <v>88</v>
      </c>
      <c r="G680" s="19">
        <v>45558</v>
      </c>
      <c r="H680" t="s">
        <v>94</v>
      </c>
      <c r="I680" t="s">
        <v>4418</v>
      </c>
      <c r="J680" t="s">
        <v>4419</v>
      </c>
      <c r="O680" t="s">
        <v>4420</v>
      </c>
      <c r="Q680" s="3">
        <f t="shared" si="37"/>
        <v>180</v>
      </c>
      <c r="R680" s="69" t="s">
        <v>5326</v>
      </c>
      <c r="S680" s="69" t="s">
        <v>5327</v>
      </c>
      <c r="V680" s="3" t="str">
        <f t="shared" si="38"/>
        <v/>
      </c>
    </row>
    <row r="681" spans="1:22" x14ac:dyDescent="0.35">
      <c r="A681" t="s">
        <v>0</v>
      </c>
      <c r="B681" t="s">
        <v>1566</v>
      </c>
      <c r="C681" t="s">
        <v>16</v>
      </c>
      <c r="D681" t="s">
        <v>17</v>
      </c>
      <c r="E681">
        <v>177.47</v>
      </c>
      <c r="F681" t="s">
        <v>88</v>
      </c>
      <c r="G681" s="19">
        <v>45505</v>
      </c>
      <c r="H681" t="s">
        <v>89</v>
      </c>
      <c r="I681" t="s">
        <v>3909</v>
      </c>
      <c r="J681"/>
      <c r="K681" t="s">
        <v>3910</v>
      </c>
      <c r="L681" t="s">
        <v>3911</v>
      </c>
      <c r="M681" t="s">
        <v>100</v>
      </c>
      <c r="Q681" s="3">
        <f t="shared" si="37"/>
        <v>177.47</v>
      </c>
      <c r="V681" s="3" t="str">
        <f t="shared" si="38"/>
        <v/>
      </c>
    </row>
    <row r="682" spans="1:22" x14ac:dyDescent="0.35">
      <c r="A682" t="s">
        <v>35</v>
      </c>
      <c r="B682" t="s">
        <v>1106</v>
      </c>
      <c r="C682" t="s">
        <v>16</v>
      </c>
      <c r="D682" t="s">
        <v>17</v>
      </c>
      <c r="E682">
        <v>177.27</v>
      </c>
      <c r="F682" t="s">
        <v>88</v>
      </c>
      <c r="G682" s="19">
        <v>45425</v>
      </c>
      <c r="H682" t="s">
        <v>94</v>
      </c>
      <c r="I682" t="s">
        <v>1107</v>
      </c>
      <c r="J682" t="s">
        <v>3245</v>
      </c>
      <c r="O682" t="s">
        <v>3246</v>
      </c>
      <c r="Q682" s="3">
        <f t="shared" si="37"/>
        <v>177.27</v>
      </c>
      <c r="V682" s="3" t="str">
        <f t="shared" si="38"/>
        <v/>
      </c>
    </row>
    <row r="683" spans="1:22" x14ac:dyDescent="0.35">
      <c r="A683" t="s">
        <v>35</v>
      </c>
      <c r="B683" t="s">
        <v>1566</v>
      </c>
      <c r="C683" t="s">
        <v>16</v>
      </c>
      <c r="D683" t="s">
        <v>17</v>
      </c>
      <c r="E683">
        <v>175.63</v>
      </c>
      <c r="F683" t="s">
        <v>88</v>
      </c>
      <c r="G683" s="19">
        <v>45446</v>
      </c>
      <c r="H683" t="s">
        <v>89</v>
      </c>
      <c r="I683" t="s">
        <v>3417</v>
      </c>
      <c r="J683"/>
      <c r="K683" t="s">
        <v>3418</v>
      </c>
      <c r="L683" t="s">
        <v>3419</v>
      </c>
      <c r="M683" t="s">
        <v>3275</v>
      </c>
      <c r="Q683" s="3">
        <f t="shared" si="37"/>
        <v>175.63</v>
      </c>
      <c r="V683" s="3" t="str">
        <f t="shared" si="38"/>
        <v/>
      </c>
    </row>
    <row r="684" spans="1:22" x14ac:dyDescent="0.35">
      <c r="A684" t="s">
        <v>35</v>
      </c>
      <c r="B684" t="s">
        <v>1566</v>
      </c>
      <c r="C684" t="s">
        <v>16</v>
      </c>
      <c r="D684" t="s">
        <v>17</v>
      </c>
      <c r="E684">
        <v>175</v>
      </c>
      <c r="F684" t="s">
        <v>88</v>
      </c>
      <c r="G684" s="19">
        <v>45525</v>
      </c>
      <c r="H684" t="s">
        <v>89</v>
      </c>
      <c r="I684" t="s">
        <v>4086</v>
      </c>
      <c r="J684"/>
      <c r="K684" t="s">
        <v>4087</v>
      </c>
      <c r="L684" t="s">
        <v>194</v>
      </c>
      <c r="M684" t="s">
        <v>4088</v>
      </c>
      <c r="Q684" s="3">
        <f t="shared" si="37"/>
        <v>175</v>
      </c>
      <c r="V684" s="3" t="str">
        <f t="shared" si="38"/>
        <v/>
      </c>
    </row>
    <row r="685" spans="1:22" ht="87" x14ac:dyDescent="0.35">
      <c r="A685" t="s">
        <v>35</v>
      </c>
      <c r="B685" t="s">
        <v>1566</v>
      </c>
      <c r="C685" t="s">
        <v>16</v>
      </c>
      <c r="D685" t="s">
        <v>17</v>
      </c>
      <c r="E685">
        <v>174.73</v>
      </c>
      <c r="F685" t="s">
        <v>88</v>
      </c>
      <c r="G685" s="19">
        <v>45594</v>
      </c>
      <c r="H685" t="s">
        <v>94</v>
      </c>
      <c r="I685" t="s">
        <v>242</v>
      </c>
      <c r="J685" t="s">
        <v>4728</v>
      </c>
      <c r="O685" t="s">
        <v>4729</v>
      </c>
      <c r="Q685" s="3">
        <f t="shared" si="37"/>
        <v>174.73</v>
      </c>
      <c r="R685" s="69" t="s">
        <v>5326</v>
      </c>
      <c r="S685" s="69" t="s">
        <v>5327</v>
      </c>
      <c r="V685" s="3" t="str">
        <f t="shared" si="38"/>
        <v/>
      </c>
    </row>
    <row r="686" spans="1:22" x14ac:dyDescent="0.35">
      <c r="A686" t="s">
        <v>0</v>
      </c>
      <c r="B686" t="s">
        <v>1566</v>
      </c>
      <c r="C686" t="s">
        <v>16</v>
      </c>
      <c r="D686" t="s">
        <v>17</v>
      </c>
      <c r="E686">
        <v>171.24</v>
      </c>
      <c r="F686" t="s">
        <v>88</v>
      </c>
      <c r="G686" s="19">
        <v>45420</v>
      </c>
      <c r="H686" t="s">
        <v>89</v>
      </c>
      <c r="I686" t="s">
        <v>3167</v>
      </c>
      <c r="J686"/>
      <c r="K686" t="s">
        <v>3168</v>
      </c>
      <c r="L686" t="s">
        <v>3169</v>
      </c>
      <c r="M686" t="s">
        <v>100</v>
      </c>
      <c r="Q686" s="3">
        <f t="shared" si="37"/>
        <v>171.24</v>
      </c>
      <c r="V686" s="3" t="str">
        <f t="shared" si="38"/>
        <v/>
      </c>
    </row>
    <row r="687" spans="1:22" x14ac:dyDescent="0.35">
      <c r="A687" t="s">
        <v>35</v>
      </c>
      <c r="B687" t="s">
        <v>1566</v>
      </c>
      <c r="C687" t="s">
        <v>16</v>
      </c>
      <c r="D687" t="s">
        <v>17</v>
      </c>
      <c r="E687">
        <v>169.31</v>
      </c>
      <c r="F687" t="s">
        <v>88</v>
      </c>
      <c r="G687" s="19">
        <v>45455</v>
      </c>
      <c r="H687" t="s">
        <v>94</v>
      </c>
      <c r="I687" t="s">
        <v>435</v>
      </c>
      <c r="J687" t="s">
        <v>3563</v>
      </c>
      <c r="O687" t="s">
        <v>3564</v>
      </c>
      <c r="Q687" s="3">
        <f t="shared" si="37"/>
        <v>169.31</v>
      </c>
      <c r="V687" s="3" t="str">
        <f t="shared" si="38"/>
        <v/>
      </c>
    </row>
    <row r="688" spans="1:22" x14ac:dyDescent="0.35">
      <c r="A688" t="s">
        <v>35</v>
      </c>
      <c r="B688" t="s">
        <v>1566</v>
      </c>
      <c r="C688" t="s">
        <v>16</v>
      </c>
      <c r="D688" t="s">
        <v>17</v>
      </c>
      <c r="E688">
        <v>168.18</v>
      </c>
      <c r="F688" t="s">
        <v>88</v>
      </c>
      <c r="G688" s="19">
        <v>45496</v>
      </c>
      <c r="H688" t="s">
        <v>94</v>
      </c>
      <c r="I688" t="s">
        <v>3871</v>
      </c>
      <c r="J688" t="s">
        <v>3872</v>
      </c>
      <c r="O688" t="s">
        <v>3873</v>
      </c>
      <c r="Q688" s="3">
        <f t="shared" si="37"/>
        <v>168.18</v>
      </c>
      <c r="V688" s="3" t="str">
        <f t="shared" si="38"/>
        <v/>
      </c>
    </row>
    <row r="689" spans="1:22" x14ac:dyDescent="0.35">
      <c r="A689" t="s">
        <v>35</v>
      </c>
      <c r="B689" t="s">
        <v>1566</v>
      </c>
      <c r="C689" t="s">
        <v>16</v>
      </c>
      <c r="D689" t="s">
        <v>17</v>
      </c>
      <c r="E689">
        <v>168.18</v>
      </c>
      <c r="F689" t="s">
        <v>88</v>
      </c>
      <c r="G689" s="19">
        <v>45496</v>
      </c>
      <c r="H689" t="s">
        <v>94</v>
      </c>
      <c r="I689" t="s">
        <v>3876</v>
      </c>
      <c r="J689" t="s">
        <v>3877</v>
      </c>
      <c r="O689" t="s">
        <v>3878</v>
      </c>
      <c r="Q689" s="3">
        <f t="shared" si="37"/>
        <v>168.18</v>
      </c>
      <c r="S689" s="69" t="s">
        <v>53</v>
      </c>
      <c r="T689" t="s">
        <v>64</v>
      </c>
      <c r="U689" t="str">
        <f t="shared" ref="U689" si="41">B689</f>
        <v>AU032046</v>
      </c>
      <c r="V689" s="3">
        <f t="shared" si="38"/>
        <v>168.18</v>
      </c>
    </row>
    <row r="690" spans="1:22" ht="87" x14ac:dyDescent="0.35">
      <c r="A690" t="s">
        <v>35</v>
      </c>
      <c r="B690" t="s">
        <v>825</v>
      </c>
      <c r="C690" t="s">
        <v>16</v>
      </c>
      <c r="D690" t="s">
        <v>17</v>
      </c>
      <c r="E690">
        <v>168.18</v>
      </c>
      <c r="F690" t="s">
        <v>88</v>
      </c>
      <c r="G690" s="19">
        <v>45565</v>
      </c>
      <c r="H690" t="s">
        <v>94</v>
      </c>
      <c r="I690" t="s">
        <v>448</v>
      </c>
      <c r="J690" t="s">
        <v>4474</v>
      </c>
      <c r="O690" t="s">
        <v>4383</v>
      </c>
      <c r="Q690" s="3">
        <f t="shared" si="37"/>
        <v>168.18</v>
      </c>
      <c r="R690" s="69" t="s">
        <v>5326</v>
      </c>
      <c r="S690" s="69" t="s">
        <v>5327</v>
      </c>
      <c r="V690" s="3" t="str">
        <f t="shared" si="38"/>
        <v/>
      </c>
    </row>
    <row r="691" spans="1:22" x14ac:dyDescent="0.35">
      <c r="A691" t="s">
        <v>35</v>
      </c>
      <c r="B691" t="s">
        <v>1566</v>
      </c>
      <c r="C691" t="s">
        <v>16</v>
      </c>
      <c r="D691" t="s">
        <v>17</v>
      </c>
      <c r="E691">
        <v>167.14</v>
      </c>
      <c r="F691" t="s">
        <v>88</v>
      </c>
      <c r="G691" s="19">
        <v>45629</v>
      </c>
      <c r="H691" t="s">
        <v>94</v>
      </c>
      <c r="I691" t="s">
        <v>4732</v>
      </c>
      <c r="J691" t="s">
        <v>5122</v>
      </c>
      <c r="O691" t="s">
        <v>4704</v>
      </c>
      <c r="Q691" s="3">
        <f t="shared" si="37"/>
        <v>167.14</v>
      </c>
      <c r="V691" s="3" t="str">
        <f t="shared" si="38"/>
        <v/>
      </c>
    </row>
    <row r="692" spans="1:22" x14ac:dyDescent="0.35">
      <c r="A692" t="s">
        <v>35</v>
      </c>
      <c r="B692" t="s">
        <v>1566</v>
      </c>
      <c r="C692" t="s">
        <v>16</v>
      </c>
      <c r="D692" t="s">
        <v>17</v>
      </c>
      <c r="E692">
        <v>164.91</v>
      </c>
      <c r="F692" t="s">
        <v>88</v>
      </c>
      <c r="G692" s="19">
        <v>45453</v>
      </c>
      <c r="H692" t="s">
        <v>94</v>
      </c>
      <c r="I692" t="s">
        <v>204</v>
      </c>
      <c r="J692" t="s">
        <v>3487</v>
      </c>
      <c r="O692" t="s">
        <v>3488</v>
      </c>
      <c r="Q692" s="3">
        <f t="shared" si="37"/>
        <v>164.91</v>
      </c>
      <c r="V692" s="3" t="str">
        <f t="shared" si="38"/>
        <v/>
      </c>
    </row>
    <row r="693" spans="1:22" x14ac:dyDescent="0.35">
      <c r="A693" t="s">
        <v>0</v>
      </c>
      <c r="B693" t="s">
        <v>1566</v>
      </c>
      <c r="C693" t="s">
        <v>16</v>
      </c>
      <c r="D693" t="s">
        <v>17</v>
      </c>
      <c r="E693">
        <v>163.65</v>
      </c>
      <c r="F693" t="s">
        <v>88</v>
      </c>
      <c r="G693" s="19">
        <v>45505</v>
      </c>
      <c r="H693" t="s">
        <v>89</v>
      </c>
      <c r="I693" t="s">
        <v>3915</v>
      </c>
      <c r="J693"/>
      <c r="K693" t="s">
        <v>3916</v>
      </c>
      <c r="L693" t="s">
        <v>3917</v>
      </c>
      <c r="M693" t="s">
        <v>100</v>
      </c>
      <c r="Q693" s="3">
        <f t="shared" si="37"/>
        <v>163.65</v>
      </c>
      <c r="V693" s="3" t="str">
        <f t="shared" si="38"/>
        <v/>
      </c>
    </row>
    <row r="694" spans="1:22" x14ac:dyDescent="0.35">
      <c r="A694" t="s">
        <v>0</v>
      </c>
      <c r="B694" t="s">
        <v>1566</v>
      </c>
      <c r="C694" t="s">
        <v>16</v>
      </c>
      <c r="D694" t="s">
        <v>17</v>
      </c>
      <c r="E694">
        <v>163.44</v>
      </c>
      <c r="F694" t="s">
        <v>88</v>
      </c>
      <c r="G694" s="19">
        <v>45597</v>
      </c>
      <c r="H694" t="s">
        <v>89</v>
      </c>
      <c r="I694" t="s">
        <v>4797</v>
      </c>
      <c r="J694"/>
      <c r="K694" t="s">
        <v>4801</v>
      </c>
      <c r="L694" t="s">
        <v>4799</v>
      </c>
      <c r="M694" t="s">
        <v>149</v>
      </c>
      <c r="Q694" s="3">
        <f t="shared" si="37"/>
        <v>163.44</v>
      </c>
      <c r="V694" s="3" t="str">
        <f t="shared" si="38"/>
        <v/>
      </c>
    </row>
    <row r="695" spans="1:22" x14ac:dyDescent="0.35">
      <c r="A695" t="s">
        <v>35</v>
      </c>
      <c r="B695" t="s">
        <v>1566</v>
      </c>
      <c r="C695" t="s">
        <v>16</v>
      </c>
      <c r="D695" t="s">
        <v>17</v>
      </c>
      <c r="E695">
        <v>163.07</v>
      </c>
      <c r="F695" t="s">
        <v>88</v>
      </c>
      <c r="G695" s="19">
        <v>45468</v>
      </c>
      <c r="H695" t="s">
        <v>94</v>
      </c>
      <c r="I695" t="s">
        <v>3677</v>
      </c>
      <c r="J695" t="s">
        <v>3681</v>
      </c>
      <c r="O695" t="s">
        <v>604</v>
      </c>
      <c r="Q695" s="3">
        <f t="shared" si="37"/>
        <v>163.07</v>
      </c>
      <c r="V695" s="3" t="str">
        <f t="shared" si="38"/>
        <v/>
      </c>
    </row>
    <row r="696" spans="1:22" x14ac:dyDescent="0.35">
      <c r="A696" t="s">
        <v>35</v>
      </c>
      <c r="B696" t="s">
        <v>1069</v>
      </c>
      <c r="C696" t="s">
        <v>16</v>
      </c>
      <c r="D696" t="s">
        <v>17</v>
      </c>
      <c r="E696">
        <v>162.72999999999999</v>
      </c>
      <c r="F696" t="s">
        <v>88</v>
      </c>
      <c r="G696" s="19">
        <v>45454</v>
      </c>
      <c r="H696" t="s">
        <v>94</v>
      </c>
      <c r="I696" t="s">
        <v>3549</v>
      </c>
      <c r="J696" t="s">
        <v>3550</v>
      </c>
      <c r="O696" t="s">
        <v>3551</v>
      </c>
      <c r="Q696" s="3">
        <f t="shared" si="37"/>
        <v>162.72999999999999</v>
      </c>
      <c r="S696" s="69" t="s">
        <v>53</v>
      </c>
      <c r="T696" t="s">
        <v>64</v>
      </c>
      <c r="U696" t="str">
        <f t="shared" ref="U696" si="42">B696</f>
        <v>AU030413</v>
      </c>
      <c r="V696" s="3">
        <f t="shared" si="38"/>
        <v>162.72999999999999</v>
      </c>
    </row>
    <row r="697" spans="1:22" x14ac:dyDescent="0.35">
      <c r="A697" t="s">
        <v>35</v>
      </c>
      <c r="B697" t="s">
        <v>1566</v>
      </c>
      <c r="C697" t="s">
        <v>16</v>
      </c>
      <c r="D697" t="s">
        <v>17</v>
      </c>
      <c r="E697">
        <v>162.35</v>
      </c>
      <c r="F697" t="s">
        <v>88</v>
      </c>
      <c r="G697" s="19">
        <v>45618</v>
      </c>
      <c r="H697" t="s">
        <v>94</v>
      </c>
      <c r="I697" t="s">
        <v>251</v>
      </c>
      <c r="J697" t="s">
        <v>4983</v>
      </c>
      <c r="O697" t="s">
        <v>964</v>
      </c>
      <c r="Q697" s="3">
        <f t="shared" si="37"/>
        <v>162.35</v>
      </c>
      <c r="V697" s="3" t="str">
        <f t="shared" si="38"/>
        <v/>
      </c>
    </row>
    <row r="698" spans="1:22" x14ac:dyDescent="0.35">
      <c r="A698" t="s">
        <v>35</v>
      </c>
      <c r="B698" t="s">
        <v>1566</v>
      </c>
      <c r="C698" t="s">
        <v>16</v>
      </c>
      <c r="D698" t="s">
        <v>17</v>
      </c>
      <c r="E698">
        <v>162.07</v>
      </c>
      <c r="F698" t="s">
        <v>88</v>
      </c>
      <c r="G698" s="19">
        <v>45539</v>
      </c>
      <c r="H698" t="s">
        <v>94</v>
      </c>
      <c r="I698" t="s">
        <v>4230</v>
      </c>
      <c r="J698" t="s">
        <v>4233</v>
      </c>
      <c r="O698" t="s">
        <v>4234</v>
      </c>
      <c r="Q698" s="3">
        <f t="shared" si="37"/>
        <v>162.07</v>
      </c>
      <c r="V698" s="3" t="str">
        <f t="shared" si="38"/>
        <v/>
      </c>
    </row>
    <row r="699" spans="1:22" x14ac:dyDescent="0.35">
      <c r="A699" t="s">
        <v>35</v>
      </c>
      <c r="B699" t="s">
        <v>1566</v>
      </c>
      <c r="C699" t="s">
        <v>16</v>
      </c>
      <c r="D699" t="s">
        <v>17</v>
      </c>
      <c r="E699">
        <v>158.18</v>
      </c>
      <c r="F699" t="s">
        <v>88</v>
      </c>
      <c r="G699" s="19">
        <v>45558</v>
      </c>
      <c r="H699" t="s">
        <v>94</v>
      </c>
      <c r="I699" t="s">
        <v>3868</v>
      </c>
      <c r="J699" t="s">
        <v>4426</v>
      </c>
      <c r="O699" t="s">
        <v>2930</v>
      </c>
      <c r="Q699" s="3">
        <f t="shared" si="37"/>
        <v>158.18</v>
      </c>
      <c r="V699" s="3" t="str">
        <f t="shared" si="38"/>
        <v/>
      </c>
    </row>
    <row r="700" spans="1:22" x14ac:dyDescent="0.35">
      <c r="A700" t="s">
        <v>35</v>
      </c>
      <c r="B700" t="s">
        <v>915</v>
      </c>
      <c r="C700" t="s">
        <v>16</v>
      </c>
      <c r="D700" t="s">
        <v>17</v>
      </c>
      <c r="E700">
        <v>155.44999999999999</v>
      </c>
      <c r="F700" t="s">
        <v>88</v>
      </c>
      <c r="G700" s="19">
        <v>45596</v>
      </c>
      <c r="H700" t="s">
        <v>94</v>
      </c>
      <c r="I700" t="s">
        <v>916</v>
      </c>
      <c r="J700" t="s">
        <v>4744</v>
      </c>
      <c r="O700" t="s">
        <v>4745</v>
      </c>
      <c r="Q700" s="3">
        <f t="shared" si="37"/>
        <v>155.44999999999999</v>
      </c>
      <c r="S700" s="69" t="s">
        <v>53</v>
      </c>
      <c r="T700" t="s">
        <v>64</v>
      </c>
      <c r="U700" t="str">
        <f t="shared" ref="U700" si="43">B700</f>
        <v>AU030423</v>
      </c>
      <c r="V700" s="3">
        <f t="shared" si="38"/>
        <v>155.44999999999999</v>
      </c>
    </row>
    <row r="701" spans="1:22" x14ac:dyDescent="0.35">
      <c r="A701" t="s">
        <v>35</v>
      </c>
      <c r="B701" t="s">
        <v>1566</v>
      </c>
      <c r="C701" t="s">
        <v>16</v>
      </c>
      <c r="D701" t="s">
        <v>17</v>
      </c>
      <c r="E701">
        <v>153.13999999999999</v>
      </c>
      <c r="F701" t="s">
        <v>88</v>
      </c>
      <c r="G701" s="19">
        <v>45537</v>
      </c>
      <c r="H701" t="s">
        <v>94</v>
      </c>
      <c r="I701" t="s">
        <v>4176</v>
      </c>
      <c r="J701" t="s">
        <v>4177</v>
      </c>
      <c r="O701" t="s">
        <v>3263</v>
      </c>
      <c r="Q701" s="3">
        <f t="shared" si="37"/>
        <v>153.13999999999999</v>
      </c>
      <c r="V701" s="3" t="str">
        <f t="shared" si="38"/>
        <v/>
      </c>
    </row>
    <row r="702" spans="1:22" ht="87" x14ac:dyDescent="0.35">
      <c r="A702" t="s">
        <v>35</v>
      </c>
      <c r="B702" t="s">
        <v>852</v>
      </c>
      <c r="C702" t="s">
        <v>16</v>
      </c>
      <c r="D702" t="s">
        <v>17</v>
      </c>
      <c r="E702">
        <v>152.32</v>
      </c>
      <c r="F702" t="s">
        <v>88</v>
      </c>
      <c r="G702" s="19">
        <v>45401</v>
      </c>
      <c r="H702" t="s">
        <v>94</v>
      </c>
      <c r="I702" t="s">
        <v>3055</v>
      </c>
      <c r="J702" t="s">
        <v>3056</v>
      </c>
      <c r="O702" t="s">
        <v>3057</v>
      </c>
      <c r="Q702" s="3">
        <f t="shared" si="37"/>
        <v>152.32</v>
      </c>
      <c r="R702" s="69" t="s">
        <v>5326</v>
      </c>
      <c r="S702" s="69" t="s">
        <v>5327</v>
      </c>
      <c r="V702" s="3" t="str">
        <f t="shared" si="38"/>
        <v/>
      </c>
    </row>
    <row r="703" spans="1:22" x14ac:dyDescent="0.35">
      <c r="A703" t="s">
        <v>35</v>
      </c>
      <c r="B703" t="s">
        <v>1566</v>
      </c>
      <c r="C703" t="s">
        <v>16</v>
      </c>
      <c r="D703" t="s">
        <v>17</v>
      </c>
      <c r="E703">
        <v>151.82</v>
      </c>
      <c r="F703" t="s">
        <v>88</v>
      </c>
      <c r="G703" s="19">
        <v>45392</v>
      </c>
      <c r="H703" t="s">
        <v>94</v>
      </c>
      <c r="I703" t="s">
        <v>2928</v>
      </c>
      <c r="J703" t="s">
        <v>2929</v>
      </c>
      <c r="O703" t="s">
        <v>2930</v>
      </c>
      <c r="Q703" s="3">
        <f t="shared" si="37"/>
        <v>151.82</v>
      </c>
      <c r="V703" s="3" t="str">
        <f t="shared" si="38"/>
        <v/>
      </c>
    </row>
    <row r="704" spans="1:22" x14ac:dyDescent="0.35">
      <c r="A704" t="s">
        <v>35</v>
      </c>
      <c r="B704" t="s">
        <v>852</v>
      </c>
      <c r="C704" t="s">
        <v>16</v>
      </c>
      <c r="D704" t="s">
        <v>17</v>
      </c>
      <c r="E704">
        <v>151.76</v>
      </c>
      <c r="F704" t="s">
        <v>88</v>
      </c>
      <c r="G704" s="19">
        <v>45440</v>
      </c>
      <c r="H704" t="s">
        <v>94</v>
      </c>
      <c r="I704" t="s">
        <v>3392</v>
      </c>
      <c r="J704" t="s">
        <v>3393</v>
      </c>
      <c r="O704" t="s">
        <v>3394</v>
      </c>
      <c r="Q704" s="3">
        <f t="shared" si="37"/>
        <v>151.76</v>
      </c>
      <c r="V704" s="3" t="str">
        <f t="shared" si="38"/>
        <v/>
      </c>
    </row>
    <row r="705" spans="1:22" x14ac:dyDescent="0.35">
      <c r="A705" t="s">
        <v>35</v>
      </c>
      <c r="B705" t="s">
        <v>1566</v>
      </c>
      <c r="C705" t="s">
        <v>16</v>
      </c>
      <c r="D705" t="s">
        <v>17</v>
      </c>
      <c r="E705">
        <v>151.26</v>
      </c>
      <c r="F705" t="s">
        <v>88</v>
      </c>
      <c r="G705" s="19">
        <v>45392</v>
      </c>
      <c r="H705" t="s">
        <v>94</v>
      </c>
      <c r="I705" t="s">
        <v>2920</v>
      </c>
      <c r="J705" t="s">
        <v>2921</v>
      </c>
      <c r="O705" t="s">
        <v>2922</v>
      </c>
      <c r="Q705" s="3">
        <f t="shared" si="37"/>
        <v>151.26</v>
      </c>
      <c r="S705" s="69" t="s">
        <v>53</v>
      </c>
      <c r="T705" t="s">
        <v>64</v>
      </c>
      <c r="U705" t="str">
        <f t="shared" ref="U705" si="44">B705</f>
        <v>AU032046</v>
      </c>
      <c r="V705" s="3">
        <f t="shared" si="38"/>
        <v>151.26</v>
      </c>
    </row>
    <row r="706" spans="1:22" x14ac:dyDescent="0.35">
      <c r="A706" t="s">
        <v>35</v>
      </c>
      <c r="B706" t="s">
        <v>3466</v>
      </c>
      <c r="C706" t="s">
        <v>16</v>
      </c>
      <c r="D706" t="s">
        <v>17</v>
      </c>
      <c r="E706">
        <v>150</v>
      </c>
      <c r="F706" t="s">
        <v>88</v>
      </c>
      <c r="G706" s="19">
        <v>45467</v>
      </c>
      <c r="H706" t="s">
        <v>94</v>
      </c>
      <c r="I706" t="s">
        <v>3665</v>
      </c>
      <c r="J706" t="s">
        <v>3666</v>
      </c>
      <c r="O706" t="s">
        <v>3667</v>
      </c>
      <c r="Q706" s="3">
        <f t="shared" si="37"/>
        <v>150</v>
      </c>
      <c r="V706" s="3" t="str">
        <f t="shared" si="38"/>
        <v/>
      </c>
    </row>
    <row r="707" spans="1:22" x14ac:dyDescent="0.35">
      <c r="A707" t="s">
        <v>35</v>
      </c>
      <c r="B707" t="s">
        <v>1566</v>
      </c>
      <c r="C707" t="s">
        <v>16</v>
      </c>
      <c r="D707" t="s">
        <v>17</v>
      </c>
      <c r="E707">
        <v>150</v>
      </c>
      <c r="F707" t="s">
        <v>88</v>
      </c>
      <c r="G707" s="19">
        <v>45551</v>
      </c>
      <c r="H707" t="s">
        <v>89</v>
      </c>
      <c r="I707" t="s">
        <v>4375</v>
      </c>
      <c r="J707"/>
      <c r="K707" t="s">
        <v>2887</v>
      </c>
      <c r="L707" t="s">
        <v>4376</v>
      </c>
      <c r="M707" t="s">
        <v>4377</v>
      </c>
      <c r="Q707" s="3">
        <f t="shared" si="37"/>
        <v>150</v>
      </c>
      <c r="V707" s="3" t="str">
        <f t="shared" si="38"/>
        <v/>
      </c>
    </row>
    <row r="708" spans="1:22" ht="87" x14ac:dyDescent="0.35">
      <c r="A708" t="s">
        <v>35</v>
      </c>
      <c r="B708" t="s">
        <v>698</v>
      </c>
      <c r="C708" t="s">
        <v>16</v>
      </c>
      <c r="D708" t="s">
        <v>17</v>
      </c>
      <c r="E708">
        <v>150</v>
      </c>
      <c r="F708" t="s">
        <v>88</v>
      </c>
      <c r="G708" s="19">
        <v>45586</v>
      </c>
      <c r="H708" t="s">
        <v>94</v>
      </c>
      <c r="I708" t="s">
        <v>2433</v>
      </c>
      <c r="J708" t="s">
        <v>4701</v>
      </c>
      <c r="O708" t="s">
        <v>4702</v>
      </c>
      <c r="Q708" s="3">
        <f t="shared" si="37"/>
        <v>150</v>
      </c>
      <c r="R708" s="69" t="s">
        <v>5326</v>
      </c>
      <c r="S708" s="69" t="s">
        <v>5327</v>
      </c>
      <c r="V708" s="3" t="str">
        <f t="shared" si="38"/>
        <v/>
      </c>
    </row>
    <row r="709" spans="1:22" x14ac:dyDescent="0.35">
      <c r="A709" t="s">
        <v>0</v>
      </c>
      <c r="B709" t="s">
        <v>1566</v>
      </c>
      <c r="C709" t="s">
        <v>16</v>
      </c>
      <c r="D709" t="s">
        <v>17</v>
      </c>
      <c r="E709">
        <v>145.99</v>
      </c>
      <c r="F709" t="s">
        <v>88</v>
      </c>
      <c r="G709" s="19">
        <v>45566</v>
      </c>
      <c r="H709" t="s">
        <v>89</v>
      </c>
      <c r="I709" t="s">
        <v>4514</v>
      </c>
      <c r="J709"/>
      <c r="K709" t="s">
        <v>4515</v>
      </c>
      <c r="L709" t="s">
        <v>4516</v>
      </c>
      <c r="M709" t="s">
        <v>100</v>
      </c>
      <c r="Q709" s="3">
        <f t="shared" si="37"/>
        <v>145.99</v>
      </c>
      <c r="V709" s="3" t="str">
        <f t="shared" si="38"/>
        <v/>
      </c>
    </row>
    <row r="710" spans="1:22" x14ac:dyDescent="0.35">
      <c r="A710" t="s">
        <v>35</v>
      </c>
      <c r="B710" t="s">
        <v>1627</v>
      </c>
      <c r="C710" t="s">
        <v>16</v>
      </c>
      <c r="D710" t="s">
        <v>17</v>
      </c>
      <c r="E710">
        <v>144.55000000000001</v>
      </c>
      <c r="F710" t="s">
        <v>88</v>
      </c>
      <c r="G710" s="19">
        <v>45565</v>
      </c>
      <c r="H710" t="s">
        <v>94</v>
      </c>
      <c r="I710" t="s">
        <v>250</v>
      </c>
      <c r="J710" t="s">
        <v>4467</v>
      </c>
      <c r="O710" t="s">
        <v>3830</v>
      </c>
      <c r="Q710" s="3">
        <f t="shared" si="37"/>
        <v>144.55000000000001</v>
      </c>
      <c r="V710" s="3" t="str">
        <f t="shared" si="38"/>
        <v/>
      </c>
    </row>
    <row r="711" spans="1:22" x14ac:dyDescent="0.35">
      <c r="A711" t="s">
        <v>35</v>
      </c>
      <c r="B711" t="s">
        <v>1566</v>
      </c>
      <c r="C711" t="s">
        <v>16</v>
      </c>
      <c r="D711" t="s">
        <v>17</v>
      </c>
      <c r="E711">
        <v>143.63999999999999</v>
      </c>
      <c r="F711" t="s">
        <v>88</v>
      </c>
      <c r="G711" s="19">
        <v>45468</v>
      </c>
      <c r="H711" t="s">
        <v>94</v>
      </c>
      <c r="I711" t="s">
        <v>3677</v>
      </c>
      <c r="J711" t="s">
        <v>3679</v>
      </c>
      <c r="O711" t="s">
        <v>3680</v>
      </c>
      <c r="Q711" s="3">
        <f t="shared" si="37"/>
        <v>143.63999999999999</v>
      </c>
      <c r="V711" s="3" t="str">
        <f t="shared" si="38"/>
        <v/>
      </c>
    </row>
    <row r="712" spans="1:22" x14ac:dyDescent="0.35">
      <c r="A712" t="s">
        <v>35</v>
      </c>
      <c r="B712" t="s">
        <v>1566</v>
      </c>
      <c r="C712" t="s">
        <v>16</v>
      </c>
      <c r="D712" t="s">
        <v>17</v>
      </c>
      <c r="E712">
        <v>143</v>
      </c>
      <c r="F712" t="s">
        <v>88</v>
      </c>
      <c r="G712" s="19">
        <v>45386</v>
      </c>
      <c r="H712" t="s">
        <v>94</v>
      </c>
      <c r="I712" t="s">
        <v>2634</v>
      </c>
      <c r="J712" t="s">
        <v>2835</v>
      </c>
      <c r="O712" t="s">
        <v>541</v>
      </c>
      <c r="Q712" s="3">
        <f t="shared" ref="Q712:Q775" si="45">ABS(E712)</f>
        <v>143</v>
      </c>
      <c r="V712" s="3" t="str">
        <f t="shared" si="38"/>
        <v/>
      </c>
    </row>
    <row r="713" spans="1:22" x14ac:dyDescent="0.35">
      <c r="A713" t="s">
        <v>35</v>
      </c>
      <c r="B713" t="s">
        <v>1566</v>
      </c>
      <c r="C713" t="s">
        <v>16</v>
      </c>
      <c r="D713" t="s">
        <v>17</v>
      </c>
      <c r="E713">
        <v>142.72999999999999</v>
      </c>
      <c r="F713" t="s">
        <v>88</v>
      </c>
      <c r="G713" s="19">
        <v>45545</v>
      </c>
      <c r="H713" t="s">
        <v>94</v>
      </c>
      <c r="I713" t="s">
        <v>4291</v>
      </c>
      <c r="J713" t="s">
        <v>4292</v>
      </c>
      <c r="O713" t="s">
        <v>4293</v>
      </c>
      <c r="Q713" s="3">
        <f t="shared" si="45"/>
        <v>142.72999999999999</v>
      </c>
      <c r="V713" s="3" t="str">
        <f t="shared" ref="V713:V776" si="46">IF(T713="Y",E713,"")</f>
        <v/>
      </c>
    </row>
    <row r="714" spans="1:22" x14ac:dyDescent="0.35">
      <c r="A714" t="s">
        <v>0</v>
      </c>
      <c r="B714" t="s">
        <v>1566</v>
      </c>
      <c r="C714" t="s">
        <v>16</v>
      </c>
      <c r="D714" t="s">
        <v>17</v>
      </c>
      <c r="E714">
        <v>141.30000000000001</v>
      </c>
      <c r="F714" t="s">
        <v>88</v>
      </c>
      <c r="G714" s="19">
        <v>45597</v>
      </c>
      <c r="H714" t="s">
        <v>89</v>
      </c>
      <c r="I714" t="s">
        <v>4797</v>
      </c>
      <c r="J714"/>
      <c r="K714" t="s">
        <v>4800</v>
      </c>
      <c r="L714" t="s">
        <v>4799</v>
      </c>
      <c r="M714" t="s">
        <v>149</v>
      </c>
      <c r="Q714" s="3">
        <f t="shared" si="45"/>
        <v>141.30000000000001</v>
      </c>
      <c r="V714" s="3" t="str">
        <f t="shared" si="46"/>
        <v/>
      </c>
    </row>
    <row r="715" spans="1:22" x14ac:dyDescent="0.35">
      <c r="A715" t="s">
        <v>35</v>
      </c>
      <c r="B715" t="s">
        <v>1566</v>
      </c>
      <c r="C715" t="s">
        <v>16</v>
      </c>
      <c r="D715" t="s">
        <v>17</v>
      </c>
      <c r="E715">
        <v>140.91</v>
      </c>
      <c r="F715" t="s">
        <v>88</v>
      </c>
      <c r="G715" s="19">
        <v>45545</v>
      </c>
      <c r="H715" t="s">
        <v>94</v>
      </c>
      <c r="I715" t="s">
        <v>3552</v>
      </c>
      <c r="J715" t="s">
        <v>4288</v>
      </c>
      <c r="O715" t="s">
        <v>4241</v>
      </c>
      <c r="Q715" s="3">
        <f t="shared" si="45"/>
        <v>140.91</v>
      </c>
      <c r="V715" s="3" t="str">
        <f t="shared" si="46"/>
        <v/>
      </c>
    </row>
    <row r="716" spans="1:22" x14ac:dyDescent="0.35">
      <c r="A716" t="s">
        <v>0</v>
      </c>
      <c r="B716" t="s">
        <v>615</v>
      </c>
      <c r="C716" t="s">
        <v>16</v>
      </c>
      <c r="D716" t="s">
        <v>17</v>
      </c>
      <c r="E716">
        <v>140</v>
      </c>
      <c r="F716" t="s">
        <v>88</v>
      </c>
      <c r="G716" s="19">
        <v>45492</v>
      </c>
      <c r="H716" t="s">
        <v>89</v>
      </c>
      <c r="I716" t="s">
        <v>3852</v>
      </c>
      <c r="J716"/>
      <c r="K716" t="s">
        <v>3853</v>
      </c>
      <c r="L716" t="s">
        <v>3854</v>
      </c>
      <c r="M716" t="s">
        <v>3855</v>
      </c>
      <c r="Q716" s="3">
        <f t="shared" si="45"/>
        <v>140</v>
      </c>
      <c r="V716" s="3" t="str">
        <f t="shared" si="46"/>
        <v/>
      </c>
    </row>
    <row r="717" spans="1:22" x14ac:dyDescent="0.35">
      <c r="A717" t="s">
        <v>0</v>
      </c>
      <c r="B717" t="s">
        <v>1566</v>
      </c>
      <c r="C717" t="s">
        <v>16</v>
      </c>
      <c r="D717" t="s">
        <v>17</v>
      </c>
      <c r="E717">
        <v>138.31</v>
      </c>
      <c r="F717" t="s">
        <v>88</v>
      </c>
      <c r="G717" s="19">
        <v>45597</v>
      </c>
      <c r="H717" t="s">
        <v>89</v>
      </c>
      <c r="I717" t="s">
        <v>4763</v>
      </c>
      <c r="J717"/>
      <c r="K717" t="s">
        <v>4764</v>
      </c>
      <c r="L717" t="s">
        <v>4765</v>
      </c>
      <c r="M717" t="s">
        <v>100</v>
      </c>
      <c r="Q717" s="3">
        <f t="shared" si="45"/>
        <v>138.31</v>
      </c>
      <c r="V717" s="3" t="str">
        <f t="shared" si="46"/>
        <v/>
      </c>
    </row>
    <row r="718" spans="1:22" x14ac:dyDescent="0.35">
      <c r="A718" t="s">
        <v>35</v>
      </c>
      <c r="B718" t="s">
        <v>1566</v>
      </c>
      <c r="C718" t="s">
        <v>16</v>
      </c>
      <c r="D718" t="s">
        <v>17</v>
      </c>
      <c r="E718">
        <v>136.36000000000001</v>
      </c>
      <c r="F718" t="s">
        <v>88</v>
      </c>
      <c r="G718" s="19">
        <v>45545</v>
      </c>
      <c r="H718" t="s">
        <v>94</v>
      </c>
      <c r="I718" t="s">
        <v>1421</v>
      </c>
      <c r="J718" t="s">
        <v>4283</v>
      </c>
      <c r="O718" t="s">
        <v>1840</v>
      </c>
      <c r="Q718" s="3">
        <f t="shared" si="45"/>
        <v>136.36000000000001</v>
      </c>
      <c r="V718" s="3" t="str">
        <f t="shared" si="46"/>
        <v/>
      </c>
    </row>
    <row r="719" spans="1:22" x14ac:dyDescent="0.35">
      <c r="A719" t="s">
        <v>35</v>
      </c>
      <c r="B719" t="s">
        <v>819</v>
      </c>
      <c r="C719" t="s">
        <v>16</v>
      </c>
      <c r="D719" t="s">
        <v>17</v>
      </c>
      <c r="E719">
        <v>136.36000000000001</v>
      </c>
      <c r="F719" t="s">
        <v>88</v>
      </c>
      <c r="G719" s="19">
        <v>45555</v>
      </c>
      <c r="H719" t="s">
        <v>94</v>
      </c>
      <c r="I719" t="s">
        <v>4400</v>
      </c>
      <c r="J719" t="s">
        <v>4401</v>
      </c>
      <c r="O719" t="s">
        <v>4402</v>
      </c>
      <c r="Q719" s="3">
        <f t="shared" si="45"/>
        <v>136.36000000000001</v>
      </c>
      <c r="V719" s="3" t="str">
        <f t="shared" si="46"/>
        <v/>
      </c>
    </row>
    <row r="720" spans="1:22" x14ac:dyDescent="0.35">
      <c r="A720" t="s">
        <v>0</v>
      </c>
      <c r="B720" t="s">
        <v>1566</v>
      </c>
      <c r="C720" t="s">
        <v>16</v>
      </c>
      <c r="D720" t="s">
        <v>17</v>
      </c>
      <c r="E720">
        <v>134.41999999999999</v>
      </c>
      <c r="F720" t="s">
        <v>88</v>
      </c>
      <c r="G720" s="19">
        <v>45476</v>
      </c>
      <c r="H720" t="s">
        <v>89</v>
      </c>
      <c r="I720" t="s">
        <v>3768</v>
      </c>
      <c r="J720"/>
      <c r="K720" t="s">
        <v>3769</v>
      </c>
      <c r="L720" t="s">
        <v>3770</v>
      </c>
      <c r="M720" t="s">
        <v>100</v>
      </c>
      <c r="Q720" s="3">
        <f t="shared" si="45"/>
        <v>134.41999999999999</v>
      </c>
      <c r="V720" s="3" t="str">
        <f t="shared" si="46"/>
        <v/>
      </c>
    </row>
    <row r="721" spans="1:32" x14ac:dyDescent="0.35">
      <c r="A721" t="s">
        <v>0</v>
      </c>
      <c r="B721" t="s">
        <v>1566</v>
      </c>
      <c r="C721" t="s">
        <v>16</v>
      </c>
      <c r="D721" t="s">
        <v>17</v>
      </c>
      <c r="E721">
        <v>133.28</v>
      </c>
      <c r="F721" t="s">
        <v>88</v>
      </c>
      <c r="G721" s="19">
        <v>45397</v>
      </c>
      <c r="H721" t="s">
        <v>89</v>
      </c>
      <c r="I721" t="s">
        <v>2998</v>
      </c>
      <c r="J721"/>
      <c r="K721" t="s">
        <v>2999</v>
      </c>
      <c r="L721" t="s">
        <v>3000</v>
      </c>
      <c r="M721" t="s">
        <v>100</v>
      </c>
      <c r="Q721" s="3">
        <f t="shared" si="45"/>
        <v>133.28</v>
      </c>
      <c r="V721" s="3" t="str">
        <f t="shared" si="46"/>
        <v/>
      </c>
    </row>
    <row r="722" spans="1:32" x14ac:dyDescent="0.35">
      <c r="A722" t="s">
        <v>0</v>
      </c>
      <c r="B722" t="s">
        <v>1566</v>
      </c>
      <c r="C722" t="s">
        <v>16</v>
      </c>
      <c r="D722" t="s">
        <v>17</v>
      </c>
      <c r="E722">
        <v>131.72</v>
      </c>
      <c r="F722" t="s">
        <v>88</v>
      </c>
      <c r="G722" s="19">
        <v>45629</v>
      </c>
      <c r="H722" t="s">
        <v>89</v>
      </c>
      <c r="I722" t="s">
        <v>5079</v>
      </c>
      <c r="J722"/>
      <c r="K722" t="s">
        <v>5080</v>
      </c>
      <c r="L722" t="s">
        <v>5081</v>
      </c>
      <c r="M722" t="s">
        <v>1784</v>
      </c>
      <c r="Q722" s="3">
        <f t="shared" si="45"/>
        <v>131.72</v>
      </c>
      <c r="V722" s="3" t="str">
        <f t="shared" si="46"/>
        <v/>
      </c>
    </row>
    <row r="723" spans="1:32" x14ac:dyDescent="0.35">
      <c r="A723" t="s">
        <v>35</v>
      </c>
      <c r="B723" t="s">
        <v>1566</v>
      </c>
      <c r="C723" t="s">
        <v>16</v>
      </c>
      <c r="D723" t="s">
        <v>17</v>
      </c>
      <c r="E723">
        <v>130.63999999999999</v>
      </c>
      <c r="F723" t="s">
        <v>88</v>
      </c>
      <c r="G723" s="19">
        <v>45453</v>
      </c>
      <c r="H723" t="s">
        <v>94</v>
      </c>
      <c r="I723" t="s">
        <v>3529</v>
      </c>
      <c r="J723" t="s">
        <v>3536</v>
      </c>
      <c r="O723" t="s">
        <v>3537</v>
      </c>
      <c r="Q723" s="3">
        <f t="shared" si="45"/>
        <v>130.63999999999999</v>
      </c>
      <c r="V723" s="3" t="str">
        <f t="shared" si="46"/>
        <v/>
      </c>
    </row>
    <row r="724" spans="1:32" x14ac:dyDescent="0.35">
      <c r="A724" t="s">
        <v>0</v>
      </c>
      <c r="B724" t="s">
        <v>1566</v>
      </c>
      <c r="C724" t="s">
        <v>16</v>
      </c>
      <c r="D724" t="s">
        <v>17</v>
      </c>
      <c r="E724">
        <v>130</v>
      </c>
      <c r="F724" t="s">
        <v>88</v>
      </c>
      <c r="G724" s="19">
        <v>45530</v>
      </c>
      <c r="H724" t="s">
        <v>89</v>
      </c>
      <c r="I724" t="s">
        <v>4104</v>
      </c>
      <c r="J724"/>
      <c r="K724" t="s">
        <v>4105</v>
      </c>
      <c r="L724" t="s">
        <v>4106</v>
      </c>
      <c r="M724" t="s">
        <v>4107</v>
      </c>
      <c r="Q724" s="3">
        <f t="shared" si="45"/>
        <v>130</v>
      </c>
      <c r="V724" s="3" t="str">
        <f t="shared" si="46"/>
        <v/>
      </c>
    </row>
    <row r="725" spans="1:32" x14ac:dyDescent="0.35">
      <c r="A725" t="s">
        <v>35</v>
      </c>
      <c r="B725" t="s">
        <v>1566</v>
      </c>
      <c r="C725" t="s">
        <v>16</v>
      </c>
      <c r="D725" t="s">
        <v>17</v>
      </c>
      <c r="E725">
        <v>129.18</v>
      </c>
      <c r="F725" t="s">
        <v>88</v>
      </c>
      <c r="G725" s="19">
        <v>45545</v>
      </c>
      <c r="H725" t="s">
        <v>94</v>
      </c>
      <c r="I725" t="s">
        <v>1838</v>
      </c>
      <c r="J725" t="s">
        <v>4310</v>
      </c>
      <c r="O725" t="s">
        <v>1840</v>
      </c>
      <c r="Q725" s="3">
        <f t="shared" si="45"/>
        <v>129.18</v>
      </c>
      <c r="V725" s="3" t="str">
        <f t="shared" si="46"/>
        <v/>
      </c>
    </row>
    <row r="726" spans="1:32" x14ac:dyDescent="0.35">
      <c r="A726" t="s">
        <v>0</v>
      </c>
      <c r="B726" t="s">
        <v>869</v>
      </c>
      <c r="C726" t="s">
        <v>16</v>
      </c>
      <c r="D726" t="s">
        <v>17</v>
      </c>
      <c r="E726">
        <v>128.81</v>
      </c>
      <c r="F726" t="s">
        <v>88</v>
      </c>
      <c r="G726" s="19">
        <v>45384</v>
      </c>
      <c r="H726" t="s">
        <v>89</v>
      </c>
      <c r="I726" t="s">
        <v>1996</v>
      </c>
      <c r="J726"/>
      <c r="K726" t="s">
        <v>1997</v>
      </c>
      <c r="L726" t="s">
        <v>1998</v>
      </c>
      <c r="M726" t="s">
        <v>158</v>
      </c>
      <c r="Q726" s="3">
        <f t="shared" si="45"/>
        <v>128.81</v>
      </c>
      <c r="V726" s="3" t="str">
        <f t="shared" si="46"/>
        <v/>
      </c>
    </row>
    <row r="727" spans="1:32" x14ac:dyDescent="0.35">
      <c r="A727" t="s">
        <v>35</v>
      </c>
      <c r="B727" t="s">
        <v>677</v>
      </c>
      <c r="C727" t="s">
        <v>16</v>
      </c>
      <c r="D727" t="s">
        <v>17</v>
      </c>
      <c r="E727">
        <v>128.80000000000001</v>
      </c>
      <c r="F727" t="s">
        <v>88</v>
      </c>
      <c r="G727" s="19">
        <v>45435</v>
      </c>
      <c r="H727" t="s">
        <v>94</v>
      </c>
      <c r="I727" t="s">
        <v>3332</v>
      </c>
      <c r="J727" t="s">
        <v>3333</v>
      </c>
      <c r="O727" t="s">
        <v>3334</v>
      </c>
      <c r="Q727" s="3">
        <f t="shared" si="45"/>
        <v>128.80000000000001</v>
      </c>
      <c r="V727" s="3" t="str">
        <f t="shared" si="46"/>
        <v/>
      </c>
    </row>
    <row r="728" spans="1:32" x14ac:dyDescent="0.35">
      <c r="A728" t="s">
        <v>35</v>
      </c>
      <c r="B728" t="s">
        <v>642</v>
      </c>
      <c r="C728" t="s">
        <v>16</v>
      </c>
      <c r="D728" t="s">
        <v>17</v>
      </c>
      <c r="E728">
        <v>128.80000000000001</v>
      </c>
      <c r="F728" t="s">
        <v>88</v>
      </c>
      <c r="G728" s="19">
        <v>45435</v>
      </c>
      <c r="H728" t="s">
        <v>94</v>
      </c>
      <c r="I728" t="s">
        <v>3332</v>
      </c>
      <c r="J728" t="s">
        <v>3333</v>
      </c>
      <c r="O728" t="s">
        <v>3334</v>
      </c>
      <c r="Q728" s="3">
        <f t="shared" si="45"/>
        <v>128.80000000000001</v>
      </c>
      <c r="V728" s="3" t="str">
        <f t="shared" si="46"/>
        <v/>
      </c>
    </row>
    <row r="729" spans="1:32" x14ac:dyDescent="0.35">
      <c r="A729" t="s">
        <v>35</v>
      </c>
      <c r="B729" t="s">
        <v>825</v>
      </c>
      <c r="C729" t="s">
        <v>16</v>
      </c>
      <c r="D729" t="s">
        <v>17</v>
      </c>
      <c r="E729">
        <v>128.18</v>
      </c>
      <c r="F729" t="s">
        <v>88</v>
      </c>
      <c r="G729" s="19">
        <v>45551</v>
      </c>
      <c r="H729" t="s">
        <v>94</v>
      </c>
      <c r="I729" t="s">
        <v>234</v>
      </c>
      <c r="J729" t="s">
        <v>4380</v>
      </c>
      <c r="O729" t="s">
        <v>4381</v>
      </c>
      <c r="Q729" s="3">
        <f t="shared" si="45"/>
        <v>128.18</v>
      </c>
      <c r="V729" s="3" t="str">
        <f t="shared" si="46"/>
        <v/>
      </c>
    </row>
    <row r="730" spans="1:32" x14ac:dyDescent="0.35">
      <c r="A730" t="s">
        <v>0</v>
      </c>
      <c r="B730" t="s">
        <v>1566</v>
      </c>
      <c r="C730" t="s">
        <v>16</v>
      </c>
      <c r="D730" t="s">
        <v>17</v>
      </c>
      <c r="E730">
        <v>127.5</v>
      </c>
      <c r="F730" t="s">
        <v>88</v>
      </c>
      <c r="G730" s="19">
        <v>45425</v>
      </c>
      <c r="H730" t="s">
        <v>89</v>
      </c>
      <c r="I730" t="s">
        <v>3222</v>
      </c>
      <c r="J730"/>
      <c r="K730" t="s">
        <v>3223</v>
      </c>
      <c r="L730" t="s">
        <v>3224</v>
      </c>
      <c r="M730" t="s">
        <v>3225</v>
      </c>
      <c r="Q730" s="3">
        <f t="shared" si="45"/>
        <v>127.5</v>
      </c>
      <c r="V730" s="3" t="str">
        <f t="shared" si="46"/>
        <v/>
      </c>
    </row>
    <row r="731" spans="1:32" x14ac:dyDescent="0.35">
      <c r="A731" t="s">
        <v>0</v>
      </c>
      <c r="B731" t="s">
        <v>1566</v>
      </c>
      <c r="C731" t="s">
        <v>16</v>
      </c>
      <c r="D731" t="s">
        <v>17</v>
      </c>
      <c r="E731">
        <v>127.5</v>
      </c>
      <c r="F731" t="s">
        <v>88</v>
      </c>
      <c r="G731" s="19">
        <v>45425</v>
      </c>
      <c r="H731" t="s">
        <v>89</v>
      </c>
      <c r="I731" t="s">
        <v>3227</v>
      </c>
      <c r="J731"/>
      <c r="K731" t="s">
        <v>3223</v>
      </c>
      <c r="L731" t="s">
        <v>3224</v>
      </c>
      <c r="M731" t="s">
        <v>3228</v>
      </c>
      <c r="P731" s="86"/>
      <c r="Q731" s="3">
        <f t="shared" si="45"/>
        <v>127.5</v>
      </c>
      <c r="R731" s="102"/>
      <c r="S731" s="102"/>
      <c r="T731" s="88"/>
      <c r="U731" s="88"/>
      <c r="V731" s="3" t="str">
        <f t="shared" si="46"/>
        <v/>
      </c>
      <c r="W731" s="88"/>
      <c r="X731" s="88"/>
      <c r="Y731" s="88"/>
      <c r="Z731" s="88"/>
      <c r="AA731" s="88"/>
      <c r="AB731" s="88"/>
      <c r="AC731" s="88"/>
      <c r="AD731" s="88"/>
      <c r="AE731" s="88"/>
      <c r="AF731" s="88"/>
    </row>
    <row r="732" spans="1:32" x14ac:dyDescent="0.35">
      <c r="A732" t="s">
        <v>0</v>
      </c>
      <c r="B732" t="s">
        <v>1566</v>
      </c>
      <c r="C732" t="s">
        <v>16</v>
      </c>
      <c r="D732" t="s">
        <v>17</v>
      </c>
      <c r="E732">
        <v>-127.5</v>
      </c>
      <c r="F732" t="s">
        <v>88</v>
      </c>
      <c r="G732" s="19">
        <v>45433</v>
      </c>
      <c r="H732" t="s">
        <v>89</v>
      </c>
      <c r="I732" t="s">
        <v>3222</v>
      </c>
      <c r="J732"/>
      <c r="K732" t="s">
        <v>3223</v>
      </c>
      <c r="L732" t="s">
        <v>3224</v>
      </c>
      <c r="M732" t="s">
        <v>3225</v>
      </c>
      <c r="Q732" s="3">
        <f t="shared" si="45"/>
        <v>127.5</v>
      </c>
      <c r="V732" s="3" t="str">
        <f t="shared" si="46"/>
        <v/>
      </c>
    </row>
    <row r="733" spans="1:32" x14ac:dyDescent="0.35">
      <c r="A733" t="s">
        <v>35</v>
      </c>
      <c r="B733" t="s">
        <v>1566</v>
      </c>
      <c r="C733" t="s">
        <v>16</v>
      </c>
      <c r="D733" t="s">
        <v>17</v>
      </c>
      <c r="E733">
        <v>126.93</v>
      </c>
      <c r="F733" t="s">
        <v>88</v>
      </c>
      <c r="G733" s="19">
        <v>45547</v>
      </c>
      <c r="H733" t="s">
        <v>94</v>
      </c>
      <c r="I733" t="s">
        <v>4351</v>
      </c>
      <c r="J733" t="s">
        <v>4352</v>
      </c>
      <c r="O733" t="s">
        <v>645</v>
      </c>
      <c r="Q733" s="3">
        <f t="shared" si="45"/>
        <v>126.93</v>
      </c>
      <c r="V733" s="3" t="str">
        <f t="shared" si="46"/>
        <v/>
      </c>
    </row>
    <row r="734" spans="1:32" x14ac:dyDescent="0.35">
      <c r="A734" t="s">
        <v>35</v>
      </c>
      <c r="B734" t="s">
        <v>1566</v>
      </c>
      <c r="C734" t="s">
        <v>16</v>
      </c>
      <c r="D734" t="s">
        <v>17</v>
      </c>
      <c r="E734">
        <v>125</v>
      </c>
      <c r="F734" t="s">
        <v>88</v>
      </c>
      <c r="G734" s="19">
        <v>45537</v>
      </c>
      <c r="H734" t="s">
        <v>94</v>
      </c>
      <c r="I734" t="s">
        <v>4176</v>
      </c>
      <c r="J734" t="s">
        <v>4178</v>
      </c>
      <c r="O734" t="s">
        <v>3263</v>
      </c>
      <c r="Q734" s="3">
        <f t="shared" si="45"/>
        <v>125</v>
      </c>
      <c r="S734" s="69" t="s">
        <v>53</v>
      </c>
      <c r="T734" t="s">
        <v>64</v>
      </c>
      <c r="U734" t="str">
        <f t="shared" ref="U734" si="47">B734</f>
        <v>AU032046</v>
      </c>
      <c r="V734" s="3">
        <f t="shared" si="46"/>
        <v>125</v>
      </c>
    </row>
    <row r="735" spans="1:32" x14ac:dyDescent="0.35">
      <c r="A735" t="s">
        <v>0</v>
      </c>
      <c r="B735" t="s">
        <v>825</v>
      </c>
      <c r="C735" t="s">
        <v>16</v>
      </c>
      <c r="D735" t="s">
        <v>17</v>
      </c>
      <c r="E735">
        <v>123.65</v>
      </c>
      <c r="F735" t="s">
        <v>88</v>
      </c>
      <c r="G735" s="19">
        <v>45391</v>
      </c>
      <c r="H735" t="s">
        <v>89</v>
      </c>
      <c r="I735" t="s">
        <v>2883</v>
      </c>
      <c r="J735"/>
      <c r="K735" t="s">
        <v>2884</v>
      </c>
      <c r="L735" t="s">
        <v>2885</v>
      </c>
      <c r="M735" t="s">
        <v>147</v>
      </c>
      <c r="Q735" s="3">
        <f t="shared" si="45"/>
        <v>123.65</v>
      </c>
      <c r="V735" s="3" t="str">
        <f t="shared" si="46"/>
        <v/>
      </c>
    </row>
    <row r="736" spans="1:32" ht="87" x14ac:dyDescent="0.35">
      <c r="A736" t="s">
        <v>35</v>
      </c>
      <c r="B736" t="s">
        <v>825</v>
      </c>
      <c r="C736" t="s">
        <v>16</v>
      </c>
      <c r="D736" t="s">
        <v>17</v>
      </c>
      <c r="E736">
        <v>122.71</v>
      </c>
      <c r="F736" t="s">
        <v>88</v>
      </c>
      <c r="G736" s="19">
        <v>45565</v>
      </c>
      <c r="H736" t="s">
        <v>94</v>
      </c>
      <c r="I736" t="s">
        <v>3807</v>
      </c>
      <c r="J736" t="s">
        <v>4474</v>
      </c>
      <c r="O736" t="s">
        <v>4382</v>
      </c>
      <c r="Q736" s="3">
        <f t="shared" si="45"/>
        <v>122.71</v>
      </c>
      <c r="R736" s="69" t="s">
        <v>5326</v>
      </c>
      <c r="S736" s="69" t="s">
        <v>5327</v>
      </c>
      <c r="V736" s="3" t="str">
        <f t="shared" si="46"/>
        <v/>
      </c>
    </row>
    <row r="737" spans="1:22" ht="87" x14ac:dyDescent="0.35">
      <c r="A737" t="s">
        <v>35</v>
      </c>
      <c r="B737" t="s">
        <v>1566</v>
      </c>
      <c r="C737" t="s">
        <v>16</v>
      </c>
      <c r="D737" t="s">
        <v>17</v>
      </c>
      <c r="E737">
        <v>121.76</v>
      </c>
      <c r="F737" t="s">
        <v>88</v>
      </c>
      <c r="G737" s="19">
        <v>45594</v>
      </c>
      <c r="H737" t="s">
        <v>94</v>
      </c>
      <c r="I737" t="s">
        <v>4720</v>
      </c>
      <c r="J737" t="s">
        <v>4722</v>
      </c>
      <c r="O737" t="s">
        <v>964</v>
      </c>
      <c r="Q737" s="3">
        <f t="shared" si="45"/>
        <v>121.76</v>
      </c>
      <c r="R737" s="69" t="s">
        <v>5326</v>
      </c>
      <c r="S737" s="69" t="s">
        <v>5327</v>
      </c>
      <c r="V737" s="3" t="str">
        <f t="shared" si="46"/>
        <v/>
      </c>
    </row>
    <row r="738" spans="1:22" x14ac:dyDescent="0.35">
      <c r="A738" t="s">
        <v>0</v>
      </c>
      <c r="B738" t="s">
        <v>1566</v>
      </c>
      <c r="C738" t="s">
        <v>16</v>
      </c>
      <c r="D738" t="s">
        <v>17</v>
      </c>
      <c r="E738">
        <v>120.53</v>
      </c>
      <c r="F738" t="s">
        <v>88</v>
      </c>
      <c r="G738" s="19">
        <v>45425</v>
      </c>
      <c r="H738" t="s">
        <v>89</v>
      </c>
      <c r="I738" t="s">
        <v>3204</v>
      </c>
      <c r="J738"/>
      <c r="K738" t="s">
        <v>3205</v>
      </c>
      <c r="L738" t="s">
        <v>3206</v>
      </c>
      <c r="M738" t="s">
        <v>100</v>
      </c>
      <c r="Q738" s="3">
        <f t="shared" si="45"/>
        <v>120.53</v>
      </c>
      <c r="V738" s="3" t="str">
        <f t="shared" si="46"/>
        <v/>
      </c>
    </row>
    <row r="739" spans="1:22" x14ac:dyDescent="0.35">
      <c r="A739" t="s">
        <v>35</v>
      </c>
      <c r="B739" t="s">
        <v>1566</v>
      </c>
      <c r="C739" t="s">
        <v>16</v>
      </c>
      <c r="D739" t="s">
        <v>17</v>
      </c>
      <c r="E739">
        <v>120</v>
      </c>
      <c r="F739" t="s">
        <v>88</v>
      </c>
      <c r="G739" s="19">
        <v>45595</v>
      </c>
      <c r="H739" t="s">
        <v>94</v>
      </c>
      <c r="I739" t="s">
        <v>241</v>
      </c>
      <c r="J739" t="s">
        <v>4737</v>
      </c>
      <c r="O739" t="s">
        <v>2648</v>
      </c>
      <c r="Q739" s="3">
        <f t="shared" si="45"/>
        <v>120</v>
      </c>
      <c r="V739" s="3" t="str">
        <f t="shared" si="46"/>
        <v/>
      </c>
    </row>
    <row r="740" spans="1:22" x14ac:dyDescent="0.35">
      <c r="A740" t="s">
        <v>0</v>
      </c>
      <c r="B740" t="s">
        <v>1566</v>
      </c>
      <c r="C740" t="s">
        <v>16</v>
      </c>
      <c r="D740" t="s">
        <v>17</v>
      </c>
      <c r="E740">
        <v>119</v>
      </c>
      <c r="F740" t="s">
        <v>88</v>
      </c>
      <c r="G740" s="19">
        <v>45574</v>
      </c>
      <c r="H740" t="s">
        <v>89</v>
      </c>
      <c r="I740" t="s">
        <v>4601</v>
      </c>
      <c r="J740"/>
      <c r="K740" t="s">
        <v>4602</v>
      </c>
      <c r="L740" t="s">
        <v>4603</v>
      </c>
      <c r="M740" t="s">
        <v>100</v>
      </c>
      <c r="Q740" s="3">
        <f t="shared" si="45"/>
        <v>119</v>
      </c>
      <c r="V740" s="3" t="str">
        <f t="shared" si="46"/>
        <v/>
      </c>
    </row>
    <row r="741" spans="1:22" x14ac:dyDescent="0.35">
      <c r="A741" t="s">
        <v>0</v>
      </c>
      <c r="B741" t="s">
        <v>1566</v>
      </c>
      <c r="C741" t="s">
        <v>16</v>
      </c>
      <c r="D741" t="s">
        <v>17</v>
      </c>
      <c r="E741">
        <v>118.35</v>
      </c>
      <c r="F741" t="s">
        <v>88</v>
      </c>
      <c r="G741" s="19">
        <v>45601</v>
      </c>
      <c r="H741" t="s">
        <v>89</v>
      </c>
      <c r="I741" t="s">
        <v>4816</v>
      </c>
      <c r="J741"/>
      <c r="K741" t="s">
        <v>4817</v>
      </c>
      <c r="L741" t="s">
        <v>4818</v>
      </c>
      <c r="M741" t="s">
        <v>100</v>
      </c>
      <c r="Q741" s="3">
        <f t="shared" si="45"/>
        <v>118.35</v>
      </c>
      <c r="V741" s="3" t="str">
        <f t="shared" si="46"/>
        <v/>
      </c>
    </row>
    <row r="742" spans="1:22" x14ac:dyDescent="0.35">
      <c r="A742" t="s">
        <v>35</v>
      </c>
      <c r="B742" t="s">
        <v>1566</v>
      </c>
      <c r="C742" t="s">
        <v>16</v>
      </c>
      <c r="D742" t="s">
        <v>17</v>
      </c>
      <c r="E742">
        <v>118.09</v>
      </c>
      <c r="F742" t="s">
        <v>88</v>
      </c>
      <c r="G742" s="19">
        <v>45392</v>
      </c>
      <c r="H742" t="s">
        <v>94</v>
      </c>
      <c r="I742" t="s">
        <v>2918</v>
      </c>
      <c r="J742" t="s">
        <v>2915</v>
      </c>
      <c r="O742" t="s">
        <v>2919</v>
      </c>
      <c r="Q742" s="3">
        <f t="shared" si="45"/>
        <v>118.09</v>
      </c>
      <c r="S742" s="69" t="s">
        <v>53</v>
      </c>
      <c r="T742" t="s">
        <v>64</v>
      </c>
      <c r="U742" t="str">
        <f t="shared" ref="U742" si="48">B742</f>
        <v>AU032046</v>
      </c>
      <c r="V742" s="3">
        <f t="shared" si="46"/>
        <v>118.09</v>
      </c>
    </row>
    <row r="743" spans="1:22" x14ac:dyDescent="0.35">
      <c r="A743" t="s">
        <v>0</v>
      </c>
      <c r="B743" t="s">
        <v>1566</v>
      </c>
      <c r="C743" t="s">
        <v>16</v>
      </c>
      <c r="D743" t="s">
        <v>17</v>
      </c>
      <c r="E743">
        <v>117.45</v>
      </c>
      <c r="F743" t="s">
        <v>88</v>
      </c>
      <c r="G743" s="19">
        <v>45447</v>
      </c>
      <c r="H743" t="s">
        <v>89</v>
      </c>
      <c r="I743" t="s">
        <v>3428</v>
      </c>
      <c r="J743"/>
      <c r="K743" t="s">
        <v>101</v>
      </c>
      <c r="L743" t="s">
        <v>3429</v>
      </c>
      <c r="M743" t="s">
        <v>100</v>
      </c>
      <c r="Q743" s="3">
        <f t="shared" si="45"/>
        <v>117.45</v>
      </c>
      <c r="V743" s="3" t="str">
        <f t="shared" si="46"/>
        <v/>
      </c>
    </row>
    <row r="744" spans="1:22" x14ac:dyDescent="0.35">
      <c r="A744" t="s">
        <v>35</v>
      </c>
      <c r="B744" t="s">
        <v>1566</v>
      </c>
      <c r="C744" t="s">
        <v>16</v>
      </c>
      <c r="D744" t="s">
        <v>17</v>
      </c>
      <c r="E744">
        <v>115.39</v>
      </c>
      <c r="F744" t="s">
        <v>88</v>
      </c>
      <c r="G744" s="19">
        <v>45616</v>
      </c>
      <c r="H744" t="s">
        <v>94</v>
      </c>
      <c r="I744" t="s">
        <v>4351</v>
      </c>
      <c r="J744" t="s">
        <v>4974</v>
      </c>
      <c r="O744" t="s">
        <v>645</v>
      </c>
      <c r="Q744" s="3">
        <f t="shared" si="45"/>
        <v>115.39</v>
      </c>
      <c r="V744" s="3" t="str">
        <f t="shared" si="46"/>
        <v/>
      </c>
    </row>
    <row r="745" spans="1:22" x14ac:dyDescent="0.35">
      <c r="A745" t="s">
        <v>35</v>
      </c>
      <c r="B745" t="s">
        <v>1069</v>
      </c>
      <c r="C745" t="s">
        <v>16</v>
      </c>
      <c r="D745" t="s">
        <v>17</v>
      </c>
      <c r="E745">
        <v>110.74000000000001</v>
      </c>
      <c r="F745" t="s">
        <v>88</v>
      </c>
      <c r="G745" s="19">
        <v>45524</v>
      </c>
      <c r="H745" t="s">
        <v>94</v>
      </c>
      <c r="I745" t="s">
        <v>3549</v>
      </c>
      <c r="J745" t="s">
        <v>4078</v>
      </c>
      <c r="O745" t="s">
        <v>4079</v>
      </c>
      <c r="Q745" s="3">
        <f t="shared" si="45"/>
        <v>110.74000000000001</v>
      </c>
      <c r="S745" s="69" t="s">
        <v>53</v>
      </c>
      <c r="T745" t="s">
        <v>64</v>
      </c>
      <c r="U745" t="str">
        <f t="shared" ref="U745" si="49">B745</f>
        <v>AU030413</v>
      </c>
      <c r="V745" s="3">
        <f t="shared" si="46"/>
        <v>110.74000000000001</v>
      </c>
    </row>
    <row r="746" spans="1:22" x14ac:dyDescent="0.35">
      <c r="A746" t="s">
        <v>0</v>
      </c>
      <c r="B746" t="s">
        <v>600</v>
      </c>
      <c r="C746" t="s">
        <v>16</v>
      </c>
      <c r="D746" t="s">
        <v>17</v>
      </c>
      <c r="E746">
        <v>110</v>
      </c>
      <c r="F746" t="s">
        <v>88</v>
      </c>
      <c r="G746" s="19">
        <v>45568</v>
      </c>
      <c r="H746" t="s">
        <v>89</v>
      </c>
      <c r="I746" t="s">
        <v>4569</v>
      </c>
      <c r="J746"/>
      <c r="K746" t="s">
        <v>4570</v>
      </c>
      <c r="L746" t="s">
        <v>4571</v>
      </c>
      <c r="M746" t="s">
        <v>4572</v>
      </c>
      <c r="Q746" s="3">
        <f t="shared" si="45"/>
        <v>110</v>
      </c>
      <c r="V746" s="3" t="str">
        <f t="shared" si="46"/>
        <v/>
      </c>
    </row>
    <row r="747" spans="1:22" x14ac:dyDescent="0.35">
      <c r="A747" t="s">
        <v>35</v>
      </c>
      <c r="B747" t="s">
        <v>1566</v>
      </c>
      <c r="C747" t="s">
        <v>16</v>
      </c>
      <c r="D747" t="s">
        <v>17</v>
      </c>
      <c r="E747">
        <v>109.09</v>
      </c>
      <c r="F747" t="s">
        <v>88</v>
      </c>
      <c r="G747" s="19">
        <v>45469</v>
      </c>
      <c r="H747" t="s">
        <v>94</v>
      </c>
      <c r="I747" t="s">
        <v>449</v>
      </c>
      <c r="J747" t="s">
        <v>3689</v>
      </c>
      <c r="O747" t="s">
        <v>3690</v>
      </c>
      <c r="Q747" s="3">
        <f t="shared" si="45"/>
        <v>109.09</v>
      </c>
      <c r="V747" s="3" t="str">
        <f t="shared" si="46"/>
        <v/>
      </c>
    </row>
    <row r="748" spans="1:22" x14ac:dyDescent="0.35">
      <c r="A748" t="s">
        <v>35</v>
      </c>
      <c r="B748" t="s">
        <v>1566</v>
      </c>
      <c r="C748" t="s">
        <v>16</v>
      </c>
      <c r="D748" t="s">
        <v>17</v>
      </c>
      <c r="E748">
        <v>109.09</v>
      </c>
      <c r="F748" t="s">
        <v>88</v>
      </c>
      <c r="G748" s="19">
        <v>45558</v>
      </c>
      <c r="H748" t="s">
        <v>94</v>
      </c>
      <c r="I748" t="s">
        <v>3868</v>
      </c>
      <c r="J748" t="s">
        <v>4423</v>
      </c>
      <c r="O748" t="s">
        <v>4424</v>
      </c>
      <c r="Q748" s="3">
        <f t="shared" si="45"/>
        <v>109.09</v>
      </c>
      <c r="V748" s="3" t="str">
        <f t="shared" si="46"/>
        <v/>
      </c>
    </row>
    <row r="749" spans="1:22" x14ac:dyDescent="0.35">
      <c r="A749" t="s">
        <v>35</v>
      </c>
      <c r="B749" t="s">
        <v>1566</v>
      </c>
      <c r="C749" t="s">
        <v>16</v>
      </c>
      <c r="D749" t="s">
        <v>17</v>
      </c>
      <c r="E749">
        <v>108.64</v>
      </c>
      <c r="F749" t="s">
        <v>88</v>
      </c>
      <c r="G749" s="19">
        <v>45629</v>
      </c>
      <c r="H749" t="s">
        <v>94</v>
      </c>
      <c r="I749" t="s">
        <v>3876</v>
      </c>
      <c r="J749" t="s">
        <v>5120</v>
      </c>
      <c r="O749" t="s">
        <v>5121</v>
      </c>
      <c r="Q749" s="3">
        <f t="shared" si="45"/>
        <v>108.64</v>
      </c>
      <c r="V749" s="3" t="str">
        <f t="shared" si="46"/>
        <v/>
      </c>
    </row>
    <row r="750" spans="1:22" x14ac:dyDescent="0.35">
      <c r="A750" t="s">
        <v>35</v>
      </c>
      <c r="B750" t="s">
        <v>1566</v>
      </c>
      <c r="C750" t="s">
        <v>16</v>
      </c>
      <c r="D750" t="s">
        <v>17</v>
      </c>
      <c r="E750">
        <v>108</v>
      </c>
      <c r="F750" t="s">
        <v>88</v>
      </c>
      <c r="G750" s="19">
        <v>45574</v>
      </c>
      <c r="H750" t="s">
        <v>94</v>
      </c>
      <c r="I750" t="s">
        <v>4176</v>
      </c>
      <c r="J750" t="s">
        <v>4621</v>
      </c>
      <c r="O750" t="s">
        <v>3263</v>
      </c>
      <c r="Q750" s="3">
        <f t="shared" si="45"/>
        <v>108</v>
      </c>
      <c r="V750" s="3" t="str">
        <f t="shared" si="46"/>
        <v/>
      </c>
    </row>
    <row r="751" spans="1:22" x14ac:dyDescent="0.35">
      <c r="A751" t="s">
        <v>0</v>
      </c>
      <c r="B751" t="s">
        <v>1566</v>
      </c>
      <c r="C751" t="s">
        <v>16</v>
      </c>
      <c r="D751" t="s">
        <v>17</v>
      </c>
      <c r="E751">
        <v>107.67</v>
      </c>
      <c r="F751" t="s">
        <v>88</v>
      </c>
      <c r="G751" s="19">
        <v>45614</v>
      </c>
      <c r="H751" t="s">
        <v>89</v>
      </c>
      <c r="I751" t="s">
        <v>4926</v>
      </c>
      <c r="J751"/>
      <c r="K751" t="s">
        <v>4927</v>
      </c>
      <c r="L751" t="s">
        <v>4928</v>
      </c>
      <c r="M751" t="s">
        <v>4929</v>
      </c>
      <c r="Q751" s="3">
        <f t="shared" si="45"/>
        <v>107.67</v>
      </c>
      <c r="V751" s="3" t="str">
        <f t="shared" si="46"/>
        <v/>
      </c>
    </row>
    <row r="752" spans="1:22" ht="87" x14ac:dyDescent="0.35">
      <c r="A752" t="s">
        <v>35</v>
      </c>
      <c r="B752" t="s">
        <v>1566</v>
      </c>
      <c r="C752" t="s">
        <v>16</v>
      </c>
      <c r="D752" t="s">
        <v>17</v>
      </c>
      <c r="E752">
        <v>107</v>
      </c>
      <c r="F752" t="s">
        <v>88</v>
      </c>
      <c r="G752" s="19">
        <v>45497</v>
      </c>
      <c r="H752" t="s">
        <v>94</v>
      </c>
      <c r="I752" t="s">
        <v>3879</v>
      </c>
      <c r="J752" t="s">
        <v>3880</v>
      </c>
      <c r="O752" t="s">
        <v>3881</v>
      </c>
      <c r="Q752" s="3">
        <f t="shared" si="45"/>
        <v>107</v>
      </c>
      <c r="R752" s="69" t="s">
        <v>5326</v>
      </c>
      <c r="S752" s="69" t="s">
        <v>5327</v>
      </c>
      <c r="V752" s="3" t="str">
        <f t="shared" si="46"/>
        <v/>
      </c>
    </row>
    <row r="753" spans="1:22" ht="87" x14ac:dyDescent="0.35">
      <c r="A753" t="s">
        <v>35</v>
      </c>
      <c r="B753" t="s">
        <v>1566</v>
      </c>
      <c r="C753" t="s">
        <v>16</v>
      </c>
      <c r="D753" t="s">
        <v>17</v>
      </c>
      <c r="E753">
        <v>107</v>
      </c>
      <c r="F753" t="s">
        <v>88</v>
      </c>
      <c r="G753" s="19">
        <v>45497</v>
      </c>
      <c r="H753" t="s">
        <v>94</v>
      </c>
      <c r="I753" t="s">
        <v>3879</v>
      </c>
      <c r="J753" t="s">
        <v>3882</v>
      </c>
      <c r="O753" t="s">
        <v>3881</v>
      </c>
      <c r="Q753" s="3">
        <f t="shared" si="45"/>
        <v>107</v>
      </c>
      <c r="R753" s="69" t="s">
        <v>5326</v>
      </c>
      <c r="S753" s="69" t="s">
        <v>5327</v>
      </c>
      <c r="V753" s="3" t="str">
        <f t="shared" si="46"/>
        <v/>
      </c>
    </row>
    <row r="754" spans="1:22" x14ac:dyDescent="0.35">
      <c r="A754" t="s">
        <v>35</v>
      </c>
      <c r="B754" t="s">
        <v>3466</v>
      </c>
      <c r="C754" t="s">
        <v>16</v>
      </c>
      <c r="D754" t="s">
        <v>17</v>
      </c>
      <c r="E754">
        <v>106</v>
      </c>
      <c r="F754" t="s">
        <v>88</v>
      </c>
      <c r="G754" s="19">
        <v>45467</v>
      </c>
      <c r="H754" t="s">
        <v>94</v>
      </c>
      <c r="I754" t="s">
        <v>3670</v>
      </c>
      <c r="J754" t="s">
        <v>3671</v>
      </c>
      <c r="O754" t="s">
        <v>699</v>
      </c>
      <c r="Q754" s="3">
        <f t="shared" si="45"/>
        <v>106</v>
      </c>
      <c r="S754" s="69" t="s">
        <v>53</v>
      </c>
      <c r="T754" t="s">
        <v>64</v>
      </c>
      <c r="U754" t="str">
        <f t="shared" ref="U754" si="50">B754</f>
        <v>AU030211</v>
      </c>
      <c r="V754" s="3">
        <f t="shared" si="46"/>
        <v>106</v>
      </c>
    </row>
    <row r="755" spans="1:22" x14ac:dyDescent="0.35">
      <c r="A755" t="s">
        <v>35</v>
      </c>
      <c r="B755" t="s">
        <v>1566</v>
      </c>
      <c r="C755" t="s">
        <v>16</v>
      </c>
      <c r="D755" t="s">
        <v>17</v>
      </c>
      <c r="E755">
        <v>106</v>
      </c>
      <c r="F755" t="s">
        <v>88</v>
      </c>
      <c r="G755" s="19">
        <v>45537</v>
      </c>
      <c r="H755" t="s">
        <v>94</v>
      </c>
      <c r="I755" t="s">
        <v>4154</v>
      </c>
      <c r="J755" t="s">
        <v>4155</v>
      </c>
      <c r="O755" t="s">
        <v>4156</v>
      </c>
      <c r="Q755" s="3">
        <f t="shared" si="45"/>
        <v>106</v>
      </c>
      <c r="V755" s="3" t="str">
        <f t="shared" si="46"/>
        <v/>
      </c>
    </row>
    <row r="756" spans="1:22" x14ac:dyDescent="0.35">
      <c r="A756" t="s">
        <v>0</v>
      </c>
      <c r="B756" t="s">
        <v>1566</v>
      </c>
      <c r="C756" t="s">
        <v>16</v>
      </c>
      <c r="D756" t="s">
        <v>17</v>
      </c>
      <c r="E756">
        <v>105.55</v>
      </c>
      <c r="F756" t="s">
        <v>88</v>
      </c>
      <c r="G756" s="19">
        <v>45568</v>
      </c>
      <c r="H756" t="s">
        <v>89</v>
      </c>
      <c r="I756" t="s">
        <v>4559</v>
      </c>
      <c r="J756"/>
      <c r="K756" t="s">
        <v>4560</v>
      </c>
      <c r="L756" t="s">
        <v>4561</v>
      </c>
      <c r="M756" t="s">
        <v>147</v>
      </c>
      <c r="Q756" s="3">
        <f t="shared" si="45"/>
        <v>105.55</v>
      </c>
      <c r="V756" s="3" t="str">
        <f t="shared" si="46"/>
        <v/>
      </c>
    </row>
    <row r="757" spans="1:22" x14ac:dyDescent="0.35">
      <c r="A757" t="s">
        <v>0</v>
      </c>
      <c r="B757" t="s">
        <v>819</v>
      </c>
      <c r="C757" t="s">
        <v>16</v>
      </c>
      <c r="D757" t="s">
        <v>17</v>
      </c>
      <c r="E757">
        <v>105.47</v>
      </c>
      <c r="F757" t="s">
        <v>88</v>
      </c>
      <c r="G757" s="19">
        <v>45579</v>
      </c>
      <c r="H757" t="s">
        <v>89</v>
      </c>
      <c r="I757" t="s">
        <v>4628</v>
      </c>
      <c r="J757"/>
      <c r="K757" t="s">
        <v>4629</v>
      </c>
      <c r="L757" t="s">
        <v>4630</v>
      </c>
      <c r="M757" t="s">
        <v>158</v>
      </c>
      <c r="Q757" s="3">
        <f t="shared" si="45"/>
        <v>105.47</v>
      </c>
      <c r="V757" s="3" t="str">
        <f t="shared" si="46"/>
        <v/>
      </c>
    </row>
    <row r="758" spans="1:22" x14ac:dyDescent="0.35">
      <c r="A758" t="s">
        <v>35</v>
      </c>
      <c r="B758" t="s">
        <v>1566</v>
      </c>
      <c r="C758" t="s">
        <v>16</v>
      </c>
      <c r="D758" t="s">
        <v>17</v>
      </c>
      <c r="E758">
        <v>105.45</v>
      </c>
      <c r="F758" t="s">
        <v>88</v>
      </c>
      <c r="G758" s="19">
        <v>45453</v>
      </c>
      <c r="H758" t="s">
        <v>94</v>
      </c>
      <c r="I758" t="s">
        <v>673</v>
      </c>
      <c r="J758" t="s">
        <v>3504</v>
      </c>
      <c r="O758" t="s">
        <v>3505</v>
      </c>
      <c r="Q758" s="3">
        <f t="shared" si="45"/>
        <v>105.45</v>
      </c>
      <c r="V758" s="3" t="str">
        <f t="shared" si="46"/>
        <v/>
      </c>
    </row>
    <row r="759" spans="1:22" x14ac:dyDescent="0.35">
      <c r="A759" t="s">
        <v>35</v>
      </c>
      <c r="B759" t="s">
        <v>1566</v>
      </c>
      <c r="C759" t="s">
        <v>16</v>
      </c>
      <c r="D759" t="s">
        <v>17</v>
      </c>
      <c r="E759">
        <v>104.55</v>
      </c>
      <c r="F759" t="s">
        <v>88</v>
      </c>
      <c r="G759" s="19">
        <v>45545</v>
      </c>
      <c r="H759" t="s">
        <v>94</v>
      </c>
      <c r="I759" t="s">
        <v>4273</v>
      </c>
      <c r="J759" t="s">
        <v>4274</v>
      </c>
      <c r="O759" t="s">
        <v>4275</v>
      </c>
      <c r="Q759" s="3">
        <f t="shared" si="45"/>
        <v>104.55</v>
      </c>
      <c r="V759" s="3" t="str">
        <f t="shared" si="46"/>
        <v/>
      </c>
    </row>
    <row r="760" spans="1:22" x14ac:dyDescent="0.35">
      <c r="A760" t="s">
        <v>35</v>
      </c>
      <c r="B760" t="s">
        <v>1566</v>
      </c>
      <c r="C760" t="s">
        <v>16</v>
      </c>
      <c r="D760" t="s">
        <v>17</v>
      </c>
      <c r="E760">
        <v>104.4</v>
      </c>
      <c r="F760" t="s">
        <v>88</v>
      </c>
      <c r="G760" s="19">
        <v>45453</v>
      </c>
      <c r="H760" t="s">
        <v>94</v>
      </c>
      <c r="I760" t="s">
        <v>3529</v>
      </c>
      <c r="J760" t="s">
        <v>3530</v>
      </c>
      <c r="O760" t="s">
        <v>3531</v>
      </c>
      <c r="Q760" s="3">
        <f t="shared" si="45"/>
        <v>104.4</v>
      </c>
      <c r="V760" s="3" t="str">
        <f t="shared" si="46"/>
        <v/>
      </c>
    </row>
    <row r="761" spans="1:22" x14ac:dyDescent="0.35">
      <c r="A761" t="s">
        <v>0</v>
      </c>
      <c r="B761" t="s">
        <v>1566</v>
      </c>
      <c r="C761" t="s">
        <v>16</v>
      </c>
      <c r="D761" t="s">
        <v>17</v>
      </c>
      <c r="E761">
        <v>104.28</v>
      </c>
      <c r="F761" t="s">
        <v>88</v>
      </c>
      <c r="G761" s="19">
        <v>45439</v>
      </c>
      <c r="H761" t="s">
        <v>89</v>
      </c>
      <c r="I761" t="s">
        <v>3375</v>
      </c>
      <c r="J761"/>
      <c r="K761" t="s">
        <v>3376</v>
      </c>
      <c r="L761" t="s">
        <v>3377</v>
      </c>
      <c r="M761" t="s">
        <v>159</v>
      </c>
      <c r="Q761" s="3">
        <f t="shared" si="45"/>
        <v>104.28</v>
      </c>
      <c r="V761" s="3" t="str">
        <f t="shared" si="46"/>
        <v/>
      </c>
    </row>
    <row r="762" spans="1:22" x14ac:dyDescent="0.35">
      <c r="A762" t="s">
        <v>0</v>
      </c>
      <c r="B762" t="s">
        <v>1566</v>
      </c>
      <c r="C762" t="s">
        <v>16</v>
      </c>
      <c r="D762" t="s">
        <v>17</v>
      </c>
      <c r="E762">
        <v>103.48</v>
      </c>
      <c r="F762" t="s">
        <v>88</v>
      </c>
      <c r="G762" s="19">
        <v>45453</v>
      </c>
      <c r="H762" t="s">
        <v>89</v>
      </c>
      <c r="I762" t="s">
        <v>3472</v>
      </c>
      <c r="J762"/>
      <c r="K762" t="s">
        <v>3473</v>
      </c>
      <c r="L762" t="s">
        <v>3474</v>
      </c>
      <c r="M762" t="s">
        <v>100</v>
      </c>
      <c r="Q762" s="3">
        <f t="shared" si="45"/>
        <v>103.48</v>
      </c>
      <c r="V762" s="3" t="str">
        <f t="shared" si="46"/>
        <v/>
      </c>
    </row>
    <row r="763" spans="1:22" x14ac:dyDescent="0.35">
      <c r="A763" t="s">
        <v>0</v>
      </c>
      <c r="B763" t="s">
        <v>1566</v>
      </c>
      <c r="C763" t="s">
        <v>16</v>
      </c>
      <c r="D763" t="s">
        <v>17</v>
      </c>
      <c r="E763">
        <v>103.18</v>
      </c>
      <c r="F763" t="s">
        <v>88</v>
      </c>
      <c r="G763" s="19">
        <v>45436</v>
      </c>
      <c r="H763" t="s">
        <v>89</v>
      </c>
      <c r="I763" t="s">
        <v>3348</v>
      </c>
      <c r="J763"/>
      <c r="K763" t="s">
        <v>3349</v>
      </c>
      <c r="L763" t="s">
        <v>3350</v>
      </c>
      <c r="M763" t="s">
        <v>100</v>
      </c>
      <c r="Q763" s="3">
        <f t="shared" si="45"/>
        <v>103.18</v>
      </c>
      <c r="V763" s="3" t="str">
        <f t="shared" si="46"/>
        <v/>
      </c>
    </row>
    <row r="764" spans="1:22" x14ac:dyDescent="0.35">
      <c r="A764" t="s">
        <v>0</v>
      </c>
      <c r="B764" t="s">
        <v>1566</v>
      </c>
      <c r="C764" t="s">
        <v>16</v>
      </c>
      <c r="D764" t="s">
        <v>17</v>
      </c>
      <c r="E764">
        <v>103.18</v>
      </c>
      <c r="F764" t="s">
        <v>88</v>
      </c>
      <c r="G764" s="19">
        <v>45436</v>
      </c>
      <c r="H764" t="s">
        <v>89</v>
      </c>
      <c r="I764" t="s">
        <v>3351</v>
      </c>
      <c r="J764"/>
      <c r="K764" t="s">
        <v>3352</v>
      </c>
      <c r="L764" t="s">
        <v>3353</v>
      </c>
      <c r="M764" t="s">
        <v>100</v>
      </c>
      <c r="Q764" s="3">
        <f t="shared" si="45"/>
        <v>103.18</v>
      </c>
      <c r="V764" s="3" t="str">
        <f t="shared" si="46"/>
        <v/>
      </c>
    </row>
    <row r="765" spans="1:22" x14ac:dyDescent="0.35">
      <c r="A765" t="s">
        <v>0</v>
      </c>
      <c r="B765" t="s">
        <v>1566</v>
      </c>
      <c r="C765" t="s">
        <v>16</v>
      </c>
      <c r="D765" t="s">
        <v>17</v>
      </c>
      <c r="E765">
        <v>101.47</v>
      </c>
      <c r="F765" t="s">
        <v>88</v>
      </c>
      <c r="G765" s="19">
        <v>45447</v>
      </c>
      <c r="H765" t="s">
        <v>89</v>
      </c>
      <c r="I765" t="s">
        <v>3430</v>
      </c>
      <c r="J765"/>
      <c r="K765" t="s">
        <v>101</v>
      </c>
      <c r="L765" t="s">
        <v>3431</v>
      </c>
      <c r="M765" t="s">
        <v>147</v>
      </c>
      <c r="Q765" s="3">
        <f t="shared" si="45"/>
        <v>101.47</v>
      </c>
      <c r="V765" s="3" t="str">
        <f t="shared" si="46"/>
        <v/>
      </c>
    </row>
    <row r="766" spans="1:22" x14ac:dyDescent="0.35">
      <c r="A766" t="s">
        <v>35</v>
      </c>
      <c r="B766" t="s">
        <v>1566</v>
      </c>
      <c r="C766" t="s">
        <v>16</v>
      </c>
      <c r="D766" t="s">
        <v>17</v>
      </c>
      <c r="E766">
        <v>100.88</v>
      </c>
      <c r="F766" t="s">
        <v>88</v>
      </c>
      <c r="G766" s="19">
        <v>45562</v>
      </c>
      <c r="H766" t="s">
        <v>94</v>
      </c>
      <c r="I766" t="s">
        <v>2323</v>
      </c>
      <c r="J766" t="s">
        <v>4464</v>
      </c>
      <c r="O766" t="s">
        <v>4465</v>
      </c>
      <c r="Q766" s="3">
        <f t="shared" si="45"/>
        <v>100.88</v>
      </c>
      <c r="V766" s="3" t="str">
        <f t="shared" si="46"/>
        <v/>
      </c>
    </row>
    <row r="767" spans="1:22" x14ac:dyDescent="0.35">
      <c r="A767" t="s">
        <v>0</v>
      </c>
      <c r="B767" t="s">
        <v>1566</v>
      </c>
      <c r="C767" t="s">
        <v>16</v>
      </c>
      <c r="D767" t="s">
        <v>17</v>
      </c>
      <c r="E767">
        <v>100.64</v>
      </c>
      <c r="F767" t="s">
        <v>88</v>
      </c>
      <c r="G767" s="19">
        <v>45605</v>
      </c>
      <c r="H767" t="s">
        <v>89</v>
      </c>
      <c r="I767" t="s">
        <v>4850</v>
      </c>
      <c r="J767"/>
      <c r="K767" t="s">
        <v>4851</v>
      </c>
      <c r="L767" t="s">
        <v>4852</v>
      </c>
      <c r="M767" t="s">
        <v>100</v>
      </c>
      <c r="Q767" s="3">
        <f t="shared" si="45"/>
        <v>100.64</v>
      </c>
      <c r="V767" s="3" t="str">
        <f t="shared" si="46"/>
        <v/>
      </c>
    </row>
    <row r="768" spans="1:22" x14ac:dyDescent="0.35">
      <c r="A768" t="s">
        <v>35</v>
      </c>
      <c r="B768" t="s">
        <v>615</v>
      </c>
      <c r="C768" t="s">
        <v>16</v>
      </c>
      <c r="D768" t="s">
        <v>17</v>
      </c>
      <c r="E768">
        <v>100</v>
      </c>
      <c r="F768" t="s">
        <v>88</v>
      </c>
      <c r="G768" s="19">
        <v>45383</v>
      </c>
      <c r="H768" t="s">
        <v>94</v>
      </c>
      <c r="I768" t="s">
        <v>2767</v>
      </c>
      <c r="J768" t="s">
        <v>2768</v>
      </c>
      <c r="O768" t="s">
        <v>2769</v>
      </c>
      <c r="Q768" s="3">
        <f t="shared" si="45"/>
        <v>100</v>
      </c>
      <c r="V768" s="3" t="str">
        <f t="shared" si="46"/>
        <v/>
      </c>
    </row>
    <row r="769" spans="1:22" x14ac:dyDescent="0.35">
      <c r="A769" t="s">
        <v>35</v>
      </c>
      <c r="B769" t="s">
        <v>2226</v>
      </c>
      <c r="C769" t="s">
        <v>16</v>
      </c>
      <c r="D769" t="s">
        <v>17</v>
      </c>
      <c r="E769">
        <v>100</v>
      </c>
      <c r="F769" t="s">
        <v>88</v>
      </c>
      <c r="G769" s="19">
        <v>45510</v>
      </c>
      <c r="H769" t="s">
        <v>94</v>
      </c>
      <c r="I769" t="s">
        <v>238</v>
      </c>
      <c r="J769" t="s">
        <v>3361</v>
      </c>
      <c r="O769" t="s">
        <v>3967</v>
      </c>
      <c r="Q769" s="3">
        <f t="shared" si="45"/>
        <v>100</v>
      </c>
      <c r="V769" s="3" t="str">
        <f t="shared" si="46"/>
        <v/>
      </c>
    </row>
    <row r="770" spans="1:22" x14ac:dyDescent="0.35">
      <c r="A770" t="s">
        <v>35</v>
      </c>
      <c r="B770" t="s">
        <v>615</v>
      </c>
      <c r="C770" t="s">
        <v>16</v>
      </c>
      <c r="D770" t="s">
        <v>17</v>
      </c>
      <c r="E770">
        <v>100</v>
      </c>
      <c r="F770" t="s">
        <v>88</v>
      </c>
      <c r="G770" s="19">
        <v>45512</v>
      </c>
      <c r="H770" t="s">
        <v>94</v>
      </c>
      <c r="I770" t="s">
        <v>2863</v>
      </c>
      <c r="J770" t="s">
        <v>957</v>
      </c>
      <c r="O770" t="s">
        <v>755</v>
      </c>
      <c r="Q770" s="3">
        <f t="shared" si="45"/>
        <v>100</v>
      </c>
      <c r="V770" s="3" t="str">
        <f t="shared" si="46"/>
        <v/>
      </c>
    </row>
    <row r="771" spans="1:22" x14ac:dyDescent="0.35">
      <c r="A771" t="s">
        <v>35</v>
      </c>
      <c r="B771" t="s">
        <v>1566</v>
      </c>
      <c r="C771" t="s">
        <v>16</v>
      </c>
      <c r="D771" t="s">
        <v>17</v>
      </c>
      <c r="E771">
        <v>100</v>
      </c>
      <c r="F771" t="s">
        <v>88</v>
      </c>
      <c r="G771" s="19">
        <v>45562</v>
      </c>
      <c r="H771" t="s">
        <v>94</v>
      </c>
      <c r="I771" t="s">
        <v>4461</v>
      </c>
      <c r="J771" t="s">
        <v>4462</v>
      </c>
      <c r="O771" t="s">
        <v>4463</v>
      </c>
      <c r="Q771" s="3">
        <f t="shared" si="45"/>
        <v>100</v>
      </c>
      <c r="V771" s="3" t="str">
        <f t="shared" si="46"/>
        <v/>
      </c>
    </row>
    <row r="772" spans="1:22" x14ac:dyDescent="0.35">
      <c r="A772" t="s">
        <v>35</v>
      </c>
      <c r="B772" t="s">
        <v>1566</v>
      </c>
      <c r="C772" t="s">
        <v>16</v>
      </c>
      <c r="D772" t="s">
        <v>17</v>
      </c>
      <c r="E772">
        <v>100</v>
      </c>
      <c r="F772" t="s">
        <v>88</v>
      </c>
      <c r="G772" s="19">
        <v>45614</v>
      </c>
      <c r="H772" t="s">
        <v>89</v>
      </c>
      <c r="I772" t="s">
        <v>4943</v>
      </c>
      <c r="J772"/>
      <c r="K772" t="s">
        <v>4944</v>
      </c>
      <c r="L772" t="s">
        <v>4945</v>
      </c>
      <c r="M772" t="s">
        <v>4946</v>
      </c>
      <c r="Q772" s="3">
        <f t="shared" si="45"/>
        <v>100</v>
      </c>
      <c r="V772" s="3" t="str">
        <f t="shared" si="46"/>
        <v/>
      </c>
    </row>
    <row r="773" spans="1:22" x14ac:dyDescent="0.35">
      <c r="A773" t="s">
        <v>35</v>
      </c>
      <c r="B773" t="s">
        <v>1566</v>
      </c>
      <c r="C773" t="s">
        <v>16</v>
      </c>
      <c r="D773" t="s">
        <v>17</v>
      </c>
      <c r="E773">
        <v>100</v>
      </c>
      <c r="F773" t="s">
        <v>88</v>
      </c>
      <c r="G773" s="19">
        <v>45614</v>
      </c>
      <c r="H773" t="s">
        <v>94</v>
      </c>
      <c r="I773" t="s">
        <v>406</v>
      </c>
      <c r="J773" t="s">
        <v>4952</v>
      </c>
      <c r="O773" t="s">
        <v>4953</v>
      </c>
      <c r="Q773" s="3">
        <f t="shared" si="45"/>
        <v>100</v>
      </c>
      <c r="V773" s="3" t="str">
        <f t="shared" si="46"/>
        <v/>
      </c>
    </row>
    <row r="774" spans="1:22" x14ac:dyDescent="0.35">
      <c r="A774" t="s">
        <v>0</v>
      </c>
      <c r="B774" t="s">
        <v>1566</v>
      </c>
      <c r="C774" t="s">
        <v>16</v>
      </c>
      <c r="D774" t="s">
        <v>17</v>
      </c>
      <c r="E774">
        <v>100</v>
      </c>
      <c r="F774" t="s">
        <v>88</v>
      </c>
      <c r="G774" s="19">
        <v>45628</v>
      </c>
      <c r="H774" t="s">
        <v>89</v>
      </c>
      <c r="I774" t="s">
        <v>5053</v>
      </c>
      <c r="J774"/>
      <c r="K774" t="s">
        <v>5054</v>
      </c>
      <c r="L774" t="s">
        <v>5055</v>
      </c>
      <c r="M774" t="s">
        <v>5056</v>
      </c>
      <c r="Q774" s="3">
        <f t="shared" si="45"/>
        <v>100</v>
      </c>
      <c r="V774" s="3" t="str">
        <f t="shared" si="46"/>
        <v/>
      </c>
    </row>
    <row r="775" spans="1:22" x14ac:dyDescent="0.35">
      <c r="A775" t="s">
        <v>35</v>
      </c>
      <c r="B775" t="s">
        <v>1566</v>
      </c>
      <c r="C775" t="s">
        <v>16</v>
      </c>
      <c r="D775" t="s">
        <v>17</v>
      </c>
      <c r="E775">
        <v>99.92</v>
      </c>
      <c r="F775" t="s">
        <v>88</v>
      </c>
      <c r="G775" s="19">
        <v>45526</v>
      </c>
      <c r="H775" t="s">
        <v>94</v>
      </c>
      <c r="I775" t="s">
        <v>210</v>
      </c>
      <c r="J775" t="s">
        <v>4098</v>
      </c>
      <c r="O775" t="s">
        <v>4097</v>
      </c>
      <c r="Q775" s="3">
        <f t="shared" si="45"/>
        <v>99.92</v>
      </c>
      <c r="V775" s="3" t="str">
        <f t="shared" si="46"/>
        <v/>
      </c>
    </row>
    <row r="776" spans="1:22" x14ac:dyDescent="0.35">
      <c r="A776" t="s">
        <v>35</v>
      </c>
      <c r="B776" t="s">
        <v>1566</v>
      </c>
      <c r="C776" t="s">
        <v>16</v>
      </c>
      <c r="D776" t="s">
        <v>17</v>
      </c>
      <c r="E776">
        <v>98.86</v>
      </c>
      <c r="F776" t="s">
        <v>88</v>
      </c>
      <c r="G776" s="19">
        <v>45566</v>
      </c>
      <c r="H776" t="s">
        <v>94</v>
      </c>
      <c r="I776" t="s">
        <v>3736</v>
      </c>
      <c r="J776" t="s">
        <v>4552</v>
      </c>
      <c r="O776" t="s">
        <v>4553</v>
      </c>
      <c r="Q776" s="3">
        <f t="shared" ref="Q776:Q839" si="51">ABS(E776)</f>
        <v>98.86</v>
      </c>
      <c r="V776" s="3" t="str">
        <f t="shared" si="46"/>
        <v/>
      </c>
    </row>
    <row r="777" spans="1:22" ht="87" x14ac:dyDescent="0.35">
      <c r="A777" t="s">
        <v>35</v>
      </c>
      <c r="B777" t="s">
        <v>2031</v>
      </c>
      <c r="C777" t="s">
        <v>16</v>
      </c>
      <c r="D777" t="s">
        <v>17</v>
      </c>
      <c r="E777">
        <v>98.69</v>
      </c>
      <c r="F777" t="s">
        <v>88</v>
      </c>
      <c r="G777" s="19">
        <v>45523</v>
      </c>
      <c r="H777" t="s">
        <v>94</v>
      </c>
      <c r="I777" t="s">
        <v>4057</v>
      </c>
      <c r="J777" t="s">
        <v>4058</v>
      </c>
      <c r="O777" t="s">
        <v>4059</v>
      </c>
      <c r="Q777" s="3">
        <f t="shared" si="51"/>
        <v>98.69</v>
      </c>
      <c r="R777" s="69" t="s">
        <v>5326</v>
      </c>
      <c r="S777" s="69" t="s">
        <v>5327</v>
      </c>
      <c r="V777" s="3" t="str">
        <f t="shared" ref="V777:V840" si="52">IF(T777="Y",E777,"")</f>
        <v/>
      </c>
    </row>
    <row r="778" spans="1:22" x14ac:dyDescent="0.35">
      <c r="A778" t="s">
        <v>0</v>
      </c>
      <c r="B778" t="s">
        <v>1543</v>
      </c>
      <c r="C778" t="s">
        <v>16</v>
      </c>
      <c r="D778" t="s">
        <v>17</v>
      </c>
      <c r="E778">
        <v>-98.55</v>
      </c>
      <c r="F778" t="s">
        <v>88</v>
      </c>
      <c r="G778" s="19">
        <v>45638</v>
      </c>
      <c r="H778" t="s">
        <v>181</v>
      </c>
      <c r="I778" t="s">
        <v>182</v>
      </c>
      <c r="J778"/>
      <c r="Q778" s="3">
        <f t="shared" si="51"/>
        <v>98.55</v>
      </c>
      <c r="V778" s="3" t="str">
        <f t="shared" si="52"/>
        <v/>
      </c>
    </row>
    <row r="779" spans="1:22" x14ac:dyDescent="0.35">
      <c r="A779" t="s">
        <v>35</v>
      </c>
      <c r="B779" t="s">
        <v>1566</v>
      </c>
      <c r="C779" t="s">
        <v>16</v>
      </c>
      <c r="D779" t="s">
        <v>17</v>
      </c>
      <c r="E779">
        <v>98.02</v>
      </c>
      <c r="F779" t="s">
        <v>88</v>
      </c>
      <c r="G779" s="19">
        <v>45457</v>
      </c>
      <c r="H779" t="s">
        <v>94</v>
      </c>
      <c r="I779" t="s">
        <v>783</v>
      </c>
      <c r="J779" t="s">
        <v>3604</v>
      </c>
      <c r="O779" t="s">
        <v>3514</v>
      </c>
      <c r="Q779" s="3">
        <f t="shared" si="51"/>
        <v>98.02</v>
      </c>
      <c r="V779" s="3" t="str">
        <f t="shared" si="52"/>
        <v/>
      </c>
    </row>
    <row r="780" spans="1:22" ht="87" x14ac:dyDescent="0.35">
      <c r="A780" t="s">
        <v>35</v>
      </c>
      <c r="B780" t="s">
        <v>1566</v>
      </c>
      <c r="C780" t="s">
        <v>16</v>
      </c>
      <c r="D780" t="s">
        <v>17</v>
      </c>
      <c r="E780">
        <v>98</v>
      </c>
      <c r="F780" t="s">
        <v>88</v>
      </c>
      <c r="G780" s="19">
        <v>45562</v>
      </c>
      <c r="H780" t="s">
        <v>94</v>
      </c>
      <c r="I780" t="s">
        <v>4093</v>
      </c>
      <c r="J780" t="s">
        <v>4450</v>
      </c>
      <c r="O780" t="s">
        <v>4451</v>
      </c>
      <c r="Q780" s="3">
        <f t="shared" si="51"/>
        <v>98</v>
      </c>
      <c r="R780" s="69" t="s">
        <v>5326</v>
      </c>
      <c r="S780" s="69" t="s">
        <v>5327</v>
      </c>
      <c r="V780" s="3" t="str">
        <f t="shared" si="52"/>
        <v/>
      </c>
    </row>
    <row r="781" spans="1:22" x14ac:dyDescent="0.35">
      <c r="A781" t="s">
        <v>35</v>
      </c>
      <c r="B781" t="s">
        <v>615</v>
      </c>
      <c r="C781" t="s">
        <v>16</v>
      </c>
      <c r="D781" t="s">
        <v>17</v>
      </c>
      <c r="E781">
        <v>96.37</v>
      </c>
      <c r="F781" t="s">
        <v>88</v>
      </c>
      <c r="G781" s="19">
        <v>45604</v>
      </c>
      <c r="H781" t="s">
        <v>94</v>
      </c>
      <c r="I781" t="s">
        <v>2582</v>
      </c>
      <c r="J781" t="s">
        <v>4848</v>
      </c>
      <c r="O781" t="s">
        <v>4849</v>
      </c>
      <c r="Q781" s="3">
        <f t="shared" si="51"/>
        <v>96.37</v>
      </c>
      <c r="S781" s="69" t="s">
        <v>53</v>
      </c>
      <c r="T781" t="s">
        <v>64</v>
      </c>
      <c r="U781" t="str">
        <f t="shared" ref="U781:U783" si="53">B781</f>
        <v>AU030619</v>
      </c>
      <c r="V781" s="3">
        <f t="shared" si="52"/>
        <v>96.37</v>
      </c>
    </row>
    <row r="782" spans="1:22" x14ac:dyDescent="0.35">
      <c r="A782" t="s">
        <v>35</v>
      </c>
      <c r="B782" t="s">
        <v>1566</v>
      </c>
      <c r="C782" t="s">
        <v>16</v>
      </c>
      <c r="D782" t="s">
        <v>17</v>
      </c>
      <c r="E782">
        <v>96</v>
      </c>
      <c r="F782" t="s">
        <v>88</v>
      </c>
      <c r="G782" s="19">
        <v>45453</v>
      </c>
      <c r="H782" t="s">
        <v>94</v>
      </c>
      <c r="I782" t="s">
        <v>238</v>
      </c>
      <c r="J782" t="s">
        <v>3089</v>
      </c>
      <c r="O782" t="s">
        <v>3486</v>
      </c>
      <c r="Q782" s="3">
        <f t="shared" si="51"/>
        <v>96</v>
      </c>
      <c r="S782" s="69" t="s">
        <v>53</v>
      </c>
      <c r="T782" t="s">
        <v>64</v>
      </c>
      <c r="U782" t="str">
        <f t="shared" si="53"/>
        <v>AU032046</v>
      </c>
      <c r="V782" s="3">
        <f t="shared" si="52"/>
        <v>96</v>
      </c>
    </row>
    <row r="783" spans="1:22" x14ac:dyDescent="0.35">
      <c r="A783" t="s">
        <v>35</v>
      </c>
      <c r="B783" t="s">
        <v>1069</v>
      </c>
      <c r="C783" t="s">
        <v>16</v>
      </c>
      <c r="D783" t="s">
        <v>17</v>
      </c>
      <c r="E783">
        <v>95.45</v>
      </c>
      <c r="F783" t="s">
        <v>88</v>
      </c>
      <c r="G783" s="19">
        <v>45448</v>
      </c>
      <c r="H783" t="s">
        <v>94</v>
      </c>
      <c r="I783" t="s">
        <v>1070</v>
      </c>
      <c r="J783" t="s">
        <v>3447</v>
      </c>
      <c r="O783" t="s">
        <v>188</v>
      </c>
      <c r="Q783" s="3">
        <f t="shared" si="51"/>
        <v>95.45</v>
      </c>
      <c r="S783" s="69" t="s">
        <v>53</v>
      </c>
      <c r="T783" t="s">
        <v>64</v>
      </c>
      <c r="U783" t="str">
        <f t="shared" si="53"/>
        <v>AU030413</v>
      </c>
      <c r="V783" s="3">
        <f t="shared" si="52"/>
        <v>95.45</v>
      </c>
    </row>
    <row r="784" spans="1:22" x14ac:dyDescent="0.35">
      <c r="A784" t="s">
        <v>0</v>
      </c>
      <c r="B784" t="s">
        <v>1566</v>
      </c>
      <c r="C784" t="s">
        <v>16</v>
      </c>
      <c r="D784" t="s">
        <v>17</v>
      </c>
      <c r="E784">
        <v>95.3</v>
      </c>
      <c r="F784" t="s">
        <v>88</v>
      </c>
      <c r="G784" s="19">
        <v>45602</v>
      </c>
      <c r="H784" t="s">
        <v>89</v>
      </c>
      <c r="I784" t="s">
        <v>4838</v>
      </c>
      <c r="J784"/>
      <c r="K784" t="s">
        <v>4839</v>
      </c>
      <c r="L784" t="s">
        <v>4840</v>
      </c>
      <c r="M784" t="s">
        <v>100</v>
      </c>
      <c r="Q784" s="3">
        <f t="shared" si="51"/>
        <v>95.3</v>
      </c>
      <c r="V784" s="3" t="str">
        <f t="shared" si="52"/>
        <v/>
      </c>
    </row>
    <row r="785" spans="1:22" x14ac:dyDescent="0.35">
      <c r="A785" t="s">
        <v>0</v>
      </c>
      <c r="B785" t="s">
        <v>1566</v>
      </c>
      <c r="C785" t="s">
        <v>16</v>
      </c>
      <c r="D785" t="s">
        <v>17</v>
      </c>
      <c r="E785">
        <v>95.3</v>
      </c>
      <c r="F785" t="s">
        <v>88</v>
      </c>
      <c r="G785" s="19">
        <v>45602</v>
      </c>
      <c r="H785" t="s">
        <v>89</v>
      </c>
      <c r="I785" t="s">
        <v>4841</v>
      </c>
      <c r="J785"/>
      <c r="K785" t="s">
        <v>4842</v>
      </c>
      <c r="L785" t="s">
        <v>4843</v>
      </c>
      <c r="M785" t="s">
        <v>100</v>
      </c>
      <c r="Q785" s="3">
        <f t="shared" si="51"/>
        <v>95.3</v>
      </c>
      <c r="V785" s="3" t="str">
        <f t="shared" si="52"/>
        <v/>
      </c>
    </row>
    <row r="786" spans="1:22" x14ac:dyDescent="0.35">
      <c r="A786" t="s">
        <v>35</v>
      </c>
      <c r="B786" t="s">
        <v>893</v>
      </c>
      <c r="C786" t="s">
        <v>16</v>
      </c>
      <c r="D786" t="s">
        <v>17</v>
      </c>
      <c r="E786">
        <v>95</v>
      </c>
      <c r="F786" t="s">
        <v>88</v>
      </c>
      <c r="G786" s="19">
        <v>45510</v>
      </c>
      <c r="H786" t="s">
        <v>94</v>
      </c>
      <c r="I786" t="s">
        <v>231</v>
      </c>
      <c r="J786" t="s">
        <v>3968</v>
      </c>
      <c r="O786" t="s">
        <v>3969</v>
      </c>
      <c r="Q786" s="3">
        <f t="shared" si="51"/>
        <v>95</v>
      </c>
      <c r="V786" s="3" t="str">
        <f t="shared" si="52"/>
        <v/>
      </c>
    </row>
    <row r="787" spans="1:22" x14ac:dyDescent="0.35">
      <c r="A787" t="s">
        <v>35</v>
      </c>
      <c r="B787" t="s">
        <v>893</v>
      </c>
      <c r="C787" t="s">
        <v>16</v>
      </c>
      <c r="D787" t="s">
        <v>17</v>
      </c>
      <c r="E787">
        <v>95</v>
      </c>
      <c r="F787" t="s">
        <v>88</v>
      </c>
      <c r="G787" s="19">
        <v>45526</v>
      </c>
      <c r="H787" t="s">
        <v>94</v>
      </c>
      <c r="I787" t="s">
        <v>231</v>
      </c>
      <c r="J787" t="s">
        <v>4099</v>
      </c>
      <c r="O787" t="s">
        <v>4100</v>
      </c>
      <c r="Q787" s="3">
        <f t="shared" si="51"/>
        <v>95</v>
      </c>
      <c r="V787" s="3" t="str">
        <f t="shared" si="52"/>
        <v/>
      </c>
    </row>
    <row r="788" spans="1:22" x14ac:dyDescent="0.35">
      <c r="A788" t="s">
        <v>0</v>
      </c>
      <c r="B788" t="s">
        <v>1566</v>
      </c>
      <c r="C788" t="s">
        <v>16</v>
      </c>
      <c r="D788" t="s">
        <v>17</v>
      </c>
      <c r="E788">
        <v>94.27</v>
      </c>
      <c r="F788" t="s">
        <v>88</v>
      </c>
      <c r="G788" s="19">
        <v>45630</v>
      </c>
      <c r="H788" t="s">
        <v>89</v>
      </c>
      <c r="I788" t="s">
        <v>5128</v>
      </c>
      <c r="J788"/>
      <c r="K788" t="s">
        <v>5129</v>
      </c>
      <c r="L788" t="s">
        <v>5130</v>
      </c>
      <c r="M788" t="s">
        <v>100</v>
      </c>
      <c r="Q788" s="3">
        <f t="shared" si="51"/>
        <v>94.27</v>
      </c>
      <c r="V788" s="3" t="str">
        <f t="shared" si="52"/>
        <v/>
      </c>
    </row>
    <row r="789" spans="1:22" x14ac:dyDescent="0.35">
      <c r="A789" t="s">
        <v>35</v>
      </c>
      <c r="B789" t="s">
        <v>1566</v>
      </c>
      <c r="C789" t="s">
        <v>16</v>
      </c>
      <c r="D789" t="s">
        <v>17</v>
      </c>
      <c r="E789">
        <v>93.55</v>
      </c>
      <c r="F789" t="s">
        <v>88</v>
      </c>
      <c r="G789" s="19">
        <v>45392</v>
      </c>
      <c r="H789" t="s">
        <v>94</v>
      </c>
      <c r="I789" t="s">
        <v>2932</v>
      </c>
      <c r="J789" t="s">
        <v>2933</v>
      </c>
      <c r="O789" t="s">
        <v>2934</v>
      </c>
      <c r="Q789" s="3">
        <f t="shared" si="51"/>
        <v>93.55</v>
      </c>
      <c r="V789" s="3" t="str">
        <f t="shared" si="52"/>
        <v/>
      </c>
    </row>
    <row r="790" spans="1:22" x14ac:dyDescent="0.35">
      <c r="A790" t="s">
        <v>0</v>
      </c>
      <c r="B790" t="s">
        <v>1566</v>
      </c>
      <c r="C790" t="s">
        <v>16</v>
      </c>
      <c r="D790" t="s">
        <v>17</v>
      </c>
      <c r="E790">
        <v>93.3</v>
      </c>
      <c r="F790" t="s">
        <v>88</v>
      </c>
      <c r="G790" s="19">
        <v>45597</v>
      </c>
      <c r="H790" t="s">
        <v>89</v>
      </c>
      <c r="I790" t="s">
        <v>4760</v>
      </c>
      <c r="J790"/>
      <c r="K790" t="s">
        <v>4761</v>
      </c>
      <c r="L790" t="s">
        <v>4762</v>
      </c>
      <c r="M790" t="s">
        <v>100</v>
      </c>
      <c r="Q790" s="3">
        <f t="shared" si="51"/>
        <v>93.3</v>
      </c>
      <c r="V790" s="3" t="str">
        <f t="shared" si="52"/>
        <v/>
      </c>
    </row>
    <row r="791" spans="1:22" x14ac:dyDescent="0.35">
      <c r="A791" t="s">
        <v>0</v>
      </c>
      <c r="B791" t="s">
        <v>1566</v>
      </c>
      <c r="C791" t="s">
        <v>16</v>
      </c>
      <c r="D791" t="s">
        <v>17</v>
      </c>
      <c r="E791">
        <v>93.3</v>
      </c>
      <c r="F791" t="s">
        <v>88</v>
      </c>
      <c r="G791" s="19">
        <v>45601</v>
      </c>
      <c r="H791" t="s">
        <v>89</v>
      </c>
      <c r="I791" t="s">
        <v>4819</v>
      </c>
      <c r="J791"/>
      <c r="K791" t="s">
        <v>4820</v>
      </c>
      <c r="L791" t="s">
        <v>4821</v>
      </c>
      <c r="M791" t="s">
        <v>100</v>
      </c>
      <c r="Q791" s="3">
        <f t="shared" si="51"/>
        <v>93.3</v>
      </c>
      <c r="V791" s="3" t="str">
        <f t="shared" si="52"/>
        <v/>
      </c>
    </row>
    <row r="792" spans="1:22" x14ac:dyDescent="0.35">
      <c r="A792" t="s">
        <v>0</v>
      </c>
      <c r="B792" t="s">
        <v>1566</v>
      </c>
      <c r="C792" t="s">
        <v>16</v>
      </c>
      <c r="D792" t="s">
        <v>17</v>
      </c>
      <c r="E792">
        <v>91.11</v>
      </c>
      <c r="F792" t="s">
        <v>88</v>
      </c>
      <c r="G792" s="19">
        <v>45580</v>
      </c>
      <c r="H792" t="s">
        <v>89</v>
      </c>
      <c r="I792" t="s">
        <v>4655</v>
      </c>
      <c r="J792"/>
      <c r="K792" t="s">
        <v>4656</v>
      </c>
      <c r="L792" t="s">
        <v>4657</v>
      </c>
      <c r="M792" t="s">
        <v>100</v>
      </c>
      <c r="Q792" s="3">
        <f t="shared" si="51"/>
        <v>91.11</v>
      </c>
      <c r="V792" s="3" t="str">
        <f t="shared" si="52"/>
        <v/>
      </c>
    </row>
    <row r="793" spans="1:22" x14ac:dyDescent="0.35">
      <c r="A793" t="s">
        <v>35</v>
      </c>
      <c r="B793" t="s">
        <v>915</v>
      </c>
      <c r="C793" t="s">
        <v>16</v>
      </c>
      <c r="D793" t="s">
        <v>17</v>
      </c>
      <c r="E793">
        <v>90.99</v>
      </c>
      <c r="F793" t="s">
        <v>88</v>
      </c>
      <c r="G793" s="19">
        <v>45454</v>
      </c>
      <c r="H793" t="s">
        <v>94</v>
      </c>
      <c r="I793" t="s">
        <v>3335</v>
      </c>
      <c r="J793" t="s">
        <v>3560</v>
      </c>
      <c r="O793" t="s">
        <v>3337</v>
      </c>
      <c r="Q793" s="3">
        <f t="shared" si="51"/>
        <v>90.99</v>
      </c>
      <c r="V793" s="3" t="str">
        <f t="shared" si="52"/>
        <v/>
      </c>
    </row>
    <row r="794" spans="1:22" x14ac:dyDescent="0.35">
      <c r="A794" t="s">
        <v>35</v>
      </c>
      <c r="B794" t="s">
        <v>915</v>
      </c>
      <c r="C794" t="s">
        <v>16</v>
      </c>
      <c r="D794" t="s">
        <v>17</v>
      </c>
      <c r="E794">
        <v>90.99</v>
      </c>
      <c r="F794" t="s">
        <v>88</v>
      </c>
      <c r="G794" s="19">
        <v>45454</v>
      </c>
      <c r="H794" t="s">
        <v>94</v>
      </c>
      <c r="I794" t="s">
        <v>3335</v>
      </c>
      <c r="J794" t="s">
        <v>3562</v>
      </c>
      <c r="O794" t="s">
        <v>3337</v>
      </c>
      <c r="Q794" s="3">
        <f t="shared" si="51"/>
        <v>90.99</v>
      </c>
      <c r="V794" s="3" t="str">
        <f t="shared" si="52"/>
        <v/>
      </c>
    </row>
    <row r="795" spans="1:22" x14ac:dyDescent="0.35">
      <c r="A795" t="s">
        <v>35</v>
      </c>
      <c r="B795" t="s">
        <v>1566</v>
      </c>
      <c r="C795" t="s">
        <v>16</v>
      </c>
      <c r="D795" t="s">
        <v>17</v>
      </c>
      <c r="E795">
        <v>90.95</v>
      </c>
      <c r="F795" t="s">
        <v>88</v>
      </c>
      <c r="G795" s="19">
        <v>45558</v>
      </c>
      <c r="H795" t="s">
        <v>94</v>
      </c>
      <c r="I795" t="s">
        <v>206</v>
      </c>
      <c r="J795" t="s">
        <v>4431</v>
      </c>
      <c r="O795" t="s">
        <v>4432</v>
      </c>
      <c r="Q795" s="3">
        <f t="shared" si="51"/>
        <v>90.95</v>
      </c>
      <c r="V795" s="3" t="str">
        <f t="shared" si="52"/>
        <v/>
      </c>
    </row>
    <row r="796" spans="1:22" x14ac:dyDescent="0.35">
      <c r="A796" t="s">
        <v>35</v>
      </c>
      <c r="B796" t="s">
        <v>1566</v>
      </c>
      <c r="C796" t="s">
        <v>16</v>
      </c>
      <c r="D796" t="s">
        <v>17</v>
      </c>
      <c r="E796">
        <v>90.91</v>
      </c>
      <c r="F796" t="s">
        <v>88</v>
      </c>
      <c r="G796" s="19">
        <v>45453</v>
      </c>
      <c r="H796" t="s">
        <v>94</v>
      </c>
      <c r="I796" t="s">
        <v>3497</v>
      </c>
      <c r="J796" t="s">
        <v>3498</v>
      </c>
      <c r="O796" t="s">
        <v>3499</v>
      </c>
      <c r="Q796" s="3">
        <f t="shared" si="51"/>
        <v>90.91</v>
      </c>
      <c r="V796" s="3" t="str">
        <f t="shared" si="52"/>
        <v/>
      </c>
    </row>
    <row r="797" spans="1:22" x14ac:dyDescent="0.35">
      <c r="A797" t="s">
        <v>35</v>
      </c>
      <c r="B797" t="s">
        <v>1566</v>
      </c>
      <c r="C797" t="s">
        <v>16</v>
      </c>
      <c r="D797" t="s">
        <v>17</v>
      </c>
      <c r="E797">
        <v>90.91</v>
      </c>
      <c r="F797" t="s">
        <v>88</v>
      </c>
      <c r="G797" s="19">
        <v>45453</v>
      </c>
      <c r="H797" t="s">
        <v>94</v>
      </c>
      <c r="I797" t="s">
        <v>3538</v>
      </c>
      <c r="J797" t="s">
        <v>3536</v>
      </c>
      <c r="O797" t="s">
        <v>3541</v>
      </c>
      <c r="Q797" s="3">
        <f t="shared" si="51"/>
        <v>90.91</v>
      </c>
      <c r="V797" s="3" t="str">
        <f t="shared" si="52"/>
        <v/>
      </c>
    </row>
    <row r="798" spans="1:22" x14ac:dyDescent="0.35">
      <c r="A798" t="s">
        <v>35</v>
      </c>
      <c r="B798" t="s">
        <v>708</v>
      </c>
      <c r="C798" t="s">
        <v>16</v>
      </c>
      <c r="D798" t="s">
        <v>17</v>
      </c>
      <c r="E798">
        <v>90.91</v>
      </c>
      <c r="F798" t="s">
        <v>88</v>
      </c>
      <c r="G798" s="19">
        <v>45467</v>
      </c>
      <c r="H798" t="s">
        <v>94</v>
      </c>
      <c r="I798" t="s">
        <v>3661</v>
      </c>
      <c r="J798" t="s">
        <v>3662</v>
      </c>
      <c r="O798" t="s">
        <v>755</v>
      </c>
      <c r="Q798" s="3">
        <f t="shared" si="51"/>
        <v>90.91</v>
      </c>
      <c r="V798" s="3" t="str">
        <f t="shared" si="52"/>
        <v/>
      </c>
    </row>
    <row r="799" spans="1:22" x14ac:dyDescent="0.35">
      <c r="A799" t="s">
        <v>35</v>
      </c>
      <c r="B799" t="s">
        <v>3466</v>
      </c>
      <c r="C799" t="s">
        <v>16</v>
      </c>
      <c r="D799" t="s">
        <v>17</v>
      </c>
      <c r="E799">
        <v>90.91</v>
      </c>
      <c r="F799" t="s">
        <v>88</v>
      </c>
      <c r="G799" s="19">
        <v>45614</v>
      </c>
      <c r="H799" t="s">
        <v>94</v>
      </c>
      <c r="I799" t="s">
        <v>3665</v>
      </c>
      <c r="J799" t="s">
        <v>4954</v>
      </c>
      <c r="O799" t="s">
        <v>4955</v>
      </c>
      <c r="Q799" s="3">
        <f t="shared" si="51"/>
        <v>90.91</v>
      </c>
      <c r="V799" s="3" t="str">
        <f t="shared" si="52"/>
        <v/>
      </c>
    </row>
    <row r="800" spans="1:22" x14ac:dyDescent="0.35">
      <c r="A800" t="s">
        <v>0</v>
      </c>
      <c r="B800" t="s">
        <v>1543</v>
      </c>
      <c r="C800" t="s">
        <v>16</v>
      </c>
      <c r="D800" t="s">
        <v>17</v>
      </c>
      <c r="E800">
        <v>-90.3</v>
      </c>
      <c r="F800" t="s">
        <v>88</v>
      </c>
      <c r="G800" s="19">
        <v>45645</v>
      </c>
      <c r="H800" t="s">
        <v>181</v>
      </c>
      <c r="I800" t="s">
        <v>182</v>
      </c>
      <c r="J800"/>
      <c r="Q800" s="3">
        <f t="shared" si="51"/>
        <v>90.3</v>
      </c>
      <c r="V800" s="3" t="str">
        <f t="shared" si="52"/>
        <v/>
      </c>
    </row>
    <row r="801" spans="1:22" x14ac:dyDescent="0.35">
      <c r="A801" t="s">
        <v>35</v>
      </c>
      <c r="B801" t="s">
        <v>1566</v>
      </c>
      <c r="C801" t="s">
        <v>16</v>
      </c>
      <c r="D801" t="s">
        <v>17</v>
      </c>
      <c r="E801">
        <v>90.1</v>
      </c>
      <c r="F801" t="s">
        <v>88</v>
      </c>
      <c r="G801" s="19">
        <v>45474</v>
      </c>
      <c r="H801" t="s">
        <v>94</v>
      </c>
      <c r="I801" t="s">
        <v>3736</v>
      </c>
      <c r="J801" t="s">
        <v>3737</v>
      </c>
      <c r="O801" t="s">
        <v>3738</v>
      </c>
      <c r="Q801" s="3">
        <f t="shared" si="51"/>
        <v>90.1</v>
      </c>
      <c r="V801" s="3" t="str">
        <f t="shared" si="52"/>
        <v/>
      </c>
    </row>
    <row r="802" spans="1:22" x14ac:dyDescent="0.35">
      <c r="A802" t="s">
        <v>0</v>
      </c>
      <c r="B802" t="s">
        <v>1566</v>
      </c>
      <c r="C802" t="s">
        <v>16</v>
      </c>
      <c r="D802" t="s">
        <v>17</v>
      </c>
      <c r="E802">
        <v>87.93</v>
      </c>
      <c r="F802" t="s">
        <v>88</v>
      </c>
      <c r="G802" s="19">
        <v>45637</v>
      </c>
      <c r="H802" t="s">
        <v>89</v>
      </c>
      <c r="I802" t="s">
        <v>5233</v>
      </c>
      <c r="J802"/>
      <c r="K802" t="s">
        <v>5234</v>
      </c>
      <c r="L802" t="s">
        <v>5235</v>
      </c>
      <c r="M802" t="s">
        <v>100</v>
      </c>
      <c r="Q802" s="3">
        <f t="shared" si="51"/>
        <v>87.93</v>
      </c>
      <c r="V802" s="3" t="str">
        <f t="shared" si="52"/>
        <v/>
      </c>
    </row>
    <row r="803" spans="1:22" x14ac:dyDescent="0.35">
      <c r="A803" t="s">
        <v>0</v>
      </c>
      <c r="B803" t="s">
        <v>1566</v>
      </c>
      <c r="C803" t="s">
        <v>16</v>
      </c>
      <c r="D803" t="s">
        <v>17</v>
      </c>
      <c r="E803">
        <v>87.92</v>
      </c>
      <c r="F803" t="s">
        <v>88</v>
      </c>
      <c r="G803" s="19">
        <v>45605</v>
      </c>
      <c r="H803" t="s">
        <v>89</v>
      </c>
      <c r="I803" t="s">
        <v>4853</v>
      </c>
      <c r="J803"/>
      <c r="K803" t="s">
        <v>4854</v>
      </c>
      <c r="L803" t="s">
        <v>4855</v>
      </c>
      <c r="M803" t="s">
        <v>100</v>
      </c>
      <c r="Q803" s="3">
        <f t="shared" si="51"/>
        <v>87.92</v>
      </c>
      <c r="V803" s="3" t="str">
        <f t="shared" si="52"/>
        <v/>
      </c>
    </row>
    <row r="804" spans="1:22" x14ac:dyDescent="0.35">
      <c r="A804" t="s">
        <v>0</v>
      </c>
      <c r="B804" t="s">
        <v>1566</v>
      </c>
      <c r="C804" t="s">
        <v>16</v>
      </c>
      <c r="D804" t="s">
        <v>17</v>
      </c>
      <c r="E804">
        <v>86.72</v>
      </c>
      <c r="F804" t="s">
        <v>88</v>
      </c>
      <c r="G804" s="19">
        <v>45421</v>
      </c>
      <c r="H804" t="s">
        <v>89</v>
      </c>
      <c r="I804" t="s">
        <v>3177</v>
      </c>
      <c r="J804"/>
      <c r="K804" t="s">
        <v>2817</v>
      </c>
      <c r="L804" t="s">
        <v>3178</v>
      </c>
      <c r="M804" t="s">
        <v>100</v>
      </c>
      <c r="Q804" s="3">
        <f t="shared" si="51"/>
        <v>86.72</v>
      </c>
      <c r="V804" s="3" t="str">
        <f t="shared" si="52"/>
        <v/>
      </c>
    </row>
    <row r="805" spans="1:22" x14ac:dyDescent="0.35">
      <c r="A805" t="s">
        <v>0</v>
      </c>
      <c r="B805" t="s">
        <v>1566</v>
      </c>
      <c r="C805" t="s">
        <v>16</v>
      </c>
      <c r="D805" t="s">
        <v>17</v>
      </c>
      <c r="E805">
        <v>86.57</v>
      </c>
      <c r="F805" t="s">
        <v>88</v>
      </c>
      <c r="G805" s="19">
        <v>45386</v>
      </c>
      <c r="H805" t="s">
        <v>89</v>
      </c>
      <c r="I805" t="s">
        <v>2816</v>
      </c>
      <c r="J805"/>
      <c r="K805" t="s">
        <v>2817</v>
      </c>
      <c r="L805" t="s">
        <v>2818</v>
      </c>
      <c r="M805" t="s">
        <v>100</v>
      </c>
      <c r="Q805" s="3">
        <f t="shared" si="51"/>
        <v>86.57</v>
      </c>
      <c r="V805" s="3" t="str">
        <f t="shared" si="52"/>
        <v/>
      </c>
    </row>
    <row r="806" spans="1:22" x14ac:dyDescent="0.35">
      <c r="A806" t="s">
        <v>0</v>
      </c>
      <c r="B806" t="s">
        <v>1566</v>
      </c>
      <c r="C806" t="s">
        <v>16</v>
      </c>
      <c r="D806" t="s">
        <v>17</v>
      </c>
      <c r="E806">
        <v>86.57</v>
      </c>
      <c r="F806" t="s">
        <v>88</v>
      </c>
      <c r="G806" s="19">
        <v>45386</v>
      </c>
      <c r="H806" t="s">
        <v>89</v>
      </c>
      <c r="I806" t="s">
        <v>2819</v>
      </c>
      <c r="J806"/>
      <c r="K806" t="s">
        <v>2820</v>
      </c>
      <c r="L806" t="s">
        <v>2821</v>
      </c>
      <c r="M806" t="s">
        <v>100</v>
      </c>
      <c r="Q806" s="3">
        <f t="shared" si="51"/>
        <v>86.57</v>
      </c>
      <c r="V806" s="3" t="str">
        <f t="shared" si="52"/>
        <v/>
      </c>
    </row>
    <row r="807" spans="1:22" x14ac:dyDescent="0.35">
      <c r="A807" t="s">
        <v>35</v>
      </c>
      <c r="B807" t="s">
        <v>1566</v>
      </c>
      <c r="C807" t="s">
        <v>16</v>
      </c>
      <c r="D807" t="s">
        <v>17</v>
      </c>
      <c r="E807">
        <v>86.35</v>
      </c>
      <c r="F807" t="s">
        <v>88</v>
      </c>
      <c r="G807" s="19">
        <v>45638</v>
      </c>
      <c r="H807" t="s">
        <v>94</v>
      </c>
      <c r="I807" t="s">
        <v>3074</v>
      </c>
      <c r="J807" t="s">
        <v>5276</v>
      </c>
      <c r="O807" t="s">
        <v>5278</v>
      </c>
      <c r="Q807" s="3">
        <f t="shared" si="51"/>
        <v>86.35</v>
      </c>
      <c r="S807" s="69" t="s">
        <v>53</v>
      </c>
      <c r="T807" t="s">
        <v>64</v>
      </c>
      <c r="U807" t="str">
        <f t="shared" ref="U807" si="54">B807</f>
        <v>AU032046</v>
      </c>
      <c r="V807" s="3">
        <f t="shared" si="52"/>
        <v>86.35</v>
      </c>
    </row>
    <row r="808" spans="1:22" x14ac:dyDescent="0.35">
      <c r="A808" t="s">
        <v>0</v>
      </c>
      <c r="B808" t="s">
        <v>1566</v>
      </c>
      <c r="C808" t="s">
        <v>16</v>
      </c>
      <c r="D808" t="s">
        <v>17</v>
      </c>
      <c r="E808">
        <v>85.22</v>
      </c>
      <c r="F808" t="s">
        <v>88</v>
      </c>
      <c r="G808" s="19">
        <v>45425</v>
      </c>
      <c r="H808" t="s">
        <v>89</v>
      </c>
      <c r="I808" t="s">
        <v>3229</v>
      </c>
      <c r="J808"/>
      <c r="K808" t="s">
        <v>3223</v>
      </c>
      <c r="L808" t="s">
        <v>3230</v>
      </c>
      <c r="M808" t="s">
        <v>3225</v>
      </c>
      <c r="Q808" s="3">
        <f t="shared" si="51"/>
        <v>85.22</v>
      </c>
      <c r="V808" s="3" t="str">
        <f t="shared" si="52"/>
        <v/>
      </c>
    </row>
    <row r="809" spans="1:22" x14ac:dyDescent="0.35">
      <c r="A809" t="s">
        <v>0</v>
      </c>
      <c r="B809" t="s">
        <v>1566</v>
      </c>
      <c r="C809" t="s">
        <v>16</v>
      </c>
      <c r="D809" t="s">
        <v>17</v>
      </c>
      <c r="E809">
        <v>85.22</v>
      </c>
      <c r="F809" t="s">
        <v>88</v>
      </c>
      <c r="G809" s="19">
        <v>45425</v>
      </c>
      <c r="H809" t="s">
        <v>89</v>
      </c>
      <c r="I809" t="s">
        <v>3231</v>
      </c>
      <c r="J809"/>
      <c r="K809" t="s">
        <v>3223</v>
      </c>
      <c r="L809" t="s">
        <v>3230</v>
      </c>
      <c r="M809" t="s">
        <v>3228</v>
      </c>
      <c r="Q809" s="3">
        <f t="shared" si="51"/>
        <v>85.22</v>
      </c>
      <c r="V809" s="3" t="str">
        <f t="shared" si="52"/>
        <v/>
      </c>
    </row>
    <row r="810" spans="1:22" x14ac:dyDescent="0.35">
      <c r="A810" t="s">
        <v>0</v>
      </c>
      <c r="B810" t="s">
        <v>1566</v>
      </c>
      <c r="C810" t="s">
        <v>16</v>
      </c>
      <c r="D810" t="s">
        <v>17</v>
      </c>
      <c r="E810">
        <v>-85.22</v>
      </c>
      <c r="F810" t="s">
        <v>88</v>
      </c>
      <c r="G810" s="19">
        <v>45433</v>
      </c>
      <c r="H810" t="s">
        <v>89</v>
      </c>
      <c r="I810" t="s">
        <v>3229</v>
      </c>
      <c r="J810"/>
      <c r="K810" t="s">
        <v>3223</v>
      </c>
      <c r="L810" t="s">
        <v>3230</v>
      </c>
      <c r="M810" t="s">
        <v>3225</v>
      </c>
      <c r="Q810" s="3">
        <f t="shared" si="51"/>
        <v>85.22</v>
      </c>
      <c r="V810" s="3" t="str">
        <f t="shared" si="52"/>
        <v/>
      </c>
    </row>
    <row r="811" spans="1:22" ht="87" x14ac:dyDescent="0.35">
      <c r="A811" t="s">
        <v>35</v>
      </c>
      <c r="B811" t="s">
        <v>819</v>
      </c>
      <c r="C811" t="s">
        <v>16</v>
      </c>
      <c r="D811" t="s">
        <v>17</v>
      </c>
      <c r="E811">
        <v>85.09</v>
      </c>
      <c r="F811" t="s">
        <v>88</v>
      </c>
      <c r="G811" s="19">
        <v>45579</v>
      </c>
      <c r="H811" t="s">
        <v>94</v>
      </c>
      <c r="I811" t="s">
        <v>228</v>
      </c>
      <c r="J811" t="s">
        <v>4638</v>
      </c>
      <c r="O811" t="s">
        <v>4636</v>
      </c>
      <c r="Q811" s="3">
        <f t="shared" si="51"/>
        <v>85.09</v>
      </c>
      <c r="R811" s="69" t="s">
        <v>5326</v>
      </c>
      <c r="S811" s="69" t="s">
        <v>5327</v>
      </c>
      <c r="V811" s="3" t="str">
        <f t="shared" si="52"/>
        <v/>
      </c>
    </row>
    <row r="812" spans="1:22" ht="87" x14ac:dyDescent="0.35">
      <c r="A812" t="s">
        <v>35</v>
      </c>
      <c r="B812" t="s">
        <v>909</v>
      </c>
      <c r="C812" t="s">
        <v>16</v>
      </c>
      <c r="D812" t="s">
        <v>17</v>
      </c>
      <c r="E812">
        <v>85.09</v>
      </c>
      <c r="F812" t="s">
        <v>88</v>
      </c>
      <c r="G812" s="19">
        <v>45579</v>
      </c>
      <c r="H812" t="s">
        <v>94</v>
      </c>
      <c r="I812" t="s">
        <v>4639</v>
      </c>
      <c r="J812" t="s">
        <v>4640</v>
      </c>
      <c r="O812" t="s">
        <v>4636</v>
      </c>
      <c r="Q812" s="3">
        <f t="shared" si="51"/>
        <v>85.09</v>
      </c>
      <c r="R812" s="69" t="s">
        <v>5326</v>
      </c>
      <c r="S812" s="69" t="s">
        <v>5327</v>
      </c>
      <c r="V812" s="3" t="str">
        <f t="shared" si="52"/>
        <v/>
      </c>
    </row>
    <row r="813" spans="1:22" x14ac:dyDescent="0.35">
      <c r="A813" t="s">
        <v>35</v>
      </c>
      <c r="B813" t="s">
        <v>1566</v>
      </c>
      <c r="C813" t="s">
        <v>16</v>
      </c>
      <c r="D813" t="s">
        <v>17</v>
      </c>
      <c r="E813">
        <v>84.55</v>
      </c>
      <c r="F813" t="s">
        <v>88</v>
      </c>
      <c r="G813" s="19">
        <v>45392</v>
      </c>
      <c r="H813" t="s">
        <v>94</v>
      </c>
      <c r="I813" t="s">
        <v>2910</v>
      </c>
      <c r="J813" t="s">
        <v>2911</v>
      </c>
      <c r="O813" t="s">
        <v>2912</v>
      </c>
      <c r="Q813" s="3">
        <f t="shared" si="51"/>
        <v>84.55</v>
      </c>
      <c r="V813" s="3" t="str">
        <f t="shared" si="52"/>
        <v/>
      </c>
    </row>
    <row r="814" spans="1:22" x14ac:dyDescent="0.35">
      <c r="A814" t="s">
        <v>35</v>
      </c>
      <c r="B814" t="s">
        <v>1566</v>
      </c>
      <c r="C814" t="s">
        <v>16</v>
      </c>
      <c r="D814" t="s">
        <v>17</v>
      </c>
      <c r="E814">
        <v>84.18</v>
      </c>
      <c r="F814" t="s">
        <v>88</v>
      </c>
      <c r="G814" s="19">
        <v>45422</v>
      </c>
      <c r="H814" t="s">
        <v>94</v>
      </c>
      <c r="I814" t="s">
        <v>3184</v>
      </c>
      <c r="J814" t="s">
        <v>3187</v>
      </c>
      <c r="O814" t="s">
        <v>3186</v>
      </c>
      <c r="Q814" s="3">
        <f t="shared" si="51"/>
        <v>84.18</v>
      </c>
      <c r="V814" s="3" t="str">
        <f t="shared" si="52"/>
        <v/>
      </c>
    </row>
    <row r="815" spans="1:22" ht="87" x14ac:dyDescent="0.35">
      <c r="A815" t="s">
        <v>35</v>
      </c>
      <c r="B815" t="s">
        <v>1566</v>
      </c>
      <c r="C815" t="s">
        <v>16</v>
      </c>
      <c r="D815" t="s">
        <v>17</v>
      </c>
      <c r="E815">
        <v>84.14</v>
      </c>
      <c r="F815" t="s">
        <v>88</v>
      </c>
      <c r="G815" s="19">
        <v>45558</v>
      </c>
      <c r="H815" t="s">
        <v>94</v>
      </c>
      <c r="I815" t="s">
        <v>4427</v>
      </c>
      <c r="J815" t="s">
        <v>4429</v>
      </c>
      <c r="O815" t="s">
        <v>2934</v>
      </c>
      <c r="Q815" s="3">
        <f t="shared" si="51"/>
        <v>84.14</v>
      </c>
      <c r="R815" s="69" t="s">
        <v>5326</v>
      </c>
      <c r="S815" s="69" t="s">
        <v>5327</v>
      </c>
      <c r="V815" s="3" t="str">
        <f t="shared" si="52"/>
        <v/>
      </c>
    </row>
    <row r="816" spans="1:22" x14ac:dyDescent="0.35">
      <c r="A816" t="s">
        <v>35</v>
      </c>
      <c r="B816" t="s">
        <v>1566</v>
      </c>
      <c r="C816" t="s">
        <v>16</v>
      </c>
      <c r="D816" t="s">
        <v>17</v>
      </c>
      <c r="E816">
        <v>84.05</v>
      </c>
      <c r="F816" t="s">
        <v>88</v>
      </c>
      <c r="G816" s="19">
        <v>45539</v>
      </c>
      <c r="H816" t="s">
        <v>94</v>
      </c>
      <c r="I816" t="s">
        <v>4230</v>
      </c>
      <c r="J816" t="s">
        <v>4235</v>
      </c>
      <c r="O816" t="s">
        <v>4234</v>
      </c>
      <c r="Q816" s="3">
        <f t="shared" si="51"/>
        <v>84.05</v>
      </c>
      <c r="V816" s="3" t="str">
        <f t="shared" si="52"/>
        <v/>
      </c>
    </row>
    <row r="817" spans="1:22" x14ac:dyDescent="0.35">
      <c r="A817" t="s">
        <v>0</v>
      </c>
      <c r="B817" t="s">
        <v>1566</v>
      </c>
      <c r="C817" t="s">
        <v>16</v>
      </c>
      <c r="D817" t="s">
        <v>17</v>
      </c>
      <c r="E817">
        <v>83.42</v>
      </c>
      <c r="F817" t="s">
        <v>88</v>
      </c>
      <c r="G817" s="19">
        <v>45456</v>
      </c>
      <c r="H817" t="s">
        <v>89</v>
      </c>
      <c r="I817" t="s">
        <v>3584</v>
      </c>
      <c r="J817"/>
      <c r="K817" t="s">
        <v>3585</v>
      </c>
      <c r="L817" t="s">
        <v>3586</v>
      </c>
      <c r="M817" t="s">
        <v>100</v>
      </c>
      <c r="Q817" s="3">
        <f t="shared" si="51"/>
        <v>83.42</v>
      </c>
      <c r="V817" s="3" t="str">
        <f t="shared" si="52"/>
        <v/>
      </c>
    </row>
    <row r="818" spans="1:22" x14ac:dyDescent="0.35">
      <c r="A818" t="s">
        <v>35</v>
      </c>
      <c r="B818" t="s">
        <v>1566</v>
      </c>
      <c r="C818" t="s">
        <v>16</v>
      </c>
      <c r="D818" t="s">
        <v>17</v>
      </c>
      <c r="E818">
        <v>83.32</v>
      </c>
      <c r="F818" t="s">
        <v>88</v>
      </c>
      <c r="G818" s="19">
        <v>45453</v>
      </c>
      <c r="H818" t="s">
        <v>94</v>
      </c>
      <c r="I818" t="s">
        <v>242</v>
      </c>
      <c r="J818" t="s">
        <v>3495</v>
      </c>
      <c r="O818" t="s">
        <v>2943</v>
      </c>
      <c r="Q818" s="3">
        <f t="shared" si="51"/>
        <v>83.32</v>
      </c>
      <c r="V818" s="3" t="str">
        <f t="shared" si="52"/>
        <v/>
      </c>
    </row>
    <row r="819" spans="1:22" x14ac:dyDescent="0.35">
      <c r="A819" t="s">
        <v>0</v>
      </c>
      <c r="B819" t="s">
        <v>1566</v>
      </c>
      <c r="C819" t="s">
        <v>16</v>
      </c>
      <c r="D819" t="s">
        <v>17</v>
      </c>
      <c r="E819">
        <v>83.07</v>
      </c>
      <c r="F819" t="s">
        <v>88</v>
      </c>
      <c r="G819" s="19">
        <v>45436</v>
      </c>
      <c r="H819" t="s">
        <v>89</v>
      </c>
      <c r="I819" t="s">
        <v>3345</v>
      </c>
      <c r="J819"/>
      <c r="K819" t="s">
        <v>3346</v>
      </c>
      <c r="L819" t="s">
        <v>3347</v>
      </c>
      <c r="M819" t="s">
        <v>100</v>
      </c>
      <c r="Q819" s="3">
        <f t="shared" si="51"/>
        <v>83.07</v>
      </c>
      <c r="V819" s="3" t="str">
        <f t="shared" si="52"/>
        <v/>
      </c>
    </row>
    <row r="820" spans="1:22" x14ac:dyDescent="0.35">
      <c r="A820" t="s">
        <v>35</v>
      </c>
      <c r="B820" t="s">
        <v>1566</v>
      </c>
      <c r="C820" t="s">
        <v>16</v>
      </c>
      <c r="D820" t="s">
        <v>17</v>
      </c>
      <c r="E820">
        <v>82.12</v>
      </c>
      <c r="F820" t="s">
        <v>88</v>
      </c>
      <c r="G820" s="19">
        <v>45615</v>
      </c>
      <c r="H820" t="s">
        <v>94</v>
      </c>
      <c r="I820" t="s">
        <v>4962</v>
      </c>
      <c r="J820" t="s">
        <v>4965</v>
      </c>
      <c r="O820" t="s">
        <v>4964</v>
      </c>
      <c r="Q820" s="3">
        <f t="shared" si="51"/>
        <v>82.12</v>
      </c>
      <c r="V820" s="3" t="str">
        <f t="shared" si="52"/>
        <v/>
      </c>
    </row>
    <row r="821" spans="1:22" x14ac:dyDescent="0.35">
      <c r="A821" t="s">
        <v>35</v>
      </c>
      <c r="B821" t="s">
        <v>1566</v>
      </c>
      <c r="C821" t="s">
        <v>16</v>
      </c>
      <c r="D821" t="s">
        <v>17</v>
      </c>
      <c r="E821">
        <v>82.12</v>
      </c>
      <c r="F821" t="s">
        <v>88</v>
      </c>
      <c r="G821" s="19">
        <v>45615</v>
      </c>
      <c r="H821" t="s">
        <v>94</v>
      </c>
      <c r="I821" t="s">
        <v>4962</v>
      </c>
      <c r="J821" t="s">
        <v>4966</v>
      </c>
      <c r="O821" t="s">
        <v>4964</v>
      </c>
      <c r="Q821" s="3">
        <f t="shared" si="51"/>
        <v>82.12</v>
      </c>
      <c r="V821" s="3" t="str">
        <f t="shared" si="52"/>
        <v/>
      </c>
    </row>
    <row r="822" spans="1:22" x14ac:dyDescent="0.35">
      <c r="A822" t="s">
        <v>35</v>
      </c>
      <c r="B822" t="s">
        <v>1566</v>
      </c>
      <c r="C822" t="s">
        <v>16</v>
      </c>
      <c r="D822" t="s">
        <v>17</v>
      </c>
      <c r="E822">
        <v>82.11</v>
      </c>
      <c r="F822" t="s">
        <v>88</v>
      </c>
      <c r="G822" s="19">
        <v>45615</v>
      </c>
      <c r="H822" t="s">
        <v>94</v>
      </c>
      <c r="I822" t="s">
        <v>4962</v>
      </c>
      <c r="J822" t="s">
        <v>4963</v>
      </c>
      <c r="O822" t="s">
        <v>4964</v>
      </c>
      <c r="Q822" s="3">
        <f t="shared" si="51"/>
        <v>82.11</v>
      </c>
      <c r="V822" s="3" t="str">
        <f t="shared" si="52"/>
        <v/>
      </c>
    </row>
    <row r="823" spans="1:22" x14ac:dyDescent="0.35">
      <c r="A823" t="s">
        <v>35</v>
      </c>
      <c r="B823" t="s">
        <v>1106</v>
      </c>
      <c r="C823" t="s">
        <v>16</v>
      </c>
      <c r="D823" t="s">
        <v>17</v>
      </c>
      <c r="E823">
        <v>82.05</v>
      </c>
      <c r="F823" t="s">
        <v>88</v>
      </c>
      <c r="G823" s="19">
        <v>45448</v>
      </c>
      <c r="H823" t="s">
        <v>94</v>
      </c>
      <c r="I823" t="s">
        <v>388</v>
      </c>
      <c r="J823" t="s">
        <v>3445</v>
      </c>
      <c r="O823" t="s">
        <v>3446</v>
      </c>
      <c r="Q823" s="3">
        <f t="shared" si="51"/>
        <v>82.05</v>
      </c>
      <c r="V823" s="3" t="str">
        <f t="shared" si="52"/>
        <v/>
      </c>
    </row>
    <row r="824" spans="1:22" x14ac:dyDescent="0.35">
      <c r="A824" t="s">
        <v>35</v>
      </c>
      <c r="B824" t="s">
        <v>698</v>
      </c>
      <c r="C824" t="s">
        <v>16</v>
      </c>
      <c r="D824" t="s">
        <v>17</v>
      </c>
      <c r="E824">
        <v>81.88</v>
      </c>
      <c r="F824" t="s">
        <v>88</v>
      </c>
      <c r="G824" s="19">
        <v>45624</v>
      </c>
      <c r="H824" t="s">
        <v>94</v>
      </c>
      <c r="I824" t="s">
        <v>5028</v>
      </c>
      <c r="J824" t="s">
        <v>5029</v>
      </c>
      <c r="O824" t="s">
        <v>5030</v>
      </c>
      <c r="Q824" s="3">
        <f t="shared" si="51"/>
        <v>81.88</v>
      </c>
      <c r="S824" s="69" t="s">
        <v>53</v>
      </c>
      <c r="T824" t="s">
        <v>64</v>
      </c>
      <c r="U824" t="str">
        <f t="shared" ref="U824" si="55">B824</f>
        <v>AU030213</v>
      </c>
      <c r="V824" s="3">
        <f t="shared" si="52"/>
        <v>81.88</v>
      </c>
    </row>
    <row r="825" spans="1:22" x14ac:dyDescent="0.35">
      <c r="A825" t="s">
        <v>35</v>
      </c>
      <c r="B825" t="s">
        <v>2226</v>
      </c>
      <c r="C825" t="s">
        <v>16</v>
      </c>
      <c r="D825" t="s">
        <v>17</v>
      </c>
      <c r="E825">
        <v>81.819999999999993</v>
      </c>
      <c r="F825" t="s">
        <v>88</v>
      </c>
      <c r="G825" s="19">
        <v>45558</v>
      </c>
      <c r="H825" t="s">
        <v>94</v>
      </c>
      <c r="I825" t="s">
        <v>2227</v>
      </c>
      <c r="J825" t="s">
        <v>4417</v>
      </c>
      <c r="O825" t="s">
        <v>4085</v>
      </c>
      <c r="Q825" s="3">
        <f t="shared" si="51"/>
        <v>81.819999999999993</v>
      </c>
      <c r="V825" s="3" t="str">
        <f t="shared" si="52"/>
        <v/>
      </c>
    </row>
    <row r="826" spans="1:22" x14ac:dyDescent="0.35">
      <c r="A826" t="s">
        <v>35</v>
      </c>
      <c r="B826" t="s">
        <v>1566</v>
      </c>
      <c r="C826" t="s">
        <v>16</v>
      </c>
      <c r="D826" t="s">
        <v>17</v>
      </c>
      <c r="E826">
        <v>81.73</v>
      </c>
      <c r="F826" t="s">
        <v>88</v>
      </c>
      <c r="G826" s="19">
        <v>45518</v>
      </c>
      <c r="H826" t="s">
        <v>94</v>
      </c>
      <c r="I826" t="s">
        <v>204</v>
      </c>
      <c r="J826" t="s">
        <v>4029</v>
      </c>
      <c r="O826" t="s">
        <v>4030</v>
      </c>
      <c r="Q826" s="3">
        <f t="shared" si="51"/>
        <v>81.73</v>
      </c>
      <c r="V826" s="3" t="str">
        <f t="shared" si="52"/>
        <v/>
      </c>
    </row>
    <row r="827" spans="1:22" x14ac:dyDescent="0.35">
      <c r="A827" t="s">
        <v>0</v>
      </c>
      <c r="B827" t="s">
        <v>1566</v>
      </c>
      <c r="C827" t="s">
        <v>16</v>
      </c>
      <c r="D827" t="s">
        <v>17</v>
      </c>
      <c r="E827">
        <v>81.58</v>
      </c>
      <c r="F827" t="s">
        <v>88</v>
      </c>
      <c r="G827" s="19">
        <v>45478</v>
      </c>
      <c r="H827" t="s">
        <v>89</v>
      </c>
      <c r="I827" t="s">
        <v>3788</v>
      </c>
      <c r="J827"/>
      <c r="K827" t="s">
        <v>3789</v>
      </c>
      <c r="L827" t="s">
        <v>3790</v>
      </c>
      <c r="M827" t="s">
        <v>100</v>
      </c>
      <c r="Q827" s="3">
        <f t="shared" si="51"/>
        <v>81.58</v>
      </c>
      <c r="V827" s="3" t="str">
        <f t="shared" si="52"/>
        <v/>
      </c>
    </row>
    <row r="828" spans="1:22" x14ac:dyDescent="0.35">
      <c r="A828" t="s">
        <v>35</v>
      </c>
      <c r="B828" t="s">
        <v>2031</v>
      </c>
      <c r="C828" t="s">
        <v>16</v>
      </c>
      <c r="D828" t="s">
        <v>17</v>
      </c>
      <c r="E828">
        <v>80.55</v>
      </c>
      <c r="F828" t="s">
        <v>88</v>
      </c>
      <c r="G828" s="19">
        <v>45618</v>
      </c>
      <c r="H828" t="s">
        <v>94</v>
      </c>
      <c r="I828" t="s">
        <v>450</v>
      </c>
      <c r="J828" t="s">
        <v>4997</v>
      </c>
      <c r="O828" t="s">
        <v>2076</v>
      </c>
      <c r="Q828" s="3">
        <f t="shared" si="51"/>
        <v>80.55</v>
      </c>
      <c r="V828" s="3" t="str">
        <f t="shared" si="52"/>
        <v/>
      </c>
    </row>
    <row r="829" spans="1:22" ht="87" x14ac:dyDescent="0.35">
      <c r="A829" t="s">
        <v>35</v>
      </c>
      <c r="B829" t="s">
        <v>2031</v>
      </c>
      <c r="C829" t="s">
        <v>16</v>
      </c>
      <c r="D829" t="s">
        <v>17</v>
      </c>
      <c r="E829">
        <v>79.55</v>
      </c>
      <c r="F829" t="s">
        <v>88</v>
      </c>
      <c r="G829" s="19">
        <v>45565</v>
      </c>
      <c r="H829" t="s">
        <v>94</v>
      </c>
      <c r="I829" t="s">
        <v>450</v>
      </c>
      <c r="J829" t="s">
        <v>4491</v>
      </c>
      <c r="O829" t="s">
        <v>540</v>
      </c>
      <c r="Q829" s="3">
        <f t="shared" si="51"/>
        <v>79.55</v>
      </c>
      <c r="R829" s="69" t="s">
        <v>5326</v>
      </c>
      <c r="S829" s="69" t="s">
        <v>5327</v>
      </c>
      <c r="V829" s="3" t="str">
        <f t="shared" si="52"/>
        <v/>
      </c>
    </row>
    <row r="830" spans="1:22" x14ac:dyDescent="0.35">
      <c r="A830" t="s">
        <v>0</v>
      </c>
      <c r="B830" t="s">
        <v>1566</v>
      </c>
      <c r="C830" t="s">
        <v>16</v>
      </c>
      <c r="D830" t="s">
        <v>17</v>
      </c>
      <c r="E830">
        <v>79.28</v>
      </c>
      <c r="F830" t="s">
        <v>88</v>
      </c>
      <c r="G830" s="19">
        <v>45574</v>
      </c>
      <c r="H830" t="s">
        <v>89</v>
      </c>
      <c r="I830" t="s">
        <v>4598</v>
      </c>
      <c r="J830"/>
      <c r="K830" t="s">
        <v>4599</v>
      </c>
      <c r="L830" t="s">
        <v>4600</v>
      </c>
      <c r="M830" t="s">
        <v>100</v>
      </c>
      <c r="Q830" s="3">
        <f t="shared" si="51"/>
        <v>79.28</v>
      </c>
      <c r="V830" s="3" t="str">
        <f t="shared" si="52"/>
        <v/>
      </c>
    </row>
    <row r="831" spans="1:22" ht="87" x14ac:dyDescent="0.35">
      <c r="A831" t="s">
        <v>35</v>
      </c>
      <c r="B831" t="s">
        <v>2031</v>
      </c>
      <c r="C831" t="s">
        <v>16</v>
      </c>
      <c r="D831" t="s">
        <v>17</v>
      </c>
      <c r="E831">
        <v>79.180000000000007</v>
      </c>
      <c r="F831" t="s">
        <v>88</v>
      </c>
      <c r="G831" s="19">
        <v>45523</v>
      </c>
      <c r="H831" t="s">
        <v>94</v>
      </c>
      <c r="I831" t="s">
        <v>450</v>
      </c>
      <c r="J831" t="s">
        <v>4065</v>
      </c>
      <c r="O831" t="s">
        <v>2076</v>
      </c>
      <c r="Q831" s="3">
        <f t="shared" si="51"/>
        <v>79.180000000000007</v>
      </c>
      <c r="R831" s="69" t="s">
        <v>5326</v>
      </c>
      <c r="S831" s="69" t="s">
        <v>5327</v>
      </c>
      <c r="V831" s="3" t="str">
        <f t="shared" si="52"/>
        <v/>
      </c>
    </row>
    <row r="832" spans="1:22" x14ac:dyDescent="0.35">
      <c r="A832" t="s">
        <v>35</v>
      </c>
      <c r="B832" t="s">
        <v>1566</v>
      </c>
      <c r="C832" t="s">
        <v>16</v>
      </c>
      <c r="D832" t="s">
        <v>17</v>
      </c>
      <c r="E832">
        <v>79.05</v>
      </c>
      <c r="F832" t="s">
        <v>88</v>
      </c>
      <c r="G832" s="19">
        <v>45615</v>
      </c>
      <c r="H832" t="s">
        <v>94</v>
      </c>
      <c r="I832" t="s">
        <v>4956</v>
      </c>
      <c r="J832" t="s">
        <v>4957</v>
      </c>
      <c r="O832" t="s">
        <v>4958</v>
      </c>
      <c r="Q832" s="3">
        <f t="shared" si="51"/>
        <v>79.05</v>
      </c>
      <c r="V832" s="3" t="str">
        <f t="shared" si="52"/>
        <v/>
      </c>
    </row>
    <row r="833" spans="1:22" x14ac:dyDescent="0.35">
      <c r="A833" t="s">
        <v>35</v>
      </c>
      <c r="B833" t="s">
        <v>825</v>
      </c>
      <c r="C833" t="s">
        <v>16</v>
      </c>
      <c r="D833" t="s">
        <v>17</v>
      </c>
      <c r="E833">
        <v>77.64</v>
      </c>
      <c r="F833" t="s">
        <v>88</v>
      </c>
      <c r="G833" s="19">
        <v>45551</v>
      </c>
      <c r="H833" t="s">
        <v>94</v>
      </c>
      <c r="I833" t="s">
        <v>448</v>
      </c>
      <c r="J833" t="s">
        <v>4379</v>
      </c>
      <c r="O833" t="s">
        <v>564</v>
      </c>
      <c r="Q833" s="3">
        <f t="shared" si="51"/>
        <v>77.64</v>
      </c>
      <c r="V833" s="3" t="str">
        <f t="shared" si="52"/>
        <v/>
      </c>
    </row>
    <row r="834" spans="1:22" x14ac:dyDescent="0.35">
      <c r="A834" t="s">
        <v>35</v>
      </c>
      <c r="B834" t="s">
        <v>838</v>
      </c>
      <c r="C834" t="s">
        <v>16</v>
      </c>
      <c r="D834" t="s">
        <v>17</v>
      </c>
      <c r="E834">
        <v>77.27</v>
      </c>
      <c r="F834" t="s">
        <v>88</v>
      </c>
      <c r="G834" s="19">
        <v>45509</v>
      </c>
      <c r="H834" t="s">
        <v>94</v>
      </c>
      <c r="I834" t="s">
        <v>116</v>
      </c>
      <c r="J834" t="s">
        <v>3950</v>
      </c>
      <c r="O834" t="s">
        <v>3951</v>
      </c>
      <c r="Q834" s="3">
        <f t="shared" si="51"/>
        <v>77.27</v>
      </c>
      <c r="V834" s="3" t="str">
        <f t="shared" si="52"/>
        <v/>
      </c>
    </row>
    <row r="835" spans="1:22" x14ac:dyDescent="0.35">
      <c r="A835" t="s">
        <v>35</v>
      </c>
      <c r="B835" t="s">
        <v>633</v>
      </c>
      <c r="C835" t="s">
        <v>16</v>
      </c>
      <c r="D835" t="s">
        <v>17</v>
      </c>
      <c r="E835">
        <v>77.27</v>
      </c>
      <c r="F835" t="s">
        <v>88</v>
      </c>
      <c r="G835" s="19">
        <v>45524</v>
      </c>
      <c r="H835" t="s">
        <v>94</v>
      </c>
      <c r="I835" t="s">
        <v>3816</v>
      </c>
      <c r="J835" t="s">
        <v>4082</v>
      </c>
      <c r="O835" t="s">
        <v>4083</v>
      </c>
      <c r="Q835" s="3">
        <f t="shared" si="51"/>
        <v>77.27</v>
      </c>
      <c r="S835" s="69" t="s">
        <v>53</v>
      </c>
      <c r="T835" t="s">
        <v>64</v>
      </c>
      <c r="U835" t="str">
        <f t="shared" ref="U835" si="56">B835</f>
        <v>AU030510</v>
      </c>
      <c r="V835" s="3">
        <f t="shared" ref="V835" si="57">IF(T835="Y",E835,"")</f>
        <v>77.27</v>
      </c>
    </row>
    <row r="836" spans="1:22" x14ac:dyDescent="0.35">
      <c r="A836" t="s">
        <v>35</v>
      </c>
      <c r="B836" t="s">
        <v>2031</v>
      </c>
      <c r="C836" t="s">
        <v>16</v>
      </c>
      <c r="D836" t="s">
        <v>17</v>
      </c>
      <c r="E836">
        <v>77.27</v>
      </c>
      <c r="F836" t="s">
        <v>88</v>
      </c>
      <c r="G836" s="19">
        <v>45565</v>
      </c>
      <c r="H836" t="s">
        <v>94</v>
      </c>
      <c r="I836" t="s">
        <v>3706</v>
      </c>
      <c r="J836" t="s">
        <v>4479</v>
      </c>
      <c r="O836" t="s">
        <v>4480</v>
      </c>
      <c r="Q836" s="3">
        <f t="shared" si="51"/>
        <v>77.27</v>
      </c>
      <c r="V836" s="3" t="str">
        <f t="shared" si="52"/>
        <v/>
      </c>
    </row>
    <row r="837" spans="1:22" x14ac:dyDescent="0.35">
      <c r="A837" t="s">
        <v>0</v>
      </c>
      <c r="B837" t="s">
        <v>1566</v>
      </c>
      <c r="C837" t="s">
        <v>16</v>
      </c>
      <c r="D837" t="s">
        <v>17</v>
      </c>
      <c r="E837">
        <v>76.7</v>
      </c>
      <c r="F837" t="s">
        <v>88</v>
      </c>
      <c r="G837" s="19">
        <v>45386</v>
      </c>
      <c r="H837" t="s">
        <v>89</v>
      </c>
      <c r="I837" t="s">
        <v>2810</v>
      </c>
      <c r="J837"/>
      <c r="K837" t="s">
        <v>2811</v>
      </c>
      <c r="L837" t="s">
        <v>2812</v>
      </c>
      <c r="M837" t="s">
        <v>100</v>
      </c>
      <c r="Q837" s="3">
        <f t="shared" si="51"/>
        <v>76.7</v>
      </c>
      <c r="V837" s="3" t="str">
        <f t="shared" si="52"/>
        <v/>
      </c>
    </row>
    <row r="838" spans="1:22" x14ac:dyDescent="0.35">
      <c r="A838" t="s">
        <v>0</v>
      </c>
      <c r="B838" t="s">
        <v>1566</v>
      </c>
      <c r="C838" t="s">
        <v>16</v>
      </c>
      <c r="D838" t="s">
        <v>17</v>
      </c>
      <c r="E838">
        <v>76.7</v>
      </c>
      <c r="F838" t="s">
        <v>88</v>
      </c>
      <c r="G838" s="19">
        <v>45386</v>
      </c>
      <c r="H838" t="s">
        <v>89</v>
      </c>
      <c r="I838" t="s">
        <v>2813</v>
      </c>
      <c r="J838"/>
      <c r="K838" t="s">
        <v>2814</v>
      </c>
      <c r="L838" t="s">
        <v>2815</v>
      </c>
      <c r="M838" t="s">
        <v>100</v>
      </c>
      <c r="Q838" s="3">
        <f t="shared" si="51"/>
        <v>76.7</v>
      </c>
      <c r="V838" s="3" t="str">
        <f t="shared" si="52"/>
        <v/>
      </c>
    </row>
    <row r="839" spans="1:22" x14ac:dyDescent="0.35">
      <c r="A839" t="s">
        <v>0</v>
      </c>
      <c r="B839" t="s">
        <v>1566</v>
      </c>
      <c r="C839" t="s">
        <v>16</v>
      </c>
      <c r="D839" t="s">
        <v>17</v>
      </c>
      <c r="E839">
        <v>75.239999999999995</v>
      </c>
      <c r="F839" t="s">
        <v>88</v>
      </c>
      <c r="G839" s="19">
        <v>45541</v>
      </c>
      <c r="H839" t="s">
        <v>89</v>
      </c>
      <c r="I839" t="s">
        <v>4246</v>
      </c>
      <c r="J839"/>
      <c r="K839" t="s">
        <v>4247</v>
      </c>
      <c r="L839" t="s">
        <v>4248</v>
      </c>
      <c r="M839" t="s">
        <v>100</v>
      </c>
      <c r="Q839" s="3">
        <f t="shared" si="51"/>
        <v>75.239999999999995</v>
      </c>
      <c r="V839" s="3" t="str">
        <f t="shared" si="52"/>
        <v/>
      </c>
    </row>
    <row r="840" spans="1:22" x14ac:dyDescent="0.35">
      <c r="A840" t="s">
        <v>35</v>
      </c>
      <c r="B840" t="s">
        <v>1566</v>
      </c>
      <c r="C840" t="s">
        <v>16</v>
      </c>
      <c r="D840" t="s">
        <v>17</v>
      </c>
      <c r="E840">
        <v>74.650000000000006</v>
      </c>
      <c r="F840" t="s">
        <v>88</v>
      </c>
      <c r="G840" s="19">
        <v>45392</v>
      </c>
      <c r="H840" t="s">
        <v>94</v>
      </c>
      <c r="I840" t="s">
        <v>2935</v>
      </c>
      <c r="J840" t="s">
        <v>2936</v>
      </c>
      <c r="O840" t="s">
        <v>2937</v>
      </c>
      <c r="Q840" s="3">
        <f t="shared" ref="Q840:Q903" si="58">ABS(E840)</f>
        <v>74.650000000000006</v>
      </c>
      <c r="V840" s="3" t="str">
        <f t="shared" si="52"/>
        <v/>
      </c>
    </row>
    <row r="841" spans="1:22" ht="87" x14ac:dyDescent="0.35">
      <c r="A841" t="s">
        <v>35</v>
      </c>
      <c r="B841" t="s">
        <v>1566</v>
      </c>
      <c r="C841" t="s">
        <v>16</v>
      </c>
      <c r="D841" t="s">
        <v>17</v>
      </c>
      <c r="E841">
        <v>74.55</v>
      </c>
      <c r="F841" t="s">
        <v>88</v>
      </c>
      <c r="G841" s="19">
        <v>45455</v>
      </c>
      <c r="H841" t="s">
        <v>94</v>
      </c>
      <c r="I841" t="s">
        <v>2949</v>
      </c>
      <c r="J841" t="s">
        <v>3567</v>
      </c>
      <c r="O841" t="s">
        <v>3568</v>
      </c>
      <c r="Q841" s="3">
        <f t="shared" si="58"/>
        <v>74.55</v>
      </c>
      <c r="R841" s="69" t="s">
        <v>5326</v>
      </c>
      <c r="S841" s="69" t="s">
        <v>5327</v>
      </c>
      <c r="V841" s="3" t="str">
        <f t="shared" ref="V841:V904" si="59">IF(T841="Y",E841,"")</f>
        <v/>
      </c>
    </row>
    <row r="842" spans="1:22" x14ac:dyDescent="0.35">
      <c r="A842" t="s">
        <v>35</v>
      </c>
      <c r="B842" t="s">
        <v>915</v>
      </c>
      <c r="C842" t="s">
        <v>16</v>
      </c>
      <c r="D842" t="s">
        <v>17</v>
      </c>
      <c r="E842">
        <v>73.38</v>
      </c>
      <c r="F842" t="s">
        <v>88</v>
      </c>
      <c r="G842" s="19">
        <v>45450</v>
      </c>
      <c r="H842" t="s">
        <v>94</v>
      </c>
      <c r="I842" t="s">
        <v>3463</v>
      </c>
      <c r="J842" t="s">
        <v>3464</v>
      </c>
      <c r="O842" t="s">
        <v>3465</v>
      </c>
      <c r="Q842" s="3">
        <f t="shared" si="58"/>
        <v>73.38</v>
      </c>
      <c r="V842" s="3" t="str">
        <f t="shared" si="59"/>
        <v/>
      </c>
    </row>
    <row r="843" spans="1:22" x14ac:dyDescent="0.35">
      <c r="A843" t="s">
        <v>0</v>
      </c>
      <c r="B843" t="s">
        <v>1566</v>
      </c>
      <c r="C843" t="s">
        <v>16</v>
      </c>
      <c r="D843" t="s">
        <v>17</v>
      </c>
      <c r="E843">
        <v>73.3</v>
      </c>
      <c r="F843" t="s">
        <v>88</v>
      </c>
      <c r="G843" s="19">
        <v>45478</v>
      </c>
      <c r="H843" t="s">
        <v>89</v>
      </c>
      <c r="I843" t="s">
        <v>3785</v>
      </c>
      <c r="J843"/>
      <c r="K843" t="s">
        <v>3786</v>
      </c>
      <c r="L843" t="s">
        <v>3787</v>
      </c>
      <c r="M843" t="s">
        <v>100</v>
      </c>
      <c r="Q843" s="3">
        <f t="shared" si="58"/>
        <v>73.3</v>
      </c>
      <c r="V843" s="3" t="str">
        <f t="shared" si="59"/>
        <v/>
      </c>
    </row>
    <row r="844" spans="1:22" x14ac:dyDescent="0.35">
      <c r="A844" t="s">
        <v>35</v>
      </c>
      <c r="B844" t="s">
        <v>915</v>
      </c>
      <c r="C844" t="s">
        <v>16</v>
      </c>
      <c r="D844" t="s">
        <v>17</v>
      </c>
      <c r="E844">
        <v>72.61</v>
      </c>
      <c r="F844" t="s">
        <v>88</v>
      </c>
      <c r="G844" s="19">
        <v>45454</v>
      </c>
      <c r="H844" t="s">
        <v>94</v>
      </c>
      <c r="I844" t="s">
        <v>3335</v>
      </c>
      <c r="J844" t="s">
        <v>3559</v>
      </c>
      <c r="O844" t="s">
        <v>3337</v>
      </c>
      <c r="Q844" s="3">
        <f t="shared" si="58"/>
        <v>72.61</v>
      </c>
      <c r="V844" s="3" t="str">
        <f t="shared" si="59"/>
        <v/>
      </c>
    </row>
    <row r="845" spans="1:22" x14ac:dyDescent="0.35">
      <c r="A845" t="s">
        <v>35</v>
      </c>
      <c r="B845" t="s">
        <v>1566</v>
      </c>
      <c r="C845" t="s">
        <v>16</v>
      </c>
      <c r="D845" t="s">
        <v>17</v>
      </c>
      <c r="E845">
        <v>71.819999999999993</v>
      </c>
      <c r="F845" t="s">
        <v>88</v>
      </c>
      <c r="G845" s="19">
        <v>45502</v>
      </c>
      <c r="H845" t="s">
        <v>94</v>
      </c>
      <c r="I845" t="s">
        <v>384</v>
      </c>
      <c r="J845" t="s">
        <v>3883</v>
      </c>
      <c r="O845" t="s">
        <v>3884</v>
      </c>
      <c r="Q845" s="3">
        <f t="shared" si="58"/>
        <v>71.819999999999993</v>
      </c>
      <c r="V845" s="3" t="str">
        <f t="shared" si="59"/>
        <v/>
      </c>
    </row>
    <row r="846" spans="1:22" x14ac:dyDescent="0.35">
      <c r="A846" t="s">
        <v>35</v>
      </c>
      <c r="B846" t="s">
        <v>915</v>
      </c>
      <c r="C846" t="s">
        <v>16</v>
      </c>
      <c r="D846" t="s">
        <v>17</v>
      </c>
      <c r="E846">
        <v>71.819999999999993</v>
      </c>
      <c r="F846" t="s">
        <v>88</v>
      </c>
      <c r="G846" s="19">
        <v>45519</v>
      </c>
      <c r="H846" t="s">
        <v>94</v>
      </c>
      <c r="I846" t="s">
        <v>216</v>
      </c>
      <c r="J846" t="s">
        <v>782</v>
      </c>
      <c r="O846" t="s">
        <v>4038</v>
      </c>
      <c r="Q846" s="3">
        <f t="shared" si="58"/>
        <v>71.819999999999993</v>
      </c>
      <c r="V846" s="3" t="str">
        <f t="shared" si="59"/>
        <v/>
      </c>
    </row>
    <row r="847" spans="1:22" ht="87" x14ac:dyDescent="0.35">
      <c r="A847" t="s">
        <v>35</v>
      </c>
      <c r="B847" t="s">
        <v>698</v>
      </c>
      <c r="C847" t="s">
        <v>16</v>
      </c>
      <c r="D847" t="s">
        <v>17</v>
      </c>
      <c r="E847">
        <v>70</v>
      </c>
      <c r="F847" t="s">
        <v>88</v>
      </c>
      <c r="G847" s="19">
        <v>45586</v>
      </c>
      <c r="H847" t="s">
        <v>94</v>
      </c>
      <c r="I847" t="s">
        <v>2957</v>
      </c>
      <c r="J847" t="s">
        <v>4711</v>
      </c>
      <c r="O847" t="s">
        <v>4712</v>
      </c>
      <c r="Q847" s="3">
        <f t="shared" si="58"/>
        <v>70</v>
      </c>
      <c r="R847" s="69" t="s">
        <v>5326</v>
      </c>
      <c r="S847" s="69" t="s">
        <v>5327</v>
      </c>
      <c r="V847" s="3" t="str">
        <f t="shared" si="59"/>
        <v/>
      </c>
    </row>
    <row r="848" spans="1:22" x14ac:dyDescent="0.35">
      <c r="A848" t="s">
        <v>35</v>
      </c>
      <c r="B848" t="s">
        <v>1566</v>
      </c>
      <c r="C848" t="s">
        <v>16</v>
      </c>
      <c r="D848" t="s">
        <v>17</v>
      </c>
      <c r="E848">
        <v>69.77</v>
      </c>
      <c r="F848" t="s">
        <v>88</v>
      </c>
      <c r="G848" s="19">
        <v>45638</v>
      </c>
      <c r="H848" t="s">
        <v>94</v>
      </c>
      <c r="I848" t="s">
        <v>5036</v>
      </c>
      <c r="J848" t="s">
        <v>5274</v>
      </c>
      <c r="O848" t="s">
        <v>5275</v>
      </c>
      <c r="Q848" s="3">
        <f t="shared" si="58"/>
        <v>69.77</v>
      </c>
      <c r="V848" s="3" t="str">
        <f t="shared" si="59"/>
        <v/>
      </c>
    </row>
    <row r="849" spans="1:22" x14ac:dyDescent="0.35">
      <c r="A849" t="s">
        <v>35</v>
      </c>
      <c r="B849" t="s">
        <v>1566</v>
      </c>
      <c r="C849" t="s">
        <v>16</v>
      </c>
      <c r="D849" t="s">
        <v>17</v>
      </c>
      <c r="E849">
        <v>69.08</v>
      </c>
      <c r="F849" t="s">
        <v>88</v>
      </c>
      <c r="G849" s="19">
        <v>45618</v>
      </c>
      <c r="H849" t="s">
        <v>94</v>
      </c>
      <c r="I849" t="s">
        <v>4435</v>
      </c>
      <c r="J849" t="s">
        <v>5014</v>
      </c>
      <c r="O849" t="s">
        <v>5015</v>
      </c>
      <c r="Q849" s="3">
        <f t="shared" si="58"/>
        <v>69.08</v>
      </c>
      <c r="V849" s="3" t="str">
        <f t="shared" si="59"/>
        <v/>
      </c>
    </row>
    <row r="850" spans="1:22" x14ac:dyDescent="0.35">
      <c r="A850" t="s">
        <v>35</v>
      </c>
      <c r="B850" t="s">
        <v>2031</v>
      </c>
      <c r="C850" t="s">
        <v>16</v>
      </c>
      <c r="D850" t="s">
        <v>17</v>
      </c>
      <c r="E850">
        <v>69.05</v>
      </c>
      <c r="F850" t="s">
        <v>88</v>
      </c>
      <c r="G850" s="19">
        <v>45632</v>
      </c>
      <c r="H850" t="s">
        <v>94</v>
      </c>
      <c r="I850" t="s">
        <v>215</v>
      </c>
      <c r="J850" t="s">
        <v>5150</v>
      </c>
      <c r="O850" t="s">
        <v>3015</v>
      </c>
      <c r="Q850" s="3">
        <f t="shared" si="58"/>
        <v>69.05</v>
      </c>
      <c r="V850" s="3" t="str">
        <f t="shared" si="59"/>
        <v/>
      </c>
    </row>
    <row r="851" spans="1:22" x14ac:dyDescent="0.35">
      <c r="A851" t="s">
        <v>35</v>
      </c>
      <c r="B851" t="s">
        <v>1566</v>
      </c>
      <c r="C851" t="s">
        <v>16</v>
      </c>
      <c r="D851" t="s">
        <v>17</v>
      </c>
      <c r="E851">
        <v>68.59</v>
      </c>
      <c r="F851" t="s">
        <v>88</v>
      </c>
      <c r="G851" s="19">
        <v>45545</v>
      </c>
      <c r="H851" t="s">
        <v>94</v>
      </c>
      <c r="I851" t="s">
        <v>4333</v>
      </c>
      <c r="J851" t="s">
        <v>4334</v>
      </c>
      <c r="O851" t="s">
        <v>4335</v>
      </c>
      <c r="Q851" s="3">
        <f t="shared" si="58"/>
        <v>68.59</v>
      </c>
      <c r="V851" s="3" t="str">
        <f t="shared" si="59"/>
        <v/>
      </c>
    </row>
    <row r="852" spans="1:22" x14ac:dyDescent="0.35">
      <c r="A852" t="s">
        <v>35</v>
      </c>
      <c r="B852" t="s">
        <v>698</v>
      </c>
      <c r="C852" t="s">
        <v>16</v>
      </c>
      <c r="D852" t="s">
        <v>17</v>
      </c>
      <c r="E852">
        <v>68.180000000000007</v>
      </c>
      <c r="F852" t="s">
        <v>88</v>
      </c>
      <c r="G852" s="19">
        <v>45586</v>
      </c>
      <c r="H852" t="s">
        <v>94</v>
      </c>
      <c r="I852" t="s">
        <v>4697</v>
      </c>
      <c r="J852" t="s">
        <v>4698</v>
      </c>
      <c r="O852" t="s">
        <v>4699</v>
      </c>
      <c r="Q852" s="3">
        <f t="shared" si="58"/>
        <v>68.180000000000007</v>
      </c>
      <c r="V852" s="3" t="str">
        <f t="shared" si="59"/>
        <v/>
      </c>
    </row>
    <row r="853" spans="1:22" x14ac:dyDescent="0.35">
      <c r="A853" t="s">
        <v>0</v>
      </c>
      <c r="B853" t="s">
        <v>1566</v>
      </c>
      <c r="C853" t="s">
        <v>16</v>
      </c>
      <c r="D853" t="s">
        <v>17</v>
      </c>
      <c r="E853">
        <v>66.510000000000005</v>
      </c>
      <c r="F853" t="s">
        <v>88</v>
      </c>
      <c r="G853" s="19">
        <v>45436</v>
      </c>
      <c r="H853" t="s">
        <v>89</v>
      </c>
      <c r="I853" t="s">
        <v>3342</v>
      </c>
      <c r="J853"/>
      <c r="K853" t="s">
        <v>3343</v>
      </c>
      <c r="L853" t="s">
        <v>3344</v>
      </c>
      <c r="M853" t="s">
        <v>100</v>
      </c>
      <c r="Q853" s="3">
        <f t="shared" si="58"/>
        <v>66.510000000000005</v>
      </c>
      <c r="S853" s="69" t="s">
        <v>53</v>
      </c>
      <c r="T853" t="s">
        <v>64</v>
      </c>
      <c r="U853" t="str">
        <f t="shared" ref="U853" si="60">B853</f>
        <v>AU032046</v>
      </c>
      <c r="V853" s="3">
        <f t="shared" si="59"/>
        <v>66.510000000000005</v>
      </c>
    </row>
    <row r="854" spans="1:22" x14ac:dyDescent="0.35">
      <c r="A854" t="s">
        <v>35</v>
      </c>
      <c r="B854" t="s">
        <v>2031</v>
      </c>
      <c r="C854" t="s">
        <v>16</v>
      </c>
      <c r="D854" t="s">
        <v>17</v>
      </c>
      <c r="E854">
        <v>65.91</v>
      </c>
      <c r="F854" t="s">
        <v>88</v>
      </c>
      <c r="G854" s="19">
        <v>45632</v>
      </c>
      <c r="H854" t="s">
        <v>94</v>
      </c>
      <c r="I854" t="s">
        <v>2319</v>
      </c>
      <c r="J854" t="s">
        <v>5151</v>
      </c>
      <c r="O854" t="s">
        <v>2070</v>
      </c>
      <c r="Q854" s="3">
        <f t="shared" si="58"/>
        <v>65.91</v>
      </c>
      <c r="S854" s="69" t="s">
        <v>53</v>
      </c>
      <c r="T854" t="s">
        <v>64</v>
      </c>
      <c r="U854" t="str">
        <f t="shared" ref="U854:U856" si="61">B854</f>
        <v>AU030512</v>
      </c>
      <c r="V854" s="3">
        <f t="shared" ref="V854:V856" si="62">IF(T854="Y",E854,"")</f>
        <v>65.91</v>
      </c>
    </row>
    <row r="855" spans="1:22" x14ac:dyDescent="0.35">
      <c r="A855" t="s">
        <v>35</v>
      </c>
      <c r="B855" t="s">
        <v>2031</v>
      </c>
      <c r="C855" t="s">
        <v>16</v>
      </c>
      <c r="D855" t="s">
        <v>17</v>
      </c>
      <c r="E855">
        <v>65.73</v>
      </c>
      <c r="F855" t="s">
        <v>88</v>
      </c>
      <c r="G855" s="19">
        <v>45632</v>
      </c>
      <c r="H855" t="s">
        <v>94</v>
      </c>
      <c r="I855" t="s">
        <v>497</v>
      </c>
      <c r="J855" t="s">
        <v>5152</v>
      </c>
      <c r="O855" t="s">
        <v>540</v>
      </c>
      <c r="Q855" s="3">
        <f t="shared" si="58"/>
        <v>65.73</v>
      </c>
      <c r="S855" s="69" t="s">
        <v>53</v>
      </c>
      <c r="T855" t="s">
        <v>64</v>
      </c>
      <c r="U855" t="str">
        <f t="shared" si="61"/>
        <v>AU030512</v>
      </c>
      <c r="V855" s="3">
        <f t="shared" si="62"/>
        <v>65.73</v>
      </c>
    </row>
    <row r="856" spans="1:22" x14ac:dyDescent="0.35">
      <c r="A856" t="s">
        <v>35</v>
      </c>
      <c r="B856" t="s">
        <v>1566</v>
      </c>
      <c r="C856" t="s">
        <v>16</v>
      </c>
      <c r="D856" t="s">
        <v>17</v>
      </c>
      <c r="E856">
        <v>64.819999999999993</v>
      </c>
      <c r="F856" t="s">
        <v>88</v>
      </c>
      <c r="G856" s="19">
        <v>45539</v>
      </c>
      <c r="H856" t="s">
        <v>94</v>
      </c>
      <c r="I856" t="s">
        <v>3552</v>
      </c>
      <c r="J856" t="s">
        <v>4240</v>
      </c>
      <c r="O856" t="s">
        <v>4241</v>
      </c>
      <c r="Q856" s="3">
        <f t="shared" si="58"/>
        <v>64.819999999999993</v>
      </c>
      <c r="S856" s="69" t="s">
        <v>53</v>
      </c>
      <c r="T856" t="s">
        <v>64</v>
      </c>
      <c r="U856" t="str">
        <f t="shared" si="61"/>
        <v>AU032046</v>
      </c>
      <c r="V856" s="3">
        <f t="shared" si="62"/>
        <v>64.819999999999993</v>
      </c>
    </row>
    <row r="857" spans="1:22" x14ac:dyDescent="0.35">
      <c r="A857" t="s">
        <v>0</v>
      </c>
      <c r="B857" t="s">
        <v>1543</v>
      </c>
      <c r="C857" t="s">
        <v>16</v>
      </c>
      <c r="D857" t="s">
        <v>17</v>
      </c>
      <c r="E857">
        <v>-64.790000000000006</v>
      </c>
      <c r="F857" t="s">
        <v>88</v>
      </c>
      <c r="G857" s="19">
        <v>45657</v>
      </c>
      <c r="H857" t="s">
        <v>181</v>
      </c>
      <c r="I857" t="s">
        <v>182</v>
      </c>
      <c r="J857"/>
      <c r="Q857" s="3">
        <f t="shared" si="58"/>
        <v>64.790000000000006</v>
      </c>
      <c r="V857" s="3" t="str">
        <f t="shared" si="59"/>
        <v/>
      </c>
    </row>
    <row r="858" spans="1:22" x14ac:dyDescent="0.35">
      <c r="A858" t="s">
        <v>35</v>
      </c>
      <c r="B858" t="s">
        <v>1566</v>
      </c>
      <c r="C858" t="s">
        <v>16</v>
      </c>
      <c r="D858" t="s">
        <v>17</v>
      </c>
      <c r="E858">
        <v>64.400000000000006</v>
      </c>
      <c r="F858" t="s">
        <v>88</v>
      </c>
      <c r="G858" s="19">
        <v>45629</v>
      </c>
      <c r="H858" t="s">
        <v>94</v>
      </c>
      <c r="I858" t="s">
        <v>5117</v>
      </c>
      <c r="J858" t="s">
        <v>5115</v>
      </c>
      <c r="O858" t="s">
        <v>5118</v>
      </c>
      <c r="Q858" s="3">
        <f t="shared" si="58"/>
        <v>64.400000000000006</v>
      </c>
      <c r="V858" s="3" t="str">
        <f t="shared" si="59"/>
        <v/>
      </c>
    </row>
    <row r="859" spans="1:22" x14ac:dyDescent="0.35">
      <c r="A859" t="s">
        <v>35</v>
      </c>
      <c r="B859" t="s">
        <v>1069</v>
      </c>
      <c r="C859" t="s">
        <v>16</v>
      </c>
      <c r="D859" t="s">
        <v>17</v>
      </c>
      <c r="E859">
        <v>63.64</v>
      </c>
      <c r="F859" t="s">
        <v>88</v>
      </c>
      <c r="G859" s="19">
        <v>45412</v>
      </c>
      <c r="H859" t="s">
        <v>94</v>
      </c>
      <c r="I859" t="s">
        <v>1014</v>
      </c>
      <c r="J859" t="s">
        <v>3119</v>
      </c>
      <c r="O859" t="s">
        <v>3120</v>
      </c>
      <c r="Q859" s="3">
        <f t="shared" si="58"/>
        <v>63.64</v>
      </c>
      <c r="V859" s="3" t="str">
        <f t="shared" si="59"/>
        <v/>
      </c>
    </row>
    <row r="860" spans="1:22" x14ac:dyDescent="0.35">
      <c r="A860" t="s">
        <v>35</v>
      </c>
      <c r="B860" t="s">
        <v>1566</v>
      </c>
      <c r="C860" t="s">
        <v>16</v>
      </c>
      <c r="D860" t="s">
        <v>17</v>
      </c>
      <c r="E860">
        <v>63.25</v>
      </c>
      <c r="F860" t="s">
        <v>88</v>
      </c>
      <c r="G860" s="19">
        <v>45526</v>
      </c>
      <c r="H860" t="s">
        <v>94</v>
      </c>
      <c r="I860" t="s">
        <v>210</v>
      </c>
      <c r="J860" t="s">
        <v>4096</v>
      </c>
      <c r="O860" t="s">
        <v>4097</v>
      </c>
      <c r="Q860" s="3">
        <f t="shared" si="58"/>
        <v>63.25</v>
      </c>
      <c r="V860" s="3" t="str">
        <f t="shared" si="59"/>
        <v/>
      </c>
    </row>
    <row r="861" spans="1:22" x14ac:dyDescent="0.35">
      <c r="A861" t="s">
        <v>35</v>
      </c>
      <c r="B861" t="s">
        <v>1543</v>
      </c>
      <c r="C861" t="s">
        <v>16</v>
      </c>
      <c r="D861" t="s">
        <v>17</v>
      </c>
      <c r="E861">
        <v>63.25</v>
      </c>
      <c r="F861" t="s">
        <v>88</v>
      </c>
      <c r="G861" s="19">
        <v>45616</v>
      </c>
      <c r="H861" t="s">
        <v>94</v>
      </c>
      <c r="I861" t="s">
        <v>210</v>
      </c>
      <c r="J861" t="s">
        <v>4976</v>
      </c>
      <c r="O861" t="s">
        <v>4097</v>
      </c>
      <c r="Q861" s="3">
        <f t="shared" si="58"/>
        <v>63.25</v>
      </c>
      <c r="V861" s="3" t="str">
        <f t="shared" si="59"/>
        <v/>
      </c>
    </row>
    <row r="862" spans="1:22" x14ac:dyDescent="0.35">
      <c r="A862" t="s">
        <v>35</v>
      </c>
      <c r="B862" t="s">
        <v>1566</v>
      </c>
      <c r="C862" t="s">
        <v>16</v>
      </c>
      <c r="D862" t="s">
        <v>17</v>
      </c>
      <c r="E862">
        <v>63.17</v>
      </c>
      <c r="F862" t="s">
        <v>88</v>
      </c>
      <c r="G862" s="19">
        <v>45393</v>
      </c>
      <c r="H862" t="s">
        <v>94</v>
      </c>
      <c r="I862" t="s">
        <v>2946</v>
      </c>
      <c r="J862" t="s">
        <v>2947</v>
      </c>
      <c r="O862" t="s">
        <v>2948</v>
      </c>
      <c r="Q862" s="3">
        <f t="shared" si="58"/>
        <v>63.17</v>
      </c>
      <c r="V862" s="3" t="str">
        <f t="shared" si="59"/>
        <v/>
      </c>
    </row>
    <row r="863" spans="1:22" x14ac:dyDescent="0.35">
      <c r="A863" t="s">
        <v>35</v>
      </c>
      <c r="B863" t="s">
        <v>825</v>
      </c>
      <c r="C863" t="s">
        <v>16</v>
      </c>
      <c r="D863" t="s">
        <v>17</v>
      </c>
      <c r="E863">
        <v>62.96</v>
      </c>
      <c r="F863" t="s">
        <v>88</v>
      </c>
      <c r="G863" s="19">
        <v>45551</v>
      </c>
      <c r="H863" t="s">
        <v>94</v>
      </c>
      <c r="I863" t="s">
        <v>234</v>
      </c>
      <c r="J863" t="s">
        <v>4379</v>
      </c>
      <c r="O863" t="s">
        <v>2664</v>
      </c>
      <c r="Q863" s="3">
        <f t="shared" si="58"/>
        <v>62.96</v>
      </c>
      <c r="V863" s="3" t="str">
        <f t="shared" si="59"/>
        <v/>
      </c>
    </row>
    <row r="864" spans="1:22" x14ac:dyDescent="0.35">
      <c r="A864" t="s">
        <v>35</v>
      </c>
      <c r="B864" t="s">
        <v>1566</v>
      </c>
      <c r="C864" t="s">
        <v>16</v>
      </c>
      <c r="D864" t="s">
        <v>17</v>
      </c>
      <c r="E864">
        <v>62.55</v>
      </c>
      <c r="F864" t="s">
        <v>88</v>
      </c>
      <c r="G864" s="19">
        <v>45539</v>
      </c>
      <c r="H864" t="s">
        <v>94</v>
      </c>
      <c r="I864" t="s">
        <v>232</v>
      </c>
      <c r="J864" t="s">
        <v>4215</v>
      </c>
      <c r="O864" t="s">
        <v>4216</v>
      </c>
      <c r="Q864" s="3">
        <f t="shared" si="58"/>
        <v>62.55</v>
      </c>
      <c r="V864" s="3" t="str">
        <f t="shared" si="59"/>
        <v/>
      </c>
    </row>
    <row r="865" spans="1:22" ht="87" x14ac:dyDescent="0.35">
      <c r="A865" t="s">
        <v>35</v>
      </c>
      <c r="B865" t="s">
        <v>1566</v>
      </c>
      <c r="C865" t="s">
        <v>16</v>
      </c>
      <c r="D865" t="s">
        <v>17</v>
      </c>
      <c r="E865">
        <v>60.91</v>
      </c>
      <c r="F865" t="s">
        <v>88</v>
      </c>
      <c r="G865" s="19">
        <v>45594</v>
      </c>
      <c r="H865" t="s">
        <v>94</v>
      </c>
      <c r="I865" t="s">
        <v>241</v>
      </c>
      <c r="J865" t="s">
        <v>4726</v>
      </c>
      <c r="O865" t="s">
        <v>4727</v>
      </c>
      <c r="Q865" s="3">
        <f t="shared" si="58"/>
        <v>60.91</v>
      </c>
      <c r="R865" s="69" t="s">
        <v>5326</v>
      </c>
      <c r="S865" s="69" t="s">
        <v>5327</v>
      </c>
      <c r="V865" s="3" t="str">
        <f t="shared" si="59"/>
        <v/>
      </c>
    </row>
    <row r="866" spans="1:22" x14ac:dyDescent="0.35">
      <c r="A866" t="s">
        <v>35</v>
      </c>
      <c r="B866" t="s">
        <v>2031</v>
      </c>
      <c r="C866" t="s">
        <v>16</v>
      </c>
      <c r="D866" t="s">
        <v>17</v>
      </c>
      <c r="E866">
        <v>60.91</v>
      </c>
      <c r="F866" t="s">
        <v>88</v>
      </c>
      <c r="G866" s="19">
        <v>45618</v>
      </c>
      <c r="H866" t="s">
        <v>94</v>
      </c>
      <c r="I866" t="s">
        <v>450</v>
      </c>
      <c r="J866" t="s">
        <v>4998</v>
      </c>
      <c r="O866" t="s">
        <v>4999</v>
      </c>
      <c r="Q866" s="3">
        <f t="shared" si="58"/>
        <v>60.91</v>
      </c>
      <c r="V866" s="3" t="str">
        <f t="shared" si="59"/>
        <v/>
      </c>
    </row>
    <row r="867" spans="1:22" x14ac:dyDescent="0.35">
      <c r="A867" t="s">
        <v>0</v>
      </c>
      <c r="B867" t="s">
        <v>1566</v>
      </c>
      <c r="C867" t="s">
        <v>16</v>
      </c>
      <c r="D867" t="s">
        <v>17</v>
      </c>
      <c r="E867">
        <v>60.72</v>
      </c>
      <c r="F867" t="s">
        <v>88</v>
      </c>
      <c r="G867" s="19">
        <v>45510</v>
      </c>
      <c r="H867" t="s">
        <v>89</v>
      </c>
      <c r="I867" t="s">
        <v>3955</v>
      </c>
      <c r="J867"/>
      <c r="K867" t="s">
        <v>3956</v>
      </c>
      <c r="L867" t="s">
        <v>3957</v>
      </c>
      <c r="M867" t="s">
        <v>100</v>
      </c>
      <c r="Q867" s="3">
        <f t="shared" si="58"/>
        <v>60.72</v>
      </c>
      <c r="V867" s="3" t="str">
        <f t="shared" si="59"/>
        <v/>
      </c>
    </row>
    <row r="868" spans="1:22" x14ac:dyDescent="0.35">
      <c r="A868" t="s">
        <v>35</v>
      </c>
      <c r="B868" t="s">
        <v>1566</v>
      </c>
      <c r="C868" t="s">
        <v>16</v>
      </c>
      <c r="D868" t="s">
        <v>17</v>
      </c>
      <c r="E868">
        <v>60.64</v>
      </c>
      <c r="F868" t="s">
        <v>88</v>
      </c>
      <c r="G868" s="19">
        <v>45629</v>
      </c>
      <c r="H868" t="s">
        <v>94</v>
      </c>
      <c r="I868" t="s">
        <v>504</v>
      </c>
      <c r="J868" t="s">
        <v>5122</v>
      </c>
      <c r="O868" t="s">
        <v>568</v>
      </c>
      <c r="Q868" s="3">
        <f t="shared" si="58"/>
        <v>60.64</v>
      </c>
      <c r="V868" s="3" t="str">
        <f t="shared" si="59"/>
        <v/>
      </c>
    </row>
    <row r="869" spans="1:22" x14ac:dyDescent="0.35">
      <c r="A869" t="s">
        <v>0</v>
      </c>
      <c r="B869" t="s">
        <v>1566</v>
      </c>
      <c r="C869" t="s">
        <v>16</v>
      </c>
      <c r="D869" t="s">
        <v>17</v>
      </c>
      <c r="E869">
        <v>60.37</v>
      </c>
      <c r="F869" t="s">
        <v>88</v>
      </c>
      <c r="G869" s="19">
        <v>45527</v>
      </c>
      <c r="H869" t="s">
        <v>89</v>
      </c>
      <c r="I869" t="s">
        <v>4101</v>
      </c>
      <c r="J869"/>
      <c r="K869" t="s">
        <v>4102</v>
      </c>
      <c r="L869" t="s">
        <v>4103</v>
      </c>
      <c r="M869" t="s">
        <v>159</v>
      </c>
      <c r="Q869" s="3">
        <f t="shared" si="58"/>
        <v>60.37</v>
      </c>
      <c r="V869" s="3" t="str">
        <f t="shared" si="59"/>
        <v/>
      </c>
    </row>
    <row r="870" spans="1:22" x14ac:dyDescent="0.35">
      <c r="A870" t="s">
        <v>0</v>
      </c>
      <c r="B870" t="s">
        <v>1566</v>
      </c>
      <c r="C870" t="s">
        <v>16</v>
      </c>
      <c r="D870" t="s">
        <v>17</v>
      </c>
      <c r="E870">
        <v>60</v>
      </c>
      <c r="F870" t="s">
        <v>88</v>
      </c>
      <c r="G870" s="19">
        <v>45428</v>
      </c>
      <c r="H870" t="s">
        <v>89</v>
      </c>
      <c r="I870" t="s">
        <v>3283</v>
      </c>
      <c r="J870"/>
      <c r="K870" t="s">
        <v>3284</v>
      </c>
      <c r="L870" t="s">
        <v>90</v>
      </c>
      <c r="M870" t="s">
        <v>3285</v>
      </c>
      <c r="Q870" s="3">
        <f t="shared" si="58"/>
        <v>60</v>
      </c>
      <c r="V870" s="3" t="str">
        <f t="shared" si="59"/>
        <v/>
      </c>
    </row>
    <row r="871" spans="1:22" x14ac:dyDescent="0.35">
      <c r="A871" t="s">
        <v>0</v>
      </c>
      <c r="B871" t="s">
        <v>1566</v>
      </c>
      <c r="C871" t="s">
        <v>16</v>
      </c>
      <c r="D871" t="s">
        <v>17</v>
      </c>
      <c r="E871">
        <v>-60</v>
      </c>
      <c r="F871" t="s">
        <v>88</v>
      </c>
      <c r="G871" s="19">
        <v>45442</v>
      </c>
      <c r="H871" t="s">
        <v>89</v>
      </c>
      <c r="I871" t="s">
        <v>3283</v>
      </c>
      <c r="J871"/>
      <c r="K871" t="s">
        <v>3284</v>
      </c>
      <c r="L871" t="s">
        <v>90</v>
      </c>
      <c r="M871" t="s">
        <v>3285</v>
      </c>
      <c r="Q871" s="3">
        <f t="shared" si="58"/>
        <v>60</v>
      </c>
      <c r="V871" s="3" t="str">
        <f t="shared" si="59"/>
        <v/>
      </c>
    </row>
    <row r="872" spans="1:22" x14ac:dyDescent="0.35">
      <c r="A872" t="s">
        <v>0</v>
      </c>
      <c r="B872" t="s">
        <v>1566</v>
      </c>
      <c r="C872" t="s">
        <v>16</v>
      </c>
      <c r="D872" t="s">
        <v>17</v>
      </c>
      <c r="E872">
        <v>60</v>
      </c>
      <c r="F872" t="s">
        <v>88</v>
      </c>
      <c r="G872" s="19">
        <v>45446</v>
      </c>
      <c r="H872" t="s">
        <v>89</v>
      </c>
      <c r="I872" t="s">
        <v>3283</v>
      </c>
      <c r="J872"/>
      <c r="K872" t="s">
        <v>3284</v>
      </c>
      <c r="L872" t="s">
        <v>90</v>
      </c>
      <c r="M872" t="s">
        <v>3285</v>
      </c>
      <c r="Q872" s="3">
        <f t="shared" si="58"/>
        <v>60</v>
      </c>
      <c r="V872" s="3" t="str">
        <f t="shared" si="59"/>
        <v/>
      </c>
    </row>
    <row r="873" spans="1:22" x14ac:dyDescent="0.35">
      <c r="A873" t="s">
        <v>35</v>
      </c>
      <c r="B873" t="s">
        <v>1566</v>
      </c>
      <c r="C873" t="s">
        <v>16</v>
      </c>
      <c r="D873" t="s">
        <v>17</v>
      </c>
      <c r="E873">
        <v>60</v>
      </c>
      <c r="F873" t="s">
        <v>88</v>
      </c>
      <c r="G873" s="19">
        <v>45595</v>
      </c>
      <c r="H873" t="s">
        <v>94</v>
      </c>
      <c r="I873" t="s">
        <v>241</v>
      </c>
      <c r="J873" t="s">
        <v>4736</v>
      </c>
      <c r="O873" t="s">
        <v>2648</v>
      </c>
      <c r="Q873" s="3">
        <f t="shared" si="58"/>
        <v>60</v>
      </c>
      <c r="V873" s="3" t="str">
        <f t="shared" si="59"/>
        <v/>
      </c>
    </row>
    <row r="874" spans="1:22" x14ac:dyDescent="0.35">
      <c r="A874" t="s">
        <v>0</v>
      </c>
      <c r="B874" t="s">
        <v>1543</v>
      </c>
      <c r="C874" t="s">
        <v>16</v>
      </c>
      <c r="D874" t="s">
        <v>17</v>
      </c>
      <c r="E874">
        <v>59.72</v>
      </c>
      <c r="F874" t="s">
        <v>88</v>
      </c>
      <c r="G874" s="19">
        <v>45656</v>
      </c>
      <c r="H874" t="s">
        <v>181</v>
      </c>
      <c r="I874" t="s">
        <v>182</v>
      </c>
      <c r="J874"/>
      <c r="Q874" s="3">
        <f t="shared" si="58"/>
        <v>59.72</v>
      </c>
      <c r="V874" s="3" t="str">
        <f t="shared" si="59"/>
        <v/>
      </c>
    </row>
    <row r="875" spans="1:22" ht="87" x14ac:dyDescent="0.35">
      <c r="A875" t="s">
        <v>35</v>
      </c>
      <c r="B875" t="s">
        <v>4583</v>
      </c>
      <c r="C875" t="s">
        <v>16</v>
      </c>
      <c r="D875" t="s">
        <v>17</v>
      </c>
      <c r="E875">
        <v>59.09</v>
      </c>
      <c r="F875" t="s">
        <v>88</v>
      </c>
      <c r="G875" s="19">
        <v>45572</v>
      </c>
      <c r="H875" t="s">
        <v>94</v>
      </c>
      <c r="I875" t="s">
        <v>4418</v>
      </c>
      <c r="J875" t="s">
        <v>4584</v>
      </c>
      <c r="O875" t="s">
        <v>4585</v>
      </c>
      <c r="Q875" s="3">
        <f t="shared" si="58"/>
        <v>59.09</v>
      </c>
      <c r="R875" s="69" t="s">
        <v>5326</v>
      </c>
      <c r="S875" s="69" t="s">
        <v>5327</v>
      </c>
      <c r="V875" s="3" t="str">
        <f t="shared" si="59"/>
        <v/>
      </c>
    </row>
    <row r="876" spans="1:22" x14ac:dyDescent="0.35">
      <c r="A876" t="s">
        <v>35</v>
      </c>
      <c r="B876" t="s">
        <v>2031</v>
      </c>
      <c r="C876" t="s">
        <v>16</v>
      </c>
      <c r="D876" t="s">
        <v>17</v>
      </c>
      <c r="E876">
        <v>59.08</v>
      </c>
      <c r="F876" t="s">
        <v>88</v>
      </c>
      <c r="G876" s="19">
        <v>45565</v>
      </c>
      <c r="H876" t="s">
        <v>94</v>
      </c>
      <c r="I876" t="s">
        <v>4481</v>
      </c>
      <c r="J876" t="s">
        <v>4484</v>
      </c>
      <c r="O876" t="s">
        <v>4485</v>
      </c>
      <c r="Q876" s="3">
        <f t="shared" si="58"/>
        <v>59.08</v>
      </c>
      <c r="V876" s="3" t="str">
        <f t="shared" si="59"/>
        <v/>
      </c>
    </row>
    <row r="877" spans="1:22" x14ac:dyDescent="0.35">
      <c r="A877" t="s">
        <v>35</v>
      </c>
      <c r="B877" t="s">
        <v>915</v>
      </c>
      <c r="C877" t="s">
        <v>16</v>
      </c>
      <c r="D877" t="s">
        <v>17</v>
      </c>
      <c r="E877">
        <v>58.09</v>
      </c>
      <c r="F877" t="s">
        <v>88</v>
      </c>
      <c r="G877" s="19">
        <v>45524</v>
      </c>
      <c r="H877" t="s">
        <v>94</v>
      </c>
      <c r="I877" t="s">
        <v>4075</v>
      </c>
      <c r="J877" t="s">
        <v>4076</v>
      </c>
      <c r="O877" t="s">
        <v>4077</v>
      </c>
      <c r="Q877" s="3">
        <f t="shared" si="58"/>
        <v>58.09</v>
      </c>
      <c r="V877" s="3" t="str">
        <f t="shared" si="59"/>
        <v/>
      </c>
    </row>
    <row r="878" spans="1:22" x14ac:dyDescent="0.35">
      <c r="A878" t="s">
        <v>35</v>
      </c>
      <c r="B878" t="s">
        <v>698</v>
      </c>
      <c r="C878" t="s">
        <v>16</v>
      </c>
      <c r="D878" t="s">
        <v>17</v>
      </c>
      <c r="E878">
        <v>57.72</v>
      </c>
      <c r="F878" t="s">
        <v>88</v>
      </c>
      <c r="G878" s="19">
        <v>45586</v>
      </c>
      <c r="H878" t="s">
        <v>94</v>
      </c>
      <c r="I878" t="s">
        <v>2954</v>
      </c>
      <c r="J878" t="s">
        <v>4700</v>
      </c>
      <c r="O878" t="s">
        <v>4708</v>
      </c>
      <c r="Q878" s="3">
        <f t="shared" si="58"/>
        <v>57.72</v>
      </c>
      <c r="V878" s="3" t="str">
        <f t="shared" si="59"/>
        <v/>
      </c>
    </row>
    <row r="879" spans="1:22" x14ac:dyDescent="0.35">
      <c r="A879" t="s">
        <v>35</v>
      </c>
      <c r="B879" t="s">
        <v>1566</v>
      </c>
      <c r="C879" t="s">
        <v>16</v>
      </c>
      <c r="D879" t="s">
        <v>17</v>
      </c>
      <c r="E879">
        <v>57.36</v>
      </c>
      <c r="F879" t="s">
        <v>88</v>
      </c>
      <c r="G879" s="19">
        <v>45562</v>
      </c>
      <c r="H879" t="s">
        <v>94</v>
      </c>
      <c r="I879" t="s">
        <v>4458</v>
      </c>
      <c r="J879" t="s">
        <v>1063</v>
      </c>
      <c r="O879" t="s">
        <v>4459</v>
      </c>
      <c r="Q879" s="3">
        <f t="shared" si="58"/>
        <v>57.36</v>
      </c>
      <c r="V879" s="3" t="str">
        <f t="shared" si="59"/>
        <v/>
      </c>
    </row>
    <row r="880" spans="1:22" x14ac:dyDescent="0.35">
      <c r="A880" t="s">
        <v>0</v>
      </c>
      <c r="B880" t="s">
        <v>1543</v>
      </c>
      <c r="C880" t="s">
        <v>16</v>
      </c>
      <c r="D880" t="s">
        <v>17</v>
      </c>
      <c r="E880">
        <v>57.35</v>
      </c>
      <c r="F880" t="s">
        <v>88</v>
      </c>
      <c r="G880" s="19">
        <v>45642</v>
      </c>
      <c r="H880" t="s">
        <v>181</v>
      </c>
      <c r="I880" t="s">
        <v>182</v>
      </c>
      <c r="J880"/>
      <c r="Q880" s="3">
        <f t="shared" si="58"/>
        <v>57.35</v>
      </c>
      <c r="V880" s="3" t="str">
        <f t="shared" si="59"/>
        <v/>
      </c>
    </row>
    <row r="881" spans="1:22" x14ac:dyDescent="0.35">
      <c r="A881" t="s">
        <v>35</v>
      </c>
      <c r="B881" t="s">
        <v>1566</v>
      </c>
      <c r="C881" t="s">
        <v>16</v>
      </c>
      <c r="D881" t="s">
        <v>17</v>
      </c>
      <c r="E881">
        <v>57.199999999999996</v>
      </c>
      <c r="F881" t="s">
        <v>88</v>
      </c>
      <c r="G881" s="19">
        <v>45453</v>
      </c>
      <c r="H881" t="s">
        <v>94</v>
      </c>
      <c r="I881" t="s">
        <v>204</v>
      </c>
      <c r="J881" t="s">
        <v>3491</v>
      </c>
      <c r="O881" t="s">
        <v>3492</v>
      </c>
      <c r="Q881" s="3">
        <f t="shared" si="58"/>
        <v>57.199999999999996</v>
      </c>
      <c r="V881" s="3" t="str">
        <f t="shared" si="59"/>
        <v/>
      </c>
    </row>
    <row r="882" spans="1:22" ht="87" x14ac:dyDescent="0.35">
      <c r="A882" t="s">
        <v>35</v>
      </c>
      <c r="B882" t="s">
        <v>2031</v>
      </c>
      <c r="C882" t="s">
        <v>16</v>
      </c>
      <c r="D882" t="s">
        <v>17</v>
      </c>
      <c r="E882">
        <v>56.45</v>
      </c>
      <c r="F882" t="s">
        <v>88</v>
      </c>
      <c r="G882" s="19">
        <v>45565</v>
      </c>
      <c r="H882" t="s">
        <v>94</v>
      </c>
      <c r="I882" t="s">
        <v>450</v>
      </c>
      <c r="J882" t="s">
        <v>4488</v>
      </c>
      <c r="O882" t="s">
        <v>2076</v>
      </c>
      <c r="Q882" s="3">
        <f t="shared" si="58"/>
        <v>56.45</v>
      </c>
      <c r="R882" s="69" t="s">
        <v>5326</v>
      </c>
      <c r="S882" s="69" t="s">
        <v>5327</v>
      </c>
      <c r="V882" s="3" t="str">
        <f t="shared" si="59"/>
        <v/>
      </c>
    </row>
    <row r="883" spans="1:22" x14ac:dyDescent="0.35">
      <c r="A883" t="s">
        <v>35</v>
      </c>
      <c r="B883" t="s">
        <v>909</v>
      </c>
      <c r="C883" t="s">
        <v>16</v>
      </c>
      <c r="D883" t="s">
        <v>17</v>
      </c>
      <c r="E883">
        <v>55.98</v>
      </c>
      <c r="F883" t="s">
        <v>88</v>
      </c>
      <c r="G883" s="19">
        <v>45406</v>
      </c>
      <c r="H883" t="s">
        <v>94</v>
      </c>
      <c r="I883" t="s">
        <v>3112</v>
      </c>
      <c r="J883" t="s">
        <v>3113</v>
      </c>
      <c r="O883" t="s">
        <v>3114</v>
      </c>
      <c r="Q883" s="3">
        <f t="shared" si="58"/>
        <v>55.98</v>
      </c>
      <c r="V883" s="3" t="str">
        <f t="shared" si="59"/>
        <v/>
      </c>
    </row>
    <row r="884" spans="1:22" x14ac:dyDescent="0.35">
      <c r="A884" t="s">
        <v>35</v>
      </c>
      <c r="B884" t="s">
        <v>1566</v>
      </c>
      <c r="C884" t="s">
        <v>16</v>
      </c>
      <c r="D884" t="s">
        <v>17</v>
      </c>
      <c r="E884">
        <v>55.5</v>
      </c>
      <c r="F884" t="s">
        <v>88</v>
      </c>
      <c r="G884" s="19">
        <v>45523</v>
      </c>
      <c r="H884" t="s">
        <v>94</v>
      </c>
      <c r="I884" t="s">
        <v>242</v>
      </c>
      <c r="J884" t="s">
        <v>4073</v>
      </c>
      <c r="O884" t="s">
        <v>4074</v>
      </c>
      <c r="Q884" s="3">
        <f t="shared" si="58"/>
        <v>55.5</v>
      </c>
      <c r="V884" s="3" t="str">
        <f t="shared" si="59"/>
        <v/>
      </c>
    </row>
    <row r="885" spans="1:22" x14ac:dyDescent="0.35">
      <c r="A885" t="s">
        <v>35</v>
      </c>
      <c r="B885" t="s">
        <v>2031</v>
      </c>
      <c r="C885" t="s">
        <v>16</v>
      </c>
      <c r="D885" t="s">
        <v>17</v>
      </c>
      <c r="E885">
        <v>55.45</v>
      </c>
      <c r="F885" t="s">
        <v>88</v>
      </c>
      <c r="G885" s="19">
        <v>45523</v>
      </c>
      <c r="H885" t="s">
        <v>94</v>
      </c>
      <c r="I885" t="s">
        <v>2032</v>
      </c>
      <c r="J885" t="s">
        <v>4063</v>
      </c>
      <c r="O885" t="s">
        <v>4064</v>
      </c>
      <c r="Q885" s="3">
        <f t="shared" si="58"/>
        <v>55.45</v>
      </c>
      <c r="V885" s="3" t="str">
        <f t="shared" si="59"/>
        <v/>
      </c>
    </row>
    <row r="886" spans="1:22" x14ac:dyDescent="0.35">
      <c r="A886" t="s">
        <v>35</v>
      </c>
      <c r="B886" t="s">
        <v>698</v>
      </c>
      <c r="C886" t="s">
        <v>16</v>
      </c>
      <c r="D886" t="s">
        <v>17</v>
      </c>
      <c r="E886">
        <v>55.34</v>
      </c>
      <c r="F886" t="s">
        <v>88</v>
      </c>
      <c r="G886" s="19">
        <v>45596</v>
      </c>
      <c r="H886" t="s">
        <v>94</v>
      </c>
      <c r="I886" t="s">
        <v>4749</v>
      </c>
      <c r="J886" t="s">
        <v>4750</v>
      </c>
      <c r="O886" t="s">
        <v>964</v>
      </c>
      <c r="Q886" s="3">
        <f t="shared" si="58"/>
        <v>55.34</v>
      </c>
      <c r="V886" s="3" t="str">
        <f t="shared" si="59"/>
        <v/>
      </c>
    </row>
    <row r="887" spans="1:22" x14ac:dyDescent="0.35">
      <c r="A887" t="s">
        <v>35</v>
      </c>
      <c r="B887" t="s">
        <v>825</v>
      </c>
      <c r="C887" t="s">
        <v>16</v>
      </c>
      <c r="D887" t="s">
        <v>17</v>
      </c>
      <c r="E887">
        <v>55.07</v>
      </c>
      <c r="F887" t="s">
        <v>88</v>
      </c>
      <c r="G887" s="19">
        <v>45551</v>
      </c>
      <c r="H887" t="s">
        <v>94</v>
      </c>
      <c r="I887" t="s">
        <v>448</v>
      </c>
      <c r="J887" t="s">
        <v>4379</v>
      </c>
      <c r="O887" t="s">
        <v>2666</v>
      </c>
      <c r="Q887" s="3">
        <f t="shared" si="58"/>
        <v>55.07</v>
      </c>
      <c r="V887" s="3" t="str">
        <f t="shared" si="59"/>
        <v/>
      </c>
    </row>
    <row r="888" spans="1:22" x14ac:dyDescent="0.35">
      <c r="A888" t="s">
        <v>35</v>
      </c>
      <c r="B888" t="s">
        <v>633</v>
      </c>
      <c r="C888" t="s">
        <v>16</v>
      </c>
      <c r="D888" t="s">
        <v>17</v>
      </c>
      <c r="E888">
        <v>54.55</v>
      </c>
      <c r="F888" t="s">
        <v>88</v>
      </c>
      <c r="G888" s="19">
        <v>45485</v>
      </c>
      <c r="H888" t="s">
        <v>94</v>
      </c>
      <c r="I888" t="s">
        <v>3816</v>
      </c>
      <c r="J888" t="s">
        <v>3817</v>
      </c>
      <c r="O888" t="s">
        <v>584</v>
      </c>
      <c r="Q888" s="3">
        <f t="shared" si="58"/>
        <v>54.55</v>
      </c>
      <c r="V888" s="3" t="str">
        <f t="shared" si="59"/>
        <v/>
      </c>
    </row>
    <row r="889" spans="1:22" x14ac:dyDescent="0.35">
      <c r="A889" t="s">
        <v>35</v>
      </c>
      <c r="B889" t="s">
        <v>789</v>
      </c>
      <c r="C889" t="s">
        <v>16</v>
      </c>
      <c r="D889" t="s">
        <v>17</v>
      </c>
      <c r="E889">
        <v>54.55</v>
      </c>
      <c r="F889" t="s">
        <v>88</v>
      </c>
      <c r="G889" s="19">
        <v>45524</v>
      </c>
      <c r="H889" t="s">
        <v>94</v>
      </c>
      <c r="I889" t="s">
        <v>2739</v>
      </c>
      <c r="J889" t="s">
        <v>4084</v>
      </c>
      <c r="O889" t="s">
        <v>4085</v>
      </c>
      <c r="Q889" s="3">
        <f t="shared" si="58"/>
        <v>54.55</v>
      </c>
      <c r="V889" s="3" t="str">
        <f t="shared" si="59"/>
        <v/>
      </c>
    </row>
    <row r="890" spans="1:22" ht="87" x14ac:dyDescent="0.35">
      <c r="A890" t="s">
        <v>35</v>
      </c>
      <c r="B890" t="s">
        <v>3466</v>
      </c>
      <c r="C890" t="s">
        <v>16</v>
      </c>
      <c r="D890" t="s">
        <v>17</v>
      </c>
      <c r="E890">
        <v>54.55</v>
      </c>
      <c r="F890" t="s">
        <v>88</v>
      </c>
      <c r="G890" s="19">
        <v>45546</v>
      </c>
      <c r="H890" t="s">
        <v>94</v>
      </c>
      <c r="I890" t="s">
        <v>239</v>
      </c>
      <c r="J890" t="s">
        <v>4336</v>
      </c>
      <c r="O890" t="s">
        <v>4085</v>
      </c>
      <c r="Q890" s="3">
        <f t="shared" si="58"/>
        <v>54.55</v>
      </c>
      <c r="R890" s="69" t="s">
        <v>5326</v>
      </c>
      <c r="S890" s="69" t="s">
        <v>5327</v>
      </c>
      <c r="V890" s="3" t="str">
        <f t="shared" si="59"/>
        <v/>
      </c>
    </row>
    <row r="891" spans="1:22" x14ac:dyDescent="0.35">
      <c r="A891" t="s">
        <v>35</v>
      </c>
      <c r="B891" t="s">
        <v>4583</v>
      </c>
      <c r="C891" t="s">
        <v>16</v>
      </c>
      <c r="D891" t="s">
        <v>17</v>
      </c>
      <c r="E891">
        <v>54.55</v>
      </c>
      <c r="F891" t="s">
        <v>88</v>
      </c>
      <c r="G891" s="19">
        <v>45572</v>
      </c>
      <c r="H891" t="s">
        <v>94</v>
      </c>
      <c r="I891" t="s">
        <v>4418</v>
      </c>
      <c r="J891" t="s">
        <v>4586</v>
      </c>
      <c r="O891" t="s">
        <v>584</v>
      </c>
      <c r="Q891" s="3">
        <f t="shared" si="58"/>
        <v>54.55</v>
      </c>
      <c r="V891" s="3" t="str">
        <f t="shared" si="59"/>
        <v/>
      </c>
    </row>
    <row r="892" spans="1:22" x14ac:dyDescent="0.35">
      <c r="A892" t="s">
        <v>35</v>
      </c>
      <c r="B892" t="s">
        <v>1566</v>
      </c>
      <c r="C892" t="s">
        <v>16</v>
      </c>
      <c r="D892" t="s">
        <v>17</v>
      </c>
      <c r="E892">
        <v>54.53</v>
      </c>
      <c r="F892" t="s">
        <v>88</v>
      </c>
      <c r="G892" s="19">
        <v>45422</v>
      </c>
      <c r="H892" t="s">
        <v>94</v>
      </c>
      <c r="I892" t="s">
        <v>3179</v>
      </c>
      <c r="J892" t="s">
        <v>3182</v>
      </c>
      <c r="O892" t="s">
        <v>3183</v>
      </c>
      <c r="Q892" s="3">
        <f t="shared" si="58"/>
        <v>54.53</v>
      </c>
      <c r="V892" s="3" t="str">
        <f t="shared" si="59"/>
        <v/>
      </c>
    </row>
    <row r="893" spans="1:22" x14ac:dyDescent="0.35">
      <c r="A893" t="s">
        <v>35</v>
      </c>
      <c r="B893" t="s">
        <v>698</v>
      </c>
      <c r="C893" t="s">
        <v>16</v>
      </c>
      <c r="D893" t="s">
        <v>17</v>
      </c>
      <c r="E893">
        <v>54.31</v>
      </c>
      <c r="F893" t="s">
        <v>88</v>
      </c>
      <c r="G893" s="19">
        <v>45644</v>
      </c>
      <c r="H893" t="s">
        <v>94</v>
      </c>
      <c r="I893" t="s">
        <v>5304</v>
      </c>
      <c r="J893" t="s">
        <v>5305</v>
      </c>
      <c r="O893" t="s">
        <v>4447</v>
      </c>
      <c r="Q893" s="3">
        <f t="shared" si="58"/>
        <v>54.31</v>
      </c>
      <c r="S893" s="69" t="s">
        <v>53</v>
      </c>
      <c r="T893" t="s">
        <v>64</v>
      </c>
      <c r="U893" t="str">
        <f t="shared" ref="U893" si="63">B893</f>
        <v>AU030213</v>
      </c>
      <c r="V893" s="3">
        <f t="shared" ref="V893" si="64">IF(T893="Y",E893,"")</f>
        <v>54.31</v>
      </c>
    </row>
    <row r="894" spans="1:22" x14ac:dyDescent="0.35">
      <c r="A894" t="s">
        <v>35</v>
      </c>
      <c r="B894" t="s">
        <v>1566</v>
      </c>
      <c r="C894" t="s">
        <v>16</v>
      </c>
      <c r="D894" t="s">
        <v>17</v>
      </c>
      <c r="E894">
        <v>54.27</v>
      </c>
      <c r="F894" t="s">
        <v>88</v>
      </c>
      <c r="G894" s="19">
        <v>45453</v>
      </c>
      <c r="H894" t="s">
        <v>94</v>
      </c>
      <c r="I894" t="s">
        <v>229</v>
      </c>
      <c r="J894" t="s">
        <v>3515</v>
      </c>
      <c r="O894" t="s">
        <v>3514</v>
      </c>
      <c r="Q894" s="3">
        <f t="shared" si="58"/>
        <v>54.27</v>
      </c>
      <c r="V894" s="3" t="str">
        <f t="shared" si="59"/>
        <v/>
      </c>
    </row>
    <row r="895" spans="1:22" x14ac:dyDescent="0.35">
      <c r="A895" t="s">
        <v>35</v>
      </c>
      <c r="B895" t="s">
        <v>633</v>
      </c>
      <c r="C895" t="s">
        <v>16</v>
      </c>
      <c r="D895" t="s">
        <v>17</v>
      </c>
      <c r="E895">
        <v>53.45</v>
      </c>
      <c r="F895" t="s">
        <v>88</v>
      </c>
      <c r="G895" s="19">
        <v>45534</v>
      </c>
      <c r="H895" t="s">
        <v>94</v>
      </c>
      <c r="I895" t="s">
        <v>4131</v>
      </c>
      <c r="J895" t="s">
        <v>4132</v>
      </c>
      <c r="O895" t="s">
        <v>3263</v>
      </c>
      <c r="Q895" s="3">
        <f t="shared" si="58"/>
        <v>53.45</v>
      </c>
      <c r="S895" s="69" t="s">
        <v>53</v>
      </c>
      <c r="T895" t="s">
        <v>64</v>
      </c>
      <c r="U895" t="str">
        <f t="shared" ref="U895" si="65">B895</f>
        <v>AU030510</v>
      </c>
      <c r="V895" s="3">
        <f t="shared" si="59"/>
        <v>53.45</v>
      </c>
    </row>
    <row r="896" spans="1:22" x14ac:dyDescent="0.35">
      <c r="A896" t="s">
        <v>35</v>
      </c>
      <c r="B896" t="s">
        <v>1566</v>
      </c>
      <c r="C896" t="s">
        <v>16</v>
      </c>
      <c r="D896" t="s">
        <v>17</v>
      </c>
      <c r="E896">
        <v>51.71</v>
      </c>
      <c r="F896" t="s">
        <v>88</v>
      </c>
      <c r="G896" s="19">
        <v>45453</v>
      </c>
      <c r="H896" t="s">
        <v>94</v>
      </c>
      <c r="I896" t="s">
        <v>206</v>
      </c>
      <c r="J896" t="s">
        <v>3487</v>
      </c>
      <c r="O896" t="s">
        <v>3496</v>
      </c>
      <c r="Q896" s="3">
        <f t="shared" si="58"/>
        <v>51.71</v>
      </c>
      <c r="V896" s="3" t="str">
        <f t="shared" si="59"/>
        <v/>
      </c>
    </row>
    <row r="897" spans="1:22" x14ac:dyDescent="0.35">
      <c r="A897" t="s">
        <v>35</v>
      </c>
      <c r="B897" t="s">
        <v>1566</v>
      </c>
      <c r="C897" t="s">
        <v>16</v>
      </c>
      <c r="D897" t="s">
        <v>17</v>
      </c>
      <c r="E897">
        <v>50.91</v>
      </c>
      <c r="F897" t="s">
        <v>88</v>
      </c>
      <c r="G897" s="19">
        <v>45453</v>
      </c>
      <c r="H897" t="s">
        <v>94</v>
      </c>
      <c r="I897" t="s">
        <v>229</v>
      </c>
      <c r="J897" t="s">
        <v>3517</v>
      </c>
      <c r="O897" t="s">
        <v>3518</v>
      </c>
      <c r="Q897" s="3">
        <f t="shared" si="58"/>
        <v>50.91</v>
      </c>
      <c r="V897" s="3" t="str">
        <f t="shared" si="59"/>
        <v/>
      </c>
    </row>
    <row r="898" spans="1:22" x14ac:dyDescent="0.35">
      <c r="A898" t="s">
        <v>35</v>
      </c>
      <c r="B898" t="s">
        <v>1566</v>
      </c>
      <c r="C898" t="s">
        <v>16</v>
      </c>
      <c r="D898" t="s">
        <v>17</v>
      </c>
      <c r="E898">
        <v>50.91</v>
      </c>
      <c r="F898" t="s">
        <v>88</v>
      </c>
      <c r="G898" s="19">
        <v>45618</v>
      </c>
      <c r="H898" t="s">
        <v>94</v>
      </c>
      <c r="I898" t="s">
        <v>4612</v>
      </c>
      <c r="J898" t="s">
        <v>5004</v>
      </c>
      <c r="O898" t="s">
        <v>5005</v>
      </c>
      <c r="Q898" s="3">
        <f t="shared" si="58"/>
        <v>50.91</v>
      </c>
      <c r="V898" s="3" t="str">
        <f t="shared" si="59"/>
        <v/>
      </c>
    </row>
    <row r="899" spans="1:22" x14ac:dyDescent="0.35">
      <c r="A899" t="s">
        <v>35</v>
      </c>
      <c r="B899" t="s">
        <v>1566</v>
      </c>
      <c r="C899" t="s">
        <v>16</v>
      </c>
      <c r="D899" t="s">
        <v>17</v>
      </c>
      <c r="E899">
        <v>50.7</v>
      </c>
      <c r="F899" t="s">
        <v>88</v>
      </c>
      <c r="G899" s="19">
        <v>45609</v>
      </c>
      <c r="H899" t="s">
        <v>94</v>
      </c>
      <c r="I899" t="s">
        <v>242</v>
      </c>
      <c r="J899" t="s">
        <v>4892</v>
      </c>
      <c r="O899" t="s">
        <v>3744</v>
      </c>
      <c r="Q899" s="3">
        <f t="shared" si="58"/>
        <v>50.7</v>
      </c>
      <c r="V899" s="3" t="str">
        <f t="shared" si="59"/>
        <v/>
      </c>
    </row>
    <row r="900" spans="1:22" ht="87" x14ac:dyDescent="0.35">
      <c r="A900" t="s">
        <v>35</v>
      </c>
      <c r="B900" t="s">
        <v>1566</v>
      </c>
      <c r="C900" t="s">
        <v>16</v>
      </c>
      <c r="D900" t="s">
        <v>17</v>
      </c>
      <c r="E900">
        <v>50</v>
      </c>
      <c r="F900" t="s">
        <v>88</v>
      </c>
      <c r="G900" s="19">
        <v>45558</v>
      </c>
      <c r="H900" t="s">
        <v>94</v>
      </c>
      <c r="I900" t="s">
        <v>4427</v>
      </c>
      <c r="J900" t="s">
        <v>4430</v>
      </c>
      <c r="O900" t="s">
        <v>2934</v>
      </c>
      <c r="Q900" s="3">
        <f t="shared" si="58"/>
        <v>50</v>
      </c>
      <c r="R900" s="69" t="s">
        <v>5326</v>
      </c>
      <c r="S900" s="69" t="s">
        <v>5327</v>
      </c>
      <c r="V900" s="3" t="str">
        <f t="shared" si="59"/>
        <v/>
      </c>
    </row>
    <row r="901" spans="1:22" x14ac:dyDescent="0.35">
      <c r="A901" t="s">
        <v>35</v>
      </c>
      <c r="B901" t="s">
        <v>1566</v>
      </c>
      <c r="C901" t="s">
        <v>16</v>
      </c>
      <c r="D901" t="s">
        <v>17</v>
      </c>
      <c r="E901">
        <v>49.95</v>
      </c>
      <c r="F901" t="s">
        <v>88</v>
      </c>
      <c r="G901" s="19">
        <v>45453</v>
      </c>
      <c r="H901" t="s">
        <v>94</v>
      </c>
      <c r="I901" t="s">
        <v>3497</v>
      </c>
      <c r="J901" t="s">
        <v>3502</v>
      </c>
      <c r="O901" t="s">
        <v>3503</v>
      </c>
      <c r="Q901" s="3">
        <f t="shared" si="58"/>
        <v>49.95</v>
      </c>
      <c r="V901" s="3" t="str">
        <f t="shared" si="59"/>
        <v/>
      </c>
    </row>
    <row r="902" spans="1:22" x14ac:dyDescent="0.35">
      <c r="A902" t="s">
        <v>35</v>
      </c>
      <c r="B902" t="s">
        <v>1566</v>
      </c>
      <c r="C902" t="s">
        <v>16</v>
      </c>
      <c r="D902" t="s">
        <v>17</v>
      </c>
      <c r="E902">
        <v>49.9</v>
      </c>
      <c r="F902" t="s">
        <v>88</v>
      </c>
      <c r="G902" s="19">
        <v>45470</v>
      </c>
      <c r="H902" t="s">
        <v>94</v>
      </c>
      <c r="I902" t="s">
        <v>252</v>
      </c>
      <c r="J902" t="s">
        <v>3694</v>
      </c>
      <c r="O902" t="s">
        <v>3698</v>
      </c>
      <c r="Q902" s="3">
        <f t="shared" si="58"/>
        <v>49.9</v>
      </c>
      <c r="V902" s="3" t="str">
        <f t="shared" si="59"/>
        <v/>
      </c>
    </row>
    <row r="903" spans="1:22" x14ac:dyDescent="0.35">
      <c r="A903" t="s">
        <v>35</v>
      </c>
      <c r="B903" t="s">
        <v>1566</v>
      </c>
      <c r="C903" t="s">
        <v>16</v>
      </c>
      <c r="D903" t="s">
        <v>17</v>
      </c>
      <c r="E903">
        <v>49.32</v>
      </c>
      <c r="F903" t="s">
        <v>88</v>
      </c>
      <c r="G903" s="19">
        <v>45594</v>
      </c>
      <c r="H903" t="s">
        <v>94</v>
      </c>
      <c r="I903" t="s">
        <v>242</v>
      </c>
      <c r="J903" t="s">
        <v>4731</v>
      </c>
      <c r="O903" t="s">
        <v>4729</v>
      </c>
      <c r="Q903" s="3">
        <f t="shared" si="58"/>
        <v>49.32</v>
      </c>
      <c r="V903" s="3" t="str">
        <f t="shared" si="59"/>
        <v/>
      </c>
    </row>
    <row r="904" spans="1:22" x14ac:dyDescent="0.35">
      <c r="A904" t="s">
        <v>35</v>
      </c>
      <c r="B904" t="s">
        <v>1566</v>
      </c>
      <c r="C904" t="s">
        <v>16</v>
      </c>
      <c r="D904" t="s">
        <v>17</v>
      </c>
      <c r="E904">
        <v>49.09</v>
      </c>
      <c r="F904" t="s">
        <v>88</v>
      </c>
      <c r="G904" s="19">
        <v>45386</v>
      </c>
      <c r="H904" t="s">
        <v>94</v>
      </c>
      <c r="I904" t="s">
        <v>2830</v>
      </c>
      <c r="J904" t="s">
        <v>2831</v>
      </c>
      <c r="O904" t="s">
        <v>2832</v>
      </c>
      <c r="Q904" s="3">
        <f t="shared" ref="Q904:Q967" si="66">ABS(E904)</f>
        <v>49.09</v>
      </c>
      <c r="V904" s="3" t="str">
        <f t="shared" si="59"/>
        <v/>
      </c>
    </row>
    <row r="905" spans="1:22" x14ac:dyDescent="0.35">
      <c r="A905" t="s">
        <v>35</v>
      </c>
      <c r="B905" t="s">
        <v>915</v>
      </c>
      <c r="C905" t="s">
        <v>16</v>
      </c>
      <c r="D905" t="s">
        <v>17</v>
      </c>
      <c r="E905">
        <v>49.09</v>
      </c>
      <c r="F905" t="s">
        <v>88</v>
      </c>
      <c r="G905" s="19">
        <v>45512</v>
      </c>
      <c r="H905" t="s">
        <v>94</v>
      </c>
      <c r="I905" t="s">
        <v>3555</v>
      </c>
      <c r="J905" t="s">
        <v>3971</v>
      </c>
      <c r="O905" t="s">
        <v>3972</v>
      </c>
      <c r="Q905" s="3">
        <f t="shared" si="66"/>
        <v>49.09</v>
      </c>
      <c r="V905" s="3" t="str">
        <f t="shared" ref="V905:V968" si="67">IF(T905="Y",E905,"")</f>
        <v/>
      </c>
    </row>
    <row r="906" spans="1:22" x14ac:dyDescent="0.35">
      <c r="A906" t="s">
        <v>35</v>
      </c>
      <c r="B906" t="s">
        <v>915</v>
      </c>
      <c r="C906" t="s">
        <v>16</v>
      </c>
      <c r="D906" t="s">
        <v>17</v>
      </c>
      <c r="E906">
        <v>47.79</v>
      </c>
      <c r="F906" t="s">
        <v>88</v>
      </c>
      <c r="G906" s="19">
        <v>45435</v>
      </c>
      <c r="H906" t="s">
        <v>94</v>
      </c>
      <c r="I906" t="s">
        <v>3335</v>
      </c>
      <c r="J906" t="s">
        <v>3336</v>
      </c>
      <c r="O906" t="s">
        <v>3337</v>
      </c>
      <c r="Q906" s="3">
        <f t="shared" si="66"/>
        <v>47.79</v>
      </c>
      <c r="V906" s="3" t="str">
        <f t="shared" si="67"/>
        <v/>
      </c>
    </row>
    <row r="907" spans="1:22" ht="87" x14ac:dyDescent="0.35">
      <c r="A907" t="s">
        <v>35</v>
      </c>
      <c r="B907" t="s">
        <v>615</v>
      </c>
      <c r="C907" t="s">
        <v>16</v>
      </c>
      <c r="D907" t="s">
        <v>17</v>
      </c>
      <c r="E907">
        <v>46.36</v>
      </c>
      <c r="F907" t="s">
        <v>88</v>
      </c>
      <c r="G907" s="19">
        <v>45554</v>
      </c>
      <c r="H907" t="s">
        <v>94</v>
      </c>
      <c r="I907" t="s">
        <v>4389</v>
      </c>
      <c r="J907" t="s">
        <v>4390</v>
      </c>
      <c r="O907" t="s">
        <v>579</v>
      </c>
      <c r="Q907" s="3">
        <f t="shared" si="66"/>
        <v>46.36</v>
      </c>
      <c r="R907" s="69" t="s">
        <v>5326</v>
      </c>
      <c r="S907" s="69" t="s">
        <v>5327</v>
      </c>
      <c r="V907" s="3" t="str">
        <f t="shared" si="67"/>
        <v/>
      </c>
    </row>
    <row r="908" spans="1:22" x14ac:dyDescent="0.35">
      <c r="A908" t="s">
        <v>0</v>
      </c>
      <c r="B908" t="s">
        <v>1566</v>
      </c>
      <c r="C908" t="s">
        <v>16</v>
      </c>
      <c r="D908" t="s">
        <v>17</v>
      </c>
      <c r="E908">
        <v>46.1</v>
      </c>
      <c r="F908" t="s">
        <v>88</v>
      </c>
      <c r="G908" s="19">
        <v>45505</v>
      </c>
      <c r="H908" t="s">
        <v>89</v>
      </c>
      <c r="I908" t="s">
        <v>3918</v>
      </c>
      <c r="J908"/>
      <c r="K908" t="s">
        <v>3919</v>
      </c>
      <c r="L908" t="s">
        <v>3920</v>
      </c>
      <c r="M908" t="s">
        <v>100</v>
      </c>
      <c r="Q908" s="3">
        <f t="shared" si="66"/>
        <v>46.1</v>
      </c>
      <c r="V908" s="3" t="str">
        <f t="shared" si="67"/>
        <v/>
      </c>
    </row>
    <row r="909" spans="1:22" x14ac:dyDescent="0.35">
      <c r="A909" t="s">
        <v>0</v>
      </c>
      <c r="B909" t="s">
        <v>1627</v>
      </c>
      <c r="C909" t="s">
        <v>16</v>
      </c>
      <c r="D909" t="s">
        <v>17</v>
      </c>
      <c r="E909">
        <v>46.1</v>
      </c>
      <c r="F909" t="s">
        <v>88</v>
      </c>
      <c r="G909" s="19">
        <v>45600</v>
      </c>
      <c r="H909" t="s">
        <v>89</v>
      </c>
      <c r="I909" t="s">
        <v>4805</v>
      </c>
      <c r="J909"/>
      <c r="K909" t="s">
        <v>4806</v>
      </c>
      <c r="L909" t="s">
        <v>4807</v>
      </c>
      <c r="M909" t="s">
        <v>100</v>
      </c>
      <c r="Q909" s="3">
        <f t="shared" si="66"/>
        <v>46.1</v>
      </c>
      <c r="V909" s="3" t="str">
        <f t="shared" si="67"/>
        <v/>
      </c>
    </row>
    <row r="910" spans="1:22" x14ac:dyDescent="0.35">
      <c r="A910" t="s">
        <v>35</v>
      </c>
      <c r="B910" t="s">
        <v>915</v>
      </c>
      <c r="C910" t="s">
        <v>16</v>
      </c>
      <c r="D910" t="s">
        <v>17</v>
      </c>
      <c r="E910">
        <v>45.95</v>
      </c>
      <c r="F910" t="s">
        <v>88</v>
      </c>
      <c r="G910" s="19">
        <v>45435</v>
      </c>
      <c r="H910" t="s">
        <v>94</v>
      </c>
      <c r="I910" t="s">
        <v>3335</v>
      </c>
      <c r="J910" t="s">
        <v>3338</v>
      </c>
      <c r="O910" t="s">
        <v>3337</v>
      </c>
      <c r="Q910" s="3">
        <f t="shared" si="66"/>
        <v>45.95</v>
      </c>
      <c r="V910" s="3" t="str">
        <f t="shared" si="67"/>
        <v/>
      </c>
    </row>
    <row r="911" spans="1:22" x14ac:dyDescent="0.35">
      <c r="A911" t="s">
        <v>35</v>
      </c>
      <c r="B911" t="s">
        <v>1566</v>
      </c>
      <c r="C911" t="s">
        <v>16</v>
      </c>
      <c r="D911" t="s">
        <v>17</v>
      </c>
      <c r="E911">
        <v>45.46</v>
      </c>
      <c r="F911" t="s">
        <v>88</v>
      </c>
      <c r="G911" s="19">
        <v>45594</v>
      </c>
      <c r="H911" t="s">
        <v>94</v>
      </c>
      <c r="I911" t="s">
        <v>4732</v>
      </c>
      <c r="J911" t="s">
        <v>4733</v>
      </c>
      <c r="O911" t="s">
        <v>2648</v>
      </c>
      <c r="Q911" s="3">
        <f t="shared" si="66"/>
        <v>45.46</v>
      </c>
      <c r="V911" s="3" t="str">
        <f t="shared" si="67"/>
        <v/>
      </c>
    </row>
    <row r="912" spans="1:22" x14ac:dyDescent="0.35">
      <c r="A912" t="s">
        <v>35</v>
      </c>
      <c r="B912" t="s">
        <v>698</v>
      </c>
      <c r="C912" t="s">
        <v>16</v>
      </c>
      <c r="D912" t="s">
        <v>17</v>
      </c>
      <c r="E912">
        <v>45.45</v>
      </c>
      <c r="F912" t="s">
        <v>88</v>
      </c>
      <c r="G912" s="19">
        <v>45393</v>
      </c>
      <c r="H912" t="s">
        <v>94</v>
      </c>
      <c r="I912" t="s">
        <v>2954</v>
      </c>
      <c r="J912" t="s">
        <v>2955</v>
      </c>
      <c r="O912" t="s">
        <v>2956</v>
      </c>
      <c r="Q912" s="3">
        <f t="shared" si="66"/>
        <v>45.45</v>
      </c>
      <c r="V912" s="3" t="str">
        <f t="shared" si="67"/>
        <v/>
      </c>
    </row>
    <row r="913" spans="1:22" x14ac:dyDescent="0.35">
      <c r="A913" t="s">
        <v>35</v>
      </c>
      <c r="B913" t="s">
        <v>1566</v>
      </c>
      <c r="C913" t="s">
        <v>16</v>
      </c>
      <c r="D913" t="s">
        <v>17</v>
      </c>
      <c r="E913">
        <v>45.45</v>
      </c>
      <c r="F913" t="s">
        <v>88</v>
      </c>
      <c r="G913" s="19">
        <v>45453</v>
      </c>
      <c r="H913" t="s">
        <v>94</v>
      </c>
      <c r="I913" t="s">
        <v>3497</v>
      </c>
      <c r="J913" t="s">
        <v>3500</v>
      </c>
      <c r="O913" t="s">
        <v>3501</v>
      </c>
      <c r="Q913" s="3">
        <f t="shared" si="66"/>
        <v>45.45</v>
      </c>
      <c r="V913" s="3" t="str">
        <f t="shared" si="67"/>
        <v/>
      </c>
    </row>
    <row r="914" spans="1:22" x14ac:dyDescent="0.35">
      <c r="A914" t="s">
        <v>35</v>
      </c>
      <c r="B914" t="s">
        <v>698</v>
      </c>
      <c r="C914" t="s">
        <v>16</v>
      </c>
      <c r="D914" t="s">
        <v>17</v>
      </c>
      <c r="E914">
        <v>45.45</v>
      </c>
      <c r="F914" t="s">
        <v>88</v>
      </c>
      <c r="G914" s="19">
        <v>45464</v>
      </c>
      <c r="H914" t="s">
        <v>94</v>
      </c>
      <c r="I914" t="s">
        <v>3649</v>
      </c>
      <c r="J914" t="s">
        <v>3650</v>
      </c>
      <c r="O914" t="s">
        <v>3651</v>
      </c>
      <c r="Q914" s="3">
        <f t="shared" si="66"/>
        <v>45.45</v>
      </c>
      <c r="V914" s="3" t="str">
        <f t="shared" si="67"/>
        <v/>
      </c>
    </row>
    <row r="915" spans="1:22" x14ac:dyDescent="0.35">
      <c r="A915" t="s">
        <v>35</v>
      </c>
      <c r="B915" t="s">
        <v>601</v>
      </c>
      <c r="C915" t="s">
        <v>16</v>
      </c>
      <c r="D915" t="s">
        <v>17</v>
      </c>
      <c r="E915">
        <v>45.45</v>
      </c>
      <c r="F915" t="s">
        <v>88</v>
      </c>
      <c r="G915" s="19">
        <v>45516</v>
      </c>
      <c r="H915" t="s">
        <v>94</v>
      </c>
      <c r="I915" t="s">
        <v>3991</v>
      </c>
      <c r="J915" t="s">
        <v>3992</v>
      </c>
      <c r="O915" t="s">
        <v>3993</v>
      </c>
      <c r="Q915" s="3">
        <f t="shared" si="66"/>
        <v>45.45</v>
      </c>
      <c r="S915" s="69" t="s">
        <v>53</v>
      </c>
      <c r="T915" t="s">
        <v>64</v>
      </c>
      <c r="U915" t="str">
        <f t="shared" ref="U915" si="68">B915</f>
        <v>AU030222</v>
      </c>
      <c r="V915" s="3">
        <f t="shared" si="67"/>
        <v>45.45</v>
      </c>
    </row>
    <row r="916" spans="1:22" ht="87" x14ac:dyDescent="0.35">
      <c r="A916" t="s">
        <v>35</v>
      </c>
      <c r="B916" t="s">
        <v>825</v>
      </c>
      <c r="C916" t="s">
        <v>16</v>
      </c>
      <c r="D916" t="s">
        <v>17</v>
      </c>
      <c r="E916">
        <v>45.45</v>
      </c>
      <c r="F916" t="s">
        <v>88</v>
      </c>
      <c r="G916" s="19">
        <v>45565</v>
      </c>
      <c r="H916" t="s">
        <v>94</v>
      </c>
      <c r="I916" t="s">
        <v>3807</v>
      </c>
      <c r="J916" t="s">
        <v>4472</v>
      </c>
      <c r="O916" t="s">
        <v>3809</v>
      </c>
      <c r="Q916" s="3">
        <f t="shared" si="66"/>
        <v>45.45</v>
      </c>
      <c r="R916" s="69" t="s">
        <v>5326</v>
      </c>
      <c r="S916" s="69" t="s">
        <v>5327</v>
      </c>
      <c r="V916" s="3" t="str">
        <f t="shared" si="67"/>
        <v/>
      </c>
    </row>
    <row r="917" spans="1:22" x14ac:dyDescent="0.35">
      <c r="A917" t="s">
        <v>35</v>
      </c>
      <c r="B917" t="s">
        <v>1566</v>
      </c>
      <c r="C917" t="s">
        <v>16</v>
      </c>
      <c r="D917" t="s">
        <v>17</v>
      </c>
      <c r="E917">
        <v>45.45</v>
      </c>
      <c r="F917" t="s">
        <v>88</v>
      </c>
      <c r="G917" s="19">
        <v>45618</v>
      </c>
      <c r="H917" t="s">
        <v>94</v>
      </c>
      <c r="I917" t="s">
        <v>4612</v>
      </c>
      <c r="J917" t="s">
        <v>5002</v>
      </c>
      <c r="O917" t="s">
        <v>5003</v>
      </c>
      <c r="Q917" s="3">
        <f t="shared" si="66"/>
        <v>45.45</v>
      </c>
      <c r="V917" s="3" t="str">
        <f t="shared" si="67"/>
        <v/>
      </c>
    </row>
    <row r="918" spans="1:22" x14ac:dyDescent="0.35">
      <c r="A918" t="s">
        <v>35</v>
      </c>
      <c r="B918" t="s">
        <v>1566</v>
      </c>
      <c r="C918" t="s">
        <v>16</v>
      </c>
      <c r="D918" t="s">
        <v>17</v>
      </c>
      <c r="E918">
        <v>45.45</v>
      </c>
      <c r="F918" t="s">
        <v>88</v>
      </c>
      <c r="G918" s="19">
        <v>45618</v>
      </c>
      <c r="H918" t="s">
        <v>94</v>
      </c>
      <c r="I918" t="s">
        <v>4612</v>
      </c>
      <c r="J918" t="s">
        <v>5007</v>
      </c>
      <c r="O918" t="s">
        <v>5008</v>
      </c>
      <c r="Q918" s="3">
        <f t="shared" si="66"/>
        <v>45.45</v>
      </c>
      <c r="V918" s="3" t="str">
        <f t="shared" si="67"/>
        <v/>
      </c>
    </row>
    <row r="919" spans="1:22" x14ac:dyDescent="0.35">
      <c r="A919" t="s">
        <v>35</v>
      </c>
      <c r="B919" t="s">
        <v>1566</v>
      </c>
      <c r="C919" t="s">
        <v>16</v>
      </c>
      <c r="D919" t="s">
        <v>17</v>
      </c>
      <c r="E919">
        <v>45.22</v>
      </c>
      <c r="F919" t="s">
        <v>88</v>
      </c>
      <c r="G919" s="19">
        <v>45453</v>
      </c>
      <c r="H919" t="s">
        <v>94</v>
      </c>
      <c r="I919" t="s">
        <v>229</v>
      </c>
      <c r="J919" t="s">
        <v>3513</v>
      </c>
      <c r="O919" t="s">
        <v>3514</v>
      </c>
      <c r="Q919" s="3">
        <f t="shared" si="66"/>
        <v>45.22</v>
      </c>
      <c r="V919" s="3" t="str">
        <f t="shared" si="67"/>
        <v/>
      </c>
    </row>
    <row r="920" spans="1:22" x14ac:dyDescent="0.35">
      <c r="A920" t="s">
        <v>35</v>
      </c>
      <c r="B920" t="s">
        <v>1566</v>
      </c>
      <c r="C920" t="s">
        <v>16</v>
      </c>
      <c r="D920" t="s">
        <v>17</v>
      </c>
      <c r="E920">
        <v>44.99</v>
      </c>
      <c r="F920" t="s">
        <v>88</v>
      </c>
      <c r="G920" s="19">
        <v>45393</v>
      </c>
      <c r="H920" t="s">
        <v>94</v>
      </c>
      <c r="I920" t="s">
        <v>242</v>
      </c>
      <c r="J920" t="s">
        <v>2942</v>
      </c>
      <c r="O920" t="s">
        <v>2943</v>
      </c>
      <c r="Q920" s="3">
        <f t="shared" si="66"/>
        <v>44.99</v>
      </c>
      <c r="V920" s="3" t="str">
        <f t="shared" si="67"/>
        <v/>
      </c>
    </row>
    <row r="921" spans="1:22" x14ac:dyDescent="0.35">
      <c r="A921" t="s">
        <v>35</v>
      </c>
      <c r="B921" t="s">
        <v>1566</v>
      </c>
      <c r="C921" t="s">
        <v>16</v>
      </c>
      <c r="D921" t="s">
        <v>17</v>
      </c>
      <c r="E921">
        <v>44.55</v>
      </c>
      <c r="F921" t="s">
        <v>88</v>
      </c>
      <c r="G921" s="19">
        <v>45518</v>
      </c>
      <c r="H921" t="s">
        <v>94</v>
      </c>
      <c r="I921" t="s">
        <v>204</v>
      </c>
      <c r="J921" t="s">
        <v>4033</v>
      </c>
      <c r="O921" t="s">
        <v>4034</v>
      </c>
      <c r="Q921" s="3">
        <f t="shared" si="66"/>
        <v>44.55</v>
      </c>
      <c r="V921" s="3" t="str">
        <f t="shared" si="67"/>
        <v/>
      </c>
    </row>
    <row r="922" spans="1:22" x14ac:dyDescent="0.35">
      <c r="A922" t="s">
        <v>35</v>
      </c>
      <c r="B922" t="s">
        <v>1566</v>
      </c>
      <c r="C922" t="s">
        <v>16</v>
      </c>
      <c r="D922" t="s">
        <v>17</v>
      </c>
      <c r="E922">
        <v>44.51</v>
      </c>
      <c r="F922" t="s">
        <v>88</v>
      </c>
      <c r="G922" s="19">
        <v>45562</v>
      </c>
      <c r="H922" t="s">
        <v>94</v>
      </c>
      <c r="I922" t="s">
        <v>252</v>
      </c>
      <c r="J922" t="s">
        <v>4448</v>
      </c>
      <c r="O922" t="s">
        <v>4449</v>
      </c>
      <c r="Q922" s="3">
        <f t="shared" si="66"/>
        <v>44.51</v>
      </c>
      <c r="V922" s="3" t="str">
        <f t="shared" si="67"/>
        <v/>
      </c>
    </row>
    <row r="923" spans="1:22" x14ac:dyDescent="0.35">
      <c r="A923" t="s">
        <v>0</v>
      </c>
      <c r="B923" t="s">
        <v>1543</v>
      </c>
      <c r="C923" t="s">
        <v>16</v>
      </c>
      <c r="D923" t="s">
        <v>17</v>
      </c>
      <c r="E923">
        <v>44.04</v>
      </c>
      <c r="F923" t="s">
        <v>88</v>
      </c>
      <c r="G923" s="19">
        <v>45652</v>
      </c>
      <c r="H923" t="s">
        <v>181</v>
      </c>
      <c r="I923" t="s">
        <v>182</v>
      </c>
      <c r="J923"/>
      <c r="Q923" s="3">
        <f t="shared" si="66"/>
        <v>44.04</v>
      </c>
      <c r="V923" s="3" t="str">
        <f t="shared" si="67"/>
        <v/>
      </c>
    </row>
    <row r="924" spans="1:22" x14ac:dyDescent="0.35">
      <c r="A924" t="s">
        <v>0</v>
      </c>
      <c r="B924" t="s">
        <v>1566</v>
      </c>
      <c r="C924" t="s">
        <v>16</v>
      </c>
      <c r="D924" t="s">
        <v>17</v>
      </c>
      <c r="E924">
        <v>43.91</v>
      </c>
      <c r="F924" t="s">
        <v>88</v>
      </c>
      <c r="G924" s="19">
        <v>45551</v>
      </c>
      <c r="H924" t="s">
        <v>89</v>
      </c>
      <c r="I924" t="s">
        <v>4361</v>
      </c>
      <c r="J924"/>
      <c r="K924" t="s">
        <v>4362</v>
      </c>
      <c r="L924" t="s">
        <v>4363</v>
      </c>
      <c r="M924" t="s">
        <v>1784</v>
      </c>
      <c r="Q924" s="3">
        <f t="shared" si="66"/>
        <v>43.91</v>
      </c>
      <c r="V924" s="3" t="str">
        <f t="shared" si="67"/>
        <v/>
      </c>
    </row>
    <row r="925" spans="1:22" x14ac:dyDescent="0.35">
      <c r="A925" t="s">
        <v>35</v>
      </c>
      <c r="B925" t="s">
        <v>1566</v>
      </c>
      <c r="C925" t="s">
        <v>16</v>
      </c>
      <c r="D925" t="s">
        <v>17</v>
      </c>
      <c r="E925">
        <v>43.64</v>
      </c>
      <c r="F925" t="s">
        <v>88</v>
      </c>
      <c r="G925" s="19">
        <v>45453</v>
      </c>
      <c r="H925" t="s">
        <v>94</v>
      </c>
      <c r="I925" t="s">
        <v>229</v>
      </c>
      <c r="J925" t="s">
        <v>3509</v>
      </c>
      <c r="O925" t="s">
        <v>3510</v>
      </c>
      <c r="Q925" s="3">
        <f t="shared" si="66"/>
        <v>43.64</v>
      </c>
      <c r="V925" s="3" t="str">
        <f t="shared" si="67"/>
        <v/>
      </c>
    </row>
    <row r="926" spans="1:22" x14ac:dyDescent="0.35">
      <c r="A926" t="s">
        <v>35</v>
      </c>
      <c r="B926" t="s">
        <v>1566</v>
      </c>
      <c r="C926" t="s">
        <v>16</v>
      </c>
      <c r="D926" t="s">
        <v>17</v>
      </c>
      <c r="E926">
        <v>43.64</v>
      </c>
      <c r="F926" t="s">
        <v>88</v>
      </c>
      <c r="G926" s="19">
        <v>45574</v>
      </c>
      <c r="H926" t="s">
        <v>94</v>
      </c>
      <c r="I926" t="s">
        <v>4612</v>
      </c>
      <c r="J926" t="s">
        <v>4615</v>
      </c>
      <c r="O926" t="s">
        <v>4616</v>
      </c>
      <c r="Q926" s="3">
        <f t="shared" si="66"/>
        <v>43.64</v>
      </c>
      <c r="V926" s="3" t="str">
        <f t="shared" si="67"/>
        <v/>
      </c>
    </row>
    <row r="927" spans="1:22" x14ac:dyDescent="0.35">
      <c r="A927" t="s">
        <v>35</v>
      </c>
      <c r="B927" t="s">
        <v>915</v>
      </c>
      <c r="C927" t="s">
        <v>16</v>
      </c>
      <c r="D927" t="s">
        <v>17</v>
      </c>
      <c r="E927">
        <v>43.2</v>
      </c>
      <c r="F927" t="s">
        <v>88</v>
      </c>
      <c r="G927" s="19">
        <v>45454</v>
      </c>
      <c r="H927" t="s">
        <v>94</v>
      </c>
      <c r="I927" t="s">
        <v>3335</v>
      </c>
      <c r="J927" t="s">
        <v>3561</v>
      </c>
      <c r="O927" t="s">
        <v>3337</v>
      </c>
      <c r="Q927" s="3">
        <f t="shared" si="66"/>
        <v>43.2</v>
      </c>
      <c r="V927" s="3" t="str">
        <f t="shared" si="67"/>
        <v/>
      </c>
    </row>
    <row r="928" spans="1:22" ht="87" x14ac:dyDescent="0.35">
      <c r="A928" t="s">
        <v>35</v>
      </c>
      <c r="B928" t="s">
        <v>819</v>
      </c>
      <c r="C928" t="s">
        <v>16</v>
      </c>
      <c r="D928" t="s">
        <v>17</v>
      </c>
      <c r="E928">
        <v>42.55</v>
      </c>
      <c r="F928" t="s">
        <v>88</v>
      </c>
      <c r="G928" s="19">
        <v>45579</v>
      </c>
      <c r="H928" t="s">
        <v>94</v>
      </c>
      <c r="I928" t="s">
        <v>228</v>
      </c>
      <c r="J928" t="s">
        <v>4635</v>
      </c>
      <c r="O928" t="s">
        <v>4636</v>
      </c>
      <c r="Q928" s="3">
        <f t="shared" si="66"/>
        <v>42.55</v>
      </c>
      <c r="R928" s="69" t="s">
        <v>5326</v>
      </c>
      <c r="S928" s="69" t="s">
        <v>5327</v>
      </c>
      <c r="V928" s="3" t="str">
        <f t="shared" si="67"/>
        <v/>
      </c>
    </row>
    <row r="929" spans="1:22" ht="87" x14ac:dyDescent="0.35">
      <c r="A929" t="s">
        <v>35</v>
      </c>
      <c r="B929" t="s">
        <v>819</v>
      </c>
      <c r="C929" t="s">
        <v>16</v>
      </c>
      <c r="D929" t="s">
        <v>17</v>
      </c>
      <c r="E929">
        <v>42.55</v>
      </c>
      <c r="F929" t="s">
        <v>88</v>
      </c>
      <c r="G929" s="19">
        <v>45579</v>
      </c>
      <c r="H929" t="s">
        <v>94</v>
      </c>
      <c r="I929" t="s">
        <v>228</v>
      </c>
      <c r="J929" t="s">
        <v>4637</v>
      </c>
      <c r="O929" t="s">
        <v>4636</v>
      </c>
      <c r="Q929" s="3">
        <f t="shared" si="66"/>
        <v>42.55</v>
      </c>
      <c r="R929" s="69" t="s">
        <v>5326</v>
      </c>
      <c r="S929" s="69" t="s">
        <v>5327</v>
      </c>
      <c r="V929" s="3" t="str">
        <f t="shared" si="67"/>
        <v/>
      </c>
    </row>
    <row r="930" spans="1:22" x14ac:dyDescent="0.35">
      <c r="A930" t="s">
        <v>35</v>
      </c>
      <c r="B930" t="s">
        <v>1566</v>
      </c>
      <c r="C930" t="s">
        <v>16</v>
      </c>
      <c r="D930" t="s">
        <v>17</v>
      </c>
      <c r="E930">
        <v>42</v>
      </c>
      <c r="F930" t="s">
        <v>88</v>
      </c>
      <c r="G930" s="19">
        <v>45470</v>
      </c>
      <c r="H930" t="s">
        <v>94</v>
      </c>
      <c r="I930" t="s">
        <v>227</v>
      </c>
      <c r="J930" t="s">
        <v>3694</v>
      </c>
      <c r="O930" t="s">
        <v>3695</v>
      </c>
      <c r="Q930" s="3">
        <f t="shared" si="66"/>
        <v>42</v>
      </c>
      <c r="V930" s="3" t="str">
        <f t="shared" si="67"/>
        <v/>
      </c>
    </row>
    <row r="931" spans="1:22" x14ac:dyDescent="0.35">
      <c r="A931" t="s">
        <v>35</v>
      </c>
      <c r="B931" t="s">
        <v>615</v>
      </c>
      <c r="C931" t="s">
        <v>16</v>
      </c>
      <c r="D931" t="s">
        <v>17</v>
      </c>
      <c r="E931">
        <v>41.35</v>
      </c>
      <c r="F931" t="s">
        <v>88</v>
      </c>
      <c r="G931" s="19">
        <v>45390</v>
      </c>
      <c r="H931" t="s">
        <v>94</v>
      </c>
      <c r="I931" t="s">
        <v>447</v>
      </c>
      <c r="J931" t="s">
        <v>2868</v>
      </c>
      <c r="O931" t="s">
        <v>539</v>
      </c>
      <c r="Q931" s="3">
        <f t="shared" si="66"/>
        <v>41.35</v>
      </c>
      <c r="V931" s="3" t="str">
        <f t="shared" si="67"/>
        <v/>
      </c>
    </row>
    <row r="932" spans="1:22" x14ac:dyDescent="0.35">
      <c r="A932" t="s">
        <v>35</v>
      </c>
      <c r="B932" t="s">
        <v>825</v>
      </c>
      <c r="C932" t="s">
        <v>16</v>
      </c>
      <c r="D932" t="s">
        <v>17</v>
      </c>
      <c r="E932">
        <v>41.3</v>
      </c>
      <c r="F932" t="s">
        <v>88</v>
      </c>
      <c r="G932" s="19">
        <v>45574</v>
      </c>
      <c r="H932" t="s">
        <v>94</v>
      </c>
      <c r="I932" t="s">
        <v>448</v>
      </c>
      <c r="J932" t="s">
        <v>4611</v>
      </c>
      <c r="O932" t="s">
        <v>2666</v>
      </c>
      <c r="Q932" s="3">
        <f t="shared" si="66"/>
        <v>41.3</v>
      </c>
      <c r="V932" s="3" t="str">
        <f t="shared" si="67"/>
        <v/>
      </c>
    </row>
    <row r="933" spans="1:22" x14ac:dyDescent="0.35">
      <c r="A933" t="s">
        <v>35</v>
      </c>
      <c r="B933" t="s">
        <v>1566</v>
      </c>
      <c r="C933" t="s">
        <v>16</v>
      </c>
      <c r="D933" t="s">
        <v>17</v>
      </c>
      <c r="E933">
        <v>40.909999999999997</v>
      </c>
      <c r="F933" t="s">
        <v>88</v>
      </c>
      <c r="G933" s="19">
        <v>45386</v>
      </c>
      <c r="H933" t="s">
        <v>94</v>
      </c>
      <c r="I933" t="s">
        <v>2634</v>
      </c>
      <c r="J933" t="s">
        <v>2833</v>
      </c>
      <c r="O933" t="s">
        <v>2834</v>
      </c>
      <c r="Q933" s="3">
        <f t="shared" si="66"/>
        <v>40.909999999999997</v>
      </c>
      <c r="V933" s="3" t="str">
        <f t="shared" si="67"/>
        <v/>
      </c>
    </row>
    <row r="934" spans="1:22" x14ac:dyDescent="0.35">
      <c r="A934" t="s">
        <v>35</v>
      </c>
      <c r="B934" t="s">
        <v>852</v>
      </c>
      <c r="C934" t="s">
        <v>16</v>
      </c>
      <c r="D934" t="s">
        <v>17</v>
      </c>
      <c r="E934">
        <v>40.909999999999997</v>
      </c>
      <c r="F934" t="s">
        <v>88</v>
      </c>
      <c r="G934" s="19">
        <v>45544</v>
      </c>
      <c r="H934" t="s">
        <v>94</v>
      </c>
      <c r="I934" t="s">
        <v>4253</v>
      </c>
      <c r="J934" t="s">
        <v>4254</v>
      </c>
      <c r="O934" t="s">
        <v>3057</v>
      </c>
      <c r="Q934" s="3">
        <f t="shared" si="66"/>
        <v>40.909999999999997</v>
      </c>
      <c r="V934" s="3" t="str">
        <f t="shared" si="67"/>
        <v/>
      </c>
    </row>
    <row r="935" spans="1:22" x14ac:dyDescent="0.35">
      <c r="A935" t="s">
        <v>35</v>
      </c>
      <c r="B935" t="s">
        <v>601</v>
      </c>
      <c r="C935" t="s">
        <v>16</v>
      </c>
      <c r="D935" t="s">
        <v>17</v>
      </c>
      <c r="E935">
        <v>40.590000000000003</v>
      </c>
      <c r="F935" t="s">
        <v>88</v>
      </c>
      <c r="G935" s="19">
        <v>45565</v>
      </c>
      <c r="H935" t="s">
        <v>94</v>
      </c>
      <c r="I935" t="s">
        <v>4505</v>
      </c>
      <c r="J935" t="s">
        <v>4506</v>
      </c>
      <c r="O935" t="s">
        <v>964</v>
      </c>
      <c r="Q935" s="3">
        <f t="shared" si="66"/>
        <v>40.590000000000003</v>
      </c>
      <c r="V935" s="3" t="str">
        <f t="shared" si="67"/>
        <v/>
      </c>
    </row>
    <row r="936" spans="1:22" ht="87" x14ac:dyDescent="0.35">
      <c r="A936" t="s">
        <v>35</v>
      </c>
      <c r="B936" t="s">
        <v>2031</v>
      </c>
      <c r="C936" t="s">
        <v>16</v>
      </c>
      <c r="D936" t="s">
        <v>17</v>
      </c>
      <c r="E936">
        <v>40.450000000000003</v>
      </c>
      <c r="F936" t="s">
        <v>88</v>
      </c>
      <c r="G936" s="19">
        <v>45523</v>
      </c>
      <c r="H936" t="s">
        <v>94</v>
      </c>
      <c r="I936" t="s">
        <v>4070</v>
      </c>
      <c r="J936" t="s">
        <v>4071</v>
      </c>
      <c r="O936" t="s">
        <v>4072</v>
      </c>
      <c r="Q936" s="3">
        <f t="shared" si="66"/>
        <v>40.450000000000003</v>
      </c>
      <c r="R936" s="69" t="s">
        <v>5326</v>
      </c>
      <c r="S936" s="69" t="s">
        <v>5327</v>
      </c>
      <c r="V936" s="3" t="str">
        <f t="shared" si="67"/>
        <v/>
      </c>
    </row>
    <row r="937" spans="1:22" x14ac:dyDescent="0.35">
      <c r="A937" t="s">
        <v>35</v>
      </c>
      <c r="B937" t="s">
        <v>672</v>
      </c>
      <c r="C937" t="s">
        <v>16</v>
      </c>
      <c r="D937" t="s">
        <v>17</v>
      </c>
      <c r="E937">
        <v>40</v>
      </c>
      <c r="F937" t="s">
        <v>88</v>
      </c>
      <c r="G937" s="19">
        <v>45436</v>
      </c>
      <c r="H937" t="s">
        <v>94</v>
      </c>
      <c r="I937" t="s">
        <v>3357</v>
      </c>
      <c r="J937" t="s">
        <v>3358</v>
      </c>
      <c r="O937" t="s">
        <v>3359</v>
      </c>
      <c r="Q937" s="3">
        <f t="shared" si="66"/>
        <v>40</v>
      </c>
      <c r="V937" s="3" t="str">
        <f t="shared" si="67"/>
        <v/>
      </c>
    </row>
    <row r="938" spans="1:22" x14ac:dyDescent="0.35">
      <c r="A938" t="s">
        <v>35</v>
      </c>
      <c r="B938" t="s">
        <v>2031</v>
      </c>
      <c r="C938" t="s">
        <v>16</v>
      </c>
      <c r="D938" t="s">
        <v>17</v>
      </c>
      <c r="E938">
        <v>39.909999999999997</v>
      </c>
      <c r="F938" t="s">
        <v>88</v>
      </c>
      <c r="G938" s="19">
        <v>45485</v>
      </c>
      <c r="H938" t="s">
        <v>94</v>
      </c>
      <c r="I938" t="s">
        <v>450</v>
      </c>
      <c r="J938" t="s">
        <v>3814</v>
      </c>
      <c r="O938" t="s">
        <v>3815</v>
      </c>
      <c r="Q938" s="3">
        <f t="shared" si="66"/>
        <v>39.909999999999997</v>
      </c>
      <c r="V938" s="3" t="str">
        <f t="shared" si="67"/>
        <v/>
      </c>
    </row>
    <row r="939" spans="1:22" x14ac:dyDescent="0.35">
      <c r="A939" t="s">
        <v>35</v>
      </c>
      <c r="B939" t="s">
        <v>1566</v>
      </c>
      <c r="C939" t="s">
        <v>16</v>
      </c>
      <c r="D939" t="s">
        <v>17</v>
      </c>
      <c r="E939">
        <v>39.68</v>
      </c>
      <c r="F939" t="s">
        <v>88</v>
      </c>
      <c r="G939" s="19">
        <v>45609</v>
      </c>
      <c r="H939" t="s">
        <v>94</v>
      </c>
      <c r="I939" t="s">
        <v>4876</v>
      </c>
      <c r="J939" t="s">
        <v>4877</v>
      </c>
      <c r="O939" t="s">
        <v>4878</v>
      </c>
      <c r="Q939" s="3">
        <f t="shared" si="66"/>
        <v>39.68</v>
      </c>
      <c r="S939" s="69" t="s">
        <v>53</v>
      </c>
      <c r="T939" t="s">
        <v>64</v>
      </c>
      <c r="U939" t="str">
        <f t="shared" ref="U939:U951" si="69">B939</f>
        <v>AU032046</v>
      </c>
      <c r="V939" s="3">
        <f t="shared" si="67"/>
        <v>39.68</v>
      </c>
    </row>
    <row r="940" spans="1:22" x14ac:dyDescent="0.35">
      <c r="A940" t="s">
        <v>35</v>
      </c>
      <c r="B940" t="s">
        <v>1566</v>
      </c>
      <c r="C940" t="s">
        <v>16</v>
      </c>
      <c r="D940" t="s">
        <v>17</v>
      </c>
      <c r="E940">
        <v>39.68</v>
      </c>
      <c r="F940" t="s">
        <v>88</v>
      </c>
      <c r="G940" s="19">
        <v>45609</v>
      </c>
      <c r="H940" t="s">
        <v>94</v>
      </c>
      <c r="I940" t="s">
        <v>4876</v>
      </c>
      <c r="J940" t="s">
        <v>4879</v>
      </c>
      <c r="O940" t="s">
        <v>4878</v>
      </c>
      <c r="Q940" s="3">
        <f t="shared" si="66"/>
        <v>39.68</v>
      </c>
      <c r="S940" s="69" t="s">
        <v>53</v>
      </c>
      <c r="T940" t="s">
        <v>64</v>
      </c>
      <c r="U940" t="str">
        <f t="shared" si="69"/>
        <v>AU032046</v>
      </c>
      <c r="V940" s="3">
        <f t="shared" si="67"/>
        <v>39.68</v>
      </c>
    </row>
    <row r="941" spans="1:22" x14ac:dyDescent="0.35">
      <c r="A941" t="s">
        <v>35</v>
      </c>
      <c r="B941" t="s">
        <v>1566</v>
      </c>
      <c r="C941" t="s">
        <v>16</v>
      </c>
      <c r="D941" t="s">
        <v>17</v>
      </c>
      <c r="E941">
        <v>39.68</v>
      </c>
      <c r="F941" t="s">
        <v>88</v>
      </c>
      <c r="G941" s="19">
        <v>45609</v>
      </c>
      <c r="H941" t="s">
        <v>94</v>
      </c>
      <c r="I941" t="s">
        <v>4876</v>
      </c>
      <c r="J941" t="s">
        <v>4881</v>
      </c>
      <c r="O941" t="s">
        <v>4878</v>
      </c>
      <c r="Q941" s="3">
        <f t="shared" si="66"/>
        <v>39.68</v>
      </c>
      <c r="S941" s="69" t="s">
        <v>53</v>
      </c>
      <c r="T941" t="s">
        <v>64</v>
      </c>
      <c r="U941" t="str">
        <f t="shared" si="69"/>
        <v>AU032046</v>
      </c>
      <c r="V941" s="3">
        <f t="shared" si="67"/>
        <v>39.68</v>
      </c>
    </row>
    <row r="942" spans="1:22" x14ac:dyDescent="0.35">
      <c r="A942" t="s">
        <v>35</v>
      </c>
      <c r="B942" t="s">
        <v>1566</v>
      </c>
      <c r="C942" t="s">
        <v>16</v>
      </c>
      <c r="D942" t="s">
        <v>17</v>
      </c>
      <c r="E942">
        <v>39.68</v>
      </c>
      <c r="F942" t="s">
        <v>88</v>
      </c>
      <c r="G942" s="19">
        <v>45609</v>
      </c>
      <c r="H942" t="s">
        <v>94</v>
      </c>
      <c r="I942" t="s">
        <v>4876</v>
      </c>
      <c r="J942" t="s">
        <v>4882</v>
      </c>
      <c r="O942" t="s">
        <v>4878</v>
      </c>
      <c r="Q942" s="3">
        <f t="shared" si="66"/>
        <v>39.68</v>
      </c>
      <c r="S942" s="69" t="s">
        <v>53</v>
      </c>
      <c r="T942" t="s">
        <v>64</v>
      </c>
      <c r="U942" t="str">
        <f t="shared" si="69"/>
        <v>AU032046</v>
      </c>
      <c r="V942" s="3">
        <f t="shared" si="67"/>
        <v>39.68</v>
      </c>
    </row>
    <row r="943" spans="1:22" x14ac:dyDescent="0.35">
      <c r="A943" t="s">
        <v>35</v>
      </c>
      <c r="B943" t="s">
        <v>1566</v>
      </c>
      <c r="C943" t="s">
        <v>16</v>
      </c>
      <c r="D943" t="s">
        <v>17</v>
      </c>
      <c r="E943">
        <v>39.68</v>
      </c>
      <c r="F943" t="s">
        <v>88</v>
      </c>
      <c r="G943" s="19">
        <v>45609</v>
      </c>
      <c r="H943" t="s">
        <v>94</v>
      </c>
      <c r="I943" t="s">
        <v>4876</v>
      </c>
      <c r="J943" t="s">
        <v>4883</v>
      </c>
      <c r="O943" t="s">
        <v>4878</v>
      </c>
      <c r="Q943" s="3">
        <f t="shared" si="66"/>
        <v>39.68</v>
      </c>
      <c r="S943" s="69" t="s">
        <v>53</v>
      </c>
      <c r="T943" t="s">
        <v>64</v>
      </c>
      <c r="U943" t="str">
        <f t="shared" si="69"/>
        <v>AU032046</v>
      </c>
      <c r="V943" s="3">
        <f t="shared" si="67"/>
        <v>39.68</v>
      </c>
    </row>
    <row r="944" spans="1:22" x14ac:dyDescent="0.35">
      <c r="A944" t="s">
        <v>35</v>
      </c>
      <c r="B944" t="s">
        <v>1566</v>
      </c>
      <c r="C944" t="s">
        <v>16</v>
      </c>
      <c r="D944" t="s">
        <v>17</v>
      </c>
      <c r="E944">
        <v>39.68</v>
      </c>
      <c r="F944" t="s">
        <v>88</v>
      </c>
      <c r="G944" s="19">
        <v>45609</v>
      </c>
      <c r="H944" t="s">
        <v>94</v>
      </c>
      <c r="I944" t="s">
        <v>4876</v>
      </c>
      <c r="J944" t="s">
        <v>4884</v>
      </c>
      <c r="O944" t="s">
        <v>4878</v>
      </c>
      <c r="Q944" s="3">
        <f t="shared" si="66"/>
        <v>39.68</v>
      </c>
      <c r="S944" s="69" t="s">
        <v>53</v>
      </c>
      <c r="T944" t="s">
        <v>64</v>
      </c>
      <c r="U944" t="str">
        <f t="shared" si="69"/>
        <v>AU032046</v>
      </c>
      <c r="V944" s="3">
        <f t="shared" si="67"/>
        <v>39.68</v>
      </c>
    </row>
    <row r="945" spans="1:22" x14ac:dyDescent="0.35">
      <c r="A945" t="s">
        <v>35</v>
      </c>
      <c r="B945" t="s">
        <v>1566</v>
      </c>
      <c r="C945" t="s">
        <v>16</v>
      </c>
      <c r="D945" t="s">
        <v>17</v>
      </c>
      <c r="E945">
        <v>39.68</v>
      </c>
      <c r="F945" t="s">
        <v>88</v>
      </c>
      <c r="G945" s="19">
        <v>45609</v>
      </c>
      <c r="H945" t="s">
        <v>94</v>
      </c>
      <c r="I945" t="s">
        <v>4876</v>
      </c>
      <c r="J945" t="s">
        <v>4885</v>
      </c>
      <c r="O945" t="s">
        <v>4878</v>
      </c>
      <c r="Q945" s="3">
        <f t="shared" si="66"/>
        <v>39.68</v>
      </c>
      <c r="S945" s="69" t="s">
        <v>53</v>
      </c>
      <c r="T945" t="s">
        <v>64</v>
      </c>
      <c r="U945" t="str">
        <f t="shared" si="69"/>
        <v>AU032046</v>
      </c>
      <c r="V945" s="3">
        <f t="shared" si="67"/>
        <v>39.68</v>
      </c>
    </row>
    <row r="946" spans="1:22" x14ac:dyDescent="0.35">
      <c r="A946" t="s">
        <v>35</v>
      </c>
      <c r="B946" t="s">
        <v>1566</v>
      </c>
      <c r="C946" t="s">
        <v>16</v>
      </c>
      <c r="D946" t="s">
        <v>17</v>
      </c>
      <c r="E946">
        <v>39.68</v>
      </c>
      <c r="F946" t="s">
        <v>88</v>
      </c>
      <c r="G946" s="19">
        <v>45609</v>
      </c>
      <c r="H946" t="s">
        <v>94</v>
      </c>
      <c r="I946" t="s">
        <v>4876</v>
      </c>
      <c r="J946" t="s">
        <v>4886</v>
      </c>
      <c r="O946" t="s">
        <v>4878</v>
      </c>
      <c r="Q946" s="3">
        <f t="shared" si="66"/>
        <v>39.68</v>
      </c>
      <c r="S946" s="69" t="s">
        <v>53</v>
      </c>
      <c r="T946" t="s">
        <v>64</v>
      </c>
      <c r="U946" t="str">
        <f t="shared" si="69"/>
        <v>AU032046</v>
      </c>
      <c r="V946" s="3">
        <f t="shared" si="67"/>
        <v>39.68</v>
      </c>
    </row>
    <row r="947" spans="1:22" x14ac:dyDescent="0.35">
      <c r="A947" t="s">
        <v>35</v>
      </c>
      <c r="B947" t="s">
        <v>1566</v>
      </c>
      <c r="C947" t="s">
        <v>16</v>
      </c>
      <c r="D947" t="s">
        <v>17</v>
      </c>
      <c r="E947">
        <v>39.68</v>
      </c>
      <c r="F947" t="s">
        <v>88</v>
      </c>
      <c r="G947" s="19">
        <v>45609</v>
      </c>
      <c r="H947" t="s">
        <v>94</v>
      </c>
      <c r="I947" t="s">
        <v>4876</v>
      </c>
      <c r="J947" t="s">
        <v>4887</v>
      </c>
      <c r="O947" t="s">
        <v>4878</v>
      </c>
      <c r="Q947" s="3">
        <f t="shared" si="66"/>
        <v>39.68</v>
      </c>
      <c r="S947" s="69" t="s">
        <v>53</v>
      </c>
      <c r="T947" t="s">
        <v>64</v>
      </c>
      <c r="U947" t="str">
        <f t="shared" si="69"/>
        <v>AU032046</v>
      </c>
      <c r="V947" s="3">
        <f t="shared" si="67"/>
        <v>39.68</v>
      </c>
    </row>
    <row r="948" spans="1:22" x14ac:dyDescent="0.35">
      <c r="A948" t="s">
        <v>35</v>
      </c>
      <c r="B948" t="s">
        <v>1566</v>
      </c>
      <c r="C948" t="s">
        <v>16</v>
      </c>
      <c r="D948" t="s">
        <v>17</v>
      </c>
      <c r="E948">
        <v>39.68</v>
      </c>
      <c r="F948" t="s">
        <v>88</v>
      </c>
      <c r="G948" s="19">
        <v>45609</v>
      </c>
      <c r="H948" t="s">
        <v>94</v>
      </c>
      <c r="I948" t="s">
        <v>4876</v>
      </c>
      <c r="J948" t="s">
        <v>4888</v>
      </c>
      <c r="O948" t="s">
        <v>4878</v>
      </c>
      <c r="Q948" s="3">
        <f t="shared" si="66"/>
        <v>39.68</v>
      </c>
      <c r="S948" s="69" t="s">
        <v>53</v>
      </c>
      <c r="T948" t="s">
        <v>64</v>
      </c>
      <c r="U948" t="str">
        <f t="shared" si="69"/>
        <v>AU032046</v>
      </c>
      <c r="V948" s="3">
        <f t="shared" si="67"/>
        <v>39.68</v>
      </c>
    </row>
    <row r="949" spans="1:22" x14ac:dyDescent="0.35">
      <c r="A949" t="s">
        <v>35</v>
      </c>
      <c r="B949" t="s">
        <v>1566</v>
      </c>
      <c r="C949" t="s">
        <v>16</v>
      </c>
      <c r="D949" t="s">
        <v>17</v>
      </c>
      <c r="E949">
        <v>39.68</v>
      </c>
      <c r="F949" t="s">
        <v>88</v>
      </c>
      <c r="G949" s="19">
        <v>45609</v>
      </c>
      <c r="H949" t="s">
        <v>94</v>
      </c>
      <c r="I949" t="s">
        <v>4876</v>
      </c>
      <c r="J949" t="s">
        <v>4889</v>
      </c>
      <c r="O949" t="s">
        <v>4878</v>
      </c>
      <c r="Q949" s="3">
        <f t="shared" si="66"/>
        <v>39.68</v>
      </c>
      <c r="S949" s="69" t="s">
        <v>53</v>
      </c>
      <c r="T949" t="s">
        <v>64</v>
      </c>
      <c r="U949" t="str">
        <f t="shared" si="69"/>
        <v>AU032046</v>
      </c>
      <c r="V949" s="3">
        <f t="shared" si="67"/>
        <v>39.68</v>
      </c>
    </row>
    <row r="950" spans="1:22" x14ac:dyDescent="0.35">
      <c r="A950" t="s">
        <v>35</v>
      </c>
      <c r="B950" t="s">
        <v>1566</v>
      </c>
      <c r="C950" t="s">
        <v>16</v>
      </c>
      <c r="D950" t="s">
        <v>17</v>
      </c>
      <c r="E950">
        <v>39.67</v>
      </c>
      <c r="F950" t="s">
        <v>88</v>
      </c>
      <c r="G950" s="19">
        <v>45609</v>
      </c>
      <c r="H950" t="s">
        <v>94</v>
      </c>
      <c r="I950" t="s">
        <v>4876</v>
      </c>
      <c r="J950" t="s">
        <v>4880</v>
      </c>
      <c r="O950" t="s">
        <v>4878</v>
      </c>
      <c r="Q950" s="3">
        <f t="shared" si="66"/>
        <v>39.67</v>
      </c>
      <c r="S950" s="69" t="s">
        <v>53</v>
      </c>
      <c r="T950" t="s">
        <v>64</v>
      </c>
      <c r="U950" t="str">
        <f t="shared" si="69"/>
        <v>AU032046</v>
      </c>
      <c r="V950" s="3">
        <f t="shared" si="67"/>
        <v>39.67</v>
      </c>
    </row>
    <row r="951" spans="1:22" x14ac:dyDescent="0.35">
      <c r="A951" t="s">
        <v>35</v>
      </c>
      <c r="B951" t="s">
        <v>1566</v>
      </c>
      <c r="C951" t="s">
        <v>16</v>
      </c>
      <c r="D951" t="s">
        <v>17</v>
      </c>
      <c r="E951">
        <v>39.67</v>
      </c>
      <c r="F951" t="s">
        <v>88</v>
      </c>
      <c r="G951" s="19">
        <v>45609</v>
      </c>
      <c r="H951" t="s">
        <v>94</v>
      </c>
      <c r="I951" t="s">
        <v>4876</v>
      </c>
      <c r="J951" t="s">
        <v>4890</v>
      </c>
      <c r="O951" t="s">
        <v>4878</v>
      </c>
      <c r="Q951" s="3">
        <f t="shared" si="66"/>
        <v>39.67</v>
      </c>
      <c r="S951" s="69" t="s">
        <v>53</v>
      </c>
      <c r="T951" t="s">
        <v>64</v>
      </c>
      <c r="U951" t="str">
        <f t="shared" si="69"/>
        <v>AU032046</v>
      </c>
      <c r="V951" s="3">
        <f t="shared" si="67"/>
        <v>39.67</v>
      </c>
    </row>
    <row r="952" spans="1:22" ht="87" x14ac:dyDescent="0.35">
      <c r="A952" t="s">
        <v>35</v>
      </c>
      <c r="B952" t="s">
        <v>2031</v>
      </c>
      <c r="C952" t="s">
        <v>16</v>
      </c>
      <c r="D952" t="s">
        <v>17</v>
      </c>
      <c r="E952">
        <v>39.549999999999997</v>
      </c>
      <c r="F952" t="s">
        <v>88</v>
      </c>
      <c r="G952" s="19">
        <v>45565</v>
      </c>
      <c r="H952" t="s">
        <v>94</v>
      </c>
      <c r="I952" t="s">
        <v>4070</v>
      </c>
      <c r="J952" t="s">
        <v>4071</v>
      </c>
      <c r="O952" t="s">
        <v>4502</v>
      </c>
      <c r="Q952" s="3">
        <f t="shared" si="66"/>
        <v>39.549999999999997</v>
      </c>
      <c r="R952" s="69" t="s">
        <v>5326</v>
      </c>
      <c r="S952" s="69" t="s">
        <v>5327</v>
      </c>
      <c r="V952" s="3" t="str">
        <f t="shared" si="67"/>
        <v/>
      </c>
    </row>
    <row r="953" spans="1:22" x14ac:dyDescent="0.35">
      <c r="A953" t="s">
        <v>35</v>
      </c>
      <c r="B953" t="s">
        <v>1566</v>
      </c>
      <c r="C953" t="s">
        <v>16</v>
      </c>
      <c r="D953" t="s">
        <v>17</v>
      </c>
      <c r="E953">
        <v>39.450000000000003</v>
      </c>
      <c r="F953" t="s">
        <v>88</v>
      </c>
      <c r="G953" s="19">
        <v>45618</v>
      </c>
      <c r="H953" t="s">
        <v>94</v>
      </c>
      <c r="I953" t="s">
        <v>4612</v>
      </c>
      <c r="J953" t="s">
        <v>5011</v>
      </c>
      <c r="O953" t="s">
        <v>5012</v>
      </c>
      <c r="Q953" s="3">
        <f t="shared" si="66"/>
        <v>39.450000000000003</v>
      </c>
      <c r="V953" s="3" t="str">
        <f t="shared" si="67"/>
        <v/>
      </c>
    </row>
    <row r="954" spans="1:22" x14ac:dyDescent="0.35">
      <c r="A954" t="s">
        <v>35</v>
      </c>
      <c r="B954" t="s">
        <v>819</v>
      </c>
      <c r="C954" t="s">
        <v>16</v>
      </c>
      <c r="D954" t="s">
        <v>17</v>
      </c>
      <c r="E954">
        <v>39.090000000000003</v>
      </c>
      <c r="F954" t="s">
        <v>88</v>
      </c>
      <c r="G954" s="19">
        <v>45467</v>
      </c>
      <c r="H954" t="s">
        <v>94</v>
      </c>
      <c r="I954" t="s">
        <v>820</v>
      </c>
      <c r="J954" t="s">
        <v>3663</v>
      </c>
      <c r="O954" t="s">
        <v>3664</v>
      </c>
      <c r="Q954" s="3">
        <f t="shared" si="66"/>
        <v>39.090000000000003</v>
      </c>
      <c r="V954" s="3" t="str">
        <f t="shared" si="67"/>
        <v/>
      </c>
    </row>
    <row r="955" spans="1:22" x14ac:dyDescent="0.35">
      <c r="A955" t="s">
        <v>35</v>
      </c>
      <c r="B955" t="s">
        <v>1566</v>
      </c>
      <c r="C955" t="s">
        <v>16</v>
      </c>
      <c r="D955" t="s">
        <v>17</v>
      </c>
      <c r="E955">
        <v>38.770000000000003</v>
      </c>
      <c r="F955" t="s">
        <v>88</v>
      </c>
      <c r="G955" s="19">
        <v>45539</v>
      </c>
      <c r="H955" t="s">
        <v>94</v>
      </c>
      <c r="I955" t="s">
        <v>894</v>
      </c>
      <c r="J955" t="s">
        <v>4215</v>
      </c>
      <c r="O955" t="s">
        <v>4222</v>
      </c>
      <c r="Q955" s="3">
        <f t="shared" si="66"/>
        <v>38.770000000000003</v>
      </c>
      <c r="V955" s="3" t="str">
        <f t="shared" si="67"/>
        <v/>
      </c>
    </row>
    <row r="956" spans="1:22" x14ac:dyDescent="0.35">
      <c r="A956" t="s">
        <v>35</v>
      </c>
      <c r="B956" t="s">
        <v>1566</v>
      </c>
      <c r="C956" t="s">
        <v>16</v>
      </c>
      <c r="D956" t="s">
        <v>17</v>
      </c>
      <c r="E956">
        <v>38.18</v>
      </c>
      <c r="F956" t="s">
        <v>88</v>
      </c>
      <c r="G956" s="19">
        <v>45517</v>
      </c>
      <c r="H956" t="s">
        <v>94</v>
      </c>
      <c r="I956" t="s">
        <v>3677</v>
      </c>
      <c r="J956" t="s">
        <v>4024</v>
      </c>
      <c r="O956" t="s">
        <v>4025</v>
      </c>
      <c r="Q956" s="3">
        <f t="shared" si="66"/>
        <v>38.18</v>
      </c>
      <c r="V956" s="3" t="str">
        <f t="shared" si="67"/>
        <v/>
      </c>
    </row>
    <row r="957" spans="1:22" ht="87" x14ac:dyDescent="0.35">
      <c r="A957" t="s">
        <v>35</v>
      </c>
      <c r="B957" t="s">
        <v>1566</v>
      </c>
      <c r="C957" t="s">
        <v>16</v>
      </c>
      <c r="D957" t="s">
        <v>17</v>
      </c>
      <c r="E957">
        <v>38</v>
      </c>
      <c r="F957" t="s">
        <v>88</v>
      </c>
      <c r="G957" s="19">
        <v>45455</v>
      </c>
      <c r="H957" t="s">
        <v>94</v>
      </c>
      <c r="I957" t="s">
        <v>3184</v>
      </c>
      <c r="J957" t="s">
        <v>3566</v>
      </c>
      <c r="O957" t="s">
        <v>3186</v>
      </c>
      <c r="Q957" s="3">
        <f t="shared" si="66"/>
        <v>38</v>
      </c>
      <c r="R957" s="69" t="s">
        <v>5326</v>
      </c>
      <c r="S957" s="69" t="s">
        <v>5327</v>
      </c>
      <c r="V957" s="3" t="str">
        <f t="shared" si="67"/>
        <v/>
      </c>
    </row>
    <row r="958" spans="1:22" x14ac:dyDescent="0.35">
      <c r="A958" t="s">
        <v>35</v>
      </c>
      <c r="B958" t="s">
        <v>1566</v>
      </c>
      <c r="C958" t="s">
        <v>16</v>
      </c>
      <c r="D958" t="s">
        <v>17</v>
      </c>
      <c r="E958">
        <v>38</v>
      </c>
      <c r="F958" t="s">
        <v>88</v>
      </c>
      <c r="G958" s="19">
        <v>45546</v>
      </c>
      <c r="H958" t="s">
        <v>94</v>
      </c>
      <c r="I958" t="s">
        <v>4343</v>
      </c>
      <c r="J958" t="s">
        <v>4344</v>
      </c>
      <c r="O958" t="s">
        <v>538</v>
      </c>
      <c r="Q958" s="3">
        <f t="shared" si="66"/>
        <v>38</v>
      </c>
      <c r="V958" s="3" t="str">
        <f t="shared" si="67"/>
        <v/>
      </c>
    </row>
    <row r="959" spans="1:22" ht="87" x14ac:dyDescent="0.35">
      <c r="A959" t="s">
        <v>35</v>
      </c>
      <c r="B959" t="s">
        <v>825</v>
      </c>
      <c r="C959" t="s">
        <v>16</v>
      </c>
      <c r="D959" t="s">
        <v>17</v>
      </c>
      <c r="E959">
        <v>37.270000000000003</v>
      </c>
      <c r="F959" t="s">
        <v>88</v>
      </c>
      <c r="G959" s="19">
        <v>45565</v>
      </c>
      <c r="H959" t="s">
        <v>94</v>
      </c>
      <c r="I959" t="s">
        <v>234</v>
      </c>
      <c r="J959" t="s">
        <v>4470</v>
      </c>
      <c r="O959" t="s">
        <v>4471</v>
      </c>
      <c r="Q959" s="3">
        <f t="shared" si="66"/>
        <v>37.270000000000003</v>
      </c>
      <c r="R959" s="69" t="s">
        <v>5326</v>
      </c>
      <c r="S959" s="69" t="s">
        <v>5327</v>
      </c>
      <c r="V959" s="3" t="str">
        <f t="shared" si="67"/>
        <v/>
      </c>
    </row>
    <row r="960" spans="1:22" x14ac:dyDescent="0.35">
      <c r="A960" t="s">
        <v>35</v>
      </c>
      <c r="B960" t="s">
        <v>601</v>
      </c>
      <c r="C960" t="s">
        <v>16</v>
      </c>
      <c r="D960" t="s">
        <v>17</v>
      </c>
      <c r="E960">
        <v>36.36</v>
      </c>
      <c r="F960" t="s">
        <v>88</v>
      </c>
      <c r="G960" s="19">
        <v>45446</v>
      </c>
      <c r="H960" t="s">
        <v>94</v>
      </c>
      <c r="I960" t="s">
        <v>3420</v>
      </c>
      <c r="J960" t="s">
        <v>3421</v>
      </c>
      <c r="O960" t="s">
        <v>743</v>
      </c>
      <c r="Q960" s="3">
        <f t="shared" si="66"/>
        <v>36.36</v>
      </c>
      <c r="V960" s="3" t="str">
        <f t="shared" si="67"/>
        <v/>
      </c>
    </row>
    <row r="961" spans="1:22" x14ac:dyDescent="0.35">
      <c r="A961" t="s">
        <v>35</v>
      </c>
      <c r="B961" t="s">
        <v>642</v>
      </c>
      <c r="C961" t="s">
        <v>16</v>
      </c>
      <c r="D961" t="s">
        <v>17</v>
      </c>
      <c r="E961">
        <v>36.36</v>
      </c>
      <c r="F961" t="s">
        <v>88</v>
      </c>
      <c r="G961" s="19">
        <v>45460</v>
      </c>
      <c r="H961" t="s">
        <v>94</v>
      </c>
      <c r="I961" t="s">
        <v>1187</v>
      </c>
      <c r="J961" t="s">
        <v>3631</v>
      </c>
      <c r="O961" t="s">
        <v>743</v>
      </c>
      <c r="Q961" s="3">
        <f t="shared" si="66"/>
        <v>36.36</v>
      </c>
      <c r="V961" s="3" t="str">
        <f t="shared" si="67"/>
        <v/>
      </c>
    </row>
    <row r="962" spans="1:22" x14ac:dyDescent="0.35">
      <c r="A962" t="s">
        <v>35</v>
      </c>
      <c r="B962" t="s">
        <v>1566</v>
      </c>
      <c r="C962" t="s">
        <v>16</v>
      </c>
      <c r="D962" t="s">
        <v>17</v>
      </c>
      <c r="E962">
        <v>36.36</v>
      </c>
      <c r="F962" t="s">
        <v>88</v>
      </c>
      <c r="G962" s="19">
        <v>45618</v>
      </c>
      <c r="H962" t="s">
        <v>94</v>
      </c>
      <c r="I962" t="s">
        <v>237</v>
      </c>
      <c r="J962" t="s">
        <v>5017</v>
      </c>
      <c r="O962" t="s">
        <v>5018</v>
      </c>
      <c r="Q962" s="3">
        <f t="shared" si="66"/>
        <v>36.36</v>
      </c>
      <c r="V962" s="3" t="str">
        <f t="shared" si="67"/>
        <v/>
      </c>
    </row>
    <row r="963" spans="1:22" x14ac:dyDescent="0.35">
      <c r="A963" t="s">
        <v>35</v>
      </c>
      <c r="B963" t="s">
        <v>1566</v>
      </c>
      <c r="C963" t="s">
        <v>16</v>
      </c>
      <c r="D963" t="s">
        <v>17</v>
      </c>
      <c r="E963">
        <v>35.200000000000003</v>
      </c>
      <c r="F963" t="s">
        <v>88</v>
      </c>
      <c r="G963" s="19">
        <v>45470</v>
      </c>
      <c r="H963" t="s">
        <v>94</v>
      </c>
      <c r="I963" t="s">
        <v>252</v>
      </c>
      <c r="J963" t="s">
        <v>3696</v>
      </c>
      <c r="O963" t="s">
        <v>3697</v>
      </c>
      <c r="Q963" s="3">
        <f t="shared" si="66"/>
        <v>35.200000000000003</v>
      </c>
      <c r="V963" s="3" t="str">
        <f t="shared" si="67"/>
        <v/>
      </c>
    </row>
    <row r="964" spans="1:22" x14ac:dyDescent="0.35">
      <c r="A964" t="s">
        <v>35</v>
      </c>
      <c r="B964" t="s">
        <v>1566</v>
      </c>
      <c r="C964" t="s">
        <v>16</v>
      </c>
      <c r="D964" t="s">
        <v>17</v>
      </c>
      <c r="E964">
        <v>34.909999999999997</v>
      </c>
      <c r="F964" t="s">
        <v>88</v>
      </c>
      <c r="G964" s="19">
        <v>45422</v>
      </c>
      <c r="H964" t="s">
        <v>94</v>
      </c>
      <c r="I964" t="s">
        <v>3184</v>
      </c>
      <c r="J964" t="s">
        <v>3185</v>
      </c>
      <c r="O964" t="s">
        <v>3186</v>
      </c>
      <c r="Q964" s="3">
        <f t="shared" si="66"/>
        <v>34.909999999999997</v>
      </c>
      <c r="V964" s="3" t="str">
        <f t="shared" si="67"/>
        <v/>
      </c>
    </row>
    <row r="965" spans="1:22" ht="87" x14ac:dyDescent="0.35">
      <c r="A965" t="s">
        <v>35</v>
      </c>
      <c r="B965" t="s">
        <v>825</v>
      </c>
      <c r="C965" t="s">
        <v>16</v>
      </c>
      <c r="D965" t="s">
        <v>17</v>
      </c>
      <c r="E965">
        <v>34.700000000000003</v>
      </c>
      <c r="F965" t="s">
        <v>88</v>
      </c>
      <c r="G965" s="19">
        <v>45593</v>
      </c>
      <c r="H965" t="s">
        <v>94</v>
      </c>
      <c r="I965" t="s">
        <v>4716</v>
      </c>
      <c r="J965" t="s">
        <v>4717</v>
      </c>
      <c r="O965" t="s">
        <v>2664</v>
      </c>
      <c r="Q965" s="3">
        <f t="shared" si="66"/>
        <v>34.700000000000003</v>
      </c>
      <c r="R965" s="69" t="s">
        <v>5326</v>
      </c>
      <c r="S965" s="69" t="s">
        <v>5327</v>
      </c>
      <c r="V965" s="3" t="str">
        <f t="shared" si="67"/>
        <v/>
      </c>
    </row>
    <row r="966" spans="1:22" x14ac:dyDescent="0.35">
      <c r="A966" t="s">
        <v>35</v>
      </c>
      <c r="B966" t="s">
        <v>1566</v>
      </c>
      <c r="C966" t="s">
        <v>16</v>
      </c>
      <c r="D966" t="s">
        <v>17</v>
      </c>
      <c r="E966">
        <v>33.64</v>
      </c>
      <c r="F966" t="s">
        <v>88</v>
      </c>
      <c r="G966" s="19">
        <v>45398</v>
      </c>
      <c r="H966" t="s">
        <v>94</v>
      </c>
      <c r="I966" t="s">
        <v>910</v>
      </c>
      <c r="J966" t="s">
        <v>3018</v>
      </c>
      <c r="O966" t="s">
        <v>3017</v>
      </c>
      <c r="Q966" s="3">
        <f t="shared" si="66"/>
        <v>33.64</v>
      </c>
      <c r="V966" s="3" t="str">
        <f t="shared" si="67"/>
        <v/>
      </c>
    </row>
    <row r="967" spans="1:22" x14ac:dyDescent="0.35">
      <c r="A967" t="s">
        <v>35</v>
      </c>
      <c r="B967" t="s">
        <v>915</v>
      </c>
      <c r="C967" t="s">
        <v>16</v>
      </c>
      <c r="D967" t="s">
        <v>17</v>
      </c>
      <c r="E967">
        <v>33.64</v>
      </c>
      <c r="F967" t="s">
        <v>88</v>
      </c>
      <c r="G967" s="19">
        <v>45454</v>
      </c>
      <c r="H967" t="s">
        <v>94</v>
      </c>
      <c r="I967" t="s">
        <v>3555</v>
      </c>
      <c r="J967" t="s">
        <v>3556</v>
      </c>
      <c r="O967" t="s">
        <v>3557</v>
      </c>
      <c r="Q967" s="3">
        <f t="shared" si="66"/>
        <v>33.64</v>
      </c>
      <c r="V967" s="3" t="str">
        <f t="shared" si="67"/>
        <v/>
      </c>
    </row>
    <row r="968" spans="1:22" ht="87" x14ac:dyDescent="0.35">
      <c r="A968" t="s">
        <v>35</v>
      </c>
      <c r="B968" t="s">
        <v>2031</v>
      </c>
      <c r="C968" t="s">
        <v>16</v>
      </c>
      <c r="D968" t="s">
        <v>17</v>
      </c>
      <c r="E968">
        <v>33.549999999999997</v>
      </c>
      <c r="F968" t="s">
        <v>88</v>
      </c>
      <c r="G968" s="19">
        <v>45565</v>
      </c>
      <c r="H968" t="s">
        <v>94</v>
      </c>
      <c r="I968" t="s">
        <v>450</v>
      </c>
      <c r="J968" t="s">
        <v>4486</v>
      </c>
      <c r="O968" t="s">
        <v>4487</v>
      </c>
      <c r="Q968" s="3">
        <f t="shared" ref="Q968:Q1031" si="70">ABS(E968)</f>
        <v>33.549999999999997</v>
      </c>
      <c r="R968" s="69" t="s">
        <v>5326</v>
      </c>
      <c r="S968" s="69" t="s">
        <v>5327</v>
      </c>
      <c r="V968" s="3" t="str">
        <f t="shared" si="67"/>
        <v/>
      </c>
    </row>
    <row r="969" spans="1:22" x14ac:dyDescent="0.35">
      <c r="A969" t="s">
        <v>35</v>
      </c>
      <c r="B969" t="s">
        <v>915</v>
      </c>
      <c r="C969" t="s">
        <v>16</v>
      </c>
      <c r="D969" t="s">
        <v>17</v>
      </c>
      <c r="E969">
        <v>33.36</v>
      </c>
      <c r="F969" t="s">
        <v>88</v>
      </c>
      <c r="G969" s="19">
        <v>45625</v>
      </c>
      <c r="H969" t="s">
        <v>94</v>
      </c>
      <c r="I969" t="s">
        <v>4746</v>
      </c>
      <c r="J969" t="s">
        <v>5039</v>
      </c>
      <c r="O969" t="s">
        <v>4161</v>
      </c>
      <c r="Q969" s="3">
        <f t="shared" si="70"/>
        <v>33.36</v>
      </c>
      <c r="V969" s="3" t="str">
        <f t="shared" ref="V969:V1032" si="71">IF(T969="Y",E969,"")</f>
        <v/>
      </c>
    </row>
    <row r="970" spans="1:22" x14ac:dyDescent="0.35">
      <c r="A970" t="s">
        <v>0</v>
      </c>
      <c r="B970" t="s">
        <v>1543</v>
      </c>
      <c r="C970" t="s">
        <v>16</v>
      </c>
      <c r="D970" t="s">
        <v>17</v>
      </c>
      <c r="E970">
        <v>-33.340000000000003</v>
      </c>
      <c r="F970" t="s">
        <v>88</v>
      </c>
      <c r="G970" s="19">
        <v>45648</v>
      </c>
      <c r="H970" t="s">
        <v>181</v>
      </c>
      <c r="I970" t="s">
        <v>182</v>
      </c>
      <c r="J970"/>
      <c r="Q970" s="3">
        <f t="shared" si="70"/>
        <v>33.340000000000003</v>
      </c>
      <c r="V970" s="3" t="str">
        <f t="shared" si="71"/>
        <v/>
      </c>
    </row>
    <row r="971" spans="1:22" x14ac:dyDescent="0.35">
      <c r="A971" t="s">
        <v>35</v>
      </c>
      <c r="B971" t="s">
        <v>915</v>
      </c>
      <c r="C971" t="s">
        <v>16</v>
      </c>
      <c r="D971" t="s">
        <v>17</v>
      </c>
      <c r="E971">
        <v>33.090000000000003</v>
      </c>
      <c r="F971" t="s">
        <v>88</v>
      </c>
      <c r="G971" s="19">
        <v>45454</v>
      </c>
      <c r="H971" t="s">
        <v>94</v>
      </c>
      <c r="I971" t="s">
        <v>3335</v>
      </c>
      <c r="J971" t="s">
        <v>3558</v>
      </c>
      <c r="O971" t="s">
        <v>3337</v>
      </c>
      <c r="Q971" s="3">
        <f t="shared" si="70"/>
        <v>33.090000000000003</v>
      </c>
      <c r="V971" s="3" t="str">
        <f t="shared" si="71"/>
        <v/>
      </c>
    </row>
    <row r="972" spans="1:22" x14ac:dyDescent="0.35">
      <c r="A972" t="s">
        <v>35</v>
      </c>
      <c r="B972" t="s">
        <v>1566</v>
      </c>
      <c r="C972" t="s">
        <v>16</v>
      </c>
      <c r="D972" t="s">
        <v>17</v>
      </c>
      <c r="E972">
        <v>32.71</v>
      </c>
      <c r="F972" t="s">
        <v>88</v>
      </c>
      <c r="G972" s="19">
        <v>45629</v>
      </c>
      <c r="H972" t="s">
        <v>94</v>
      </c>
      <c r="I972" t="s">
        <v>5117</v>
      </c>
      <c r="J972" t="s">
        <v>5115</v>
      </c>
      <c r="O972" t="s">
        <v>5119</v>
      </c>
      <c r="Q972" s="3">
        <f t="shared" si="70"/>
        <v>32.71</v>
      </c>
      <c r="V972" s="3" t="str">
        <f t="shared" si="71"/>
        <v/>
      </c>
    </row>
    <row r="973" spans="1:22" x14ac:dyDescent="0.35">
      <c r="A973" t="s">
        <v>35</v>
      </c>
      <c r="B973" t="s">
        <v>1566</v>
      </c>
      <c r="C973" t="s">
        <v>16</v>
      </c>
      <c r="D973" t="s">
        <v>17</v>
      </c>
      <c r="E973">
        <v>32.619999999999997</v>
      </c>
      <c r="F973" t="s">
        <v>88</v>
      </c>
      <c r="G973" s="19">
        <v>45453</v>
      </c>
      <c r="H973" t="s">
        <v>94</v>
      </c>
      <c r="I973" t="s">
        <v>3529</v>
      </c>
      <c r="J973" t="s">
        <v>3532</v>
      </c>
      <c r="O973" t="s">
        <v>3531</v>
      </c>
      <c r="Q973" s="3">
        <f t="shared" si="70"/>
        <v>32.619999999999997</v>
      </c>
      <c r="V973" s="3" t="str">
        <f t="shared" si="71"/>
        <v/>
      </c>
    </row>
    <row r="974" spans="1:22" x14ac:dyDescent="0.35">
      <c r="A974" t="s">
        <v>35</v>
      </c>
      <c r="B974" t="s">
        <v>1566</v>
      </c>
      <c r="C974" t="s">
        <v>16</v>
      </c>
      <c r="D974" t="s">
        <v>17</v>
      </c>
      <c r="E974">
        <v>32.15</v>
      </c>
      <c r="F974" t="s">
        <v>88</v>
      </c>
      <c r="G974" s="19">
        <v>45539</v>
      </c>
      <c r="H974" t="s">
        <v>94</v>
      </c>
      <c r="I974" t="s">
        <v>289</v>
      </c>
      <c r="J974" t="s">
        <v>4226</v>
      </c>
      <c r="O974" t="s">
        <v>4227</v>
      </c>
      <c r="Q974" s="3">
        <f t="shared" si="70"/>
        <v>32.15</v>
      </c>
      <c r="V974" s="3" t="str">
        <f t="shared" si="71"/>
        <v/>
      </c>
    </row>
    <row r="975" spans="1:22" ht="87" x14ac:dyDescent="0.35">
      <c r="A975" t="s">
        <v>35</v>
      </c>
      <c r="B975" t="s">
        <v>2031</v>
      </c>
      <c r="C975" t="s">
        <v>16</v>
      </c>
      <c r="D975" t="s">
        <v>17</v>
      </c>
      <c r="E975">
        <v>32.049999999999997</v>
      </c>
      <c r="F975" t="s">
        <v>88</v>
      </c>
      <c r="G975" s="19">
        <v>45565</v>
      </c>
      <c r="H975" t="s">
        <v>94</v>
      </c>
      <c r="I975" t="s">
        <v>450</v>
      </c>
      <c r="J975" t="s">
        <v>4489</v>
      </c>
      <c r="O975" t="s">
        <v>4490</v>
      </c>
      <c r="Q975" s="3">
        <f t="shared" si="70"/>
        <v>32.049999999999997</v>
      </c>
      <c r="R975" s="69" t="s">
        <v>5326</v>
      </c>
      <c r="S975" s="69" t="s">
        <v>5327</v>
      </c>
      <c r="V975" s="3" t="str">
        <f t="shared" si="71"/>
        <v/>
      </c>
    </row>
    <row r="976" spans="1:22" x14ac:dyDescent="0.35">
      <c r="A976" t="s">
        <v>35</v>
      </c>
      <c r="B976" t="s">
        <v>1566</v>
      </c>
      <c r="C976" t="s">
        <v>16</v>
      </c>
      <c r="D976" t="s">
        <v>17</v>
      </c>
      <c r="E976">
        <v>31.82</v>
      </c>
      <c r="F976" t="s">
        <v>88</v>
      </c>
      <c r="G976" s="19">
        <v>45618</v>
      </c>
      <c r="H976" t="s">
        <v>94</v>
      </c>
      <c r="I976" t="s">
        <v>4435</v>
      </c>
      <c r="J976" t="s">
        <v>5013</v>
      </c>
      <c r="O976" t="s">
        <v>4437</v>
      </c>
      <c r="Q976" s="3">
        <f t="shared" si="70"/>
        <v>31.82</v>
      </c>
      <c r="V976" s="3" t="str">
        <f t="shared" si="71"/>
        <v/>
      </c>
    </row>
    <row r="977" spans="1:22" x14ac:dyDescent="0.35">
      <c r="A977" t="s">
        <v>35</v>
      </c>
      <c r="B977" t="s">
        <v>1566</v>
      </c>
      <c r="C977" t="s">
        <v>16</v>
      </c>
      <c r="D977" t="s">
        <v>17</v>
      </c>
      <c r="E977">
        <v>31.77</v>
      </c>
      <c r="F977" t="s">
        <v>88</v>
      </c>
      <c r="G977" s="19">
        <v>45453</v>
      </c>
      <c r="H977" t="s">
        <v>94</v>
      </c>
      <c r="I977" t="s">
        <v>204</v>
      </c>
      <c r="J977" t="s">
        <v>3487</v>
      </c>
      <c r="O977" t="s">
        <v>3490</v>
      </c>
      <c r="Q977" s="3">
        <f t="shared" si="70"/>
        <v>31.77</v>
      </c>
      <c r="V977" s="3" t="str">
        <f t="shared" si="71"/>
        <v/>
      </c>
    </row>
    <row r="978" spans="1:22" x14ac:dyDescent="0.35">
      <c r="A978" t="s">
        <v>35</v>
      </c>
      <c r="B978" t="s">
        <v>1566</v>
      </c>
      <c r="C978" t="s">
        <v>16</v>
      </c>
      <c r="D978" t="s">
        <v>17</v>
      </c>
      <c r="E978">
        <v>31.36</v>
      </c>
      <c r="F978" t="s">
        <v>88</v>
      </c>
      <c r="G978" s="19">
        <v>45398</v>
      </c>
      <c r="H978" t="s">
        <v>94</v>
      </c>
      <c r="I978" t="s">
        <v>500</v>
      </c>
      <c r="J978" t="s">
        <v>3019</v>
      </c>
      <c r="O978" t="s">
        <v>552</v>
      </c>
      <c r="Q978" s="3">
        <f t="shared" si="70"/>
        <v>31.36</v>
      </c>
      <c r="V978" s="3" t="str">
        <f t="shared" si="71"/>
        <v/>
      </c>
    </row>
    <row r="979" spans="1:22" x14ac:dyDescent="0.35">
      <c r="A979" t="s">
        <v>35</v>
      </c>
      <c r="B979" t="s">
        <v>4622</v>
      </c>
      <c r="C979" t="s">
        <v>16</v>
      </c>
      <c r="D979" t="s">
        <v>17</v>
      </c>
      <c r="E979">
        <v>30.36</v>
      </c>
      <c r="F979" t="s">
        <v>88</v>
      </c>
      <c r="G979" s="19">
        <v>45575</v>
      </c>
      <c r="H979" t="s">
        <v>94</v>
      </c>
      <c r="I979" t="s">
        <v>385</v>
      </c>
      <c r="J979" t="s">
        <v>4623</v>
      </c>
      <c r="O979" t="s">
        <v>4624</v>
      </c>
      <c r="Q979" s="3">
        <f t="shared" si="70"/>
        <v>30.36</v>
      </c>
      <c r="V979" s="3" t="str">
        <f t="shared" si="71"/>
        <v/>
      </c>
    </row>
    <row r="980" spans="1:22" ht="87" x14ac:dyDescent="0.35">
      <c r="A980" t="s">
        <v>35</v>
      </c>
      <c r="B980" t="s">
        <v>615</v>
      </c>
      <c r="C980" t="s">
        <v>16</v>
      </c>
      <c r="D980" t="s">
        <v>17</v>
      </c>
      <c r="E980">
        <v>30.23</v>
      </c>
      <c r="F980" t="s">
        <v>88</v>
      </c>
      <c r="G980" s="19">
        <v>45554</v>
      </c>
      <c r="H980" t="s">
        <v>94</v>
      </c>
      <c r="I980" t="s">
        <v>2863</v>
      </c>
      <c r="J980" t="s">
        <v>4390</v>
      </c>
      <c r="O980" t="s">
        <v>573</v>
      </c>
      <c r="Q980" s="3">
        <f t="shared" si="70"/>
        <v>30.23</v>
      </c>
      <c r="R980" s="69" t="s">
        <v>5326</v>
      </c>
      <c r="S980" s="69" t="s">
        <v>5327</v>
      </c>
      <c r="V980" s="3" t="str">
        <f t="shared" si="71"/>
        <v/>
      </c>
    </row>
    <row r="981" spans="1:22" x14ac:dyDescent="0.35">
      <c r="A981" t="s">
        <v>0</v>
      </c>
      <c r="B981" t="s">
        <v>1566</v>
      </c>
      <c r="C981" t="s">
        <v>16</v>
      </c>
      <c r="D981" t="s">
        <v>17</v>
      </c>
      <c r="E981">
        <v>30.09</v>
      </c>
      <c r="F981" t="s">
        <v>88</v>
      </c>
      <c r="G981" s="19">
        <v>45438</v>
      </c>
      <c r="H981" t="s">
        <v>89</v>
      </c>
      <c r="I981" t="s">
        <v>3369</v>
      </c>
      <c r="J981"/>
      <c r="K981" t="s">
        <v>3370</v>
      </c>
      <c r="L981" t="s">
        <v>3371</v>
      </c>
      <c r="M981" t="s">
        <v>100</v>
      </c>
      <c r="Q981" s="3">
        <f t="shared" si="70"/>
        <v>30.09</v>
      </c>
      <c r="V981" s="3" t="str">
        <f t="shared" si="71"/>
        <v/>
      </c>
    </row>
    <row r="982" spans="1:22" x14ac:dyDescent="0.35">
      <c r="A982" t="s">
        <v>35</v>
      </c>
      <c r="B982" t="s">
        <v>1566</v>
      </c>
      <c r="C982" t="s">
        <v>16</v>
      </c>
      <c r="D982" t="s">
        <v>17</v>
      </c>
      <c r="E982">
        <v>30</v>
      </c>
      <c r="F982" t="s">
        <v>88</v>
      </c>
      <c r="G982" s="19">
        <v>45545</v>
      </c>
      <c r="H982" t="s">
        <v>94</v>
      </c>
      <c r="I982" t="s">
        <v>3529</v>
      </c>
      <c r="J982" t="s">
        <v>4311</v>
      </c>
      <c r="O982" t="s">
        <v>4312</v>
      </c>
      <c r="Q982" s="3">
        <f t="shared" si="70"/>
        <v>30</v>
      </c>
      <c r="V982" s="3" t="str">
        <f t="shared" si="71"/>
        <v/>
      </c>
    </row>
    <row r="983" spans="1:22" x14ac:dyDescent="0.35">
      <c r="A983" t="s">
        <v>0</v>
      </c>
      <c r="B983" t="s">
        <v>1566</v>
      </c>
      <c r="C983" t="s">
        <v>16</v>
      </c>
      <c r="D983" t="s">
        <v>17</v>
      </c>
      <c r="E983">
        <v>29.64</v>
      </c>
      <c r="F983" t="s">
        <v>88</v>
      </c>
      <c r="G983" s="19">
        <v>45438</v>
      </c>
      <c r="H983" t="s">
        <v>89</v>
      </c>
      <c r="I983" t="s">
        <v>3366</v>
      </c>
      <c r="J983"/>
      <c r="K983" t="s">
        <v>3367</v>
      </c>
      <c r="L983" t="s">
        <v>3368</v>
      </c>
      <c r="M983" t="s">
        <v>100</v>
      </c>
      <c r="Q983" s="3">
        <f t="shared" si="70"/>
        <v>29.64</v>
      </c>
      <c r="V983" s="3" t="str">
        <f t="shared" si="71"/>
        <v/>
      </c>
    </row>
    <row r="984" spans="1:22" x14ac:dyDescent="0.35">
      <c r="A984" t="s">
        <v>0</v>
      </c>
      <c r="B984" t="s">
        <v>1566</v>
      </c>
      <c r="C984" t="s">
        <v>16</v>
      </c>
      <c r="D984" t="s">
        <v>17</v>
      </c>
      <c r="E984">
        <v>29.25</v>
      </c>
      <c r="F984" t="s">
        <v>88</v>
      </c>
      <c r="G984" s="19">
        <v>45467</v>
      </c>
      <c r="H984" t="s">
        <v>89</v>
      </c>
      <c r="I984" t="s">
        <v>3655</v>
      </c>
      <c r="J984"/>
      <c r="K984" t="s">
        <v>3656</v>
      </c>
      <c r="L984" t="s">
        <v>3657</v>
      </c>
      <c r="M984" t="s">
        <v>3225</v>
      </c>
      <c r="Q984" s="3">
        <f t="shared" si="70"/>
        <v>29.25</v>
      </c>
      <c r="V984" s="3" t="str">
        <f t="shared" si="71"/>
        <v/>
      </c>
    </row>
    <row r="985" spans="1:22" x14ac:dyDescent="0.35">
      <c r="A985" t="s">
        <v>35</v>
      </c>
      <c r="B985" t="s">
        <v>1566</v>
      </c>
      <c r="C985" t="s">
        <v>16</v>
      </c>
      <c r="D985" t="s">
        <v>17</v>
      </c>
      <c r="E985">
        <v>29.2</v>
      </c>
      <c r="F985" t="s">
        <v>88</v>
      </c>
      <c r="G985" s="19">
        <v>45453</v>
      </c>
      <c r="H985" t="s">
        <v>94</v>
      </c>
      <c r="I985" t="s">
        <v>242</v>
      </c>
      <c r="J985" t="s">
        <v>3487</v>
      </c>
      <c r="O985" t="s">
        <v>2945</v>
      </c>
      <c r="Q985" s="3">
        <f t="shared" si="70"/>
        <v>29.2</v>
      </c>
      <c r="V985" s="3" t="str">
        <f t="shared" si="71"/>
        <v/>
      </c>
    </row>
    <row r="986" spans="1:22" x14ac:dyDescent="0.35">
      <c r="A986" t="s">
        <v>35</v>
      </c>
      <c r="B986" t="s">
        <v>2031</v>
      </c>
      <c r="C986" t="s">
        <v>16</v>
      </c>
      <c r="D986" t="s">
        <v>17</v>
      </c>
      <c r="E986">
        <v>29.08</v>
      </c>
      <c r="F986" t="s">
        <v>88</v>
      </c>
      <c r="G986" s="19">
        <v>45632</v>
      </c>
      <c r="H986" t="s">
        <v>94</v>
      </c>
      <c r="I986" t="s">
        <v>2091</v>
      </c>
      <c r="J986" t="s">
        <v>5153</v>
      </c>
      <c r="O986" t="s">
        <v>4069</v>
      </c>
      <c r="Q986" s="3">
        <f t="shared" si="70"/>
        <v>29.08</v>
      </c>
      <c r="V986" s="3" t="str">
        <f t="shared" si="71"/>
        <v/>
      </c>
    </row>
    <row r="987" spans="1:22" x14ac:dyDescent="0.35">
      <c r="A987" t="s">
        <v>35</v>
      </c>
      <c r="B987" t="s">
        <v>1566</v>
      </c>
      <c r="C987" t="s">
        <v>16</v>
      </c>
      <c r="D987" t="s">
        <v>17</v>
      </c>
      <c r="E987">
        <v>28.64</v>
      </c>
      <c r="F987" t="s">
        <v>88</v>
      </c>
      <c r="G987" s="19">
        <v>45453</v>
      </c>
      <c r="H987" t="s">
        <v>94</v>
      </c>
      <c r="I987" t="s">
        <v>204</v>
      </c>
      <c r="J987" t="s">
        <v>3487</v>
      </c>
      <c r="O987" t="s">
        <v>3489</v>
      </c>
      <c r="Q987" s="3">
        <f t="shared" si="70"/>
        <v>28.64</v>
      </c>
      <c r="V987" s="3" t="str">
        <f t="shared" si="71"/>
        <v/>
      </c>
    </row>
    <row r="988" spans="1:22" x14ac:dyDescent="0.35">
      <c r="A988" t="s">
        <v>35</v>
      </c>
      <c r="B988" t="s">
        <v>3466</v>
      </c>
      <c r="C988" t="s">
        <v>16</v>
      </c>
      <c r="D988" t="s">
        <v>17</v>
      </c>
      <c r="E988">
        <v>28.18</v>
      </c>
      <c r="F988" t="s">
        <v>88</v>
      </c>
      <c r="G988" s="19">
        <v>45450</v>
      </c>
      <c r="H988" t="s">
        <v>94</v>
      </c>
      <c r="I988" t="s">
        <v>3467</v>
      </c>
      <c r="J988" t="s">
        <v>3468</v>
      </c>
      <c r="O988" t="s">
        <v>3469</v>
      </c>
      <c r="Q988" s="3">
        <f t="shared" si="70"/>
        <v>28.18</v>
      </c>
      <c r="V988" s="3" t="str">
        <f t="shared" si="71"/>
        <v/>
      </c>
    </row>
    <row r="989" spans="1:22" x14ac:dyDescent="0.35">
      <c r="A989" t="s">
        <v>35</v>
      </c>
      <c r="B989" t="s">
        <v>867</v>
      </c>
      <c r="C989" t="s">
        <v>16</v>
      </c>
      <c r="D989" t="s">
        <v>17</v>
      </c>
      <c r="E989">
        <v>28.18</v>
      </c>
      <c r="F989" t="s">
        <v>88</v>
      </c>
      <c r="G989" s="19">
        <v>45624</v>
      </c>
      <c r="H989" t="s">
        <v>94</v>
      </c>
      <c r="I989" t="s">
        <v>4811</v>
      </c>
      <c r="J989" t="s">
        <v>5031</v>
      </c>
      <c r="O989" t="s">
        <v>5032</v>
      </c>
      <c r="Q989" s="3">
        <f t="shared" si="70"/>
        <v>28.18</v>
      </c>
      <c r="V989" s="3" t="str">
        <f t="shared" si="71"/>
        <v/>
      </c>
    </row>
    <row r="990" spans="1:22" x14ac:dyDescent="0.35">
      <c r="A990" t="s">
        <v>35</v>
      </c>
      <c r="B990" t="s">
        <v>1566</v>
      </c>
      <c r="C990" t="s">
        <v>16</v>
      </c>
      <c r="D990" t="s">
        <v>17</v>
      </c>
      <c r="E990">
        <v>28.09</v>
      </c>
      <c r="F990" t="s">
        <v>88</v>
      </c>
      <c r="G990" s="19">
        <v>45398</v>
      </c>
      <c r="H990" t="s">
        <v>94</v>
      </c>
      <c r="I990" t="s">
        <v>3020</v>
      </c>
      <c r="J990" t="s">
        <v>3021</v>
      </c>
      <c r="O990" t="s">
        <v>3022</v>
      </c>
      <c r="Q990" s="3">
        <f t="shared" si="70"/>
        <v>28.09</v>
      </c>
      <c r="V990" s="3" t="str">
        <f t="shared" si="71"/>
        <v/>
      </c>
    </row>
    <row r="991" spans="1:22" x14ac:dyDescent="0.35">
      <c r="A991" t="s">
        <v>35</v>
      </c>
      <c r="B991" t="s">
        <v>1566</v>
      </c>
      <c r="C991" t="s">
        <v>16</v>
      </c>
      <c r="D991" t="s">
        <v>17</v>
      </c>
      <c r="E991">
        <v>27.95</v>
      </c>
      <c r="F991" t="s">
        <v>88</v>
      </c>
      <c r="G991" s="19">
        <v>45468</v>
      </c>
      <c r="H991" t="s">
        <v>94</v>
      </c>
      <c r="I991" t="s">
        <v>3677</v>
      </c>
      <c r="J991" t="s">
        <v>3678</v>
      </c>
      <c r="O991" t="s">
        <v>604</v>
      </c>
      <c r="Q991" s="3">
        <f t="shared" si="70"/>
        <v>27.95</v>
      </c>
      <c r="V991" s="3" t="str">
        <f t="shared" si="71"/>
        <v/>
      </c>
    </row>
    <row r="992" spans="1:22" x14ac:dyDescent="0.35">
      <c r="A992" t="s">
        <v>35</v>
      </c>
      <c r="B992" t="s">
        <v>2031</v>
      </c>
      <c r="C992" t="s">
        <v>16</v>
      </c>
      <c r="D992" t="s">
        <v>17</v>
      </c>
      <c r="E992">
        <v>27.95</v>
      </c>
      <c r="F992" t="s">
        <v>88</v>
      </c>
      <c r="G992" s="19">
        <v>45617</v>
      </c>
      <c r="H992" t="s">
        <v>94</v>
      </c>
      <c r="I992" t="s">
        <v>450</v>
      </c>
      <c r="J992" t="s">
        <v>4981</v>
      </c>
      <c r="O992" t="s">
        <v>2076</v>
      </c>
      <c r="Q992" s="3">
        <f t="shared" si="70"/>
        <v>27.95</v>
      </c>
      <c r="V992" s="3" t="str">
        <f t="shared" si="71"/>
        <v/>
      </c>
    </row>
    <row r="993" spans="1:22" ht="87" x14ac:dyDescent="0.35">
      <c r="A993" t="s">
        <v>35</v>
      </c>
      <c r="B993" t="s">
        <v>868</v>
      </c>
      <c r="C993" t="s">
        <v>16</v>
      </c>
      <c r="D993" t="s">
        <v>17</v>
      </c>
      <c r="E993">
        <v>27.67</v>
      </c>
      <c r="F993" t="s">
        <v>88</v>
      </c>
      <c r="G993" s="19">
        <v>45572</v>
      </c>
      <c r="H993" t="s">
        <v>94</v>
      </c>
      <c r="I993" t="s">
        <v>4587</v>
      </c>
      <c r="J993" t="s">
        <v>4588</v>
      </c>
      <c r="O993" t="s">
        <v>964</v>
      </c>
      <c r="Q993" s="3">
        <f t="shared" si="70"/>
        <v>27.67</v>
      </c>
      <c r="R993" s="69" t="s">
        <v>5326</v>
      </c>
      <c r="S993" s="69" t="s">
        <v>5327</v>
      </c>
      <c r="V993" s="3" t="str">
        <f t="shared" si="71"/>
        <v/>
      </c>
    </row>
    <row r="994" spans="1:22" x14ac:dyDescent="0.35">
      <c r="A994" t="s">
        <v>35</v>
      </c>
      <c r="B994" t="s">
        <v>698</v>
      </c>
      <c r="C994" t="s">
        <v>16</v>
      </c>
      <c r="D994" t="s">
        <v>17</v>
      </c>
      <c r="E994">
        <v>27.67</v>
      </c>
      <c r="F994" t="s">
        <v>88</v>
      </c>
      <c r="G994" s="19">
        <v>45586</v>
      </c>
      <c r="H994" t="s">
        <v>94</v>
      </c>
      <c r="I994" t="s">
        <v>832</v>
      </c>
      <c r="J994" t="s">
        <v>4696</v>
      </c>
      <c r="O994" t="s">
        <v>964</v>
      </c>
      <c r="Q994" s="3">
        <f t="shared" si="70"/>
        <v>27.67</v>
      </c>
      <c r="V994" s="3" t="str">
        <f t="shared" si="71"/>
        <v/>
      </c>
    </row>
    <row r="995" spans="1:22" x14ac:dyDescent="0.35">
      <c r="A995" t="s">
        <v>35</v>
      </c>
      <c r="B995" t="s">
        <v>915</v>
      </c>
      <c r="C995" t="s">
        <v>16</v>
      </c>
      <c r="D995" t="s">
        <v>17</v>
      </c>
      <c r="E995">
        <v>27.58</v>
      </c>
      <c r="F995" t="s">
        <v>88</v>
      </c>
      <c r="G995" s="19">
        <v>45596</v>
      </c>
      <c r="H995" t="s">
        <v>94</v>
      </c>
      <c r="I995" t="s">
        <v>4746</v>
      </c>
      <c r="J995" t="s">
        <v>4747</v>
      </c>
      <c r="O995" t="s">
        <v>4748</v>
      </c>
      <c r="Q995" s="3">
        <f t="shared" si="70"/>
        <v>27.58</v>
      </c>
      <c r="V995" s="3" t="str">
        <f t="shared" si="71"/>
        <v/>
      </c>
    </row>
    <row r="996" spans="1:22" x14ac:dyDescent="0.35">
      <c r="A996" t="s">
        <v>35</v>
      </c>
      <c r="B996" t="s">
        <v>724</v>
      </c>
      <c r="C996" t="s">
        <v>16</v>
      </c>
      <c r="D996" t="s">
        <v>17</v>
      </c>
      <c r="E996">
        <v>27.27</v>
      </c>
      <c r="F996" t="s">
        <v>88</v>
      </c>
      <c r="G996" s="19">
        <v>45509</v>
      </c>
      <c r="H996" t="s">
        <v>94</v>
      </c>
      <c r="I996" t="s">
        <v>3947</v>
      </c>
      <c r="J996" t="s">
        <v>3948</v>
      </c>
      <c r="O996" t="s">
        <v>3949</v>
      </c>
      <c r="Q996" s="3">
        <f t="shared" si="70"/>
        <v>27.27</v>
      </c>
      <c r="V996" s="3" t="str">
        <f t="shared" si="71"/>
        <v/>
      </c>
    </row>
    <row r="997" spans="1:22" x14ac:dyDescent="0.35">
      <c r="A997" t="s">
        <v>35</v>
      </c>
      <c r="B997" t="s">
        <v>2031</v>
      </c>
      <c r="C997" t="s">
        <v>16</v>
      </c>
      <c r="D997" t="s">
        <v>17</v>
      </c>
      <c r="E997">
        <v>27.27</v>
      </c>
      <c r="F997" t="s">
        <v>88</v>
      </c>
      <c r="G997" s="19">
        <v>45523</v>
      </c>
      <c r="H997" t="s">
        <v>94</v>
      </c>
      <c r="I997" t="s">
        <v>3706</v>
      </c>
      <c r="J997" t="s">
        <v>4060</v>
      </c>
      <c r="O997" t="s">
        <v>584</v>
      </c>
      <c r="Q997" s="3">
        <f t="shared" si="70"/>
        <v>27.27</v>
      </c>
      <c r="V997" s="3" t="str">
        <f t="shared" si="71"/>
        <v/>
      </c>
    </row>
    <row r="998" spans="1:22" x14ac:dyDescent="0.35">
      <c r="A998" t="s">
        <v>35</v>
      </c>
      <c r="B998" t="s">
        <v>2031</v>
      </c>
      <c r="C998" t="s">
        <v>16</v>
      </c>
      <c r="D998" t="s">
        <v>17</v>
      </c>
      <c r="E998">
        <v>27.27</v>
      </c>
      <c r="F998" t="s">
        <v>88</v>
      </c>
      <c r="G998" s="19">
        <v>45523</v>
      </c>
      <c r="H998" t="s">
        <v>94</v>
      </c>
      <c r="I998" t="s">
        <v>3706</v>
      </c>
      <c r="J998" t="s">
        <v>4061</v>
      </c>
      <c r="O998" t="s">
        <v>584</v>
      </c>
      <c r="Q998" s="3">
        <f t="shared" si="70"/>
        <v>27.27</v>
      </c>
      <c r="V998" s="3" t="str">
        <f t="shared" si="71"/>
        <v/>
      </c>
    </row>
    <row r="999" spans="1:22" ht="87" x14ac:dyDescent="0.35">
      <c r="A999" t="s">
        <v>35</v>
      </c>
      <c r="B999" t="s">
        <v>3422</v>
      </c>
      <c r="C999" t="s">
        <v>16</v>
      </c>
      <c r="D999" t="s">
        <v>17</v>
      </c>
      <c r="E999">
        <v>27.27</v>
      </c>
      <c r="F999" t="s">
        <v>88</v>
      </c>
      <c r="G999" s="19">
        <v>45631</v>
      </c>
      <c r="H999" t="s">
        <v>94</v>
      </c>
      <c r="I999" t="s">
        <v>4333</v>
      </c>
      <c r="J999" t="s">
        <v>4336</v>
      </c>
      <c r="O999" t="s">
        <v>4085</v>
      </c>
      <c r="Q999" s="3">
        <f t="shared" si="70"/>
        <v>27.27</v>
      </c>
      <c r="R999" s="69" t="s">
        <v>5326</v>
      </c>
      <c r="S999" s="69" t="s">
        <v>5327</v>
      </c>
      <c r="V999" s="3" t="str">
        <f t="shared" si="71"/>
        <v/>
      </c>
    </row>
    <row r="1000" spans="1:22" x14ac:dyDescent="0.35">
      <c r="A1000" t="s">
        <v>35</v>
      </c>
      <c r="B1000" t="s">
        <v>1566</v>
      </c>
      <c r="C1000" t="s">
        <v>16</v>
      </c>
      <c r="D1000" t="s">
        <v>17</v>
      </c>
      <c r="E1000">
        <v>27.18</v>
      </c>
      <c r="F1000" t="s">
        <v>88</v>
      </c>
      <c r="G1000" s="19">
        <v>45629</v>
      </c>
      <c r="H1000" t="s">
        <v>94</v>
      </c>
      <c r="I1000" t="s">
        <v>5123</v>
      </c>
      <c r="J1000" t="s">
        <v>5122</v>
      </c>
      <c r="O1000" t="s">
        <v>5125</v>
      </c>
      <c r="Q1000" s="3">
        <f t="shared" si="70"/>
        <v>27.18</v>
      </c>
      <c r="V1000" s="3" t="str">
        <f t="shared" si="71"/>
        <v/>
      </c>
    </row>
    <row r="1001" spans="1:22" x14ac:dyDescent="0.35">
      <c r="A1001" t="s">
        <v>35</v>
      </c>
      <c r="B1001" t="s">
        <v>1566</v>
      </c>
      <c r="C1001" t="s">
        <v>16</v>
      </c>
      <c r="D1001" t="s">
        <v>17</v>
      </c>
      <c r="E1001">
        <v>26.55</v>
      </c>
      <c r="F1001" t="s">
        <v>88</v>
      </c>
      <c r="G1001" s="19">
        <v>45482</v>
      </c>
      <c r="H1001" t="s">
        <v>94</v>
      </c>
      <c r="I1001" t="s">
        <v>3802</v>
      </c>
      <c r="J1001" t="s">
        <v>3803</v>
      </c>
      <c r="O1001" t="s">
        <v>3804</v>
      </c>
      <c r="Q1001" s="3">
        <f t="shared" si="70"/>
        <v>26.55</v>
      </c>
      <c r="V1001" s="3" t="str">
        <f t="shared" si="71"/>
        <v/>
      </c>
    </row>
    <row r="1002" spans="1:22" x14ac:dyDescent="0.35">
      <c r="A1002" t="s">
        <v>35</v>
      </c>
      <c r="B1002" t="s">
        <v>1566</v>
      </c>
      <c r="C1002" t="s">
        <v>16</v>
      </c>
      <c r="D1002" t="s">
        <v>17</v>
      </c>
      <c r="E1002">
        <v>26.36</v>
      </c>
      <c r="F1002" t="s">
        <v>88</v>
      </c>
      <c r="G1002" s="19">
        <v>45616</v>
      </c>
      <c r="H1002" t="s">
        <v>94</v>
      </c>
      <c r="I1002" t="s">
        <v>204</v>
      </c>
      <c r="J1002" t="s">
        <v>4969</v>
      </c>
      <c r="O1002" t="s">
        <v>4970</v>
      </c>
      <c r="Q1002" s="3">
        <f t="shared" si="70"/>
        <v>26.36</v>
      </c>
      <c r="V1002" s="3" t="str">
        <f t="shared" si="71"/>
        <v/>
      </c>
    </row>
    <row r="1003" spans="1:22" x14ac:dyDescent="0.35">
      <c r="A1003" t="s">
        <v>0</v>
      </c>
      <c r="B1003" t="s">
        <v>1566</v>
      </c>
      <c r="C1003" t="s">
        <v>16</v>
      </c>
      <c r="D1003" t="s">
        <v>17</v>
      </c>
      <c r="E1003">
        <v>26.19</v>
      </c>
      <c r="F1003" t="s">
        <v>88</v>
      </c>
      <c r="G1003" s="19">
        <v>45580</v>
      </c>
      <c r="H1003" t="s">
        <v>89</v>
      </c>
      <c r="I1003" t="s">
        <v>4661</v>
      </c>
      <c r="J1003"/>
      <c r="K1003" t="s">
        <v>4662</v>
      </c>
      <c r="L1003" t="s">
        <v>4663</v>
      </c>
      <c r="M1003" t="s">
        <v>100</v>
      </c>
      <c r="Q1003" s="3">
        <f t="shared" si="70"/>
        <v>26.19</v>
      </c>
      <c r="V1003" s="3" t="str">
        <f t="shared" si="71"/>
        <v/>
      </c>
    </row>
    <row r="1004" spans="1:22" x14ac:dyDescent="0.35">
      <c r="A1004" t="s">
        <v>0</v>
      </c>
      <c r="B1004" t="s">
        <v>1543</v>
      </c>
      <c r="C1004" t="s">
        <v>16</v>
      </c>
      <c r="D1004" t="s">
        <v>17</v>
      </c>
      <c r="E1004">
        <v>25.96</v>
      </c>
      <c r="F1004" t="s">
        <v>88</v>
      </c>
      <c r="G1004" s="19">
        <v>45650</v>
      </c>
      <c r="H1004" t="s">
        <v>181</v>
      </c>
      <c r="I1004" t="s">
        <v>182</v>
      </c>
      <c r="J1004"/>
      <c r="Q1004" s="3">
        <f t="shared" si="70"/>
        <v>25.96</v>
      </c>
      <c r="V1004" s="3" t="str">
        <f t="shared" si="71"/>
        <v/>
      </c>
    </row>
    <row r="1005" spans="1:22" x14ac:dyDescent="0.35">
      <c r="A1005" t="s">
        <v>35</v>
      </c>
      <c r="B1005" t="s">
        <v>1566</v>
      </c>
      <c r="C1005" t="s">
        <v>16</v>
      </c>
      <c r="D1005" t="s">
        <v>17</v>
      </c>
      <c r="E1005">
        <v>25.45</v>
      </c>
      <c r="F1005" t="s">
        <v>88</v>
      </c>
      <c r="G1005" s="19">
        <v>45595</v>
      </c>
      <c r="H1005" t="s">
        <v>94</v>
      </c>
      <c r="I1005" t="s">
        <v>3876</v>
      </c>
      <c r="J1005" t="s">
        <v>4738</v>
      </c>
      <c r="O1005" t="s">
        <v>4739</v>
      </c>
      <c r="Q1005" s="3">
        <f t="shared" si="70"/>
        <v>25.45</v>
      </c>
      <c r="V1005" s="3" t="str">
        <f t="shared" si="71"/>
        <v/>
      </c>
    </row>
    <row r="1006" spans="1:22" x14ac:dyDescent="0.35">
      <c r="A1006" t="s">
        <v>0</v>
      </c>
      <c r="B1006" t="s">
        <v>1566</v>
      </c>
      <c r="C1006" t="s">
        <v>16</v>
      </c>
      <c r="D1006" t="s">
        <v>17</v>
      </c>
      <c r="E1006">
        <v>25.25</v>
      </c>
      <c r="F1006" t="s">
        <v>88</v>
      </c>
      <c r="G1006" s="19">
        <v>45558</v>
      </c>
      <c r="H1006" t="s">
        <v>89</v>
      </c>
      <c r="I1006" t="s">
        <v>4410</v>
      </c>
      <c r="J1006"/>
      <c r="K1006" t="s">
        <v>4411</v>
      </c>
      <c r="L1006" t="s">
        <v>4412</v>
      </c>
      <c r="M1006" t="s">
        <v>100</v>
      </c>
      <c r="Q1006" s="3">
        <f t="shared" si="70"/>
        <v>25.25</v>
      </c>
      <c r="V1006" s="3" t="str">
        <f t="shared" si="71"/>
        <v/>
      </c>
    </row>
    <row r="1007" spans="1:22" x14ac:dyDescent="0.35">
      <c r="A1007" t="s">
        <v>35</v>
      </c>
      <c r="B1007" t="s">
        <v>1566</v>
      </c>
      <c r="C1007" t="s">
        <v>16</v>
      </c>
      <c r="D1007" t="s">
        <v>17</v>
      </c>
      <c r="E1007">
        <v>25</v>
      </c>
      <c r="F1007" t="s">
        <v>88</v>
      </c>
      <c r="G1007" s="19">
        <v>45400</v>
      </c>
      <c r="H1007" t="s">
        <v>89</v>
      </c>
      <c r="I1007" t="s">
        <v>3027</v>
      </c>
      <c r="J1007"/>
      <c r="K1007" t="s">
        <v>3028</v>
      </c>
      <c r="L1007" t="s">
        <v>3029</v>
      </c>
      <c r="M1007" t="s">
        <v>205</v>
      </c>
      <c r="Q1007" s="3">
        <f t="shared" si="70"/>
        <v>25</v>
      </c>
      <c r="V1007" s="3" t="str">
        <f t="shared" si="71"/>
        <v/>
      </c>
    </row>
    <row r="1008" spans="1:22" x14ac:dyDescent="0.35">
      <c r="A1008" t="s">
        <v>0</v>
      </c>
      <c r="B1008" t="s">
        <v>1543</v>
      </c>
      <c r="C1008" t="s">
        <v>16</v>
      </c>
      <c r="D1008" t="s">
        <v>17</v>
      </c>
      <c r="E1008">
        <v>-24.32</v>
      </c>
      <c r="F1008" t="s">
        <v>88</v>
      </c>
      <c r="G1008" s="19">
        <v>45651</v>
      </c>
      <c r="H1008" t="s">
        <v>181</v>
      </c>
      <c r="I1008" t="s">
        <v>182</v>
      </c>
      <c r="J1008"/>
      <c r="Q1008" s="3">
        <f t="shared" si="70"/>
        <v>24.32</v>
      </c>
      <c r="V1008" s="3" t="str">
        <f t="shared" si="71"/>
        <v/>
      </c>
    </row>
    <row r="1009" spans="1:26" ht="87" x14ac:dyDescent="0.35">
      <c r="A1009" t="s">
        <v>35</v>
      </c>
      <c r="B1009" t="s">
        <v>698</v>
      </c>
      <c r="C1009" t="s">
        <v>16</v>
      </c>
      <c r="D1009" t="s">
        <v>17</v>
      </c>
      <c r="E1009">
        <v>24.09</v>
      </c>
      <c r="F1009" t="s">
        <v>88</v>
      </c>
      <c r="G1009" s="19">
        <v>45393</v>
      </c>
      <c r="H1009" t="s">
        <v>94</v>
      </c>
      <c r="I1009" t="s">
        <v>2433</v>
      </c>
      <c r="J1009" t="s">
        <v>2952</v>
      </c>
      <c r="O1009" t="s">
        <v>2953</v>
      </c>
      <c r="Q1009" s="3">
        <f t="shared" si="70"/>
        <v>24.09</v>
      </c>
      <c r="R1009" s="69" t="s">
        <v>5326</v>
      </c>
      <c r="S1009" s="69" t="s">
        <v>5327</v>
      </c>
      <c r="V1009" s="3" t="str">
        <f t="shared" si="71"/>
        <v/>
      </c>
    </row>
    <row r="1010" spans="1:26" x14ac:dyDescent="0.35">
      <c r="A1010" t="s">
        <v>35</v>
      </c>
      <c r="B1010" t="s">
        <v>1566</v>
      </c>
      <c r="C1010" t="s">
        <v>16</v>
      </c>
      <c r="D1010" t="s">
        <v>17</v>
      </c>
      <c r="E1010">
        <v>24.09</v>
      </c>
      <c r="F1010" t="s">
        <v>88</v>
      </c>
      <c r="G1010" s="19">
        <v>45618</v>
      </c>
      <c r="H1010" t="s">
        <v>94</v>
      </c>
      <c r="I1010" t="s">
        <v>4612</v>
      </c>
      <c r="J1010" t="s">
        <v>5010</v>
      </c>
      <c r="O1010" t="s">
        <v>4335</v>
      </c>
      <c r="Q1010" s="3">
        <f t="shared" si="70"/>
        <v>24.09</v>
      </c>
      <c r="V1010" s="3" t="str">
        <f t="shared" si="71"/>
        <v/>
      </c>
    </row>
    <row r="1011" spans="1:26" x14ac:dyDescent="0.35">
      <c r="A1011" t="s">
        <v>35</v>
      </c>
      <c r="B1011" t="s">
        <v>1566</v>
      </c>
      <c r="C1011" t="s">
        <v>16</v>
      </c>
      <c r="D1011" t="s">
        <v>17</v>
      </c>
      <c r="E1011">
        <v>23.64</v>
      </c>
      <c r="F1011" t="s">
        <v>88</v>
      </c>
      <c r="G1011" s="19">
        <v>45539</v>
      </c>
      <c r="H1011" t="s">
        <v>94</v>
      </c>
      <c r="I1011" t="s">
        <v>4230</v>
      </c>
      <c r="J1011" t="s">
        <v>4231</v>
      </c>
      <c r="O1011" t="s">
        <v>4232</v>
      </c>
      <c r="Q1011" s="3">
        <f t="shared" si="70"/>
        <v>23.64</v>
      </c>
      <c r="V1011" s="3" t="str">
        <f t="shared" si="71"/>
        <v/>
      </c>
    </row>
    <row r="1012" spans="1:26" x14ac:dyDescent="0.35">
      <c r="A1012" t="s">
        <v>35</v>
      </c>
      <c r="B1012" t="s">
        <v>2031</v>
      </c>
      <c r="C1012" t="s">
        <v>16</v>
      </c>
      <c r="D1012" t="s">
        <v>17</v>
      </c>
      <c r="E1012">
        <v>23.18</v>
      </c>
      <c r="F1012" t="s">
        <v>88</v>
      </c>
      <c r="G1012" s="19">
        <v>45618</v>
      </c>
      <c r="H1012" t="s">
        <v>94</v>
      </c>
      <c r="I1012" t="s">
        <v>3706</v>
      </c>
      <c r="J1012" t="s">
        <v>4996</v>
      </c>
      <c r="O1012" t="s">
        <v>3015</v>
      </c>
      <c r="Q1012" s="3">
        <f t="shared" si="70"/>
        <v>23.18</v>
      </c>
      <c r="V1012" s="3" t="str">
        <f t="shared" si="71"/>
        <v/>
      </c>
    </row>
    <row r="1013" spans="1:26" ht="87" x14ac:dyDescent="0.35">
      <c r="A1013" t="s">
        <v>35</v>
      </c>
      <c r="B1013" t="s">
        <v>2031</v>
      </c>
      <c r="C1013" t="s">
        <v>16</v>
      </c>
      <c r="D1013" t="s">
        <v>17</v>
      </c>
      <c r="E1013">
        <v>23.07</v>
      </c>
      <c r="F1013" t="s">
        <v>88</v>
      </c>
      <c r="G1013" s="19">
        <v>45565</v>
      </c>
      <c r="H1013" t="s">
        <v>94</v>
      </c>
      <c r="I1013" t="s">
        <v>4496</v>
      </c>
      <c r="J1013" t="s">
        <v>4497</v>
      </c>
      <c r="O1013" t="s">
        <v>4498</v>
      </c>
      <c r="Q1013" s="3">
        <f t="shared" si="70"/>
        <v>23.07</v>
      </c>
      <c r="R1013" s="69" t="s">
        <v>5326</v>
      </c>
      <c r="S1013" s="69" t="s">
        <v>5327</v>
      </c>
      <c r="V1013" s="3" t="str">
        <f t="shared" si="71"/>
        <v/>
      </c>
    </row>
    <row r="1014" spans="1:26" x14ac:dyDescent="0.35">
      <c r="A1014" t="s">
        <v>35</v>
      </c>
      <c r="B1014" t="s">
        <v>1566</v>
      </c>
      <c r="C1014" t="s">
        <v>16</v>
      </c>
      <c r="D1014" t="s">
        <v>17</v>
      </c>
      <c r="E1014">
        <v>22.82</v>
      </c>
      <c r="F1014" t="s">
        <v>88</v>
      </c>
      <c r="G1014" s="19">
        <v>45393</v>
      </c>
      <c r="H1014" t="s">
        <v>94</v>
      </c>
      <c r="I1014" t="s">
        <v>242</v>
      </c>
      <c r="J1014" t="s">
        <v>2940</v>
      </c>
      <c r="O1014" t="s">
        <v>2941</v>
      </c>
      <c r="Q1014" s="3">
        <f t="shared" si="70"/>
        <v>22.82</v>
      </c>
      <c r="V1014" s="3" t="str">
        <f t="shared" si="71"/>
        <v/>
      </c>
      <c r="Z1014" s="26"/>
    </row>
    <row r="1015" spans="1:26" x14ac:dyDescent="0.35">
      <c r="A1015" t="s">
        <v>35</v>
      </c>
      <c r="B1015" t="s">
        <v>1566</v>
      </c>
      <c r="C1015" t="s">
        <v>16</v>
      </c>
      <c r="D1015" t="s">
        <v>17</v>
      </c>
      <c r="E1015">
        <v>22.73</v>
      </c>
      <c r="F1015" t="s">
        <v>88</v>
      </c>
      <c r="G1015" s="19">
        <v>45404</v>
      </c>
      <c r="H1015" t="s">
        <v>94</v>
      </c>
      <c r="I1015" t="s">
        <v>238</v>
      </c>
      <c r="J1015" t="s">
        <v>3089</v>
      </c>
      <c r="O1015" t="s">
        <v>3092</v>
      </c>
      <c r="Q1015" s="3">
        <f t="shared" si="70"/>
        <v>22.73</v>
      </c>
      <c r="S1015" s="69" t="s">
        <v>53</v>
      </c>
      <c r="T1015" t="s">
        <v>64</v>
      </c>
      <c r="U1015" t="str">
        <f t="shared" ref="U1015" si="72">B1015</f>
        <v>AU032046</v>
      </c>
      <c r="V1015" s="3">
        <f t="shared" si="71"/>
        <v>22.73</v>
      </c>
    </row>
    <row r="1016" spans="1:26" x14ac:dyDescent="0.35">
      <c r="A1016" t="s">
        <v>35</v>
      </c>
      <c r="B1016" t="s">
        <v>3422</v>
      </c>
      <c r="C1016" t="s">
        <v>16</v>
      </c>
      <c r="D1016" t="s">
        <v>17</v>
      </c>
      <c r="E1016">
        <v>22.73</v>
      </c>
      <c r="F1016" t="s">
        <v>88</v>
      </c>
      <c r="G1016" s="19">
        <v>45446</v>
      </c>
      <c r="H1016" t="s">
        <v>94</v>
      </c>
      <c r="I1016" t="s">
        <v>214</v>
      </c>
      <c r="J1016" t="s">
        <v>3423</v>
      </c>
      <c r="O1016" t="s">
        <v>3424</v>
      </c>
      <c r="Q1016" s="3">
        <f t="shared" si="70"/>
        <v>22.73</v>
      </c>
      <c r="V1016" s="3" t="str">
        <f t="shared" si="71"/>
        <v/>
      </c>
    </row>
    <row r="1017" spans="1:26" x14ac:dyDescent="0.35">
      <c r="A1017" t="s">
        <v>35</v>
      </c>
      <c r="B1017" t="s">
        <v>819</v>
      </c>
      <c r="C1017" t="s">
        <v>16</v>
      </c>
      <c r="D1017" t="s">
        <v>17</v>
      </c>
      <c r="E1017">
        <v>22.73</v>
      </c>
      <c r="F1017" t="s">
        <v>88</v>
      </c>
      <c r="G1017" s="19">
        <v>45478</v>
      </c>
      <c r="H1017" t="s">
        <v>94</v>
      </c>
      <c r="I1017" t="s">
        <v>820</v>
      </c>
      <c r="J1017" t="s">
        <v>3791</v>
      </c>
      <c r="O1017" t="s">
        <v>3792</v>
      </c>
      <c r="Q1017" s="3">
        <f t="shared" si="70"/>
        <v>22.73</v>
      </c>
      <c r="V1017" s="3" t="str">
        <f t="shared" si="71"/>
        <v/>
      </c>
    </row>
    <row r="1018" spans="1:26" x14ac:dyDescent="0.35">
      <c r="A1018" t="s">
        <v>35</v>
      </c>
      <c r="B1018" t="s">
        <v>1566</v>
      </c>
      <c r="C1018" t="s">
        <v>16</v>
      </c>
      <c r="D1018" t="s">
        <v>17</v>
      </c>
      <c r="E1018">
        <v>22.73</v>
      </c>
      <c r="F1018" t="s">
        <v>88</v>
      </c>
      <c r="G1018" s="19">
        <v>45594</v>
      </c>
      <c r="H1018" t="s">
        <v>94</v>
      </c>
      <c r="I1018" t="s">
        <v>4732</v>
      </c>
      <c r="J1018" t="s">
        <v>4734</v>
      </c>
      <c r="O1018" t="s">
        <v>2648</v>
      </c>
      <c r="Q1018" s="3">
        <f t="shared" si="70"/>
        <v>22.73</v>
      </c>
      <c r="V1018" s="3" t="str">
        <f t="shared" si="71"/>
        <v/>
      </c>
    </row>
    <row r="1019" spans="1:26" x14ac:dyDescent="0.35">
      <c r="A1019" t="s">
        <v>35</v>
      </c>
      <c r="B1019" t="s">
        <v>915</v>
      </c>
      <c r="C1019" t="s">
        <v>16</v>
      </c>
      <c r="D1019" t="s">
        <v>17</v>
      </c>
      <c r="E1019">
        <v>22.73</v>
      </c>
      <c r="F1019" t="s">
        <v>88</v>
      </c>
      <c r="G1019" s="19">
        <v>45596</v>
      </c>
      <c r="H1019" t="s">
        <v>94</v>
      </c>
      <c r="I1019" t="s">
        <v>4742</v>
      </c>
      <c r="J1019" t="s">
        <v>4743</v>
      </c>
      <c r="O1019" t="s">
        <v>526</v>
      </c>
      <c r="Q1019" s="3">
        <f t="shared" si="70"/>
        <v>22.73</v>
      </c>
      <c r="V1019" s="3" t="str">
        <f t="shared" si="71"/>
        <v/>
      </c>
    </row>
    <row r="1020" spans="1:26" ht="87" x14ac:dyDescent="0.35">
      <c r="A1020" t="s">
        <v>35</v>
      </c>
      <c r="B1020" t="s">
        <v>1566</v>
      </c>
      <c r="C1020" t="s">
        <v>16</v>
      </c>
      <c r="D1020" t="s">
        <v>17</v>
      </c>
      <c r="E1020">
        <v>22.73</v>
      </c>
      <c r="F1020" t="s">
        <v>88</v>
      </c>
      <c r="G1020" s="19">
        <v>45614</v>
      </c>
      <c r="H1020" t="s">
        <v>94</v>
      </c>
      <c r="I1020" t="s">
        <v>4947</v>
      </c>
      <c r="J1020" t="s">
        <v>4948</v>
      </c>
      <c r="O1020" t="s">
        <v>2648</v>
      </c>
      <c r="Q1020" s="3">
        <f t="shared" si="70"/>
        <v>22.73</v>
      </c>
      <c r="R1020" s="69" t="s">
        <v>5326</v>
      </c>
      <c r="S1020" s="69" t="s">
        <v>5327</v>
      </c>
      <c r="V1020" s="3" t="str">
        <f t="shared" si="71"/>
        <v/>
      </c>
    </row>
    <row r="1021" spans="1:26" x14ac:dyDescent="0.35">
      <c r="A1021" t="s">
        <v>35</v>
      </c>
      <c r="B1021" t="s">
        <v>1566</v>
      </c>
      <c r="C1021" t="s">
        <v>16</v>
      </c>
      <c r="D1021" t="s">
        <v>17</v>
      </c>
      <c r="E1021">
        <v>22.65</v>
      </c>
      <c r="F1021" t="s">
        <v>88</v>
      </c>
      <c r="G1021" s="19">
        <v>45517</v>
      </c>
      <c r="H1021" t="s">
        <v>94</v>
      </c>
      <c r="I1021" t="s">
        <v>3685</v>
      </c>
      <c r="J1021" t="s">
        <v>4026</v>
      </c>
      <c r="O1021" t="s">
        <v>3531</v>
      </c>
      <c r="Q1021" s="3">
        <f t="shared" si="70"/>
        <v>22.65</v>
      </c>
      <c r="V1021" s="3" t="str">
        <f t="shared" si="71"/>
        <v/>
      </c>
    </row>
    <row r="1022" spans="1:26" ht="87" x14ac:dyDescent="0.35">
      <c r="A1022" t="s">
        <v>35</v>
      </c>
      <c r="B1022" t="s">
        <v>1566</v>
      </c>
      <c r="C1022" t="s">
        <v>16</v>
      </c>
      <c r="D1022" t="s">
        <v>17</v>
      </c>
      <c r="E1022">
        <v>22.5</v>
      </c>
      <c r="F1022" t="s">
        <v>88</v>
      </c>
      <c r="G1022" s="19">
        <v>45594</v>
      </c>
      <c r="H1022" t="s">
        <v>94</v>
      </c>
      <c r="I1022" t="s">
        <v>242</v>
      </c>
      <c r="J1022" t="s">
        <v>4730</v>
      </c>
      <c r="O1022" t="s">
        <v>4729</v>
      </c>
      <c r="Q1022" s="3">
        <f t="shared" si="70"/>
        <v>22.5</v>
      </c>
      <c r="R1022" s="69" t="s">
        <v>5326</v>
      </c>
      <c r="S1022" s="69" t="s">
        <v>5327</v>
      </c>
      <c r="V1022" s="3" t="str">
        <f t="shared" si="71"/>
        <v/>
      </c>
    </row>
    <row r="1023" spans="1:26" ht="87" x14ac:dyDescent="0.35">
      <c r="A1023" t="s">
        <v>35</v>
      </c>
      <c r="B1023" t="s">
        <v>698</v>
      </c>
      <c r="C1023" t="s">
        <v>16</v>
      </c>
      <c r="D1023" t="s">
        <v>17</v>
      </c>
      <c r="E1023">
        <v>22.32</v>
      </c>
      <c r="F1023" t="s">
        <v>88</v>
      </c>
      <c r="G1023" s="19">
        <v>45565</v>
      </c>
      <c r="H1023" t="s">
        <v>94</v>
      </c>
      <c r="I1023" t="s">
        <v>4503</v>
      </c>
      <c r="J1023" t="s">
        <v>4504</v>
      </c>
      <c r="O1023" t="s">
        <v>964</v>
      </c>
      <c r="Q1023" s="3">
        <f t="shared" si="70"/>
        <v>22.32</v>
      </c>
      <c r="R1023" s="69" t="s">
        <v>5326</v>
      </c>
      <c r="S1023" s="69" t="s">
        <v>5327</v>
      </c>
      <c r="V1023" s="3" t="str">
        <f t="shared" si="71"/>
        <v/>
      </c>
    </row>
    <row r="1024" spans="1:26" x14ac:dyDescent="0.35">
      <c r="A1024" t="s">
        <v>35</v>
      </c>
      <c r="B1024" t="s">
        <v>1566</v>
      </c>
      <c r="C1024" t="s">
        <v>16</v>
      </c>
      <c r="D1024" t="s">
        <v>17</v>
      </c>
      <c r="E1024">
        <v>21.96</v>
      </c>
      <c r="F1024" t="s">
        <v>88</v>
      </c>
      <c r="G1024" s="19">
        <v>45404</v>
      </c>
      <c r="H1024" t="s">
        <v>94</v>
      </c>
      <c r="I1024" t="s">
        <v>238</v>
      </c>
      <c r="J1024" t="s">
        <v>3089</v>
      </c>
      <c r="O1024" t="s">
        <v>3091</v>
      </c>
      <c r="Q1024" s="3">
        <f t="shared" si="70"/>
        <v>21.96</v>
      </c>
      <c r="S1024" s="69" t="s">
        <v>53</v>
      </c>
      <c r="T1024" t="s">
        <v>64</v>
      </c>
      <c r="U1024" t="str">
        <f t="shared" ref="U1024" si="73">B1024</f>
        <v>AU032046</v>
      </c>
      <c r="V1024" s="3">
        <f t="shared" si="71"/>
        <v>21.96</v>
      </c>
    </row>
    <row r="1025" spans="1:22" x14ac:dyDescent="0.35">
      <c r="A1025" t="s">
        <v>35</v>
      </c>
      <c r="B1025" t="s">
        <v>1566</v>
      </c>
      <c r="C1025" t="s">
        <v>16</v>
      </c>
      <c r="D1025" t="s">
        <v>17</v>
      </c>
      <c r="E1025">
        <v>21.82</v>
      </c>
      <c r="F1025" t="s">
        <v>88</v>
      </c>
      <c r="G1025" s="19">
        <v>45392</v>
      </c>
      <c r="H1025" t="s">
        <v>94</v>
      </c>
      <c r="I1025" t="s">
        <v>416</v>
      </c>
      <c r="J1025" t="s">
        <v>2915</v>
      </c>
      <c r="O1025" t="s">
        <v>520</v>
      </c>
      <c r="Q1025" s="3">
        <f t="shared" si="70"/>
        <v>21.82</v>
      </c>
      <c r="V1025" s="3" t="str">
        <f t="shared" si="71"/>
        <v/>
      </c>
    </row>
    <row r="1026" spans="1:22" ht="87" x14ac:dyDescent="0.35">
      <c r="A1026" t="s">
        <v>35</v>
      </c>
      <c r="B1026" t="s">
        <v>2031</v>
      </c>
      <c r="C1026" t="s">
        <v>16</v>
      </c>
      <c r="D1026" t="s">
        <v>17</v>
      </c>
      <c r="E1026">
        <v>21.82</v>
      </c>
      <c r="F1026" t="s">
        <v>88</v>
      </c>
      <c r="G1026" s="19">
        <v>45565</v>
      </c>
      <c r="H1026" t="s">
        <v>94</v>
      </c>
      <c r="I1026" t="s">
        <v>4067</v>
      </c>
      <c r="J1026" t="s">
        <v>4493</v>
      </c>
      <c r="O1026" t="s">
        <v>4494</v>
      </c>
      <c r="Q1026" s="3">
        <f t="shared" si="70"/>
        <v>21.82</v>
      </c>
      <c r="R1026" s="69" t="s">
        <v>5326</v>
      </c>
      <c r="S1026" s="69" t="s">
        <v>5327</v>
      </c>
      <c r="V1026" s="3" t="str">
        <f t="shared" si="71"/>
        <v/>
      </c>
    </row>
    <row r="1027" spans="1:22" ht="87" x14ac:dyDescent="0.35">
      <c r="A1027" t="s">
        <v>35</v>
      </c>
      <c r="B1027" t="s">
        <v>1566</v>
      </c>
      <c r="C1027" t="s">
        <v>16</v>
      </c>
      <c r="D1027" t="s">
        <v>17</v>
      </c>
      <c r="E1027">
        <v>21.82</v>
      </c>
      <c r="F1027" t="s">
        <v>88</v>
      </c>
      <c r="G1027" s="19">
        <v>45594</v>
      </c>
      <c r="H1027" t="s">
        <v>94</v>
      </c>
      <c r="I1027" t="s">
        <v>4718</v>
      </c>
      <c r="J1027" t="s">
        <v>4719</v>
      </c>
      <c r="O1027" t="s">
        <v>2432</v>
      </c>
      <c r="Q1027" s="3">
        <f t="shared" si="70"/>
        <v>21.82</v>
      </c>
      <c r="R1027" s="69" t="s">
        <v>5326</v>
      </c>
      <c r="S1027" s="69" t="s">
        <v>5327</v>
      </c>
      <c r="V1027" s="3" t="str">
        <f t="shared" si="71"/>
        <v/>
      </c>
    </row>
    <row r="1028" spans="1:22" x14ac:dyDescent="0.35">
      <c r="A1028" t="s">
        <v>35</v>
      </c>
      <c r="B1028" t="s">
        <v>1566</v>
      </c>
      <c r="C1028" t="s">
        <v>16</v>
      </c>
      <c r="D1028" t="s">
        <v>17</v>
      </c>
      <c r="E1028">
        <v>21.17</v>
      </c>
      <c r="F1028" t="s">
        <v>88</v>
      </c>
      <c r="G1028" s="19">
        <v>45453</v>
      </c>
      <c r="H1028" t="s">
        <v>94</v>
      </c>
      <c r="I1028" t="s">
        <v>254</v>
      </c>
      <c r="J1028" t="s">
        <v>3520</v>
      </c>
      <c r="O1028" t="s">
        <v>3505</v>
      </c>
      <c r="Q1028" s="3">
        <f t="shared" si="70"/>
        <v>21.17</v>
      </c>
      <c r="V1028" s="3" t="str">
        <f t="shared" si="71"/>
        <v/>
      </c>
    </row>
    <row r="1029" spans="1:22" x14ac:dyDescent="0.35">
      <c r="A1029" t="s">
        <v>35</v>
      </c>
      <c r="B1029" t="s">
        <v>1566</v>
      </c>
      <c r="C1029" t="s">
        <v>16</v>
      </c>
      <c r="D1029" t="s">
        <v>17</v>
      </c>
      <c r="E1029">
        <v>20.41</v>
      </c>
      <c r="F1029" t="s">
        <v>88</v>
      </c>
      <c r="G1029" s="19">
        <v>45562</v>
      </c>
      <c r="H1029" t="s">
        <v>94</v>
      </c>
      <c r="I1029" t="s">
        <v>2323</v>
      </c>
      <c r="J1029" t="s">
        <v>4464</v>
      </c>
      <c r="O1029" t="s">
        <v>4466</v>
      </c>
      <c r="Q1029" s="3">
        <f t="shared" si="70"/>
        <v>20.41</v>
      </c>
      <c r="V1029" s="3" t="str">
        <f t="shared" si="71"/>
        <v/>
      </c>
    </row>
    <row r="1030" spans="1:22" ht="87" x14ac:dyDescent="0.35">
      <c r="A1030" t="s">
        <v>35</v>
      </c>
      <c r="B1030" t="s">
        <v>1566</v>
      </c>
      <c r="C1030" t="s">
        <v>16</v>
      </c>
      <c r="D1030" t="s">
        <v>17</v>
      </c>
      <c r="E1030">
        <v>20.29</v>
      </c>
      <c r="F1030" t="s">
        <v>88</v>
      </c>
      <c r="G1030" s="19">
        <v>45594</v>
      </c>
      <c r="H1030" t="s">
        <v>94</v>
      </c>
      <c r="I1030" t="s">
        <v>4720</v>
      </c>
      <c r="J1030" t="s">
        <v>4721</v>
      </c>
      <c r="O1030" t="s">
        <v>964</v>
      </c>
      <c r="Q1030" s="3">
        <f t="shared" si="70"/>
        <v>20.29</v>
      </c>
      <c r="R1030" s="69" t="s">
        <v>5326</v>
      </c>
      <c r="S1030" s="69" t="s">
        <v>5327</v>
      </c>
      <c r="V1030" s="3" t="str">
        <f t="shared" si="71"/>
        <v/>
      </c>
    </row>
    <row r="1031" spans="1:22" ht="87" x14ac:dyDescent="0.35">
      <c r="A1031" t="s">
        <v>35</v>
      </c>
      <c r="B1031" t="s">
        <v>2031</v>
      </c>
      <c r="C1031" t="s">
        <v>16</v>
      </c>
      <c r="D1031" t="s">
        <v>17</v>
      </c>
      <c r="E1031">
        <v>20.18</v>
      </c>
      <c r="F1031" t="s">
        <v>88</v>
      </c>
      <c r="G1031" s="19">
        <v>45565</v>
      </c>
      <c r="H1031" t="s">
        <v>94</v>
      </c>
      <c r="I1031" t="s">
        <v>4475</v>
      </c>
      <c r="J1031" t="s">
        <v>4476</v>
      </c>
      <c r="O1031" t="s">
        <v>4477</v>
      </c>
      <c r="Q1031" s="3">
        <f t="shared" si="70"/>
        <v>20.18</v>
      </c>
      <c r="R1031" s="69" t="s">
        <v>5326</v>
      </c>
      <c r="S1031" s="69" t="s">
        <v>5327</v>
      </c>
      <c r="V1031" s="3" t="str">
        <f t="shared" si="71"/>
        <v/>
      </c>
    </row>
    <row r="1032" spans="1:22" ht="87" x14ac:dyDescent="0.35">
      <c r="A1032" t="s">
        <v>35</v>
      </c>
      <c r="B1032" t="s">
        <v>2031</v>
      </c>
      <c r="C1032" t="s">
        <v>16</v>
      </c>
      <c r="D1032" t="s">
        <v>17</v>
      </c>
      <c r="E1032">
        <v>20.18</v>
      </c>
      <c r="F1032" t="s">
        <v>88</v>
      </c>
      <c r="G1032" s="19">
        <v>45565</v>
      </c>
      <c r="H1032" t="s">
        <v>94</v>
      </c>
      <c r="I1032" t="s">
        <v>4475</v>
      </c>
      <c r="J1032" t="s">
        <v>4478</v>
      </c>
      <c r="O1032" t="s">
        <v>4477</v>
      </c>
      <c r="Q1032" s="3">
        <f t="shared" ref="Q1032:Q1095" si="74">ABS(E1032)</f>
        <v>20.18</v>
      </c>
      <c r="R1032" s="69" t="s">
        <v>5326</v>
      </c>
      <c r="S1032" s="69" t="s">
        <v>5327</v>
      </c>
      <c r="V1032" s="3" t="str">
        <f t="shared" si="71"/>
        <v/>
      </c>
    </row>
    <row r="1033" spans="1:22" x14ac:dyDescent="0.35">
      <c r="A1033" t="s">
        <v>35</v>
      </c>
      <c r="B1033" t="s">
        <v>825</v>
      </c>
      <c r="C1033" t="s">
        <v>16</v>
      </c>
      <c r="D1033" t="s">
        <v>17</v>
      </c>
      <c r="E1033">
        <v>20.14</v>
      </c>
      <c r="F1033" t="s">
        <v>88</v>
      </c>
      <c r="G1033" s="19">
        <v>45574</v>
      </c>
      <c r="H1033" t="s">
        <v>94</v>
      </c>
      <c r="I1033" t="s">
        <v>448</v>
      </c>
      <c r="J1033" t="s">
        <v>4611</v>
      </c>
      <c r="O1033" t="s">
        <v>564</v>
      </c>
      <c r="Q1033" s="3">
        <f t="shared" si="74"/>
        <v>20.14</v>
      </c>
      <c r="V1033" s="3" t="str">
        <f t="shared" ref="V1033:V1096" si="75">IF(T1033="Y",E1033,"")</f>
        <v/>
      </c>
    </row>
    <row r="1034" spans="1:22" x14ac:dyDescent="0.35">
      <c r="A1034" t="s">
        <v>35</v>
      </c>
      <c r="B1034" t="s">
        <v>1566</v>
      </c>
      <c r="C1034" t="s">
        <v>16</v>
      </c>
      <c r="D1034" t="s">
        <v>17</v>
      </c>
      <c r="E1034">
        <v>20</v>
      </c>
      <c r="F1034" t="s">
        <v>88</v>
      </c>
      <c r="G1034" s="19">
        <v>45455</v>
      </c>
      <c r="H1034" t="s">
        <v>94</v>
      </c>
      <c r="I1034" t="s">
        <v>3572</v>
      </c>
      <c r="J1034" t="s">
        <v>3573</v>
      </c>
      <c r="O1034" t="s">
        <v>3574</v>
      </c>
      <c r="Q1034" s="3">
        <f t="shared" si="74"/>
        <v>20</v>
      </c>
      <c r="V1034" s="3" t="str">
        <f t="shared" si="75"/>
        <v/>
      </c>
    </row>
    <row r="1035" spans="1:22" x14ac:dyDescent="0.35">
      <c r="A1035" t="s">
        <v>35</v>
      </c>
      <c r="B1035" t="s">
        <v>1566</v>
      </c>
      <c r="C1035" t="s">
        <v>16</v>
      </c>
      <c r="D1035" t="s">
        <v>17</v>
      </c>
      <c r="E1035">
        <v>19.920000000000002</v>
      </c>
      <c r="F1035" t="s">
        <v>88</v>
      </c>
      <c r="G1035" s="19">
        <v>45618</v>
      </c>
      <c r="H1035" t="s">
        <v>94</v>
      </c>
      <c r="I1035" t="s">
        <v>5022</v>
      </c>
      <c r="J1035" t="s">
        <v>5023</v>
      </c>
      <c r="O1035" t="s">
        <v>5024</v>
      </c>
      <c r="Q1035" s="3">
        <f t="shared" si="74"/>
        <v>19.920000000000002</v>
      </c>
      <c r="V1035" s="3" t="str">
        <f t="shared" si="75"/>
        <v/>
      </c>
    </row>
    <row r="1036" spans="1:22" x14ac:dyDescent="0.35">
      <c r="A1036" t="s">
        <v>0</v>
      </c>
      <c r="B1036" t="s">
        <v>1543</v>
      </c>
      <c r="C1036" t="s">
        <v>16</v>
      </c>
      <c r="D1036" t="s">
        <v>17</v>
      </c>
      <c r="E1036">
        <v>18.690000000000001</v>
      </c>
      <c r="F1036" t="s">
        <v>88</v>
      </c>
      <c r="G1036" s="19">
        <v>45644</v>
      </c>
      <c r="H1036" t="s">
        <v>181</v>
      </c>
      <c r="I1036" t="s">
        <v>182</v>
      </c>
      <c r="J1036"/>
      <c r="Q1036" s="3">
        <f t="shared" si="74"/>
        <v>18.690000000000001</v>
      </c>
      <c r="V1036" s="3" t="str">
        <f t="shared" si="75"/>
        <v/>
      </c>
    </row>
    <row r="1037" spans="1:22" ht="87" x14ac:dyDescent="0.35">
      <c r="A1037" t="s">
        <v>35</v>
      </c>
      <c r="B1037" t="s">
        <v>893</v>
      </c>
      <c r="C1037" t="s">
        <v>16</v>
      </c>
      <c r="D1037" t="s">
        <v>17</v>
      </c>
      <c r="E1037">
        <v>18.52</v>
      </c>
      <c r="F1037" t="s">
        <v>88</v>
      </c>
      <c r="G1037" s="19">
        <v>45615</v>
      </c>
      <c r="H1037" t="s">
        <v>94</v>
      </c>
      <c r="I1037" t="s">
        <v>4959</v>
      </c>
      <c r="J1037" t="s">
        <v>4960</v>
      </c>
      <c r="O1037" t="s">
        <v>4961</v>
      </c>
      <c r="Q1037" s="3">
        <f t="shared" si="74"/>
        <v>18.52</v>
      </c>
      <c r="R1037" s="69" t="s">
        <v>5326</v>
      </c>
      <c r="S1037" s="69" t="s">
        <v>5327</v>
      </c>
      <c r="V1037" s="3" t="str">
        <f t="shared" si="75"/>
        <v/>
      </c>
    </row>
    <row r="1038" spans="1:22" x14ac:dyDescent="0.35">
      <c r="A1038" t="s">
        <v>35</v>
      </c>
      <c r="B1038" t="s">
        <v>615</v>
      </c>
      <c r="C1038" t="s">
        <v>16</v>
      </c>
      <c r="D1038" t="s">
        <v>17</v>
      </c>
      <c r="E1038">
        <v>18.27</v>
      </c>
      <c r="F1038" t="s">
        <v>88</v>
      </c>
      <c r="G1038" s="19">
        <v>45390</v>
      </c>
      <c r="H1038" t="s">
        <v>94</v>
      </c>
      <c r="I1038" t="s">
        <v>2865</v>
      </c>
      <c r="J1038" t="s">
        <v>2866</v>
      </c>
      <c r="O1038" t="s">
        <v>2867</v>
      </c>
      <c r="Q1038" s="3">
        <f t="shared" si="74"/>
        <v>18.27</v>
      </c>
      <c r="V1038" s="3" t="str">
        <f t="shared" si="75"/>
        <v/>
      </c>
    </row>
    <row r="1039" spans="1:22" x14ac:dyDescent="0.35">
      <c r="A1039" t="s">
        <v>35</v>
      </c>
      <c r="B1039" t="s">
        <v>1566</v>
      </c>
      <c r="C1039" t="s">
        <v>16</v>
      </c>
      <c r="D1039" t="s">
        <v>17</v>
      </c>
      <c r="E1039">
        <v>18.18</v>
      </c>
      <c r="F1039" t="s">
        <v>88</v>
      </c>
      <c r="G1039" s="19">
        <v>45398</v>
      </c>
      <c r="H1039" t="s">
        <v>94</v>
      </c>
      <c r="I1039" t="s">
        <v>3009</v>
      </c>
      <c r="J1039" t="s">
        <v>3010</v>
      </c>
      <c r="O1039" t="s">
        <v>3011</v>
      </c>
      <c r="Q1039" s="3">
        <f t="shared" si="74"/>
        <v>18.18</v>
      </c>
      <c r="V1039" s="3" t="str">
        <f t="shared" si="75"/>
        <v/>
      </c>
    </row>
    <row r="1040" spans="1:22" x14ac:dyDescent="0.35">
      <c r="A1040" t="s">
        <v>35</v>
      </c>
      <c r="B1040" t="s">
        <v>1566</v>
      </c>
      <c r="C1040" t="s">
        <v>16</v>
      </c>
      <c r="D1040" t="s">
        <v>17</v>
      </c>
      <c r="E1040">
        <v>18.18</v>
      </c>
      <c r="F1040" t="s">
        <v>88</v>
      </c>
      <c r="G1040" s="19">
        <v>45453</v>
      </c>
      <c r="H1040" t="s">
        <v>94</v>
      </c>
      <c r="I1040" t="s">
        <v>251</v>
      </c>
      <c r="J1040" t="s">
        <v>3481</v>
      </c>
      <c r="O1040" t="s">
        <v>3482</v>
      </c>
      <c r="Q1040" s="3">
        <f t="shared" si="74"/>
        <v>18.18</v>
      </c>
      <c r="V1040" s="3" t="str">
        <f t="shared" si="75"/>
        <v/>
      </c>
    </row>
    <row r="1041" spans="1:22" x14ac:dyDescent="0.35">
      <c r="A1041" t="s">
        <v>35</v>
      </c>
      <c r="B1041" t="s">
        <v>819</v>
      </c>
      <c r="C1041" t="s">
        <v>16</v>
      </c>
      <c r="D1041" t="s">
        <v>17</v>
      </c>
      <c r="E1041">
        <v>18.18</v>
      </c>
      <c r="F1041" t="s">
        <v>88</v>
      </c>
      <c r="G1041" s="19">
        <v>45555</v>
      </c>
      <c r="H1041" t="s">
        <v>94</v>
      </c>
      <c r="I1041" t="s">
        <v>4397</v>
      </c>
      <c r="J1041" t="s">
        <v>4398</v>
      </c>
      <c r="O1041" t="s">
        <v>4399</v>
      </c>
      <c r="Q1041" s="3">
        <f t="shared" si="74"/>
        <v>18.18</v>
      </c>
      <c r="V1041" s="3" t="str">
        <f t="shared" si="75"/>
        <v/>
      </c>
    </row>
    <row r="1042" spans="1:22" x14ac:dyDescent="0.35">
      <c r="A1042" t="s">
        <v>35</v>
      </c>
      <c r="B1042" t="s">
        <v>1566</v>
      </c>
      <c r="C1042" t="s">
        <v>16</v>
      </c>
      <c r="D1042" t="s">
        <v>17</v>
      </c>
      <c r="E1042">
        <v>18.16</v>
      </c>
      <c r="F1042" t="s">
        <v>88</v>
      </c>
      <c r="G1042" s="19">
        <v>45616</v>
      </c>
      <c r="H1042" t="s">
        <v>94</v>
      </c>
      <c r="I1042" t="s">
        <v>242</v>
      </c>
      <c r="J1042" t="s">
        <v>4973</v>
      </c>
      <c r="O1042" t="s">
        <v>2943</v>
      </c>
      <c r="Q1042" s="3">
        <f t="shared" si="74"/>
        <v>18.16</v>
      </c>
      <c r="V1042" s="3" t="str">
        <f t="shared" si="75"/>
        <v/>
      </c>
    </row>
    <row r="1043" spans="1:22" x14ac:dyDescent="0.35">
      <c r="A1043" t="s">
        <v>35</v>
      </c>
      <c r="B1043" t="s">
        <v>1566</v>
      </c>
      <c r="C1043" t="s">
        <v>16</v>
      </c>
      <c r="D1043" t="s">
        <v>17</v>
      </c>
      <c r="E1043">
        <v>18.149999999999999</v>
      </c>
      <c r="F1043" t="s">
        <v>88</v>
      </c>
      <c r="G1043" s="19">
        <v>45392</v>
      </c>
      <c r="H1043" t="s">
        <v>94</v>
      </c>
      <c r="I1043" t="s">
        <v>416</v>
      </c>
      <c r="J1043" t="s">
        <v>2916</v>
      </c>
      <c r="O1043" t="s">
        <v>2917</v>
      </c>
      <c r="Q1043" s="3">
        <f t="shared" si="74"/>
        <v>18.149999999999999</v>
      </c>
      <c r="V1043" s="3" t="str">
        <f t="shared" si="75"/>
        <v/>
      </c>
    </row>
    <row r="1044" spans="1:22" x14ac:dyDescent="0.35">
      <c r="A1044" t="s">
        <v>35</v>
      </c>
      <c r="B1044" t="s">
        <v>1566</v>
      </c>
      <c r="C1044" t="s">
        <v>16</v>
      </c>
      <c r="D1044" t="s">
        <v>17</v>
      </c>
      <c r="E1044">
        <v>18.11</v>
      </c>
      <c r="F1044" t="s">
        <v>88</v>
      </c>
      <c r="G1044" s="19">
        <v>45453</v>
      </c>
      <c r="H1044" t="s">
        <v>94</v>
      </c>
      <c r="I1044" t="s">
        <v>229</v>
      </c>
      <c r="J1044" t="s">
        <v>3516</v>
      </c>
      <c r="O1044" t="s">
        <v>3514</v>
      </c>
      <c r="Q1044" s="3">
        <f t="shared" si="74"/>
        <v>18.11</v>
      </c>
      <c r="V1044" s="3" t="str">
        <f t="shared" si="75"/>
        <v/>
      </c>
    </row>
    <row r="1045" spans="1:22" x14ac:dyDescent="0.35">
      <c r="A1045" t="s">
        <v>35</v>
      </c>
      <c r="B1045" t="s">
        <v>1566</v>
      </c>
      <c r="C1045" t="s">
        <v>16</v>
      </c>
      <c r="D1045" t="s">
        <v>17</v>
      </c>
      <c r="E1045">
        <v>17.28</v>
      </c>
      <c r="F1045" t="s">
        <v>88</v>
      </c>
      <c r="G1045" s="19">
        <v>45404</v>
      </c>
      <c r="H1045" t="s">
        <v>94</v>
      </c>
      <c r="I1045" t="s">
        <v>238</v>
      </c>
      <c r="J1045" t="s">
        <v>3089</v>
      </c>
      <c r="O1045" t="s">
        <v>2555</v>
      </c>
      <c r="Q1045" s="3">
        <f t="shared" si="74"/>
        <v>17.28</v>
      </c>
      <c r="S1045" s="69" t="s">
        <v>53</v>
      </c>
      <c r="T1045" t="s">
        <v>64</v>
      </c>
      <c r="U1045" t="str">
        <f t="shared" ref="U1045" si="76">B1045</f>
        <v>AU032046</v>
      </c>
      <c r="V1045" s="3">
        <f t="shared" si="75"/>
        <v>17.28</v>
      </c>
    </row>
    <row r="1046" spans="1:22" x14ac:dyDescent="0.35">
      <c r="A1046" t="s">
        <v>35</v>
      </c>
      <c r="B1046" t="s">
        <v>915</v>
      </c>
      <c r="C1046" t="s">
        <v>16</v>
      </c>
      <c r="D1046" t="s">
        <v>17</v>
      </c>
      <c r="E1046">
        <v>16.36</v>
      </c>
      <c r="F1046" t="s">
        <v>88</v>
      </c>
      <c r="G1046" s="19">
        <v>45454</v>
      </c>
      <c r="H1046" t="s">
        <v>94</v>
      </c>
      <c r="I1046" t="s">
        <v>3552</v>
      </c>
      <c r="J1046" t="s">
        <v>3553</v>
      </c>
      <c r="O1046" t="s">
        <v>3554</v>
      </c>
      <c r="Q1046" s="3">
        <f t="shared" si="74"/>
        <v>16.36</v>
      </c>
      <c r="V1046" s="3" t="str">
        <f t="shared" si="75"/>
        <v/>
      </c>
    </row>
    <row r="1047" spans="1:22" x14ac:dyDescent="0.35">
      <c r="A1047" t="s">
        <v>35</v>
      </c>
      <c r="B1047" t="s">
        <v>915</v>
      </c>
      <c r="C1047" t="s">
        <v>16</v>
      </c>
      <c r="D1047" t="s">
        <v>17</v>
      </c>
      <c r="E1047">
        <v>16.36</v>
      </c>
      <c r="F1047" t="s">
        <v>88</v>
      </c>
      <c r="G1047" s="19">
        <v>45512</v>
      </c>
      <c r="H1047" t="s">
        <v>94</v>
      </c>
      <c r="I1047" t="s">
        <v>3973</v>
      </c>
      <c r="J1047" t="s">
        <v>3974</v>
      </c>
      <c r="O1047" t="s">
        <v>3975</v>
      </c>
      <c r="Q1047" s="3">
        <f t="shared" si="74"/>
        <v>16.36</v>
      </c>
      <c r="V1047" s="3" t="str">
        <f t="shared" si="75"/>
        <v/>
      </c>
    </row>
    <row r="1048" spans="1:22" x14ac:dyDescent="0.35">
      <c r="A1048" t="s">
        <v>0</v>
      </c>
      <c r="B1048" t="s">
        <v>1566</v>
      </c>
      <c r="C1048" t="s">
        <v>16</v>
      </c>
      <c r="D1048" t="s">
        <v>17</v>
      </c>
      <c r="E1048">
        <v>15.85</v>
      </c>
      <c r="F1048" t="s">
        <v>88</v>
      </c>
      <c r="G1048" s="19">
        <v>45637</v>
      </c>
      <c r="H1048" t="s">
        <v>89</v>
      </c>
      <c r="I1048" t="s">
        <v>5228</v>
      </c>
      <c r="J1048"/>
      <c r="K1048" t="s">
        <v>5229</v>
      </c>
      <c r="L1048" t="s">
        <v>5230</v>
      </c>
      <c r="M1048" t="s">
        <v>5231</v>
      </c>
      <c r="Q1048" s="3">
        <f t="shared" si="74"/>
        <v>15.85</v>
      </c>
      <c r="S1048" s="69" t="s">
        <v>53</v>
      </c>
      <c r="T1048" t="s">
        <v>64</v>
      </c>
      <c r="U1048" t="str">
        <f t="shared" ref="U1048" si="77">B1048</f>
        <v>AU032046</v>
      </c>
      <c r="V1048" s="3">
        <f t="shared" si="75"/>
        <v>15.85</v>
      </c>
    </row>
    <row r="1049" spans="1:22" x14ac:dyDescent="0.35">
      <c r="A1049" t="s">
        <v>35</v>
      </c>
      <c r="B1049" t="s">
        <v>1566</v>
      </c>
      <c r="C1049" t="s">
        <v>16</v>
      </c>
      <c r="D1049" t="s">
        <v>17</v>
      </c>
      <c r="E1049">
        <v>15.8</v>
      </c>
      <c r="F1049" t="s">
        <v>88</v>
      </c>
      <c r="G1049" s="19">
        <v>45558</v>
      </c>
      <c r="H1049" t="s">
        <v>94</v>
      </c>
      <c r="I1049" t="s">
        <v>4427</v>
      </c>
      <c r="J1049" t="s">
        <v>4426</v>
      </c>
      <c r="O1049" t="s">
        <v>4428</v>
      </c>
      <c r="Q1049" s="3">
        <f t="shared" si="74"/>
        <v>15.8</v>
      </c>
      <c r="V1049" s="3" t="str">
        <f t="shared" si="75"/>
        <v/>
      </c>
    </row>
    <row r="1050" spans="1:22" x14ac:dyDescent="0.35">
      <c r="A1050" t="s">
        <v>0</v>
      </c>
      <c r="B1050" t="s">
        <v>1566</v>
      </c>
      <c r="C1050" t="s">
        <v>16</v>
      </c>
      <c r="D1050" t="s">
        <v>17</v>
      </c>
      <c r="E1050">
        <v>-15.62</v>
      </c>
      <c r="F1050" t="s">
        <v>88</v>
      </c>
      <c r="G1050" s="19">
        <v>45456</v>
      </c>
      <c r="H1050" t="s">
        <v>3594</v>
      </c>
      <c r="I1050" t="s">
        <v>189</v>
      </c>
      <c r="J1050"/>
      <c r="Q1050" s="3">
        <f t="shared" si="74"/>
        <v>15.62</v>
      </c>
      <c r="V1050" s="3" t="str">
        <f t="shared" si="75"/>
        <v/>
      </c>
    </row>
    <row r="1051" spans="1:22" x14ac:dyDescent="0.35">
      <c r="A1051" t="s">
        <v>35</v>
      </c>
      <c r="B1051" t="s">
        <v>1566</v>
      </c>
      <c r="C1051" t="s">
        <v>16</v>
      </c>
      <c r="D1051" t="s">
        <v>17</v>
      </c>
      <c r="E1051">
        <v>15.32</v>
      </c>
      <c r="F1051" t="s">
        <v>88</v>
      </c>
      <c r="G1051" s="19">
        <v>45404</v>
      </c>
      <c r="H1051" t="s">
        <v>94</v>
      </c>
      <c r="I1051" t="s">
        <v>238</v>
      </c>
      <c r="J1051" t="s">
        <v>3089</v>
      </c>
      <c r="O1051" t="s">
        <v>3090</v>
      </c>
      <c r="Q1051" s="3">
        <f t="shared" si="74"/>
        <v>15.32</v>
      </c>
      <c r="S1051" s="69" t="s">
        <v>53</v>
      </c>
      <c r="T1051" t="s">
        <v>64</v>
      </c>
      <c r="U1051" t="str">
        <f t="shared" ref="U1051" si="78">B1051</f>
        <v>AU032046</v>
      </c>
      <c r="V1051" s="3">
        <f t="shared" si="75"/>
        <v>15.32</v>
      </c>
    </row>
    <row r="1052" spans="1:22" x14ac:dyDescent="0.35">
      <c r="A1052" t="s">
        <v>35</v>
      </c>
      <c r="B1052" t="s">
        <v>1566</v>
      </c>
      <c r="C1052" t="s">
        <v>16</v>
      </c>
      <c r="D1052" t="s">
        <v>17</v>
      </c>
      <c r="E1052">
        <v>15.21</v>
      </c>
      <c r="F1052" t="s">
        <v>88</v>
      </c>
      <c r="G1052" s="19">
        <v>45618</v>
      </c>
      <c r="H1052" t="s">
        <v>94</v>
      </c>
      <c r="I1052" t="s">
        <v>4612</v>
      </c>
      <c r="J1052" t="s">
        <v>5009</v>
      </c>
      <c r="O1052" t="s">
        <v>4335</v>
      </c>
      <c r="Q1052" s="3">
        <f t="shared" si="74"/>
        <v>15.21</v>
      </c>
      <c r="V1052" s="3" t="str">
        <f t="shared" si="75"/>
        <v/>
      </c>
    </row>
    <row r="1053" spans="1:22" x14ac:dyDescent="0.35">
      <c r="A1053" t="s">
        <v>35</v>
      </c>
      <c r="B1053" t="s">
        <v>1566</v>
      </c>
      <c r="C1053" t="s">
        <v>16</v>
      </c>
      <c r="D1053" t="s">
        <v>17</v>
      </c>
      <c r="E1053">
        <v>15.19</v>
      </c>
      <c r="F1053" t="s">
        <v>88</v>
      </c>
      <c r="G1053" s="19">
        <v>45404</v>
      </c>
      <c r="H1053" t="s">
        <v>94</v>
      </c>
      <c r="I1053" t="s">
        <v>3079</v>
      </c>
      <c r="J1053" t="s">
        <v>3080</v>
      </c>
      <c r="O1053" t="s">
        <v>3081</v>
      </c>
      <c r="Q1053" s="3">
        <f t="shared" si="74"/>
        <v>15.19</v>
      </c>
      <c r="V1053" s="3" t="str">
        <f t="shared" si="75"/>
        <v/>
      </c>
    </row>
    <row r="1054" spans="1:22" x14ac:dyDescent="0.35">
      <c r="A1054" t="s">
        <v>35</v>
      </c>
      <c r="B1054" t="s">
        <v>1566</v>
      </c>
      <c r="C1054" t="s">
        <v>16</v>
      </c>
      <c r="D1054" t="s">
        <v>17</v>
      </c>
      <c r="E1054">
        <v>15.09</v>
      </c>
      <c r="F1054" t="s">
        <v>88</v>
      </c>
      <c r="G1054" s="19">
        <v>45392</v>
      </c>
      <c r="H1054" t="s">
        <v>94</v>
      </c>
      <c r="I1054" t="s">
        <v>209</v>
      </c>
      <c r="J1054" t="s">
        <v>2913</v>
      </c>
      <c r="O1054" t="s">
        <v>2914</v>
      </c>
      <c r="Q1054" s="3">
        <f t="shared" si="74"/>
        <v>15.09</v>
      </c>
      <c r="V1054" s="3" t="str">
        <f t="shared" si="75"/>
        <v/>
      </c>
    </row>
    <row r="1055" spans="1:22" x14ac:dyDescent="0.35">
      <c r="A1055" t="s">
        <v>35</v>
      </c>
      <c r="B1055" t="s">
        <v>3466</v>
      </c>
      <c r="C1055" t="s">
        <v>16</v>
      </c>
      <c r="D1055" t="s">
        <v>17</v>
      </c>
      <c r="E1055">
        <v>15</v>
      </c>
      <c r="F1055" t="s">
        <v>88</v>
      </c>
      <c r="G1055" s="19">
        <v>45467</v>
      </c>
      <c r="H1055" t="s">
        <v>94</v>
      </c>
      <c r="I1055" t="s">
        <v>3665</v>
      </c>
      <c r="J1055" t="s">
        <v>3668</v>
      </c>
      <c r="O1055" t="s">
        <v>3669</v>
      </c>
      <c r="Q1055" s="3">
        <f t="shared" si="74"/>
        <v>15</v>
      </c>
      <c r="V1055" s="3" t="str">
        <f t="shared" si="75"/>
        <v/>
      </c>
    </row>
    <row r="1056" spans="1:22" x14ac:dyDescent="0.35">
      <c r="A1056" t="s">
        <v>35</v>
      </c>
      <c r="B1056" t="s">
        <v>1566</v>
      </c>
      <c r="C1056" t="s">
        <v>16</v>
      </c>
      <c r="D1056" t="s">
        <v>17</v>
      </c>
      <c r="E1056">
        <v>14.55</v>
      </c>
      <c r="F1056" t="s">
        <v>88</v>
      </c>
      <c r="G1056" s="19">
        <v>45392</v>
      </c>
      <c r="H1056" t="s">
        <v>94</v>
      </c>
      <c r="I1056" t="s">
        <v>2925</v>
      </c>
      <c r="J1056" t="s">
        <v>2926</v>
      </c>
      <c r="O1056" t="s">
        <v>2927</v>
      </c>
      <c r="Q1056" s="3">
        <f t="shared" si="74"/>
        <v>14.55</v>
      </c>
      <c r="V1056" s="3" t="str">
        <f t="shared" si="75"/>
        <v/>
      </c>
    </row>
    <row r="1057" spans="1:22" x14ac:dyDescent="0.35">
      <c r="A1057" t="s">
        <v>35</v>
      </c>
      <c r="B1057" t="s">
        <v>698</v>
      </c>
      <c r="C1057" t="s">
        <v>16</v>
      </c>
      <c r="D1057" t="s">
        <v>17</v>
      </c>
      <c r="E1057">
        <v>14.54</v>
      </c>
      <c r="F1057" t="s">
        <v>88</v>
      </c>
      <c r="G1057" s="19">
        <v>45586</v>
      </c>
      <c r="H1057" t="s">
        <v>94</v>
      </c>
      <c r="I1057" t="s">
        <v>2954</v>
      </c>
      <c r="J1057" t="s">
        <v>4707</v>
      </c>
      <c r="O1057" t="s">
        <v>4706</v>
      </c>
      <c r="Q1057" s="3">
        <f t="shared" si="74"/>
        <v>14.54</v>
      </c>
      <c r="V1057" s="3" t="str">
        <f t="shared" si="75"/>
        <v/>
      </c>
    </row>
    <row r="1058" spans="1:22" x14ac:dyDescent="0.35">
      <c r="A1058" t="s">
        <v>35</v>
      </c>
      <c r="B1058" t="s">
        <v>1566</v>
      </c>
      <c r="C1058" t="s">
        <v>16</v>
      </c>
      <c r="D1058" t="s">
        <v>17</v>
      </c>
      <c r="E1058">
        <v>14.5</v>
      </c>
      <c r="F1058" t="s">
        <v>88</v>
      </c>
      <c r="G1058" s="19">
        <v>45618</v>
      </c>
      <c r="H1058" t="s">
        <v>94</v>
      </c>
      <c r="I1058" t="s">
        <v>4612</v>
      </c>
      <c r="J1058" t="s">
        <v>5006</v>
      </c>
      <c r="O1058" t="s">
        <v>5001</v>
      </c>
      <c r="Q1058" s="3">
        <f t="shared" si="74"/>
        <v>14.5</v>
      </c>
      <c r="V1058" s="3" t="str">
        <f t="shared" si="75"/>
        <v/>
      </c>
    </row>
    <row r="1059" spans="1:22" x14ac:dyDescent="0.35">
      <c r="A1059" t="s">
        <v>0</v>
      </c>
      <c r="B1059" t="s">
        <v>1566</v>
      </c>
      <c r="C1059" t="s">
        <v>16</v>
      </c>
      <c r="D1059" t="s">
        <v>17</v>
      </c>
      <c r="E1059">
        <v>14.27</v>
      </c>
      <c r="F1059" t="s">
        <v>88</v>
      </c>
      <c r="G1059" s="19">
        <v>45566</v>
      </c>
      <c r="H1059" t="s">
        <v>89</v>
      </c>
      <c r="I1059" t="s">
        <v>4511</v>
      </c>
      <c r="J1059"/>
      <c r="K1059" t="s">
        <v>4512</v>
      </c>
      <c r="L1059" t="s">
        <v>4513</v>
      </c>
      <c r="M1059" t="s">
        <v>100</v>
      </c>
      <c r="Q1059" s="3">
        <f t="shared" si="74"/>
        <v>14.27</v>
      </c>
      <c r="V1059" s="3" t="str">
        <f t="shared" si="75"/>
        <v/>
      </c>
    </row>
    <row r="1060" spans="1:22" x14ac:dyDescent="0.35">
      <c r="A1060" t="s">
        <v>35</v>
      </c>
      <c r="B1060" t="s">
        <v>915</v>
      </c>
      <c r="C1060" t="s">
        <v>16</v>
      </c>
      <c r="D1060" t="s">
        <v>17</v>
      </c>
      <c r="E1060">
        <v>13.64</v>
      </c>
      <c r="F1060" t="s">
        <v>88</v>
      </c>
      <c r="G1060" s="19">
        <v>45512</v>
      </c>
      <c r="H1060" t="s">
        <v>94</v>
      </c>
      <c r="I1060" t="s">
        <v>3555</v>
      </c>
      <c r="J1060" t="s">
        <v>3970</v>
      </c>
      <c r="O1060" t="s">
        <v>918</v>
      </c>
      <c r="Q1060" s="3">
        <f t="shared" si="74"/>
        <v>13.64</v>
      </c>
      <c r="V1060" s="3" t="str">
        <f t="shared" si="75"/>
        <v/>
      </c>
    </row>
    <row r="1061" spans="1:22" x14ac:dyDescent="0.35">
      <c r="A1061" t="s">
        <v>35</v>
      </c>
      <c r="B1061" t="s">
        <v>1566</v>
      </c>
      <c r="C1061" t="s">
        <v>16</v>
      </c>
      <c r="D1061" t="s">
        <v>17</v>
      </c>
      <c r="E1061">
        <v>12.73</v>
      </c>
      <c r="F1061" t="s">
        <v>88</v>
      </c>
      <c r="G1061" s="19">
        <v>45453</v>
      </c>
      <c r="H1061" t="s">
        <v>94</v>
      </c>
      <c r="I1061" t="s">
        <v>204</v>
      </c>
      <c r="J1061" t="s">
        <v>3487</v>
      </c>
      <c r="O1061" t="s">
        <v>2939</v>
      </c>
      <c r="Q1061" s="3">
        <f t="shared" si="74"/>
        <v>12.73</v>
      </c>
      <c r="V1061" s="3" t="str">
        <f t="shared" si="75"/>
        <v/>
      </c>
    </row>
    <row r="1062" spans="1:22" ht="87" x14ac:dyDescent="0.35">
      <c r="A1062" t="s">
        <v>35</v>
      </c>
      <c r="B1062" t="s">
        <v>2031</v>
      </c>
      <c r="C1062" t="s">
        <v>16</v>
      </c>
      <c r="D1062" t="s">
        <v>17</v>
      </c>
      <c r="E1062">
        <v>12.73</v>
      </c>
      <c r="F1062" t="s">
        <v>88</v>
      </c>
      <c r="G1062" s="19">
        <v>45565</v>
      </c>
      <c r="H1062" t="s">
        <v>94</v>
      </c>
      <c r="I1062" t="s">
        <v>4070</v>
      </c>
      <c r="J1062" t="s">
        <v>4501</v>
      </c>
      <c r="O1062" t="s">
        <v>4500</v>
      </c>
      <c r="Q1062" s="3">
        <f t="shared" si="74"/>
        <v>12.73</v>
      </c>
      <c r="R1062" s="69" t="s">
        <v>5326</v>
      </c>
      <c r="S1062" s="69" t="s">
        <v>5327</v>
      </c>
      <c r="V1062" s="3" t="str">
        <f t="shared" si="75"/>
        <v/>
      </c>
    </row>
    <row r="1063" spans="1:22" x14ac:dyDescent="0.35">
      <c r="A1063" t="s">
        <v>35</v>
      </c>
      <c r="B1063" t="s">
        <v>1566</v>
      </c>
      <c r="C1063" t="s">
        <v>16</v>
      </c>
      <c r="D1063" t="s">
        <v>17</v>
      </c>
      <c r="E1063">
        <v>12.55</v>
      </c>
      <c r="F1063" t="s">
        <v>88</v>
      </c>
      <c r="G1063" s="19">
        <v>45545</v>
      </c>
      <c r="H1063" t="s">
        <v>94</v>
      </c>
      <c r="I1063" t="s">
        <v>432</v>
      </c>
      <c r="J1063" t="s">
        <v>4296</v>
      </c>
      <c r="O1063" t="s">
        <v>528</v>
      </c>
      <c r="Q1063" s="3">
        <f t="shared" si="74"/>
        <v>12.55</v>
      </c>
      <c r="V1063" s="3" t="str">
        <f t="shared" si="75"/>
        <v/>
      </c>
    </row>
    <row r="1064" spans="1:22" x14ac:dyDescent="0.35">
      <c r="A1064" t="s">
        <v>35</v>
      </c>
      <c r="B1064" t="s">
        <v>1566</v>
      </c>
      <c r="C1064" t="s">
        <v>16</v>
      </c>
      <c r="D1064" t="s">
        <v>17</v>
      </c>
      <c r="E1064">
        <v>11.56</v>
      </c>
      <c r="F1064" t="s">
        <v>88</v>
      </c>
      <c r="G1064" s="19">
        <v>45502</v>
      </c>
      <c r="H1064" t="s">
        <v>94</v>
      </c>
      <c r="I1064" t="s">
        <v>3736</v>
      </c>
      <c r="J1064" t="s">
        <v>3885</v>
      </c>
      <c r="O1064" t="s">
        <v>3738</v>
      </c>
      <c r="Q1064" s="3">
        <f t="shared" si="74"/>
        <v>11.56</v>
      </c>
      <c r="V1064" s="3" t="str">
        <f t="shared" si="75"/>
        <v/>
      </c>
    </row>
    <row r="1065" spans="1:22" x14ac:dyDescent="0.35">
      <c r="A1065" t="s">
        <v>35</v>
      </c>
      <c r="B1065" t="s">
        <v>1566</v>
      </c>
      <c r="C1065" t="s">
        <v>16</v>
      </c>
      <c r="D1065" t="s">
        <v>17</v>
      </c>
      <c r="E1065">
        <v>11.5</v>
      </c>
      <c r="F1065" t="s">
        <v>88</v>
      </c>
      <c r="G1065" s="19">
        <v>45468</v>
      </c>
      <c r="H1065" t="s">
        <v>94</v>
      </c>
      <c r="I1065" t="s">
        <v>3685</v>
      </c>
      <c r="J1065" t="s">
        <v>3686</v>
      </c>
      <c r="O1065" t="s">
        <v>2088</v>
      </c>
      <c r="Q1065" s="3">
        <f t="shared" si="74"/>
        <v>11.5</v>
      </c>
      <c r="V1065" s="3" t="str">
        <f t="shared" si="75"/>
        <v/>
      </c>
    </row>
    <row r="1066" spans="1:22" x14ac:dyDescent="0.35">
      <c r="A1066" t="s">
        <v>0</v>
      </c>
      <c r="B1066" t="s">
        <v>1106</v>
      </c>
      <c r="C1066" t="s">
        <v>16</v>
      </c>
      <c r="D1066" t="s">
        <v>17</v>
      </c>
      <c r="E1066">
        <v>11.39</v>
      </c>
      <c r="F1066" t="s">
        <v>88</v>
      </c>
      <c r="G1066" s="19">
        <v>45404</v>
      </c>
      <c r="H1066" t="s">
        <v>89</v>
      </c>
      <c r="I1066" t="s">
        <v>2080</v>
      </c>
      <c r="J1066"/>
      <c r="K1066" t="s">
        <v>2081</v>
      </c>
      <c r="L1066" t="s">
        <v>2082</v>
      </c>
      <c r="M1066" t="s">
        <v>158</v>
      </c>
      <c r="Q1066" s="3">
        <f t="shared" si="74"/>
        <v>11.39</v>
      </c>
      <c r="V1066" s="3" t="str">
        <f t="shared" si="75"/>
        <v/>
      </c>
    </row>
    <row r="1067" spans="1:22" x14ac:dyDescent="0.35">
      <c r="A1067" t="s">
        <v>35</v>
      </c>
      <c r="B1067" t="s">
        <v>1566</v>
      </c>
      <c r="C1067" t="s">
        <v>16</v>
      </c>
      <c r="D1067" t="s">
        <v>17</v>
      </c>
      <c r="E1067">
        <v>10.91</v>
      </c>
      <c r="F1067" t="s">
        <v>88</v>
      </c>
      <c r="G1067" s="19">
        <v>45393</v>
      </c>
      <c r="H1067" t="s">
        <v>94</v>
      </c>
      <c r="I1067" t="s">
        <v>204</v>
      </c>
      <c r="J1067" t="s">
        <v>2938</v>
      </c>
      <c r="O1067" t="s">
        <v>2939</v>
      </c>
      <c r="Q1067" s="3">
        <f t="shared" si="74"/>
        <v>10.91</v>
      </c>
      <c r="V1067" s="3" t="str">
        <f t="shared" si="75"/>
        <v/>
      </c>
    </row>
    <row r="1068" spans="1:22" x14ac:dyDescent="0.35">
      <c r="A1068" t="s">
        <v>35</v>
      </c>
      <c r="B1068" t="s">
        <v>1566</v>
      </c>
      <c r="C1068" t="s">
        <v>16</v>
      </c>
      <c r="D1068" t="s">
        <v>17</v>
      </c>
      <c r="E1068">
        <v>10.91</v>
      </c>
      <c r="F1068" t="s">
        <v>88</v>
      </c>
      <c r="G1068" s="19">
        <v>45398</v>
      </c>
      <c r="H1068" t="s">
        <v>94</v>
      </c>
      <c r="I1068" t="s">
        <v>910</v>
      </c>
      <c r="J1068" t="s">
        <v>3014</v>
      </c>
      <c r="O1068" t="s">
        <v>3015</v>
      </c>
      <c r="Q1068" s="3">
        <f t="shared" si="74"/>
        <v>10.91</v>
      </c>
      <c r="V1068" s="3" t="str">
        <f t="shared" si="75"/>
        <v/>
      </c>
    </row>
    <row r="1069" spans="1:22" ht="87" x14ac:dyDescent="0.35">
      <c r="A1069" t="s">
        <v>35</v>
      </c>
      <c r="B1069" t="s">
        <v>825</v>
      </c>
      <c r="C1069" t="s">
        <v>16</v>
      </c>
      <c r="D1069" t="s">
        <v>17</v>
      </c>
      <c r="E1069">
        <v>10.91</v>
      </c>
      <c r="F1069" t="s">
        <v>88</v>
      </c>
      <c r="G1069" s="19">
        <v>45554</v>
      </c>
      <c r="H1069" t="s">
        <v>94</v>
      </c>
      <c r="I1069" t="s">
        <v>4391</v>
      </c>
      <c r="J1069" t="s">
        <v>4392</v>
      </c>
      <c r="O1069" t="s">
        <v>4393</v>
      </c>
      <c r="Q1069" s="3">
        <f t="shared" si="74"/>
        <v>10.91</v>
      </c>
      <c r="R1069" s="69" t="s">
        <v>5326</v>
      </c>
      <c r="S1069" s="69" t="s">
        <v>5327</v>
      </c>
      <c r="V1069" s="3" t="str">
        <f t="shared" si="75"/>
        <v/>
      </c>
    </row>
    <row r="1070" spans="1:22" ht="87" x14ac:dyDescent="0.35">
      <c r="A1070" t="s">
        <v>35</v>
      </c>
      <c r="B1070" t="s">
        <v>2031</v>
      </c>
      <c r="C1070" t="s">
        <v>16</v>
      </c>
      <c r="D1070" t="s">
        <v>17</v>
      </c>
      <c r="E1070">
        <v>10.91</v>
      </c>
      <c r="F1070" t="s">
        <v>88</v>
      </c>
      <c r="G1070" s="19">
        <v>45565</v>
      </c>
      <c r="H1070" t="s">
        <v>94</v>
      </c>
      <c r="I1070" t="s">
        <v>4070</v>
      </c>
      <c r="J1070" t="s">
        <v>4499</v>
      </c>
      <c r="O1070" t="s">
        <v>4500</v>
      </c>
      <c r="Q1070" s="3">
        <f t="shared" si="74"/>
        <v>10.91</v>
      </c>
      <c r="R1070" s="69" t="s">
        <v>5326</v>
      </c>
      <c r="S1070" s="69" t="s">
        <v>5327</v>
      </c>
      <c r="V1070" s="3" t="str">
        <f t="shared" si="75"/>
        <v/>
      </c>
    </row>
    <row r="1071" spans="1:22" ht="87" x14ac:dyDescent="0.35">
      <c r="A1071" t="s">
        <v>35</v>
      </c>
      <c r="B1071" t="s">
        <v>1566</v>
      </c>
      <c r="C1071" t="s">
        <v>16</v>
      </c>
      <c r="D1071" t="s">
        <v>17</v>
      </c>
      <c r="E1071">
        <v>10.91</v>
      </c>
      <c r="F1071" t="s">
        <v>88</v>
      </c>
      <c r="G1071" s="19">
        <v>45594</v>
      </c>
      <c r="H1071" t="s">
        <v>94</v>
      </c>
      <c r="I1071" t="s">
        <v>4723</v>
      </c>
      <c r="J1071" t="s">
        <v>4724</v>
      </c>
      <c r="O1071" t="s">
        <v>4725</v>
      </c>
      <c r="Q1071" s="3">
        <f t="shared" si="74"/>
        <v>10.91</v>
      </c>
      <c r="R1071" s="69" t="s">
        <v>5326</v>
      </c>
      <c r="S1071" s="69" t="s">
        <v>5327</v>
      </c>
      <c r="V1071" s="3" t="str">
        <f t="shared" si="75"/>
        <v/>
      </c>
    </row>
    <row r="1072" spans="1:22" x14ac:dyDescent="0.35">
      <c r="A1072" t="s">
        <v>35</v>
      </c>
      <c r="B1072" t="s">
        <v>1566</v>
      </c>
      <c r="C1072" t="s">
        <v>16</v>
      </c>
      <c r="D1072" t="s">
        <v>17</v>
      </c>
      <c r="E1072">
        <v>10.73</v>
      </c>
      <c r="F1072" t="s">
        <v>88</v>
      </c>
      <c r="G1072" s="19">
        <v>45398</v>
      </c>
      <c r="H1072" t="s">
        <v>94</v>
      </c>
      <c r="I1072" t="s">
        <v>469</v>
      </c>
      <c r="J1072" t="s">
        <v>3024</v>
      </c>
      <c r="O1072" t="s">
        <v>552</v>
      </c>
      <c r="Q1072" s="3">
        <f t="shared" si="74"/>
        <v>10.73</v>
      </c>
      <c r="V1072" s="3" t="str">
        <f t="shared" si="75"/>
        <v/>
      </c>
    </row>
    <row r="1073" spans="1:22" x14ac:dyDescent="0.35">
      <c r="A1073" t="s">
        <v>35</v>
      </c>
      <c r="B1073" t="s">
        <v>1566</v>
      </c>
      <c r="C1073" t="s">
        <v>16</v>
      </c>
      <c r="D1073" t="s">
        <v>17</v>
      </c>
      <c r="E1073">
        <v>10</v>
      </c>
      <c r="F1073" t="s">
        <v>88</v>
      </c>
      <c r="G1073" s="19">
        <v>45398</v>
      </c>
      <c r="H1073" t="s">
        <v>94</v>
      </c>
      <c r="I1073" t="s">
        <v>910</v>
      </c>
      <c r="J1073" t="s">
        <v>3012</v>
      </c>
      <c r="O1073" t="s">
        <v>3013</v>
      </c>
      <c r="Q1073" s="3">
        <f t="shared" si="74"/>
        <v>10</v>
      </c>
      <c r="V1073" s="3" t="str">
        <f t="shared" si="75"/>
        <v/>
      </c>
    </row>
    <row r="1074" spans="1:22" ht="87" x14ac:dyDescent="0.35">
      <c r="A1074" t="s">
        <v>35</v>
      </c>
      <c r="B1074" t="s">
        <v>1566</v>
      </c>
      <c r="C1074" t="s">
        <v>16</v>
      </c>
      <c r="D1074" t="s">
        <v>17</v>
      </c>
      <c r="E1074">
        <v>10</v>
      </c>
      <c r="F1074" t="s">
        <v>88</v>
      </c>
      <c r="G1074" s="19">
        <v>45546</v>
      </c>
      <c r="H1074" t="s">
        <v>94</v>
      </c>
      <c r="I1074" t="s">
        <v>4340</v>
      </c>
      <c r="J1074" t="s">
        <v>4341</v>
      </c>
      <c r="O1074" t="s">
        <v>4342</v>
      </c>
      <c r="Q1074" s="3">
        <f t="shared" si="74"/>
        <v>10</v>
      </c>
      <c r="R1074" s="69" t="s">
        <v>5326</v>
      </c>
      <c r="S1074" s="69" t="s">
        <v>5327</v>
      </c>
      <c r="V1074" s="3" t="str">
        <f t="shared" si="75"/>
        <v/>
      </c>
    </row>
    <row r="1075" spans="1:22" x14ac:dyDescent="0.35">
      <c r="A1075" t="s">
        <v>35</v>
      </c>
      <c r="B1075" t="s">
        <v>1566</v>
      </c>
      <c r="C1075" t="s">
        <v>16</v>
      </c>
      <c r="D1075" t="s">
        <v>17</v>
      </c>
      <c r="E1075">
        <v>9.5500000000000007</v>
      </c>
      <c r="F1075" t="s">
        <v>88</v>
      </c>
      <c r="G1075" s="19">
        <v>45453</v>
      </c>
      <c r="H1075" t="s">
        <v>94</v>
      </c>
      <c r="I1075" t="s">
        <v>3529</v>
      </c>
      <c r="J1075" t="s">
        <v>3533</v>
      </c>
      <c r="O1075" t="s">
        <v>3531</v>
      </c>
      <c r="Q1075" s="3">
        <f t="shared" si="74"/>
        <v>9.5500000000000007</v>
      </c>
      <c r="V1075" s="3" t="str">
        <f t="shared" si="75"/>
        <v/>
      </c>
    </row>
    <row r="1076" spans="1:22" x14ac:dyDescent="0.35">
      <c r="A1076" t="s">
        <v>35</v>
      </c>
      <c r="B1076" t="s">
        <v>1566</v>
      </c>
      <c r="C1076" t="s">
        <v>16</v>
      </c>
      <c r="D1076" t="s">
        <v>17</v>
      </c>
      <c r="E1076">
        <v>9.08</v>
      </c>
      <c r="F1076" t="s">
        <v>88</v>
      </c>
      <c r="G1076" s="19">
        <v>45545</v>
      </c>
      <c r="H1076" t="s">
        <v>94</v>
      </c>
      <c r="I1076" t="s">
        <v>4230</v>
      </c>
      <c r="J1076" t="s">
        <v>4286</v>
      </c>
      <c r="O1076" t="s">
        <v>4287</v>
      </c>
      <c r="Q1076" s="3">
        <f t="shared" si="74"/>
        <v>9.08</v>
      </c>
      <c r="V1076" s="3" t="str">
        <f t="shared" si="75"/>
        <v/>
      </c>
    </row>
    <row r="1077" spans="1:22" x14ac:dyDescent="0.35">
      <c r="A1077" t="s">
        <v>35</v>
      </c>
      <c r="B1077" t="s">
        <v>915</v>
      </c>
      <c r="C1077" t="s">
        <v>16</v>
      </c>
      <c r="D1077" t="s">
        <v>17</v>
      </c>
      <c r="E1077">
        <v>8.64</v>
      </c>
      <c r="F1077" t="s">
        <v>88</v>
      </c>
      <c r="G1077" s="19">
        <v>45537</v>
      </c>
      <c r="H1077" t="s">
        <v>94</v>
      </c>
      <c r="I1077" t="s">
        <v>216</v>
      </c>
      <c r="J1077" t="s">
        <v>4160</v>
      </c>
      <c r="O1077" t="s">
        <v>4161</v>
      </c>
      <c r="Q1077" s="3">
        <f t="shared" si="74"/>
        <v>8.64</v>
      </c>
      <c r="V1077" s="3" t="str">
        <f t="shared" si="75"/>
        <v/>
      </c>
    </row>
    <row r="1078" spans="1:22" x14ac:dyDescent="0.35">
      <c r="A1078" t="s">
        <v>35</v>
      </c>
      <c r="B1078" t="s">
        <v>1566</v>
      </c>
      <c r="C1078" t="s">
        <v>16</v>
      </c>
      <c r="D1078" t="s">
        <v>17</v>
      </c>
      <c r="E1078">
        <v>8.18</v>
      </c>
      <c r="F1078" t="s">
        <v>88</v>
      </c>
      <c r="G1078" s="19">
        <v>45398</v>
      </c>
      <c r="H1078" t="s">
        <v>94</v>
      </c>
      <c r="I1078" t="s">
        <v>3020</v>
      </c>
      <c r="J1078" t="s">
        <v>3023</v>
      </c>
      <c r="O1078" t="s">
        <v>3015</v>
      </c>
      <c r="Q1078" s="3">
        <f t="shared" si="74"/>
        <v>8.18</v>
      </c>
      <c r="V1078" s="3" t="str">
        <f t="shared" si="75"/>
        <v/>
      </c>
    </row>
    <row r="1079" spans="1:22" x14ac:dyDescent="0.35">
      <c r="A1079" t="s">
        <v>35</v>
      </c>
      <c r="B1079" t="s">
        <v>1566</v>
      </c>
      <c r="C1079" t="s">
        <v>16</v>
      </c>
      <c r="D1079" t="s">
        <v>17</v>
      </c>
      <c r="E1079">
        <v>8.18</v>
      </c>
      <c r="F1079" t="s">
        <v>88</v>
      </c>
      <c r="G1079" s="19">
        <v>45574</v>
      </c>
      <c r="H1079" t="s">
        <v>94</v>
      </c>
      <c r="I1079" t="s">
        <v>4612</v>
      </c>
      <c r="J1079" t="s">
        <v>4613</v>
      </c>
      <c r="O1079" t="s">
        <v>4614</v>
      </c>
      <c r="Q1079" s="3">
        <f t="shared" si="74"/>
        <v>8.18</v>
      </c>
      <c r="V1079" s="3" t="str">
        <f t="shared" si="75"/>
        <v/>
      </c>
    </row>
    <row r="1080" spans="1:22" x14ac:dyDescent="0.35">
      <c r="A1080" t="s">
        <v>35</v>
      </c>
      <c r="B1080" t="s">
        <v>1566</v>
      </c>
      <c r="C1080" t="s">
        <v>16</v>
      </c>
      <c r="D1080" t="s">
        <v>17</v>
      </c>
      <c r="E1080">
        <v>8.16</v>
      </c>
      <c r="F1080" t="s">
        <v>88</v>
      </c>
      <c r="G1080" s="19">
        <v>45618</v>
      </c>
      <c r="H1080" t="s">
        <v>94</v>
      </c>
      <c r="I1080" t="s">
        <v>4612</v>
      </c>
      <c r="J1080" t="s">
        <v>5000</v>
      </c>
      <c r="O1080" t="s">
        <v>5001</v>
      </c>
      <c r="Q1080" s="3">
        <f t="shared" si="74"/>
        <v>8.16</v>
      </c>
      <c r="V1080" s="3" t="str">
        <f t="shared" si="75"/>
        <v/>
      </c>
    </row>
    <row r="1081" spans="1:22" x14ac:dyDescent="0.35">
      <c r="A1081" t="s">
        <v>35</v>
      </c>
      <c r="B1081" t="s">
        <v>1566</v>
      </c>
      <c r="C1081" t="s">
        <v>16</v>
      </c>
      <c r="D1081" t="s">
        <v>17</v>
      </c>
      <c r="E1081">
        <v>7.73</v>
      </c>
      <c r="F1081" t="s">
        <v>88</v>
      </c>
      <c r="G1081" s="19">
        <v>45453</v>
      </c>
      <c r="H1081" t="s">
        <v>94</v>
      </c>
      <c r="I1081" t="s">
        <v>3522</v>
      </c>
      <c r="J1081" t="s">
        <v>3525</v>
      </c>
      <c r="O1081" t="s">
        <v>3526</v>
      </c>
      <c r="Q1081" s="3">
        <f t="shared" si="74"/>
        <v>7.73</v>
      </c>
      <c r="V1081" s="3" t="str">
        <f t="shared" si="75"/>
        <v/>
      </c>
    </row>
    <row r="1082" spans="1:22" x14ac:dyDescent="0.35">
      <c r="A1082" t="s">
        <v>0</v>
      </c>
      <c r="B1082" t="s">
        <v>1543</v>
      </c>
      <c r="C1082" t="s">
        <v>16</v>
      </c>
      <c r="D1082" t="s">
        <v>17</v>
      </c>
      <c r="E1082">
        <v>7.45</v>
      </c>
      <c r="F1082" t="s">
        <v>88</v>
      </c>
      <c r="G1082" s="19">
        <v>45649</v>
      </c>
      <c r="H1082" t="s">
        <v>181</v>
      </c>
      <c r="I1082" t="s">
        <v>182</v>
      </c>
      <c r="J1082"/>
      <c r="Q1082" s="3">
        <f t="shared" si="74"/>
        <v>7.45</v>
      </c>
      <c r="V1082" s="3" t="str">
        <f t="shared" si="75"/>
        <v/>
      </c>
    </row>
    <row r="1083" spans="1:22" x14ac:dyDescent="0.35">
      <c r="A1083" t="s">
        <v>35</v>
      </c>
      <c r="B1083" t="s">
        <v>1566</v>
      </c>
      <c r="C1083" t="s">
        <v>16</v>
      </c>
      <c r="D1083" t="s">
        <v>17</v>
      </c>
      <c r="E1083">
        <v>7.27</v>
      </c>
      <c r="F1083" t="s">
        <v>88</v>
      </c>
      <c r="G1083" s="19">
        <v>45398</v>
      </c>
      <c r="H1083" t="s">
        <v>94</v>
      </c>
      <c r="I1083" t="s">
        <v>910</v>
      </c>
      <c r="J1083" t="s">
        <v>3016</v>
      </c>
      <c r="O1083" t="s">
        <v>3017</v>
      </c>
      <c r="Q1083" s="3">
        <f t="shared" si="74"/>
        <v>7.27</v>
      </c>
      <c r="V1083" s="3" t="str">
        <f t="shared" si="75"/>
        <v/>
      </c>
    </row>
    <row r="1084" spans="1:22" x14ac:dyDescent="0.35">
      <c r="A1084" t="s">
        <v>35</v>
      </c>
      <c r="B1084" t="s">
        <v>1566</v>
      </c>
      <c r="C1084" t="s">
        <v>16</v>
      </c>
      <c r="D1084" t="s">
        <v>17</v>
      </c>
      <c r="E1084">
        <v>5.45</v>
      </c>
      <c r="F1084" t="s">
        <v>88</v>
      </c>
      <c r="G1084" s="19">
        <v>45629</v>
      </c>
      <c r="H1084" t="s">
        <v>94</v>
      </c>
      <c r="I1084" t="s">
        <v>5114</v>
      </c>
      <c r="J1084" t="s">
        <v>5115</v>
      </c>
      <c r="O1084" t="s">
        <v>5116</v>
      </c>
      <c r="Q1084" s="3">
        <f t="shared" si="74"/>
        <v>5.45</v>
      </c>
      <c r="V1084" s="3" t="str">
        <f t="shared" si="75"/>
        <v/>
      </c>
    </row>
    <row r="1085" spans="1:22" x14ac:dyDescent="0.35">
      <c r="A1085" t="s">
        <v>35</v>
      </c>
      <c r="B1085" t="s">
        <v>1566</v>
      </c>
      <c r="C1085" t="s">
        <v>16</v>
      </c>
      <c r="D1085" t="s">
        <v>17</v>
      </c>
      <c r="E1085">
        <v>5</v>
      </c>
      <c r="F1085" t="s">
        <v>88</v>
      </c>
      <c r="G1085" s="19">
        <v>45537</v>
      </c>
      <c r="H1085" t="s">
        <v>94</v>
      </c>
      <c r="I1085" t="s">
        <v>229</v>
      </c>
      <c r="J1085" t="s">
        <v>4167</v>
      </c>
      <c r="O1085" t="s">
        <v>4168</v>
      </c>
      <c r="Q1085" s="3">
        <f t="shared" si="74"/>
        <v>5</v>
      </c>
      <c r="S1085" s="69" t="s">
        <v>53</v>
      </c>
      <c r="T1085" t="s">
        <v>64</v>
      </c>
      <c r="U1085" t="str">
        <f t="shared" ref="U1085" si="79">B1085</f>
        <v>AU032046</v>
      </c>
      <c r="V1085" s="3">
        <f t="shared" si="75"/>
        <v>5</v>
      </c>
    </row>
    <row r="1086" spans="1:22" x14ac:dyDescent="0.35">
      <c r="A1086" t="s">
        <v>35</v>
      </c>
      <c r="B1086" t="s">
        <v>1566</v>
      </c>
      <c r="C1086" t="s">
        <v>16</v>
      </c>
      <c r="D1086" t="s">
        <v>17</v>
      </c>
      <c r="E1086">
        <v>3.95</v>
      </c>
      <c r="F1086" t="s">
        <v>88</v>
      </c>
      <c r="G1086" s="19">
        <v>45537</v>
      </c>
      <c r="H1086" t="s">
        <v>94</v>
      </c>
      <c r="I1086" t="s">
        <v>229</v>
      </c>
      <c r="J1086" t="s">
        <v>4170</v>
      </c>
      <c r="O1086" t="s">
        <v>4168</v>
      </c>
      <c r="Q1086" s="3">
        <f t="shared" si="74"/>
        <v>3.95</v>
      </c>
      <c r="V1086" s="3" t="str">
        <f t="shared" si="75"/>
        <v/>
      </c>
    </row>
    <row r="1087" spans="1:22" x14ac:dyDescent="0.35">
      <c r="A1087" t="s">
        <v>35</v>
      </c>
      <c r="B1087" t="s">
        <v>1566</v>
      </c>
      <c r="C1087" t="s">
        <v>16</v>
      </c>
      <c r="D1087" t="s">
        <v>17</v>
      </c>
      <c r="E1087">
        <v>3.73</v>
      </c>
      <c r="F1087" t="s">
        <v>88</v>
      </c>
      <c r="G1087" s="19">
        <v>45537</v>
      </c>
      <c r="H1087" t="s">
        <v>94</v>
      </c>
      <c r="I1087" t="s">
        <v>229</v>
      </c>
      <c r="J1087" t="s">
        <v>4169</v>
      </c>
      <c r="O1087" t="s">
        <v>4168</v>
      </c>
      <c r="Q1087" s="3">
        <f t="shared" si="74"/>
        <v>3.73</v>
      </c>
      <c r="V1087" s="3" t="str">
        <f t="shared" si="75"/>
        <v/>
      </c>
    </row>
    <row r="1088" spans="1:22" x14ac:dyDescent="0.35">
      <c r="A1088" t="s">
        <v>35</v>
      </c>
      <c r="B1088" t="s">
        <v>1566</v>
      </c>
      <c r="C1088" t="s">
        <v>16</v>
      </c>
      <c r="D1088" t="s">
        <v>17</v>
      </c>
      <c r="E1088">
        <v>3.59</v>
      </c>
      <c r="F1088" t="s">
        <v>88</v>
      </c>
      <c r="G1088" s="19">
        <v>45574</v>
      </c>
      <c r="H1088" t="s">
        <v>94</v>
      </c>
      <c r="I1088" t="s">
        <v>3522</v>
      </c>
      <c r="J1088" t="s">
        <v>4617</v>
      </c>
      <c r="O1088" t="s">
        <v>4618</v>
      </c>
      <c r="Q1088" s="3">
        <f t="shared" si="74"/>
        <v>3.59</v>
      </c>
      <c r="V1088" s="3" t="str">
        <f t="shared" si="75"/>
        <v/>
      </c>
    </row>
    <row r="1089" spans="1:22" x14ac:dyDescent="0.35">
      <c r="A1089" t="s">
        <v>0</v>
      </c>
      <c r="B1089" t="s">
        <v>1543</v>
      </c>
      <c r="C1089" t="s">
        <v>16</v>
      </c>
      <c r="D1089" t="s">
        <v>17</v>
      </c>
      <c r="E1089">
        <v>3.25</v>
      </c>
      <c r="F1089" t="s">
        <v>88</v>
      </c>
      <c r="G1089" s="19">
        <v>45655</v>
      </c>
      <c r="H1089" t="s">
        <v>181</v>
      </c>
      <c r="I1089" t="s">
        <v>182</v>
      </c>
      <c r="J1089"/>
      <c r="Q1089" s="3">
        <f t="shared" si="74"/>
        <v>3.25</v>
      </c>
      <c r="V1089" s="3" t="str">
        <f t="shared" si="75"/>
        <v/>
      </c>
    </row>
    <row r="1090" spans="1:22" x14ac:dyDescent="0.35">
      <c r="A1090" t="s">
        <v>35</v>
      </c>
      <c r="B1090" t="s">
        <v>1566</v>
      </c>
      <c r="C1090" t="s">
        <v>16</v>
      </c>
      <c r="D1090" t="s">
        <v>17</v>
      </c>
      <c r="E1090">
        <v>3.23</v>
      </c>
      <c r="F1090" t="s">
        <v>88</v>
      </c>
      <c r="G1090" s="19">
        <v>45468</v>
      </c>
      <c r="H1090" t="s">
        <v>94</v>
      </c>
      <c r="I1090" t="s">
        <v>3672</v>
      </c>
      <c r="J1090" t="s">
        <v>3673</v>
      </c>
      <c r="O1090" t="s">
        <v>3674</v>
      </c>
      <c r="Q1090" s="3">
        <f t="shared" si="74"/>
        <v>3.23</v>
      </c>
      <c r="V1090" s="3" t="str">
        <f t="shared" si="75"/>
        <v/>
      </c>
    </row>
    <row r="1091" spans="1:22" x14ac:dyDescent="0.35">
      <c r="A1091" t="s">
        <v>35</v>
      </c>
      <c r="B1091" t="s">
        <v>1566</v>
      </c>
      <c r="C1091" t="s">
        <v>16</v>
      </c>
      <c r="D1091" t="s">
        <v>17</v>
      </c>
      <c r="E1091">
        <v>2.65</v>
      </c>
      <c r="F1091" t="s">
        <v>88</v>
      </c>
      <c r="G1091" s="19">
        <v>45545</v>
      </c>
      <c r="H1091" t="s">
        <v>94</v>
      </c>
      <c r="I1091" t="s">
        <v>501</v>
      </c>
      <c r="J1091" t="s">
        <v>4320</v>
      </c>
      <c r="O1091" t="s">
        <v>4316</v>
      </c>
      <c r="Q1091" s="3">
        <f t="shared" si="74"/>
        <v>2.65</v>
      </c>
      <c r="V1091" s="3" t="str">
        <f t="shared" si="75"/>
        <v/>
      </c>
    </row>
    <row r="1092" spans="1:22" x14ac:dyDescent="0.35">
      <c r="A1092" t="s">
        <v>35</v>
      </c>
      <c r="B1092" t="s">
        <v>1566</v>
      </c>
      <c r="C1092" t="s">
        <v>16</v>
      </c>
      <c r="D1092" t="s">
        <v>17</v>
      </c>
      <c r="E1092">
        <v>2.65</v>
      </c>
      <c r="F1092" t="s">
        <v>88</v>
      </c>
      <c r="G1092" s="19">
        <v>45545</v>
      </c>
      <c r="H1092" t="s">
        <v>94</v>
      </c>
      <c r="I1092" t="s">
        <v>501</v>
      </c>
      <c r="J1092" t="s">
        <v>4322</v>
      </c>
      <c r="O1092" t="s">
        <v>4316</v>
      </c>
      <c r="Q1092" s="3">
        <f t="shared" si="74"/>
        <v>2.65</v>
      </c>
      <c r="V1092" s="3" t="str">
        <f t="shared" si="75"/>
        <v/>
      </c>
    </row>
    <row r="1093" spans="1:22" x14ac:dyDescent="0.35">
      <c r="A1093" t="s">
        <v>35</v>
      </c>
      <c r="B1093" t="s">
        <v>1566</v>
      </c>
      <c r="C1093" t="s">
        <v>16</v>
      </c>
      <c r="D1093" t="s">
        <v>17</v>
      </c>
      <c r="E1093">
        <v>2.65</v>
      </c>
      <c r="F1093" t="s">
        <v>88</v>
      </c>
      <c r="G1093" s="19">
        <v>45545</v>
      </c>
      <c r="H1093" t="s">
        <v>94</v>
      </c>
      <c r="I1093" t="s">
        <v>501</v>
      </c>
      <c r="J1093" t="s">
        <v>4323</v>
      </c>
      <c r="O1093" t="s">
        <v>4316</v>
      </c>
      <c r="Q1093" s="3">
        <f t="shared" si="74"/>
        <v>2.65</v>
      </c>
      <c r="V1093" s="3" t="str">
        <f t="shared" si="75"/>
        <v/>
      </c>
    </row>
    <row r="1094" spans="1:22" x14ac:dyDescent="0.35">
      <c r="A1094" t="s">
        <v>35</v>
      </c>
      <c r="B1094" t="s">
        <v>1566</v>
      </c>
      <c r="C1094" t="s">
        <v>16</v>
      </c>
      <c r="D1094" t="s">
        <v>17</v>
      </c>
      <c r="E1094">
        <v>2.65</v>
      </c>
      <c r="F1094" t="s">
        <v>88</v>
      </c>
      <c r="G1094" s="19">
        <v>45545</v>
      </c>
      <c r="H1094" t="s">
        <v>94</v>
      </c>
      <c r="I1094" t="s">
        <v>501</v>
      </c>
      <c r="J1094" t="s">
        <v>4326</v>
      </c>
      <c r="O1094" t="s">
        <v>4316</v>
      </c>
      <c r="Q1094" s="3">
        <f t="shared" si="74"/>
        <v>2.65</v>
      </c>
      <c r="V1094" s="3" t="str">
        <f t="shared" si="75"/>
        <v/>
      </c>
    </row>
    <row r="1095" spans="1:22" x14ac:dyDescent="0.35">
      <c r="A1095" t="s">
        <v>35</v>
      </c>
      <c r="B1095" t="s">
        <v>1566</v>
      </c>
      <c r="C1095" t="s">
        <v>16</v>
      </c>
      <c r="D1095" t="s">
        <v>17</v>
      </c>
      <c r="E1095">
        <v>2.65</v>
      </c>
      <c r="F1095" t="s">
        <v>88</v>
      </c>
      <c r="G1095" s="19">
        <v>45545</v>
      </c>
      <c r="H1095" t="s">
        <v>94</v>
      </c>
      <c r="I1095" t="s">
        <v>501</v>
      </c>
      <c r="J1095" t="s">
        <v>4328</v>
      </c>
      <c r="O1095" t="s">
        <v>4316</v>
      </c>
      <c r="Q1095" s="3">
        <f t="shared" si="74"/>
        <v>2.65</v>
      </c>
      <c r="V1095" s="3" t="str">
        <f t="shared" si="75"/>
        <v/>
      </c>
    </row>
    <row r="1096" spans="1:22" x14ac:dyDescent="0.35">
      <c r="A1096" t="s">
        <v>35</v>
      </c>
      <c r="B1096" t="s">
        <v>1566</v>
      </c>
      <c r="C1096" t="s">
        <v>16</v>
      </c>
      <c r="D1096" t="s">
        <v>17</v>
      </c>
      <c r="E1096">
        <v>2.65</v>
      </c>
      <c r="F1096" t="s">
        <v>88</v>
      </c>
      <c r="G1096" s="19">
        <v>45545</v>
      </c>
      <c r="H1096" t="s">
        <v>94</v>
      </c>
      <c r="I1096" t="s">
        <v>501</v>
      </c>
      <c r="J1096" t="s">
        <v>4329</v>
      </c>
      <c r="O1096" t="s">
        <v>4316</v>
      </c>
      <c r="Q1096" s="3">
        <f t="shared" ref="Q1096:Q1111" si="80">ABS(E1096)</f>
        <v>2.65</v>
      </c>
      <c r="V1096" s="3" t="str">
        <f t="shared" si="75"/>
        <v/>
      </c>
    </row>
    <row r="1097" spans="1:22" x14ac:dyDescent="0.35">
      <c r="A1097" t="s">
        <v>35</v>
      </c>
      <c r="B1097" t="s">
        <v>1566</v>
      </c>
      <c r="C1097" t="s">
        <v>16</v>
      </c>
      <c r="D1097" t="s">
        <v>17</v>
      </c>
      <c r="E1097">
        <v>2.64</v>
      </c>
      <c r="F1097" t="s">
        <v>88</v>
      </c>
      <c r="G1097" s="19">
        <v>45545</v>
      </c>
      <c r="H1097" t="s">
        <v>94</v>
      </c>
      <c r="I1097" t="s">
        <v>501</v>
      </c>
      <c r="J1097" t="s">
        <v>4315</v>
      </c>
      <c r="O1097" t="s">
        <v>4316</v>
      </c>
      <c r="Q1097" s="3">
        <f t="shared" si="80"/>
        <v>2.64</v>
      </c>
      <c r="V1097" s="3" t="str">
        <f t="shared" ref="V1097:V1111" si="81">IF(T1097="Y",E1097,"")</f>
        <v/>
      </c>
    </row>
    <row r="1098" spans="1:22" x14ac:dyDescent="0.35">
      <c r="A1098" t="s">
        <v>35</v>
      </c>
      <c r="B1098" t="s">
        <v>1566</v>
      </c>
      <c r="C1098" t="s">
        <v>16</v>
      </c>
      <c r="D1098" t="s">
        <v>17</v>
      </c>
      <c r="E1098">
        <v>2.64</v>
      </c>
      <c r="F1098" t="s">
        <v>88</v>
      </c>
      <c r="G1098" s="19">
        <v>45545</v>
      </c>
      <c r="H1098" t="s">
        <v>94</v>
      </c>
      <c r="I1098" t="s">
        <v>501</v>
      </c>
      <c r="J1098" t="s">
        <v>4317</v>
      </c>
      <c r="O1098" t="s">
        <v>4316</v>
      </c>
      <c r="Q1098" s="3">
        <f t="shared" si="80"/>
        <v>2.64</v>
      </c>
      <c r="V1098" s="3" t="str">
        <f t="shared" si="81"/>
        <v/>
      </c>
    </row>
    <row r="1099" spans="1:22" x14ac:dyDescent="0.35">
      <c r="A1099" t="s">
        <v>35</v>
      </c>
      <c r="B1099" t="s">
        <v>1566</v>
      </c>
      <c r="C1099" t="s">
        <v>16</v>
      </c>
      <c r="D1099" t="s">
        <v>17</v>
      </c>
      <c r="E1099">
        <v>2.64</v>
      </c>
      <c r="F1099" t="s">
        <v>88</v>
      </c>
      <c r="G1099" s="19">
        <v>45545</v>
      </c>
      <c r="H1099" t="s">
        <v>94</v>
      </c>
      <c r="I1099" t="s">
        <v>501</v>
      </c>
      <c r="J1099" t="s">
        <v>4318</v>
      </c>
      <c r="O1099" t="s">
        <v>4316</v>
      </c>
      <c r="Q1099" s="3">
        <f t="shared" si="80"/>
        <v>2.64</v>
      </c>
      <c r="V1099" s="3" t="str">
        <f t="shared" si="81"/>
        <v/>
      </c>
    </row>
    <row r="1100" spans="1:22" x14ac:dyDescent="0.35">
      <c r="A1100" t="s">
        <v>35</v>
      </c>
      <c r="B1100" t="s">
        <v>1566</v>
      </c>
      <c r="C1100" t="s">
        <v>16</v>
      </c>
      <c r="D1100" t="s">
        <v>17</v>
      </c>
      <c r="E1100">
        <v>2.64</v>
      </c>
      <c r="F1100" t="s">
        <v>88</v>
      </c>
      <c r="G1100" s="19">
        <v>45545</v>
      </c>
      <c r="H1100" t="s">
        <v>94</v>
      </c>
      <c r="I1100" t="s">
        <v>501</v>
      </c>
      <c r="J1100" t="s">
        <v>4319</v>
      </c>
      <c r="O1100" t="s">
        <v>4316</v>
      </c>
      <c r="Q1100" s="3">
        <f t="shared" si="80"/>
        <v>2.64</v>
      </c>
      <c r="V1100" s="3" t="str">
        <f t="shared" si="81"/>
        <v/>
      </c>
    </row>
    <row r="1101" spans="1:22" x14ac:dyDescent="0.35">
      <c r="A1101" t="s">
        <v>35</v>
      </c>
      <c r="B1101" t="s">
        <v>1566</v>
      </c>
      <c r="C1101" t="s">
        <v>16</v>
      </c>
      <c r="D1101" t="s">
        <v>17</v>
      </c>
      <c r="E1101">
        <v>2.64</v>
      </c>
      <c r="F1101" t="s">
        <v>88</v>
      </c>
      <c r="G1101" s="19">
        <v>45545</v>
      </c>
      <c r="H1101" t="s">
        <v>94</v>
      </c>
      <c r="I1101" t="s">
        <v>501</v>
      </c>
      <c r="J1101" t="s">
        <v>4321</v>
      </c>
      <c r="O1101" t="s">
        <v>4316</v>
      </c>
      <c r="Q1101" s="3">
        <f t="shared" si="80"/>
        <v>2.64</v>
      </c>
      <c r="V1101" s="3" t="str">
        <f t="shared" si="81"/>
        <v/>
      </c>
    </row>
    <row r="1102" spans="1:22" x14ac:dyDescent="0.35">
      <c r="A1102" t="s">
        <v>35</v>
      </c>
      <c r="B1102" t="s">
        <v>1566</v>
      </c>
      <c r="C1102" t="s">
        <v>16</v>
      </c>
      <c r="D1102" t="s">
        <v>17</v>
      </c>
      <c r="E1102">
        <v>2.64</v>
      </c>
      <c r="F1102" t="s">
        <v>88</v>
      </c>
      <c r="G1102" s="19">
        <v>45545</v>
      </c>
      <c r="H1102" t="s">
        <v>94</v>
      </c>
      <c r="I1102" t="s">
        <v>501</v>
      </c>
      <c r="J1102" t="s">
        <v>4324</v>
      </c>
      <c r="O1102" t="s">
        <v>4316</v>
      </c>
      <c r="Q1102" s="3">
        <f t="shared" si="80"/>
        <v>2.64</v>
      </c>
      <c r="V1102" s="3" t="str">
        <f t="shared" si="81"/>
        <v/>
      </c>
    </row>
    <row r="1103" spans="1:22" x14ac:dyDescent="0.35">
      <c r="A1103" t="s">
        <v>35</v>
      </c>
      <c r="B1103" t="s">
        <v>1566</v>
      </c>
      <c r="C1103" t="s">
        <v>16</v>
      </c>
      <c r="D1103" t="s">
        <v>17</v>
      </c>
      <c r="E1103">
        <v>2.64</v>
      </c>
      <c r="F1103" t="s">
        <v>88</v>
      </c>
      <c r="G1103" s="19">
        <v>45545</v>
      </c>
      <c r="H1103" t="s">
        <v>94</v>
      </c>
      <c r="I1103" t="s">
        <v>501</v>
      </c>
      <c r="J1103" t="s">
        <v>4325</v>
      </c>
      <c r="O1103" t="s">
        <v>4316</v>
      </c>
      <c r="Q1103" s="3">
        <f t="shared" si="80"/>
        <v>2.64</v>
      </c>
      <c r="V1103" s="3" t="str">
        <f t="shared" si="81"/>
        <v/>
      </c>
    </row>
    <row r="1104" spans="1:22" x14ac:dyDescent="0.35">
      <c r="A1104" t="s">
        <v>35</v>
      </c>
      <c r="B1104" t="s">
        <v>1566</v>
      </c>
      <c r="C1104" t="s">
        <v>16</v>
      </c>
      <c r="D1104" t="s">
        <v>17</v>
      </c>
      <c r="E1104">
        <v>2.64</v>
      </c>
      <c r="F1104" t="s">
        <v>88</v>
      </c>
      <c r="G1104" s="19">
        <v>45545</v>
      </c>
      <c r="H1104" t="s">
        <v>94</v>
      </c>
      <c r="I1104" t="s">
        <v>501</v>
      </c>
      <c r="J1104" t="s">
        <v>4327</v>
      </c>
      <c r="O1104" t="s">
        <v>4316</v>
      </c>
      <c r="Q1104" s="3">
        <f t="shared" si="80"/>
        <v>2.64</v>
      </c>
      <c r="V1104" s="3" t="str">
        <f t="shared" si="81"/>
        <v/>
      </c>
    </row>
    <row r="1105" spans="1:22" x14ac:dyDescent="0.35">
      <c r="A1105" t="s">
        <v>35</v>
      </c>
      <c r="B1105" t="s">
        <v>909</v>
      </c>
      <c r="C1105" t="s">
        <v>16</v>
      </c>
      <c r="D1105" t="s">
        <v>17</v>
      </c>
      <c r="E1105">
        <v>1.74</v>
      </c>
      <c r="F1105" t="s">
        <v>88</v>
      </c>
      <c r="G1105" s="19">
        <v>45406</v>
      </c>
      <c r="H1105" t="s">
        <v>94</v>
      </c>
      <c r="I1105" t="s">
        <v>3112</v>
      </c>
      <c r="J1105" t="s">
        <v>3115</v>
      </c>
      <c r="O1105" t="s">
        <v>3114</v>
      </c>
      <c r="Q1105" s="3">
        <f t="shared" si="80"/>
        <v>1.74</v>
      </c>
      <c r="V1105" s="3" t="str">
        <f t="shared" si="81"/>
        <v/>
      </c>
    </row>
    <row r="1106" spans="1:22" x14ac:dyDescent="0.35">
      <c r="A1106" t="s">
        <v>0</v>
      </c>
      <c r="B1106" t="s">
        <v>1543</v>
      </c>
      <c r="C1106" t="s">
        <v>16</v>
      </c>
      <c r="D1106" t="s">
        <v>17</v>
      </c>
      <c r="E1106">
        <v>-1.71</v>
      </c>
      <c r="F1106" t="s">
        <v>88</v>
      </c>
      <c r="G1106" s="19">
        <v>45641</v>
      </c>
      <c r="H1106" t="s">
        <v>181</v>
      </c>
      <c r="I1106" t="s">
        <v>182</v>
      </c>
      <c r="J1106"/>
      <c r="Q1106" s="3">
        <f t="shared" si="80"/>
        <v>1.71</v>
      </c>
      <c r="V1106" s="3" t="str">
        <f t="shared" si="81"/>
        <v/>
      </c>
    </row>
    <row r="1107" spans="1:22" x14ac:dyDescent="0.35">
      <c r="A1107" t="s">
        <v>35</v>
      </c>
      <c r="B1107" t="s">
        <v>1566</v>
      </c>
      <c r="C1107" t="s">
        <v>16</v>
      </c>
      <c r="D1107" t="s">
        <v>17</v>
      </c>
      <c r="E1107">
        <v>1.0900000000000001</v>
      </c>
      <c r="F1107" t="s">
        <v>88</v>
      </c>
      <c r="G1107" s="19">
        <v>45453</v>
      </c>
      <c r="H1107" t="s">
        <v>94</v>
      </c>
      <c r="I1107" t="s">
        <v>3522</v>
      </c>
      <c r="J1107" t="s">
        <v>3527</v>
      </c>
      <c r="O1107" t="s">
        <v>3528</v>
      </c>
      <c r="Q1107" s="3">
        <f t="shared" si="80"/>
        <v>1.0900000000000001</v>
      </c>
      <c r="V1107" s="3" t="str">
        <f t="shared" si="81"/>
        <v/>
      </c>
    </row>
    <row r="1108" spans="1:22" x14ac:dyDescent="0.35">
      <c r="A1108" t="s">
        <v>0</v>
      </c>
      <c r="B1108" t="s">
        <v>1543</v>
      </c>
      <c r="C1108" t="s">
        <v>16</v>
      </c>
      <c r="D1108" t="s">
        <v>17</v>
      </c>
      <c r="E1108">
        <v>-0.92</v>
      </c>
      <c r="F1108" t="s">
        <v>88</v>
      </c>
      <c r="G1108" s="19">
        <v>45643</v>
      </c>
      <c r="H1108" t="s">
        <v>181</v>
      </c>
      <c r="I1108" t="s">
        <v>182</v>
      </c>
      <c r="J1108"/>
      <c r="Q1108" s="3">
        <f t="shared" si="80"/>
        <v>0.92</v>
      </c>
      <c r="V1108" s="3" t="str">
        <f t="shared" si="81"/>
        <v/>
      </c>
    </row>
    <row r="1109" spans="1:22" x14ac:dyDescent="0.35">
      <c r="A1109" t="s">
        <v>35</v>
      </c>
      <c r="B1109" t="s">
        <v>1566</v>
      </c>
      <c r="C1109" t="s">
        <v>16</v>
      </c>
      <c r="D1109" t="s">
        <v>17</v>
      </c>
      <c r="E1109">
        <v>0.91</v>
      </c>
      <c r="F1109" t="s">
        <v>88</v>
      </c>
      <c r="G1109" s="19">
        <v>45453</v>
      </c>
      <c r="H1109" t="s">
        <v>94</v>
      </c>
      <c r="I1109" t="s">
        <v>3544</v>
      </c>
      <c r="J1109" t="s">
        <v>3548</v>
      </c>
      <c r="O1109" t="s">
        <v>3546</v>
      </c>
      <c r="Q1109" s="3">
        <f t="shared" si="80"/>
        <v>0.91</v>
      </c>
      <c r="V1109" s="3" t="str">
        <f t="shared" si="81"/>
        <v/>
      </c>
    </row>
    <row r="1110" spans="1:22" x14ac:dyDescent="0.35">
      <c r="A1110" t="s">
        <v>35</v>
      </c>
      <c r="B1110" t="s">
        <v>1566</v>
      </c>
      <c r="C1110" t="s">
        <v>16</v>
      </c>
      <c r="D1110" t="s">
        <v>17</v>
      </c>
      <c r="E1110">
        <v>0</v>
      </c>
      <c r="F1110" t="s">
        <v>88</v>
      </c>
      <c r="G1110" s="19">
        <v>45413</v>
      </c>
      <c r="H1110" t="s">
        <v>89</v>
      </c>
      <c r="I1110" t="s">
        <v>2984</v>
      </c>
      <c r="J1110"/>
      <c r="K1110" t="s">
        <v>2985</v>
      </c>
      <c r="L1110" t="s">
        <v>2986</v>
      </c>
      <c r="M1110" t="s">
        <v>2987</v>
      </c>
      <c r="Q1110" s="3">
        <f t="shared" si="80"/>
        <v>0</v>
      </c>
      <c r="V1110" s="3" t="str">
        <f t="shared" si="81"/>
        <v/>
      </c>
    </row>
    <row r="1111" spans="1:22" x14ac:dyDescent="0.35">
      <c r="A1111" t="s">
        <v>0</v>
      </c>
      <c r="B1111" t="s">
        <v>1566</v>
      </c>
      <c r="C1111" t="s">
        <v>16</v>
      </c>
      <c r="D1111" t="s">
        <v>17</v>
      </c>
      <c r="E1111">
        <v>0</v>
      </c>
      <c r="F1111" t="s">
        <v>88</v>
      </c>
      <c r="G1111" s="19">
        <v>45476</v>
      </c>
      <c r="H1111" t="s">
        <v>89</v>
      </c>
      <c r="I1111" t="s">
        <v>3771</v>
      </c>
      <c r="J1111"/>
      <c r="K1111" t="s">
        <v>3717</v>
      </c>
      <c r="L1111" t="s">
        <v>3772</v>
      </c>
      <c r="M1111" t="s">
        <v>3719</v>
      </c>
      <c r="Q1111" s="3">
        <f t="shared" si="80"/>
        <v>0</v>
      </c>
      <c r="V1111" s="3" t="str">
        <f t="shared" si="81"/>
        <v/>
      </c>
    </row>
  </sheetData>
  <autoFilter ref="A7:AF1111" xr:uid="{6773DED9-A3FB-40CC-846D-E865AF494D44}"/>
  <sortState xmlns:xlrd2="http://schemas.microsoft.com/office/spreadsheetml/2017/richdata2" ref="A7:Q185">
    <sortCondition descending="1" ref="Q7:Q185"/>
  </sortState>
  <mergeCells count="2">
    <mergeCell ref="AD6:AE6"/>
    <mergeCell ref="G6:N6"/>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6313C-FA62-4C30-A024-A1B5E4DE29AF}">
  <sheetPr>
    <tabColor rgb="FF00B050"/>
  </sheetPr>
  <dimension ref="A1:AF44"/>
  <sheetViews>
    <sheetView workbookViewId="0">
      <selection activeCell="C3" sqref="C3"/>
    </sheetView>
  </sheetViews>
  <sheetFormatPr defaultRowHeight="14.5" x14ac:dyDescent="0.35"/>
  <cols>
    <col min="1" max="2" width="5.81640625" customWidth="1"/>
    <col min="3" max="3" width="11.1796875" customWidth="1"/>
    <col min="4" max="4" width="5.81640625" customWidth="1"/>
    <col min="5" max="5" width="5.81640625" style="19" customWidth="1"/>
    <col min="6" max="6" width="5.81640625" style="55" customWidth="1"/>
    <col min="7" max="7" width="5.81640625" style="62" customWidth="1"/>
    <col min="8" max="8" width="5.1796875" style="55" customWidth="1"/>
    <col min="9" max="9" width="22.26953125" style="55" customWidth="1"/>
    <col min="10" max="10" width="22.26953125" customWidth="1"/>
    <col min="11" max="11" width="14.1796875" customWidth="1"/>
    <col min="12" max="12" width="9.7265625" customWidth="1"/>
    <col min="13" max="13" width="3.54296875" customWidth="1"/>
    <col min="14" max="14" width="11.1796875" customWidth="1"/>
    <col min="15" max="15" width="22.26953125" customWidth="1"/>
    <col min="16" max="16" width="2" style="5" customWidth="1"/>
    <col min="17" max="17" width="10.1796875" style="3" bestFit="1" customWidth="1"/>
    <col min="18" max="18" width="2.1796875" style="55" customWidth="1"/>
    <col min="19" max="19" width="14.54296875" style="55" customWidth="1"/>
  </cols>
  <sheetData>
    <row r="1" spans="1:32" x14ac:dyDescent="0.35">
      <c r="A1" t="s">
        <v>69</v>
      </c>
      <c r="C1" s="24">
        <f>Summary!A17</f>
        <v>5160999000</v>
      </c>
      <c r="D1" s="3"/>
    </row>
    <row r="2" spans="1:32" ht="29" x14ac:dyDescent="0.35">
      <c r="A2" t="s">
        <v>70</v>
      </c>
      <c r="C2" s="24" t="str">
        <f>Summary!B17</f>
        <v>Public relations</v>
      </c>
      <c r="D2" s="3"/>
      <c r="F2" s="55" t="s">
        <v>141</v>
      </c>
    </row>
    <row r="3" spans="1:32" x14ac:dyDescent="0.35">
      <c r="A3" t="s">
        <v>71</v>
      </c>
      <c r="C3" s="22">
        <v>87806.65</v>
      </c>
      <c r="D3" s="3"/>
      <c r="F3" s="56" t="s">
        <v>257</v>
      </c>
      <c r="AC3" t="s">
        <v>0</v>
      </c>
      <c r="AD3" s="3">
        <f>SUMIF($A$8:$A$20000,"AU001",AD8:AD20000)</f>
        <v>0</v>
      </c>
      <c r="AE3" s="3">
        <f>SUMIF($A$8:$A$20000,"AU001",AE8:AE20000)</f>
        <v>0</v>
      </c>
    </row>
    <row r="4" spans="1:32" x14ac:dyDescent="0.35">
      <c r="A4" t="s">
        <v>45</v>
      </c>
      <c r="C4" s="22">
        <f>SUM(E:E)</f>
        <v>87806.650000000038</v>
      </c>
      <c r="D4" s="3"/>
      <c r="T4" s="24" t="s">
        <v>0</v>
      </c>
      <c r="U4" s="24"/>
      <c r="V4" s="3">
        <f>SUMIF($A$10:$A$23974,"AU001",V9:V23973)</f>
        <v>230.77</v>
      </c>
      <c r="AC4" t="s">
        <v>35</v>
      </c>
      <c r="AD4" s="3">
        <f>SUMIF($A$8:$A$20000,"AU052",AD8:AD20000)</f>
        <v>0</v>
      </c>
      <c r="AE4" s="3">
        <f>SUMIF($A$8:$A$20000,"AU052",AE8:AE20000)</f>
        <v>0</v>
      </c>
    </row>
    <row r="5" spans="1:32" ht="15" thickBot="1" x14ac:dyDescent="0.4">
      <c r="A5" t="s">
        <v>72</v>
      </c>
      <c r="C5" s="3">
        <f>C3-C4</f>
        <v>0</v>
      </c>
      <c r="D5" s="3"/>
      <c r="Q5" s="30"/>
      <c r="R5" s="57"/>
      <c r="T5" s="24" t="s">
        <v>35</v>
      </c>
      <c r="U5" s="24"/>
      <c r="V5" s="3">
        <f>SUMIF($A$10:$A$23975,"AU052",V9:V23974)</f>
        <v>9.33</v>
      </c>
    </row>
    <row r="6" spans="1:32" ht="15" thickBot="1" x14ac:dyDescent="0.4">
      <c r="D6" s="3"/>
      <c r="F6" s="62"/>
      <c r="AD6" s="191" t="s">
        <v>44</v>
      </c>
      <c r="AE6" s="192"/>
    </row>
    <row r="7" spans="1:32" ht="160" thickBot="1" x14ac:dyDescent="0.4">
      <c r="A7" s="156" t="s">
        <v>74</v>
      </c>
      <c r="B7" s="157" t="s">
        <v>597</v>
      </c>
      <c r="C7" s="157" t="s">
        <v>75</v>
      </c>
      <c r="D7" s="158" t="s">
        <v>76</v>
      </c>
      <c r="E7" s="159" t="s">
        <v>77</v>
      </c>
      <c r="F7" s="157" t="s">
        <v>78</v>
      </c>
      <c r="G7" s="159" t="s">
        <v>79</v>
      </c>
      <c r="H7" s="157" t="s">
        <v>80</v>
      </c>
      <c r="I7" s="157" t="s">
        <v>81</v>
      </c>
      <c r="J7" s="157" t="s">
        <v>82</v>
      </c>
      <c r="K7" s="157" t="s">
        <v>83</v>
      </c>
      <c r="L7" s="157" t="s">
        <v>84</v>
      </c>
      <c r="M7" s="157" t="s">
        <v>85</v>
      </c>
      <c r="N7" s="157" t="s">
        <v>86</v>
      </c>
      <c r="O7" s="160" t="s">
        <v>585</v>
      </c>
      <c r="Q7" s="31" t="s">
        <v>136</v>
      </c>
      <c r="R7" s="25" t="s">
        <v>87</v>
      </c>
      <c r="S7" s="8" t="s">
        <v>46</v>
      </c>
      <c r="T7" s="7" t="s">
        <v>47</v>
      </c>
      <c r="U7" s="7" t="s">
        <v>1286</v>
      </c>
      <c r="V7" s="8" t="s">
        <v>48</v>
      </c>
      <c r="W7" s="9" t="s">
        <v>49</v>
      </c>
      <c r="X7" s="10" t="s">
        <v>50</v>
      </c>
      <c r="Y7" s="11" t="s">
        <v>51</v>
      </c>
      <c r="Z7" s="12" t="s">
        <v>52</v>
      </c>
      <c r="AA7" s="13" t="s">
        <v>53</v>
      </c>
      <c r="AB7" s="13" t="s">
        <v>54</v>
      </c>
      <c r="AC7" s="13" t="s">
        <v>55</v>
      </c>
      <c r="AD7" s="14" t="s">
        <v>56</v>
      </c>
      <c r="AE7" s="14" t="s">
        <v>57</v>
      </c>
      <c r="AF7" s="15" t="s">
        <v>58</v>
      </c>
    </row>
    <row r="8" spans="1:32" ht="29" x14ac:dyDescent="0.35">
      <c r="A8" s="35" t="s">
        <v>35</v>
      </c>
      <c r="B8" s="35" t="s">
        <v>741</v>
      </c>
      <c r="C8" s="35" t="s">
        <v>18</v>
      </c>
      <c r="D8" s="35" t="s">
        <v>19</v>
      </c>
      <c r="E8" s="104">
        <v>891</v>
      </c>
      <c r="F8" s="59" t="s">
        <v>88</v>
      </c>
      <c r="G8" s="106">
        <v>45387</v>
      </c>
      <c r="H8" s="59" t="s">
        <v>94</v>
      </c>
      <c r="I8" s="59" t="s">
        <v>5328</v>
      </c>
      <c r="J8" s="35" t="s">
        <v>5329</v>
      </c>
      <c r="K8" s="35"/>
      <c r="L8" s="35"/>
      <c r="M8" s="35"/>
      <c r="N8" s="35"/>
      <c r="O8" s="35" t="s">
        <v>5330</v>
      </c>
      <c r="Q8" s="3">
        <f>ABS(E8)</f>
        <v>891</v>
      </c>
      <c r="S8" s="55" t="s">
        <v>5388</v>
      </c>
    </row>
    <row r="9" spans="1:32" ht="29" x14ac:dyDescent="0.35">
      <c r="A9" s="35" t="s">
        <v>35</v>
      </c>
      <c r="B9" s="35" t="s">
        <v>741</v>
      </c>
      <c r="C9" s="35" t="s">
        <v>18</v>
      </c>
      <c r="D9" s="35" t="s">
        <v>19</v>
      </c>
      <c r="E9" s="104">
        <v>9.33</v>
      </c>
      <c r="F9" s="59" t="s">
        <v>88</v>
      </c>
      <c r="G9" s="106">
        <v>45387</v>
      </c>
      <c r="H9" s="59" t="s">
        <v>94</v>
      </c>
      <c r="I9" s="59" t="s">
        <v>5331</v>
      </c>
      <c r="J9" s="35" t="s">
        <v>5332</v>
      </c>
      <c r="K9" s="35"/>
      <c r="L9" s="35"/>
      <c r="M9" s="35"/>
      <c r="N9" s="35"/>
      <c r="O9" s="35" t="s">
        <v>5333</v>
      </c>
      <c r="Q9" s="3">
        <f t="shared" ref="Q9:Q44" si="0">ABS(E9)</f>
        <v>9.33</v>
      </c>
      <c r="S9" s="55" t="s">
        <v>5389</v>
      </c>
      <c r="T9" t="s">
        <v>64</v>
      </c>
      <c r="U9" t="str">
        <f>B9</f>
        <v>AU032045</v>
      </c>
      <c r="V9" s="105">
        <f>E9</f>
        <v>9.33</v>
      </c>
    </row>
    <row r="10" spans="1:32" ht="29" x14ac:dyDescent="0.35">
      <c r="A10" s="35" t="s">
        <v>35</v>
      </c>
      <c r="B10" s="35" t="s">
        <v>741</v>
      </c>
      <c r="C10" s="35" t="s">
        <v>18</v>
      </c>
      <c r="D10" s="35" t="s">
        <v>19</v>
      </c>
      <c r="E10" s="104">
        <v>457.36</v>
      </c>
      <c r="F10" s="59" t="s">
        <v>88</v>
      </c>
      <c r="G10" s="106">
        <v>45394</v>
      </c>
      <c r="H10" s="59" t="s">
        <v>94</v>
      </c>
      <c r="I10" s="59" t="s">
        <v>5334</v>
      </c>
      <c r="J10" s="35" t="s">
        <v>5335</v>
      </c>
      <c r="K10" s="35"/>
      <c r="L10" s="35"/>
      <c r="M10" s="35"/>
      <c r="N10" s="35"/>
      <c r="O10" s="35" t="s">
        <v>5336</v>
      </c>
      <c r="Q10" s="3">
        <f t="shared" si="0"/>
        <v>457.36</v>
      </c>
      <c r="S10" s="55" t="s">
        <v>5388</v>
      </c>
    </row>
    <row r="11" spans="1:32" ht="29" x14ac:dyDescent="0.35">
      <c r="A11" s="35" t="s">
        <v>35</v>
      </c>
      <c r="B11" s="35" t="s">
        <v>741</v>
      </c>
      <c r="C11" s="35" t="s">
        <v>18</v>
      </c>
      <c r="D11" s="35" t="s">
        <v>19</v>
      </c>
      <c r="E11" s="104">
        <v>181.02</v>
      </c>
      <c r="F11" s="59" t="s">
        <v>88</v>
      </c>
      <c r="G11" s="106">
        <v>45426</v>
      </c>
      <c r="H11" s="59" t="s">
        <v>94</v>
      </c>
      <c r="I11" s="59" t="s">
        <v>5334</v>
      </c>
      <c r="J11" s="35" t="s">
        <v>5337</v>
      </c>
      <c r="K11" s="35"/>
      <c r="L11" s="35"/>
      <c r="M11" s="35"/>
      <c r="N11" s="35"/>
      <c r="O11" s="35" t="s">
        <v>5338</v>
      </c>
      <c r="Q11" s="3">
        <f t="shared" si="0"/>
        <v>181.02</v>
      </c>
      <c r="S11" s="55" t="s">
        <v>5388</v>
      </c>
    </row>
    <row r="12" spans="1:32" ht="29" x14ac:dyDescent="0.35">
      <c r="A12" s="35" t="s">
        <v>35</v>
      </c>
      <c r="B12" s="35" t="s">
        <v>741</v>
      </c>
      <c r="C12" s="35" t="s">
        <v>18</v>
      </c>
      <c r="D12" s="35" t="s">
        <v>19</v>
      </c>
      <c r="E12" s="104">
        <v>177.27</v>
      </c>
      <c r="F12" s="59" t="s">
        <v>88</v>
      </c>
      <c r="G12" s="106">
        <v>45436</v>
      </c>
      <c r="H12" s="59" t="s">
        <v>94</v>
      </c>
      <c r="I12" s="59" t="s">
        <v>5339</v>
      </c>
      <c r="J12" s="35" t="s">
        <v>5340</v>
      </c>
      <c r="K12" s="35"/>
      <c r="L12" s="35"/>
      <c r="M12" s="35"/>
      <c r="N12" s="35"/>
      <c r="O12" s="35" t="s">
        <v>3246</v>
      </c>
      <c r="Q12" s="3">
        <f t="shared" si="0"/>
        <v>177.27</v>
      </c>
      <c r="S12" s="55" t="s">
        <v>5388</v>
      </c>
    </row>
    <row r="13" spans="1:32" ht="29" x14ac:dyDescent="0.35">
      <c r="A13" s="35" t="s">
        <v>35</v>
      </c>
      <c r="B13" s="35" t="s">
        <v>741</v>
      </c>
      <c r="C13" s="35" t="s">
        <v>18</v>
      </c>
      <c r="D13" s="35" t="s">
        <v>19</v>
      </c>
      <c r="E13" s="104">
        <v>340.91</v>
      </c>
      <c r="F13" s="59" t="s">
        <v>88</v>
      </c>
      <c r="G13" s="106">
        <v>45436</v>
      </c>
      <c r="H13" s="59" t="s">
        <v>94</v>
      </c>
      <c r="I13" s="59" t="s">
        <v>5339</v>
      </c>
      <c r="J13" s="35" t="s">
        <v>5341</v>
      </c>
      <c r="K13" s="35"/>
      <c r="L13" s="35"/>
      <c r="M13" s="35"/>
      <c r="N13" s="35"/>
      <c r="O13" s="35" t="s">
        <v>5342</v>
      </c>
      <c r="Q13" s="3">
        <f t="shared" si="0"/>
        <v>340.91</v>
      </c>
      <c r="S13" s="55" t="s">
        <v>5388</v>
      </c>
    </row>
    <row r="14" spans="1:32" ht="29" x14ac:dyDescent="0.35">
      <c r="A14" s="35" t="s">
        <v>35</v>
      </c>
      <c r="B14" s="35" t="s">
        <v>741</v>
      </c>
      <c r="C14" s="35" t="s">
        <v>18</v>
      </c>
      <c r="D14" s="35" t="s">
        <v>19</v>
      </c>
      <c r="E14" s="104">
        <v>79.2</v>
      </c>
      <c r="F14" s="59" t="s">
        <v>88</v>
      </c>
      <c r="G14" s="106">
        <v>45436</v>
      </c>
      <c r="H14" s="59" t="s">
        <v>94</v>
      </c>
      <c r="I14" s="59" t="s">
        <v>4273</v>
      </c>
      <c r="J14" s="35" t="s">
        <v>5343</v>
      </c>
      <c r="K14" s="35"/>
      <c r="L14" s="35"/>
      <c r="M14" s="35"/>
      <c r="N14" s="35"/>
      <c r="O14" s="35" t="s">
        <v>604</v>
      </c>
      <c r="Q14" s="3">
        <f t="shared" si="0"/>
        <v>79.2</v>
      </c>
      <c r="S14" s="55" t="s">
        <v>5388</v>
      </c>
    </row>
    <row r="15" spans="1:32" ht="29" x14ac:dyDescent="0.35">
      <c r="A15" s="35" t="s">
        <v>35</v>
      </c>
      <c r="B15" s="35" t="s">
        <v>741</v>
      </c>
      <c r="C15" s="35" t="s">
        <v>18</v>
      </c>
      <c r="D15" s="35" t="s">
        <v>19</v>
      </c>
      <c r="E15" s="104">
        <v>109.1</v>
      </c>
      <c r="F15" s="59" t="s">
        <v>88</v>
      </c>
      <c r="G15" s="106">
        <v>45446</v>
      </c>
      <c r="H15" s="59" t="s">
        <v>94</v>
      </c>
      <c r="I15" s="59" t="s">
        <v>212</v>
      </c>
      <c r="J15" s="35" t="s">
        <v>213</v>
      </c>
      <c r="K15" s="35"/>
      <c r="L15" s="35"/>
      <c r="M15" s="35"/>
      <c r="N15" s="35"/>
      <c r="O15" s="35" t="s">
        <v>529</v>
      </c>
      <c r="Q15" s="3">
        <f t="shared" si="0"/>
        <v>109.1</v>
      </c>
      <c r="S15" s="55" t="s">
        <v>5388</v>
      </c>
    </row>
    <row r="16" spans="1:32" ht="29" x14ac:dyDescent="0.35">
      <c r="A16" s="35" t="s">
        <v>35</v>
      </c>
      <c r="B16" s="35" t="s">
        <v>741</v>
      </c>
      <c r="C16" s="35" t="s">
        <v>18</v>
      </c>
      <c r="D16" s="35" t="s">
        <v>19</v>
      </c>
      <c r="E16" s="104">
        <v>54.55</v>
      </c>
      <c r="F16" s="59" t="s">
        <v>88</v>
      </c>
      <c r="G16" s="106">
        <v>45446</v>
      </c>
      <c r="H16" s="59" t="s">
        <v>94</v>
      </c>
      <c r="I16" s="59" t="s">
        <v>212</v>
      </c>
      <c r="J16" s="35" t="s">
        <v>5344</v>
      </c>
      <c r="K16" s="35"/>
      <c r="L16" s="35"/>
      <c r="M16" s="35"/>
      <c r="N16" s="35"/>
      <c r="O16" s="35" t="s">
        <v>529</v>
      </c>
      <c r="Q16" s="3">
        <f t="shared" si="0"/>
        <v>54.55</v>
      </c>
      <c r="S16" s="55" t="s">
        <v>5388</v>
      </c>
    </row>
    <row r="17" spans="1:19" ht="29" x14ac:dyDescent="0.35">
      <c r="A17" s="35" t="s">
        <v>35</v>
      </c>
      <c r="B17" s="35" t="s">
        <v>741</v>
      </c>
      <c r="C17" s="35" t="s">
        <v>18</v>
      </c>
      <c r="D17" s="35" t="s">
        <v>19</v>
      </c>
      <c r="E17" s="104">
        <v>43.650000000000006</v>
      </c>
      <c r="F17" s="59" t="s">
        <v>88</v>
      </c>
      <c r="G17" s="106">
        <v>45446</v>
      </c>
      <c r="H17" s="59" t="s">
        <v>94</v>
      </c>
      <c r="I17" s="59" t="s">
        <v>212</v>
      </c>
      <c r="J17" s="35" t="s">
        <v>5345</v>
      </c>
      <c r="K17" s="35"/>
      <c r="L17" s="35"/>
      <c r="M17" s="35"/>
      <c r="N17" s="35"/>
      <c r="O17" s="35" t="s">
        <v>529</v>
      </c>
      <c r="Q17" s="3">
        <f t="shared" si="0"/>
        <v>43.650000000000006</v>
      </c>
      <c r="S17" s="55" t="s">
        <v>5388</v>
      </c>
    </row>
    <row r="18" spans="1:19" ht="43.5" x14ac:dyDescent="0.35">
      <c r="A18" s="35" t="s">
        <v>0</v>
      </c>
      <c r="B18" s="35" t="s">
        <v>741</v>
      </c>
      <c r="C18" s="35" t="s">
        <v>18</v>
      </c>
      <c r="D18" s="35" t="s">
        <v>19</v>
      </c>
      <c r="E18" s="104">
        <v>11300.44</v>
      </c>
      <c r="F18" s="59" t="s">
        <v>88</v>
      </c>
      <c r="G18" s="106">
        <v>45449</v>
      </c>
      <c r="H18" s="59" t="s">
        <v>89</v>
      </c>
      <c r="I18" s="59" t="s">
        <v>5346</v>
      </c>
      <c r="J18" s="35"/>
      <c r="K18" s="35" t="s">
        <v>5347</v>
      </c>
      <c r="L18" s="35" t="s">
        <v>5348</v>
      </c>
      <c r="N18" s="35"/>
      <c r="O18" s="35" t="s">
        <v>176</v>
      </c>
      <c r="Q18" s="3">
        <f t="shared" si="0"/>
        <v>11300.44</v>
      </c>
      <c r="S18" s="55" t="s">
        <v>5388</v>
      </c>
    </row>
    <row r="19" spans="1:19" ht="29" x14ac:dyDescent="0.35">
      <c r="A19" s="35" t="s">
        <v>35</v>
      </c>
      <c r="B19" s="35" t="s">
        <v>741</v>
      </c>
      <c r="C19" s="35" t="s">
        <v>18</v>
      </c>
      <c r="D19" s="35" t="s">
        <v>19</v>
      </c>
      <c r="E19" s="104">
        <v>177.27</v>
      </c>
      <c r="F19" s="59" t="s">
        <v>88</v>
      </c>
      <c r="G19" s="106">
        <v>45454</v>
      </c>
      <c r="H19" s="59" t="s">
        <v>94</v>
      </c>
      <c r="I19" s="59" t="s">
        <v>212</v>
      </c>
      <c r="J19" s="35" t="s">
        <v>5349</v>
      </c>
      <c r="K19" s="35"/>
      <c r="L19" s="35"/>
      <c r="M19" s="35"/>
      <c r="N19" s="35"/>
      <c r="O19" s="35" t="s">
        <v>5350</v>
      </c>
      <c r="Q19" s="3">
        <f t="shared" si="0"/>
        <v>177.27</v>
      </c>
      <c r="S19" s="55" t="s">
        <v>5388</v>
      </c>
    </row>
    <row r="20" spans="1:19" ht="29" x14ac:dyDescent="0.35">
      <c r="A20" s="35" t="s">
        <v>35</v>
      </c>
      <c r="B20" s="35" t="s">
        <v>741</v>
      </c>
      <c r="C20" s="35" t="s">
        <v>18</v>
      </c>
      <c r="D20" s="35" t="s">
        <v>19</v>
      </c>
      <c r="E20" s="104">
        <v>54.55</v>
      </c>
      <c r="F20" s="59" t="s">
        <v>88</v>
      </c>
      <c r="G20" s="106">
        <v>45454</v>
      </c>
      <c r="H20" s="59" t="s">
        <v>94</v>
      </c>
      <c r="I20" s="59" t="s">
        <v>212</v>
      </c>
      <c r="J20" s="35" t="s">
        <v>213</v>
      </c>
      <c r="K20" s="35"/>
      <c r="L20" s="35"/>
      <c r="M20" s="35"/>
      <c r="N20" s="35"/>
      <c r="O20" s="35" t="s">
        <v>529</v>
      </c>
      <c r="Q20" s="3">
        <f t="shared" si="0"/>
        <v>54.55</v>
      </c>
      <c r="S20" s="55" t="s">
        <v>5388</v>
      </c>
    </row>
    <row r="21" spans="1:19" ht="29" x14ac:dyDescent="0.35">
      <c r="A21" s="35" t="s">
        <v>35</v>
      </c>
      <c r="B21" s="35" t="s">
        <v>741</v>
      </c>
      <c r="C21" s="35" t="s">
        <v>18</v>
      </c>
      <c r="D21" s="35" t="s">
        <v>19</v>
      </c>
      <c r="E21" s="104">
        <v>8.18</v>
      </c>
      <c r="F21" s="59" t="s">
        <v>88</v>
      </c>
      <c r="G21" s="106">
        <v>45454</v>
      </c>
      <c r="H21" s="59" t="s">
        <v>94</v>
      </c>
      <c r="I21" s="59" t="s">
        <v>219</v>
      </c>
      <c r="J21" s="35" t="s">
        <v>218</v>
      </c>
      <c r="K21" s="35"/>
      <c r="L21" s="35"/>
      <c r="M21" s="35"/>
      <c r="N21" s="35"/>
      <c r="O21" s="35" t="s">
        <v>5351</v>
      </c>
      <c r="Q21" s="3">
        <f t="shared" si="0"/>
        <v>8.18</v>
      </c>
      <c r="S21" s="55" t="s">
        <v>5388</v>
      </c>
    </row>
    <row r="22" spans="1:19" ht="43.5" x14ac:dyDescent="0.35">
      <c r="A22" t="s">
        <v>0</v>
      </c>
      <c r="B22" t="s">
        <v>741</v>
      </c>
      <c r="C22" t="s">
        <v>18</v>
      </c>
      <c r="D22" t="s">
        <v>19</v>
      </c>
      <c r="E22" s="105">
        <v>1750</v>
      </c>
      <c r="F22" s="55" t="s">
        <v>88</v>
      </c>
      <c r="G22" s="62">
        <v>45475</v>
      </c>
      <c r="H22" s="55" t="s">
        <v>89</v>
      </c>
      <c r="I22" s="55" t="s">
        <v>5352</v>
      </c>
      <c r="K22" t="s">
        <v>101</v>
      </c>
      <c r="L22" t="s">
        <v>5386</v>
      </c>
      <c r="Q22" s="3">
        <f t="shared" si="0"/>
        <v>1750</v>
      </c>
      <c r="S22" s="55" t="s">
        <v>5388</v>
      </c>
    </row>
    <row r="23" spans="1:19" ht="29" x14ac:dyDescent="0.35">
      <c r="A23" t="s">
        <v>35</v>
      </c>
      <c r="B23" t="s">
        <v>741</v>
      </c>
      <c r="C23" t="s">
        <v>18</v>
      </c>
      <c r="D23" t="s">
        <v>19</v>
      </c>
      <c r="E23" s="105">
        <v>209.09</v>
      </c>
      <c r="F23" s="55" t="s">
        <v>88</v>
      </c>
      <c r="G23" s="62">
        <v>45539</v>
      </c>
      <c r="H23" s="55" t="s">
        <v>94</v>
      </c>
      <c r="I23" s="55" t="s">
        <v>211</v>
      </c>
      <c r="J23" t="s">
        <v>5353</v>
      </c>
      <c r="O23" t="s">
        <v>5354</v>
      </c>
      <c r="Q23" s="3">
        <f t="shared" si="0"/>
        <v>209.09</v>
      </c>
      <c r="S23" s="55" t="s">
        <v>5388</v>
      </c>
    </row>
    <row r="24" spans="1:19" ht="29" x14ac:dyDescent="0.35">
      <c r="A24" t="s">
        <v>35</v>
      </c>
      <c r="B24" t="s">
        <v>741</v>
      </c>
      <c r="C24" t="s">
        <v>18</v>
      </c>
      <c r="D24" t="s">
        <v>19</v>
      </c>
      <c r="E24" s="105">
        <v>109.1</v>
      </c>
      <c r="F24" s="55" t="s">
        <v>88</v>
      </c>
      <c r="G24" s="62">
        <v>45539</v>
      </c>
      <c r="H24" s="55" t="s">
        <v>94</v>
      </c>
      <c r="I24" s="55" t="s">
        <v>212</v>
      </c>
      <c r="J24" t="s">
        <v>213</v>
      </c>
      <c r="O24" t="s">
        <v>529</v>
      </c>
      <c r="Q24" s="3">
        <f t="shared" si="0"/>
        <v>109.1</v>
      </c>
      <c r="S24" s="55" t="s">
        <v>5388</v>
      </c>
    </row>
    <row r="25" spans="1:19" ht="29" x14ac:dyDescent="0.35">
      <c r="A25" t="s">
        <v>35</v>
      </c>
      <c r="B25" t="s">
        <v>741</v>
      </c>
      <c r="C25" t="s">
        <v>18</v>
      </c>
      <c r="D25" t="s">
        <v>19</v>
      </c>
      <c r="E25" s="105">
        <v>14.55</v>
      </c>
      <c r="F25" s="55" t="s">
        <v>88</v>
      </c>
      <c r="G25" s="62">
        <v>45539</v>
      </c>
      <c r="H25" s="55" t="s">
        <v>94</v>
      </c>
      <c r="I25" s="55" t="s">
        <v>212</v>
      </c>
      <c r="J25" t="s">
        <v>5355</v>
      </c>
      <c r="O25" t="s">
        <v>529</v>
      </c>
      <c r="Q25" s="3">
        <f t="shared" si="0"/>
        <v>14.55</v>
      </c>
      <c r="S25" s="55" t="s">
        <v>5388</v>
      </c>
    </row>
    <row r="26" spans="1:19" ht="29" x14ac:dyDescent="0.35">
      <c r="A26" t="s">
        <v>35</v>
      </c>
      <c r="B26" t="s">
        <v>741</v>
      </c>
      <c r="C26" t="s">
        <v>18</v>
      </c>
      <c r="D26" t="s">
        <v>19</v>
      </c>
      <c r="E26" s="105">
        <v>14.55</v>
      </c>
      <c r="F26" s="55" t="s">
        <v>88</v>
      </c>
      <c r="G26" s="62">
        <v>45539</v>
      </c>
      <c r="H26" s="55" t="s">
        <v>94</v>
      </c>
      <c r="I26" s="55" t="s">
        <v>212</v>
      </c>
      <c r="J26" t="s">
        <v>5356</v>
      </c>
      <c r="O26" t="s">
        <v>529</v>
      </c>
      <c r="Q26" s="3">
        <f t="shared" si="0"/>
        <v>14.55</v>
      </c>
      <c r="S26" s="55" t="s">
        <v>5388</v>
      </c>
    </row>
    <row r="27" spans="1:19" ht="43.5" x14ac:dyDescent="0.35">
      <c r="A27" t="s">
        <v>0</v>
      </c>
      <c r="B27" t="s">
        <v>741</v>
      </c>
      <c r="C27" t="s">
        <v>18</v>
      </c>
      <c r="D27" t="s">
        <v>19</v>
      </c>
      <c r="E27" s="105">
        <v>11300.44</v>
      </c>
      <c r="F27" s="55" t="s">
        <v>88</v>
      </c>
      <c r="G27" s="62">
        <v>45545</v>
      </c>
      <c r="H27" s="55" t="s">
        <v>89</v>
      </c>
      <c r="I27" s="55" t="s">
        <v>5357</v>
      </c>
      <c r="J27" t="s">
        <v>5358</v>
      </c>
      <c r="L27" t="s">
        <v>5359</v>
      </c>
      <c r="O27" t="s">
        <v>176</v>
      </c>
      <c r="Q27" s="3">
        <f t="shared" si="0"/>
        <v>11300.44</v>
      </c>
      <c r="S27" s="55" t="s">
        <v>5388</v>
      </c>
    </row>
    <row r="28" spans="1:19" ht="29" x14ac:dyDescent="0.35">
      <c r="A28" t="s">
        <v>35</v>
      </c>
      <c r="B28" t="s">
        <v>741</v>
      </c>
      <c r="C28" t="s">
        <v>18</v>
      </c>
      <c r="D28" t="s">
        <v>19</v>
      </c>
      <c r="E28" s="105">
        <v>27.65</v>
      </c>
      <c r="F28" s="55" t="s">
        <v>88</v>
      </c>
      <c r="G28" s="62">
        <v>45562</v>
      </c>
      <c r="H28" s="55" t="s">
        <v>94</v>
      </c>
      <c r="I28" s="55" t="s">
        <v>5339</v>
      </c>
      <c r="J28" t="s">
        <v>5360</v>
      </c>
      <c r="O28" t="s">
        <v>5361</v>
      </c>
      <c r="Q28" s="3">
        <f t="shared" si="0"/>
        <v>27.65</v>
      </c>
      <c r="S28" s="55" t="s">
        <v>5388</v>
      </c>
    </row>
    <row r="29" spans="1:19" ht="29" x14ac:dyDescent="0.35">
      <c r="A29" t="s">
        <v>35</v>
      </c>
      <c r="B29" t="s">
        <v>741</v>
      </c>
      <c r="C29" t="s">
        <v>18</v>
      </c>
      <c r="D29" t="s">
        <v>19</v>
      </c>
      <c r="E29" s="105">
        <v>118.18</v>
      </c>
      <c r="F29" s="55" t="s">
        <v>88</v>
      </c>
      <c r="G29" s="62">
        <v>45562</v>
      </c>
      <c r="H29" s="55" t="s">
        <v>94</v>
      </c>
      <c r="I29" s="55" t="s">
        <v>5362</v>
      </c>
      <c r="J29" t="s">
        <v>5363</v>
      </c>
      <c r="O29" t="s">
        <v>5364</v>
      </c>
      <c r="Q29" s="3">
        <f t="shared" si="0"/>
        <v>118.18</v>
      </c>
      <c r="S29" s="55" t="s">
        <v>5390</v>
      </c>
    </row>
    <row r="30" spans="1:19" ht="43.5" x14ac:dyDescent="0.35">
      <c r="A30" t="s">
        <v>0</v>
      </c>
      <c r="B30" t="s">
        <v>741</v>
      </c>
      <c r="C30" t="s">
        <v>18</v>
      </c>
      <c r="D30" t="s">
        <v>19</v>
      </c>
      <c r="E30" s="105">
        <v>1700</v>
      </c>
      <c r="F30" s="55" t="s">
        <v>88</v>
      </c>
      <c r="G30" s="62">
        <v>45566</v>
      </c>
      <c r="H30" s="55" t="s">
        <v>89</v>
      </c>
      <c r="I30" s="55" t="s">
        <v>5365</v>
      </c>
      <c r="K30" t="s">
        <v>5366</v>
      </c>
      <c r="L30" t="s">
        <v>5387</v>
      </c>
      <c r="Q30" s="3">
        <f t="shared" si="0"/>
        <v>1700</v>
      </c>
      <c r="S30" s="55" t="s">
        <v>5388</v>
      </c>
    </row>
    <row r="31" spans="1:19" ht="29" x14ac:dyDescent="0.35">
      <c r="A31" t="s">
        <v>35</v>
      </c>
      <c r="B31" t="s">
        <v>741</v>
      </c>
      <c r="C31" t="s">
        <v>18</v>
      </c>
      <c r="D31" t="s">
        <v>19</v>
      </c>
      <c r="E31" s="105">
        <v>54.55</v>
      </c>
      <c r="F31" s="55" t="s">
        <v>88</v>
      </c>
      <c r="G31" s="62">
        <v>45567</v>
      </c>
      <c r="H31" s="55" t="s">
        <v>94</v>
      </c>
      <c r="I31" s="55" t="s">
        <v>212</v>
      </c>
      <c r="J31" t="s">
        <v>213</v>
      </c>
      <c r="O31" t="s">
        <v>529</v>
      </c>
      <c r="Q31" s="3">
        <f t="shared" si="0"/>
        <v>54.55</v>
      </c>
      <c r="S31" s="55" t="s">
        <v>5388</v>
      </c>
    </row>
    <row r="32" spans="1:19" ht="29" x14ac:dyDescent="0.35">
      <c r="A32" t="s">
        <v>35</v>
      </c>
      <c r="B32" t="s">
        <v>741</v>
      </c>
      <c r="C32" t="s">
        <v>18</v>
      </c>
      <c r="D32" t="s">
        <v>19</v>
      </c>
      <c r="E32" s="105">
        <v>14.55</v>
      </c>
      <c r="F32" s="55" t="s">
        <v>88</v>
      </c>
      <c r="G32" s="62">
        <v>45567</v>
      </c>
      <c r="H32" s="55" t="s">
        <v>94</v>
      </c>
      <c r="I32" s="55" t="s">
        <v>212</v>
      </c>
      <c r="J32" t="s">
        <v>5367</v>
      </c>
      <c r="O32" t="s">
        <v>529</v>
      </c>
      <c r="Q32" s="3">
        <f t="shared" si="0"/>
        <v>14.55</v>
      </c>
      <c r="S32" s="55" t="s">
        <v>5388</v>
      </c>
    </row>
    <row r="33" spans="1:22" ht="43.5" x14ac:dyDescent="0.35">
      <c r="A33" t="s">
        <v>0</v>
      </c>
      <c r="B33" t="s">
        <v>741</v>
      </c>
      <c r="C33" t="s">
        <v>18</v>
      </c>
      <c r="D33" t="s">
        <v>19</v>
      </c>
      <c r="E33" s="105">
        <v>36139.57</v>
      </c>
      <c r="F33" s="55" t="s">
        <v>88</v>
      </c>
      <c r="G33" s="62">
        <v>45569</v>
      </c>
      <c r="H33" s="55" t="s">
        <v>89</v>
      </c>
      <c r="I33" s="55" t="s">
        <v>5368</v>
      </c>
      <c r="J33" t="s">
        <v>5369</v>
      </c>
      <c r="L33" t="s">
        <v>5370</v>
      </c>
      <c r="O33" t="s">
        <v>5371</v>
      </c>
      <c r="Q33" s="3">
        <f t="shared" si="0"/>
        <v>36139.57</v>
      </c>
      <c r="S33" s="55" t="s">
        <v>5388</v>
      </c>
    </row>
    <row r="34" spans="1:22" ht="29" x14ac:dyDescent="0.35">
      <c r="A34" t="s">
        <v>35</v>
      </c>
      <c r="B34" t="s">
        <v>741</v>
      </c>
      <c r="C34" t="s">
        <v>18</v>
      </c>
      <c r="D34" t="s">
        <v>19</v>
      </c>
      <c r="E34" s="105">
        <v>54.55</v>
      </c>
      <c r="F34" s="55" t="s">
        <v>88</v>
      </c>
      <c r="G34" s="62">
        <v>45574</v>
      </c>
      <c r="H34" s="55" t="s">
        <v>94</v>
      </c>
      <c r="I34" s="55" t="s">
        <v>212</v>
      </c>
      <c r="J34" t="s">
        <v>5344</v>
      </c>
      <c r="O34" t="s">
        <v>529</v>
      </c>
      <c r="Q34" s="3">
        <f t="shared" si="0"/>
        <v>54.55</v>
      </c>
      <c r="S34" s="55" t="s">
        <v>5388</v>
      </c>
    </row>
    <row r="35" spans="1:22" ht="29" x14ac:dyDescent="0.35">
      <c r="A35" t="s">
        <v>35</v>
      </c>
      <c r="B35" t="s">
        <v>741</v>
      </c>
      <c r="C35" t="s">
        <v>18</v>
      </c>
      <c r="D35" t="s">
        <v>19</v>
      </c>
      <c r="E35" s="105">
        <v>14.55</v>
      </c>
      <c r="F35" s="55" t="s">
        <v>88</v>
      </c>
      <c r="G35" s="62">
        <v>45574</v>
      </c>
      <c r="H35" s="55" t="s">
        <v>94</v>
      </c>
      <c r="I35" s="55" t="s">
        <v>212</v>
      </c>
      <c r="J35" t="s">
        <v>5372</v>
      </c>
      <c r="O35" t="s">
        <v>529</v>
      </c>
      <c r="Q35" s="3">
        <f t="shared" si="0"/>
        <v>14.55</v>
      </c>
      <c r="S35" s="55" t="s">
        <v>5388</v>
      </c>
    </row>
    <row r="36" spans="1:22" ht="29" x14ac:dyDescent="0.35">
      <c r="A36" t="s">
        <v>35</v>
      </c>
      <c r="B36" t="s">
        <v>741</v>
      </c>
      <c r="C36" t="s">
        <v>18</v>
      </c>
      <c r="D36" t="s">
        <v>19</v>
      </c>
      <c r="E36" s="105">
        <v>645.44000000000005</v>
      </c>
      <c r="F36" s="55" t="s">
        <v>88</v>
      </c>
      <c r="G36" s="62">
        <v>45596</v>
      </c>
      <c r="H36" s="55" t="s">
        <v>94</v>
      </c>
      <c r="I36" s="55" t="s">
        <v>211</v>
      </c>
      <c r="J36" t="s">
        <v>5373</v>
      </c>
      <c r="O36" t="s">
        <v>5374</v>
      </c>
      <c r="Q36" s="3">
        <f t="shared" si="0"/>
        <v>645.44000000000005</v>
      </c>
      <c r="S36" s="55" t="s">
        <v>5388</v>
      </c>
    </row>
    <row r="37" spans="1:22" ht="29" x14ac:dyDescent="0.35">
      <c r="A37" t="s">
        <v>35</v>
      </c>
      <c r="B37" t="s">
        <v>741</v>
      </c>
      <c r="C37" t="s">
        <v>18</v>
      </c>
      <c r="D37" t="s">
        <v>19</v>
      </c>
      <c r="E37" s="105">
        <v>14.55</v>
      </c>
      <c r="F37" s="55" t="s">
        <v>88</v>
      </c>
      <c r="G37" s="62">
        <v>45601</v>
      </c>
      <c r="H37" s="55" t="s">
        <v>94</v>
      </c>
      <c r="I37" s="55" t="s">
        <v>212</v>
      </c>
      <c r="J37" t="s">
        <v>5345</v>
      </c>
      <c r="O37" t="s">
        <v>529</v>
      </c>
      <c r="Q37" s="3">
        <f t="shared" si="0"/>
        <v>14.55</v>
      </c>
      <c r="S37" s="55" t="s">
        <v>5388</v>
      </c>
    </row>
    <row r="38" spans="1:22" ht="29" x14ac:dyDescent="0.35">
      <c r="A38" t="s">
        <v>35</v>
      </c>
      <c r="B38" t="s">
        <v>741</v>
      </c>
      <c r="C38" t="s">
        <v>18</v>
      </c>
      <c r="D38" t="s">
        <v>19</v>
      </c>
      <c r="E38" s="105">
        <v>230.77</v>
      </c>
      <c r="F38" s="55" t="s">
        <v>88</v>
      </c>
      <c r="G38" s="62">
        <v>45624</v>
      </c>
      <c r="H38" s="55" t="s">
        <v>94</v>
      </c>
      <c r="I38" s="55" t="s">
        <v>5328</v>
      </c>
      <c r="J38" t="s">
        <v>5375</v>
      </c>
      <c r="O38" t="s">
        <v>645</v>
      </c>
      <c r="Q38" s="3">
        <f t="shared" si="0"/>
        <v>230.77</v>
      </c>
      <c r="S38" s="55" t="s">
        <v>5389</v>
      </c>
      <c r="T38" t="s">
        <v>64</v>
      </c>
      <c r="U38" t="str">
        <f>B38</f>
        <v>AU032045</v>
      </c>
      <c r="V38" s="105">
        <f>E38</f>
        <v>230.77</v>
      </c>
    </row>
    <row r="39" spans="1:22" ht="43.5" x14ac:dyDescent="0.35">
      <c r="A39" t="s">
        <v>0</v>
      </c>
      <c r="B39" t="s">
        <v>741</v>
      </c>
      <c r="C39" t="s">
        <v>18</v>
      </c>
      <c r="D39" t="s">
        <v>19</v>
      </c>
      <c r="E39" s="105">
        <v>11300.44</v>
      </c>
      <c r="F39" s="55" t="s">
        <v>88</v>
      </c>
      <c r="G39" s="62">
        <v>45629</v>
      </c>
      <c r="H39" s="55" t="s">
        <v>89</v>
      </c>
      <c r="I39" s="55" t="s">
        <v>5376</v>
      </c>
      <c r="J39" t="s">
        <v>5377</v>
      </c>
      <c r="L39" t="s">
        <v>5378</v>
      </c>
      <c r="M39" t="s">
        <v>176</v>
      </c>
      <c r="Q39" s="3">
        <f t="shared" si="0"/>
        <v>11300.44</v>
      </c>
      <c r="S39" s="55" t="s">
        <v>5388</v>
      </c>
    </row>
    <row r="40" spans="1:22" ht="43.5" x14ac:dyDescent="0.35">
      <c r="A40" t="s">
        <v>0</v>
      </c>
      <c r="B40" t="s">
        <v>741</v>
      </c>
      <c r="C40" t="s">
        <v>18</v>
      </c>
      <c r="D40" t="s">
        <v>19</v>
      </c>
      <c r="E40" s="105">
        <v>8516.27</v>
      </c>
      <c r="F40" s="55" t="s">
        <v>88</v>
      </c>
      <c r="G40" s="62">
        <v>45629</v>
      </c>
      <c r="H40" s="55" t="s">
        <v>89</v>
      </c>
      <c r="I40" s="55" t="s">
        <v>5379</v>
      </c>
      <c r="J40" t="s">
        <v>5380</v>
      </c>
      <c r="L40" t="s">
        <v>5381</v>
      </c>
      <c r="M40" t="s">
        <v>164</v>
      </c>
      <c r="Q40" s="3">
        <f t="shared" si="0"/>
        <v>8516.27</v>
      </c>
      <c r="S40" s="55" t="s">
        <v>5388</v>
      </c>
    </row>
    <row r="41" spans="1:22" ht="43.5" x14ac:dyDescent="0.35">
      <c r="A41" t="s">
        <v>0</v>
      </c>
      <c r="B41" t="s">
        <v>741</v>
      </c>
      <c r="C41" t="s">
        <v>18</v>
      </c>
      <c r="D41" t="s">
        <v>19</v>
      </c>
      <c r="E41" s="105">
        <v>1501.27</v>
      </c>
      <c r="F41" s="55" t="s">
        <v>88</v>
      </c>
      <c r="G41" s="62">
        <v>45630</v>
      </c>
      <c r="H41" s="55" t="s">
        <v>89</v>
      </c>
      <c r="I41" s="55" t="s">
        <v>5382</v>
      </c>
      <c r="J41" t="s">
        <v>5383</v>
      </c>
      <c r="L41" t="s">
        <v>5384</v>
      </c>
      <c r="M41" t="s">
        <v>4859</v>
      </c>
      <c r="Q41" s="3">
        <f t="shared" si="0"/>
        <v>1501.27</v>
      </c>
      <c r="S41" s="55" t="s">
        <v>5388</v>
      </c>
    </row>
    <row r="42" spans="1:22" ht="29" x14ac:dyDescent="0.35">
      <c r="A42" t="s">
        <v>35</v>
      </c>
      <c r="B42" t="s">
        <v>741</v>
      </c>
      <c r="C42" t="s">
        <v>18</v>
      </c>
      <c r="D42" t="s">
        <v>19</v>
      </c>
      <c r="E42" s="105">
        <v>109.1</v>
      </c>
      <c r="F42" s="55" t="s">
        <v>88</v>
      </c>
      <c r="G42" s="62">
        <v>45635</v>
      </c>
      <c r="H42" s="55" t="s">
        <v>94</v>
      </c>
      <c r="I42" s="55" t="s">
        <v>212</v>
      </c>
      <c r="J42" t="s">
        <v>213</v>
      </c>
      <c r="O42" t="s">
        <v>529</v>
      </c>
      <c r="Q42" s="3">
        <f t="shared" si="0"/>
        <v>109.1</v>
      </c>
      <c r="S42" s="55" t="s">
        <v>5388</v>
      </c>
    </row>
    <row r="43" spans="1:22" ht="29" x14ac:dyDescent="0.35">
      <c r="A43" t="s">
        <v>35</v>
      </c>
      <c r="B43" t="s">
        <v>741</v>
      </c>
      <c r="C43" t="s">
        <v>18</v>
      </c>
      <c r="D43" t="s">
        <v>19</v>
      </c>
      <c r="E43" s="105">
        <v>29.1</v>
      </c>
      <c r="F43" s="55" t="s">
        <v>88</v>
      </c>
      <c r="G43" s="62">
        <v>45635</v>
      </c>
      <c r="H43" s="55" t="s">
        <v>94</v>
      </c>
      <c r="I43" s="55" t="s">
        <v>212</v>
      </c>
      <c r="J43" t="s">
        <v>5385</v>
      </c>
      <c r="O43" t="s">
        <v>529</v>
      </c>
      <c r="Q43" s="3">
        <f t="shared" si="0"/>
        <v>29.1</v>
      </c>
      <c r="S43" s="55" t="s">
        <v>5388</v>
      </c>
    </row>
    <row r="44" spans="1:22" ht="29" x14ac:dyDescent="0.35">
      <c r="A44" t="s">
        <v>35</v>
      </c>
      <c r="B44" t="s">
        <v>741</v>
      </c>
      <c r="C44" t="s">
        <v>18</v>
      </c>
      <c r="D44" t="s">
        <v>19</v>
      </c>
      <c r="E44" s="105">
        <v>54.55</v>
      </c>
      <c r="F44" s="55" t="s">
        <v>88</v>
      </c>
      <c r="G44" s="62">
        <v>45642</v>
      </c>
      <c r="H44" s="55" t="s">
        <v>94</v>
      </c>
      <c r="I44" s="55" t="s">
        <v>212</v>
      </c>
      <c r="J44" t="s">
        <v>213</v>
      </c>
      <c r="O44" t="s">
        <v>529</v>
      </c>
      <c r="Q44" s="3">
        <f t="shared" si="0"/>
        <v>54.55</v>
      </c>
      <c r="S44" s="55" t="s">
        <v>5388</v>
      </c>
    </row>
  </sheetData>
  <autoFilter ref="A7:AF44" xr:uid="{1CD6313C-FA62-4C30-A024-A1B5E4DE29AF}"/>
  <sortState xmlns:xlrd2="http://schemas.microsoft.com/office/spreadsheetml/2017/richdata2" ref="A7:Q21">
    <sortCondition descending="1" ref="Q7:Q21"/>
  </sortState>
  <mergeCells count="1">
    <mergeCell ref="AD6:AE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44833-5703-4B0E-8061-D63AD93B4197}">
  <sheetPr>
    <tabColor rgb="FF00B050"/>
  </sheetPr>
  <dimension ref="A1:AF231"/>
  <sheetViews>
    <sheetView workbookViewId="0">
      <selection activeCell="C3" sqref="C3"/>
    </sheetView>
  </sheetViews>
  <sheetFormatPr defaultRowHeight="14.5" x14ac:dyDescent="0.35"/>
  <cols>
    <col min="1" max="2" width="4.453125" customWidth="1"/>
    <col min="3" max="3" width="10.81640625" customWidth="1"/>
    <col min="4" max="5" width="4.453125" customWidth="1"/>
    <col min="6" max="7" width="4.453125" style="19" customWidth="1"/>
    <col min="8" max="8" width="4.453125" style="56" customWidth="1"/>
    <col min="9" max="9" width="18" style="55" customWidth="1"/>
    <col min="10" max="10" width="26.7265625" style="55" customWidth="1"/>
    <col min="11" max="11" width="31.54296875" bestFit="1" customWidth="1"/>
    <col min="13" max="13" width="22.453125" style="55" customWidth="1"/>
    <col min="14" max="14" width="9.81640625" customWidth="1"/>
    <col min="15" max="15" width="13.26953125" style="55" customWidth="1"/>
    <col min="16" max="16" width="3.453125" style="5" customWidth="1"/>
    <col min="17" max="17" width="10.1796875" style="3" bestFit="1" customWidth="1"/>
    <col min="18" max="18" width="2.54296875" style="55" customWidth="1"/>
    <col min="19" max="19" width="13.54296875" style="55" customWidth="1"/>
    <col min="21" max="21" width="1.81640625" customWidth="1"/>
    <col min="23" max="28" width="2" customWidth="1"/>
  </cols>
  <sheetData>
    <row r="1" spans="1:32" x14ac:dyDescent="0.35">
      <c r="A1" t="s">
        <v>69</v>
      </c>
      <c r="C1" s="24">
        <f>Summary!A19</f>
        <v>5190001000</v>
      </c>
      <c r="D1" s="3"/>
    </row>
    <row r="2" spans="1:32" x14ac:dyDescent="0.35">
      <c r="A2" t="s">
        <v>70</v>
      </c>
      <c r="C2" s="24" t="str">
        <f>Summary!B19</f>
        <v>Contributions&amp; club membership</v>
      </c>
      <c r="D2" s="3"/>
      <c r="G2" s="19" t="s">
        <v>141</v>
      </c>
    </row>
    <row r="3" spans="1:32" x14ac:dyDescent="0.35">
      <c r="A3" t="s">
        <v>71</v>
      </c>
      <c r="C3" s="22">
        <v>324427.63000000006</v>
      </c>
      <c r="D3" s="3"/>
      <c r="G3" s="19" t="s">
        <v>302</v>
      </c>
      <c r="T3" s="24" t="s">
        <v>0</v>
      </c>
      <c r="U3" s="24"/>
      <c r="V3" s="3">
        <f>SUMIF($A$10:$A$23974,"AU001",V8:V23972)</f>
        <v>0</v>
      </c>
      <c r="AC3" t="s">
        <v>0</v>
      </c>
      <c r="AD3" s="3">
        <f>SUMIF($A$8:$A$20000,"AU001",AD8:AD20000)</f>
        <v>0</v>
      </c>
      <c r="AE3" s="3">
        <f>SUMIF($A$8:$A$20000,"AU001",AE8:AE20000)</f>
        <v>0</v>
      </c>
    </row>
    <row r="4" spans="1:32" x14ac:dyDescent="0.35">
      <c r="A4" t="s">
        <v>45</v>
      </c>
      <c r="C4" s="22">
        <f>SUM(E:E)</f>
        <v>324427.63000000059</v>
      </c>
      <c r="D4" s="3"/>
      <c r="G4" s="19" t="s">
        <v>303</v>
      </c>
      <c r="T4" s="24" t="s">
        <v>35</v>
      </c>
      <c r="U4" s="24"/>
      <c r="V4" s="3">
        <f>SUMIF($A$10:$A$23975,"AU052",V8:V23973)</f>
        <v>0</v>
      </c>
      <c r="AC4" t="s">
        <v>35</v>
      </c>
      <c r="AD4" s="3">
        <f>SUMIF($A$8:$A$20000,"AU052",AD8:AD20000)</f>
        <v>0</v>
      </c>
      <c r="AE4" s="3">
        <f>SUMIF($A$8:$A$20000,"AU052",AE8:AE20000)</f>
        <v>352.15</v>
      </c>
    </row>
    <row r="5" spans="1:32" ht="15" thickBot="1" x14ac:dyDescent="0.4">
      <c r="A5" t="s">
        <v>72</v>
      </c>
      <c r="C5" s="3">
        <f>C3-C4</f>
        <v>-5.2386894822120667E-10</v>
      </c>
      <c r="D5" s="3"/>
      <c r="G5" s="19" t="s">
        <v>304</v>
      </c>
      <c r="Q5" s="30"/>
      <c r="R5" s="57"/>
      <c r="V5" s="3"/>
    </row>
    <row r="6" spans="1:32" ht="15" thickBot="1" x14ac:dyDescent="0.4">
      <c r="D6" s="3"/>
      <c r="AD6" s="191" t="s">
        <v>44</v>
      </c>
      <c r="AE6" s="192"/>
    </row>
    <row r="7" spans="1:32" s="53" customFormat="1" ht="363" thickBot="1" x14ac:dyDescent="0.4">
      <c r="A7" s="145" t="s">
        <v>74</v>
      </c>
      <c r="B7" s="146" t="s">
        <v>597</v>
      </c>
      <c r="C7" s="146" t="s">
        <v>75</v>
      </c>
      <c r="D7" s="147" t="s">
        <v>76</v>
      </c>
      <c r="E7" s="146" t="s">
        <v>77</v>
      </c>
      <c r="F7" s="148" t="s">
        <v>78</v>
      </c>
      <c r="G7" s="148" t="s">
        <v>79</v>
      </c>
      <c r="H7" s="150" t="s">
        <v>80</v>
      </c>
      <c r="I7" s="146" t="s">
        <v>81</v>
      </c>
      <c r="J7" s="146" t="s">
        <v>82</v>
      </c>
      <c r="K7" s="146" t="s">
        <v>83</v>
      </c>
      <c r="L7" s="146" t="s">
        <v>84</v>
      </c>
      <c r="M7" s="146" t="s">
        <v>85</v>
      </c>
      <c r="N7" s="146" t="s">
        <v>86</v>
      </c>
      <c r="O7" s="149" t="s">
        <v>585</v>
      </c>
      <c r="P7" s="43"/>
      <c r="Q7" s="54" t="s">
        <v>136</v>
      </c>
      <c r="R7" s="44" t="s">
        <v>87</v>
      </c>
      <c r="S7" s="45" t="s">
        <v>46</v>
      </c>
      <c r="T7" s="45" t="s">
        <v>47</v>
      </c>
      <c r="U7" s="84" t="s">
        <v>1286</v>
      </c>
      <c r="V7" s="45" t="s">
        <v>48</v>
      </c>
      <c r="W7" s="46" t="s">
        <v>49</v>
      </c>
      <c r="X7" s="47" t="s">
        <v>50</v>
      </c>
      <c r="Y7" s="48" t="s">
        <v>51</v>
      </c>
      <c r="Z7" s="49" t="s">
        <v>52</v>
      </c>
      <c r="AA7" s="50" t="s">
        <v>53</v>
      </c>
      <c r="AB7" s="50" t="s">
        <v>54</v>
      </c>
      <c r="AC7" s="50" t="s">
        <v>55</v>
      </c>
      <c r="AD7" s="51" t="s">
        <v>56</v>
      </c>
      <c r="AE7" s="51" t="s">
        <v>57</v>
      </c>
      <c r="AF7" s="52" t="s">
        <v>58</v>
      </c>
    </row>
    <row r="8" spans="1:32" ht="29" x14ac:dyDescent="0.35">
      <c r="A8" t="s">
        <v>0</v>
      </c>
      <c r="B8" t="s">
        <v>933</v>
      </c>
      <c r="C8" t="s">
        <v>21</v>
      </c>
      <c r="D8" t="s">
        <v>22</v>
      </c>
      <c r="E8">
        <v>17114.07</v>
      </c>
      <c r="F8" s="19" t="s">
        <v>88</v>
      </c>
      <c r="G8" s="19">
        <v>45392</v>
      </c>
      <c r="H8" s="56" t="s">
        <v>89</v>
      </c>
      <c r="I8" s="55" t="s">
        <v>5444</v>
      </c>
      <c r="K8" t="s">
        <v>5445</v>
      </c>
      <c r="L8" t="s">
        <v>5446</v>
      </c>
      <c r="M8" s="55" t="s">
        <v>5447</v>
      </c>
      <c r="Q8" s="3">
        <f t="shared" ref="Q8:Q71" si="0">ABS(E8)</f>
        <v>17114.07</v>
      </c>
      <c r="S8" s="55" t="s">
        <v>5806</v>
      </c>
    </row>
    <row r="9" spans="1:32" ht="29" x14ac:dyDescent="0.35">
      <c r="A9" t="s">
        <v>35</v>
      </c>
      <c r="B9" t="s">
        <v>598</v>
      </c>
      <c r="C9" t="s">
        <v>21</v>
      </c>
      <c r="D9" t="s">
        <v>22</v>
      </c>
      <c r="E9">
        <v>14700.38</v>
      </c>
      <c r="F9" s="19" t="s">
        <v>88</v>
      </c>
      <c r="G9" s="19">
        <v>45628</v>
      </c>
      <c r="H9" s="56" t="s">
        <v>89</v>
      </c>
      <c r="I9" s="55" t="s">
        <v>5764</v>
      </c>
      <c r="K9" t="s">
        <v>5765</v>
      </c>
      <c r="L9" t="s">
        <v>5766</v>
      </c>
      <c r="M9" s="55" t="s">
        <v>5767</v>
      </c>
      <c r="Q9" s="3">
        <f t="shared" si="0"/>
        <v>14700.38</v>
      </c>
      <c r="S9" s="55" t="s">
        <v>5806</v>
      </c>
    </row>
    <row r="10" spans="1:32" ht="29" x14ac:dyDescent="0.35">
      <c r="A10" t="s">
        <v>0</v>
      </c>
      <c r="B10" t="s">
        <v>638</v>
      </c>
      <c r="C10" t="s">
        <v>21</v>
      </c>
      <c r="D10" t="s">
        <v>22</v>
      </c>
      <c r="E10">
        <v>14342.27</v>
      </c>
      <c r="F10" s="19" t="s">
        <v>88</v>
      </c>
      <c r="G10" s="19">
        <v>45393</v>
      </c>
      <c r="H10" s="56" t="s">
        <v>89</v>
      </c>
      <c r="I10" s="55" t="s">
        <v>5451</v>
      </c>
      <c r="K10" t="s">
        <v>5452</v>
      </c>
      <c r="L10" t="s">
        <v>5453</v>
      </c>
      <c r="M10" s="55" t="s">
        <v>5454</v>
      </c>
      <c r="Q10" s="3">
        <f t="shared" si="0"/>
        <v>14342.27</v>
      </c>
      <c r="S10" s="55" t="s">
        <v>5806</v>
      </c>
    </row>
    <row r="11" spans="1:32" ht="29" x14ac:dyDescent="0.35">
      <c r="A11" t="s">
        <v>0</v>
      </c>
      <c r="B11" t="s">
        <v>741</v>
      </c>
      <c r="C11" t="s">
        <v>21</v>
      </c>
      <c r="D11" t="s">
        <v>22</v>
      </c>
      <c r="E11">
        <v>13589.45</v>
      </c>
      <c r="F11" s="19" t="s">
        <v>88</v>
      </c>
      <c r="G11" s="19">
        <v>45601</v>
      </c>
      <c r="H11" s="56" t="s">
        <v>89</v>
      </c>
      <c r="I11" s="55" t="s">
        <v>5739</v>
      </c>
      <c r="K11" t="s">
        <v>5740</v>
      </c>
      <c r="L11" t="s">
        <v>5741</v>
      </c>
      <c r="M11" s="55" t="s">
        <v>263</v>
      </c>
      <c r="Q11" s="3">
        <f t="shared" si="0"/>
        <v>13589.45</v>
      </c>
      <c r="S11" s="55" t="s">
        <v>5806</v>
      </c>
    </row>
    <row r="12" spans="1:32" ht="29" x14ac:dyDescent="0.35">
      <c r="A12" t="s">
        <v>35</v>
      </c>
      <c r="B12" t="s">
        <v>933</v>
      </c>
      <c r="C12" t="s">
        <v>21</v>
      </c>
      <c r="D12" t="s">
        <v>22</v>
      </c>
      <c r="E12">
        <v>13420</v>
      </c>
      <c r="F12" s="19" t="s">
        <v>88</v>
      </c>
      <c r="G12" s="19">
        <v>45642</v>
      </c>
      <c r="H12" s="56" t="s">
        <v>5796</v>
      </c>
      <c r="I12" s="55" t="s">
        <v>5796</v>
      </c>
      <c r="Q12" s="3">
        <f t="shared" si="0"/>
        <v>13420</v>
      </c>
      <c r="S12" s="55" t="s">
        <v>5806</v>
      </c>
    </row>
    <row r="13" spans="1:32" ht="29" x14ac:dyDescent="0.35">
      <c r="A13" t="s">
        <v>35</v>
      </c>
      <c r="B13" t="s">
        <v>598</v>
      </c>
      <c r="C13" t="s">
        <v>21</v>
      </c>
      <c r="D13" t="s">
        <v>22</v>
      </c>
      <c r="E13">
        <v>12848.21</v>
      </c>
      <c r="F13" s="19" t="s">
        <v>88</v>
      </c>
      <c r="G13" s="19">
        <v>45628</v>
      </c>
      <c r="H13" s="56" t="s">
        <v>89</v>
      </c>
      <c r="I13" s="55" t="s">
        <v>5768</v>
      </c>
      <c r="K13" t="s">
        <v>5769</v>
      </c>
      <c r="L13" t="s">
        <v>5770</v>
      </c>
      <c r="M13" s="55" t="s">
        <v>5771</v>
      </c>
      <c r="Q13" s="3">
        <f t="shared" si="0"/>
        <v>12848.21</v>
      </c>
      <c r="S13" s="55" t="s">
        <v>5806</v>
      </c>
    </row>
    <row r="14" spans="1:32" ht="29" x14ac:dyDescent="0.35">
      <c r="A14" t="s">
        <v>0</v>
      </c>
      <c r="B14" t="s">
        <v>933</v>
      </c>
      <c r="C14" t="s">
        <v>21</v>
      </c>
      <c r="D14" t="s">
        <v>22</v>
      </c>
      <c r="E14">
        <v>12821.71</v>
      </c>
      <c r="F14" s="19" t="s">
        <v>88</v>
      </c>
      <c r="G14" s="19">
        <v>45553</v>
      </c>
      <c r="H14" s="56" t="s">
        <v>89</v>
      </c>
      <c r="I14" s="55" t="s">
        <v>5689</v>
      </c>
      <c r="K14" t="s">
        <v>5690</v>
      </c>
      <c r="L14" t="s">
        <v>5691</v>
      </c>
      <c r="M14" s="55" t="s">
        <v>282</v>
      </c>
      <c r="Q14" s="3">
        <f t="shared" si="0"/>
        <v>12821.71</v>
      </c>
      <c r="S14" s="55" t="s">
        <v>5806</v>
      </c>
    </row>
    <row r="15" spans="1:32" ht="29" x14ac:dyDescent="0.35">
      <c r="A15" t="s">
        <v>0</v>
      </c>
      <c r="B15" t="s">
        <v>933</v>
      </c>
      <c r="C15" t="s">
        <v>21</v>
      </c>
      <c r="D15" t="s">
        <v>22</v>
      </c>
      <c r="E15">
        <v>12609.82</v>
      </c>
      <c r="F15" s="19" t="s">
        <v>88</v>
      </c>
      <c r="G15" s="19">
        <v>45447</v>
      </c>
      <c r="H15" s="56" t="s">
        <v>89</v>
      </c>
      <c r="I15" s="55" t="s">
        <v>5555</v>
      </c>
      <c r="K15" t="s">
        <v>101</v>
      </c>
      <c r="L15" t="s">
        <v>5556</v>
      </c>
      <c r="M15" s="55" t="s">
        <v>282</v>
      </c>
      <c r="Q15" s="3">
        <f t="shared" si="0"/>
        <v>12609.82</v>
      </c>
      <c r="S15" s="55" t="s">
        <v>5806</v>
      </c>
    </row>
    <row r="16" spans="1:32" ht="29" x14ac:dyDescent="0.35">
      <c r="A16" t="s">
        <v>0</v>
      </c>
      <c r="B16" t="s">
        <v>933</v>
      </c>
      <c r="C16" t="s">
        <v>21</v>
      </c>
      <c r="D16" t="s">
        <v>22</v>
      </c>
      <c r="E16">
        <v>12453.88</v>
      </c>
      <c r="F16" s="19" t="s">
        <v>88</v>
      </c>
      <c r="G16" s="19">
        <v>45456</v>
      </c>
      <c r="H16" s="56" t="s">
        <v>89</v>
      </c>
      <c r="I16" s="55" t="s">
        <v>5567</v>
      </c>
      <c r="K16" t="s">
        <v>101</v>
      </c>
      <c r="L16" t="s">
        <v>5568</v>
      </c>
      <c r="M16" s="55" t="s">
        <v>282</v>
      </c>
      <c r="Q16" s="3">
        <f t="shared" si="0"/>
        <v>12453.88</v>
      </c>
      <c r="S16" s="55" t="s">
        <v>5806</v>
      </c>
    </row>
    <row r="17" spans="1:19" ht="29" x14ac:dyDescent="0.35">
      <c r="A17" t="s">
        <v>0</v>
      </c>
      <c r="B17" t="s">
        <v>677</v>
      </c>
      <c r="C17" t="s">
        <v>21</v>
      </c>
      <c r="D17" t="s">
        <v>22</v>
      </c>
      <c r="E17">
        <v>10927</v>
      </c>
      <c r="F17" s="19" t="s">
        <v>88</v>
      </c>
      <c r="G17" s="19">
        <v>45413</v>
      </c>
      <c r="H17" s="56" t="s">
        <v>89</v>
      </c>
      <c r="I17" s="55" t="s">
        <v>5488</v>
      </c>
      <c r="K17" t="s">
        <v>5489</v>
      </c>
      <c r="L17" t="s">
        <v>5490</v>
      </c>
      <c r="M17" s="55" t="s">
        <v>5491</v>
      </c>
      <c r="Q17" s="3">
        <f t="shared" si="0"/>
        <v>10927</v>
      </c>
      <c r="S17" s="55" t="s">
        <v>5806</v>
      </c>
    </row>
    <row r="18" spans="1:19" ht="29" x14ac:dyDescent="0.35">
      <c r="A18" t="s">
        <v>0</v>
      </c>
      <c r="B18" t="s">
        <v>677</v>
      </c>
      <c r="C18" t="s">
        <v>21</v>
      </c>
      <c r="D18" t="s">
        <v>22</v>
      </c>
      <c r="E18">
        <v>10927</v>
      </c>
      <c r="F18" s="19" t="s">
        <v>88</v>
      </c>
      <c r="G18" s="19">
        <v>45615</v>
      </c>
      <c r="H18" s="56" t="s">
        <v>89</v>
      </c>
      <c r="I18" s="55" t="s">
        <v>5749</v>
      </c>
      <c r="K18" t="s">
        <v>5750</v>
      </c>
      <c r="L18" t="s">
        <v>5751</v>
      </c>
      <c r="M18" s="55" t="s">
        <v>5491</v>
      </c>
      <c r="Q18" s="3">
        <f t="shared" si="0"/>
        <v>10927</v>
      </c>
      <c r="S18" s="55" t="s">
        <v>5806</v>
      </c>
    </row>
    <row r="19" spans="1:19" ht="29" x14ac:dyDescent="0.35">
      <c r="A19" t="s">
        <v>35</v>
      </c>
      <c r="B19" t="s">
        <v>780</v>
      </c>
      <c r="C19" t="s">
        <v>21</v>
      </c>
      <c r="D19" t="s">
        <v>22</v>
      </c>
      <c r="E19">
        <v>9991.66</v>
      </c>
      <c r="F19" s="19" t="s">
        <v>88</v>
      </c>
      <c r="G19" s="19">
        <v>45526</v>
      </c>
      <c r="H19" s="56" t="s">
        <v>965</v>
      </c>
      <c r="I19" s="55" t="s">
        <v>5674</v>
      </c>
      <c r="Q19" s="3">
        <f t="shared" si="0"/>
        <v>9991.66</v>
      </c>
      <c r="S19" s="55" t="s">
        <v>5806</v>
      </c>
    </row>
    <row r="20" spans="1:19" ht="29" x14ac:dyDescent="0.35">
      <c r="A20" t="s">
        <v>35</v>
      </c>
      <c r="B20" t="s">
        <v>5797</v>
      </c>
      <c r="C20" t="s">
        <v>21</v>
      </c>
      <c r="D20" t="s">
        <v>22</v>
      </c>
      <c r="E20">
        <v>8800</v>
      </c>
      <c r="F20" s="19" t="s">
        <v>88</v>
      </c>
      <c r="G20" s="19">
        <v>45642</v>
      </c>
      <c r="H20" s="56" t="s">
        <v>5796</v>
      </c>
      <c r="I20" s="55" t="s">
        <v>5796</v>
      </c>
      <c r="Q20" s="3">
        <f t="shared" si="0"/>
        <v>8800</v>
      </c>
      <c r="S20" s="55" t="s">
        <v>5806</v>
      </c>
    </row>
    <row r="21" spans="1:19" ht="29" x14ac:dyDescent="0.35">
      <c r="A21" t="s">
        <v>35</v>
      </c>
      <c r="B21" t="s">
        <v>614</v>
      </c>
      <c r="C21" t="s">
        <v>21</v>
      </c>
      <c r="D21" t="s">
        <v>22</v>
      </c>
      <c r="E21">
        <v>6045.45</v>
      </c>
      <c r="F21" s="19" t="s">
        <v>88</v>
      </c>
      <c r="G21" s="19">
        <v>45415</v>
      </c>
      <c r="H21" s="56" t="s">
        <v>94</v>
      </c>
      <c r="I21" s="55" t="s">
        <v>5506</v>
      </c>
      <c r="K21" s="55" t="s">
        <v>5507</v>
      </c>
      <c r="M21" s="55" t="s">
        <v>5508</v>
      </c>
      <c r="Q21" s="3">
        <f t="shared" si="0"/>
        <v>6045.45</v>
      </c>
      <c r="S21" s="55" t="s">
        <v>5806</v>
      </c>
    </row>
    <row r="22" spans="1:19" ht="43.5" x14ac:dyDescent="0.35">
      <c r="A22" t="s">
        <v>0</v>
      </c>
      <c r="B22" t="s">
        <v>642</v>
      </c>
      <c r="C22" t="s">
        <v>21</v>
      </c>
      <c r="D22" t="s">
        <v>22</v>
      </c>
      <c r="E22">
        <v>5395.32</v>
      </c>
      <c r="F22" s="19" t="s">
        <v>88</v>
      </c>
      <c r="G22" s="19">
        <v>45583</v>
      </c>
      <c r="H22" s="56" t="s">
        <v>89</v>
      </c>
      <c r="I22" s="55" t="s">
        <v>5719</v>
      </c>
      <c r="K22" t="s">
        <v>5723</v>
      </c>
      <c r="L22" t="s">
        <v>5721</v>
      </c>
      <c r="M22" s="55" t="s">
        <v>5722</v>
      </c>
      <c r="Q22" s="3">
        <f t="shared" si="0"/>
        <v>5395.32</v>
      </c>
      <c r="S22" s="55" t="s">
        <v>5806</v>
      </c>
    </row>
    <row r="23" spans="1:19" ht="29" x14ac:dyDescent="0.35">
      <c r="A23" t="s">
        <v>0</v>
      </c>
      <c r="B23" t="s">
        <v>708</v>
      </c>
      <c r="C23" t="s">
        <v>21</v>
      </c>
      <c r="D23" t="s">
        <v>22</v>
      </c>
      <c r="E23">
        <v>5075.79</v>
      </c>
      <c r="F23" s="19" t="s">
        <v>88</v>
      </c>
      <c r="G23" s="19">
        <v>45617</v>
      </c>
      <c r="H23" s="56" t="s">
        <v>89</v>
      </c>
      <c r="I23" s="55" t="s">
        <v>5752</v>
      </c>
      <c r="K23" t="s">
        <v>5753</v>
      </c>
      <c r="L23" t="s">
        <v>5754</v>
      </c>
      <c r="M23" s="55" t="s">
        <v>5755</v>
      </c>
      <c r="Q23" s="3">
        <f t="shared" si="0"/>
        <v>5075.79</v>
      </c>
      <c r="S23" s="55" t="s">
        <v>5806</v>
      </c>
    </row>
    <row r="24" spans="1:19" ht="29" x14ac:dyDescent="0.35">
      <c r="A24" t="s">
        <v>35</v>
      </c>
      <c r="B24" t="s">
        <v>780</v>
      </c>
      <c r="C24" t="s">
        <v>21</v>
      </c>
      <c r="D24" t="s">
        <v>22</v>
      </c>
      <c r="E24">
        <v>4995.83</v>
      </c>
      <c r="F24" s="19" t="s">
        <v>88</v>
      </c>
      <c r="G24" s="19">
        <v>45558</v>
      </c>
      <c r="H24" s="56" t="s">
        <v>880</v>
      </c>
      <c r="I24" s="55" t="s">
        <v>5674</v>
      </c>
      <c r="Q24" s="3">
        <f t="shared" si="0"/>
        <v>4995.83</v>
      </c>
      <c r="S24" s="55" t="s">
        <v>5806</v>
      </c>
    </row>
    <row r="25" spans="1:19" ht="29" x14ac:dyDescent="0.35">
      <c r="A25" t="s">
        <v>35</v>
      </c>
      <c r="B25" t="s">
        <v>780</v>
      </c>
      <c r="C25" t="s">
        <v>21</v>
      </c>
      <c r="D25" t="s">
        <v>22</v>
      </c>
      <c r="E25">
        <v>4995.83</v>
      </c>
      <c r="F25" s="19" t="s">
        <v>88</v>
      </c>
      <c r="G25" s="19">
        <v>45591</v>
      </c>
      <c r="H25" s="56" t="s">
        <v>880</v>
      </c>
      <c r="I25" s="55" t="s">
        <v>5674</v>
      </c>
      <c r="Q25" s="3">
        <f t="shared" si="0"/>
        <v>4995.83</v>
      </c>
      <c r="S25" s="55" t="s">
        <v>5806</v>
      </c>
    </row>
    <row r="26" spans="1:19" ht="29" x14ac:dyDescent="0.35">
      <c r="A26" t="s">
        <v>35</v>
      </c>
      <c r="B26" t="s">
        <v>780</v>
      </c>
      <c r="C26" t="s">
        <v>21</v>
      </c>
      <c r="D26" t="s">
        <v>22</v>
      </c>
      <c r="E26">
        <v>4995.83</v>
      </c>
      <c r="F26" s="19" t="s">
        <v>88</v>
      </c>
      <c r="G26" s="19">
        <v>45620</v>
      </c>
      <c r="H26" s="56" t="s">
        <v>880</v>
      </c>
      <c r="I26" s="55" t="s">
        <v>5674</v>
      </c>
      <c r="Q26" s="3">
        <f t="shared" si="0"/>
        <v>4995.83</v>
      </c>
      <c r="S26" s="55" t="s">
        <v>5806</v>
      </c>
    </row>
    <row r="27" spans="1:19" ht="29" x14ac:dyDescent="0.35">
      <c r="A27" t="s">
        <v>35</v>
      </c>
      <c r="B27" t="s">
        <v>780</v>
      </c>
      <c r="C27" t="s">
        <v>21</v>
      </c>
      <c r="D27" t="s">
        <v>22</v>
      </c>
      <c r="E27">
        <v>4995.83</v>
      </c>
      <c r="F27" s="19" t="s">
        <v>88</v>
      </c>
      <c r="G27" s="19">
        <v>45641</v>
      </c>
      <c r="H27" s="56" t="s">
        <v>1260</v>
      </c>
      <c r="I27" s="55" t="s">
        <v>5674</v>
      </c>
      <c r="Q27" s="3">
        <f t="shared" si="0"/>
        <v>4995.83</v>
      </c>
      <c r="S27" s="55" t="s">
        <v>5806</v>
      </c>
    </row>
    <row r="28" spans="1:19" ht="29" x14ac:dyDescent="0.35">
      <c r="A28" t="s">
        <v>35</v>
      </c>
      <c r="B28" t="s">
        <v>780</v>
      </c>
      <c r="C28" t="s">
        <v>21</v>
      </c>
      <c r="D28" t="s">
        <v>22</v>
      </c>
      <c r="E28">
        <v>4812.5</v>
      </c>
      <c r="F28" s="19" t="s">
        <v>88</v>
      </c>
      <c r="G28" s="19">
        <v>45403</v>
      </c>
      <c r="H28" s="56" t="s">
        <v>637</v>
      </c>
      <c r="I28" s="55" t="s">
        <v>291</v>
      </c>
      <c r="Q28" s="3">
        <f t="shared" si="0"/>
        <v>4812.5</v>
      </c>
      <c r="S28" s="55" t="s">
        <v>5806</v>
      </c>
    </row>
    <row r="29" spans="1:19" ht="29" x14ac:dyDescent="0.35">
      <c r="A29" t="s">
        <v>35</v>
      </c>
      <c r="B29" t="s">
        <v>780</v>
      </c>
      <c r="C29" t="s">
        <v>21</v>
      </c>
      <c r="D29" t="s">
        <v>22</v>
      </c>
      <c r="E29">
        <v>4812.5</v>
      </c>
      <c r="F29" s="19" t="s">
        <v>88</v>
      </c>
      <c r="G29" s="19">
        <v>45439</v>
      </c>
      <c r="H29" s="56" t="s">
        <v>92</v>
      </c>
      <c r="I29" s="55" t="s">
        <v>291</v>
      </c>
      <c r="Q29" s="3">
        <f t="shared" si="0"/>
        <v>4812.5</v>
      </c>
      <c r="S29" s="55" t="s">
        <v>5806</v>
      </c>
    </row>
    <row r="30" spans="1:19" ht="29" x14ac:dyDescent="0.35">
      <c r="A30" t="s">
        <v>35</v>
      </c>
      <c r="B30" t="s">
        <v>780</v>
      </c>
      <c r="C30" t="s">
        <v>21</v>
      </c>
      <c r="D30" t="s">
        <v>22</v>
      </c>
      <c r="E30">
        <v>4812.5</v>
      </c>
      <c r="F30" s="19" t="s">
        <v>88</v>
      </c>
      <c r="G30" s="19">
        <v>45467</v>
      </c>
      <c r="H30" s="56" t="s">
        <v>92</v>
      </c>
      <c r="I30" s="55" t="s">
        <v>291</v>
      </c>
      <c r="Q30" s="3">
        <f t="shared" si="0"/>
        <v>4812.5</v>
      </c>
      <c r="S30" s="55" t="s">
        <v>5806</v>
      </c>
    </row>
    <row r="31" spans="1:19" ht="29" x14ac:dyDescent="0.35">
      <c r="A31" t="s">
        <v>35</v>
      </c>
      <c r="B31" t="s">
        <v>780</v>
      </c>
      <c r="C31" t="s">
        <v>21</v>
      </c>
      <c r="D31" t="s">
        <v>22</v>
      </c>
      <c r="E31">
        <v>4812.5</v>
      </c>
      <c r="F31" s="19" t="s">
        <v>88</v>
      </c>
      <c r="G31" s="19">
        <v>45498</v>
      </c>
      <c r="H31" s="56" t="s">
        <v>880</v>
      </c>
      <c r="I31" s="55" t="s">
        <v>5640</v>
      </c>
      <c r="Q31" s="3">
        <f t="shared" si="0"/>
        <v>4812.5</v>
      </c>
      <c r="S31" s="55" t="s">
        <v>5806</v>
      </c>
    </row>
    <row r="32" spans="1:19" ht="29" x14ac:dyDescent="0.35">
      <c r="A32" t="s">
        <v>35</v>
      </c>
      <c r="B32" t="s">
        <v>780</v>
      </c>
      <c r="C32" t="s">
        <v>21</v>
      </c>
      <c r="D32" t="s">
        <v>22</v>
      </c>
      <c r="E32">
        <v>-4812.5</v>
      </c>
      <c r="F32" s="19" t="s">
        <v>88</v>
      </c>
      <c r="G32" s="19">
        <v>45505</v>
      </c>
      <c r="H32" s="56" t="s">
        <v>880</v>
      </c>
      <c r="I32" s="55" t="s">
        <v>5640</v>
      </c>
      <c r="Q32" s="3">
        <f t="shared" si="0"/>
        <v>4812.5</v>
      </c>
      <c r="S32" s="55" t="s">
        <v>5806</v>
      </c>
    </row>
    <row r="33" spans="1:19" ht="43.5" x14ac:dyDescent="0.35">
      <c r="A33" t="s">
        <v>0</v>
      </c>
      <c r="B33" t="s">
        <v>1123</v>
      </c>
      <c r="C33" t="s">
        <v>21</v>
      </c>
      <c r="D33" t="s">
        <v>22</v>
      </c>
      <c r="E33">
        <v>3891.69</v>
      </c>
      <c r="F33" s="19" t="s">
        <v>88</v>
      </c>
      <c r="G33" s="19">
        <v>45583</v>
      </c>
      <c r="H33" s="56" t="s">
        <v>89</v>
      </c>
      <c r="I33" s="55" t="s">
        <v>5719</v>
      </c>
      <c r="K33" t="s">
        <v>5720</v>
      </c>
      <c r="L33" t="s">
        <v>5721</v>
      </c>
      <c r="M33" s="55" t="s">
        <v>5722</v>
      </c>
      <c r="Q33" s="3">
        <f t="shared" si="0"/>
        <v>3891.69</v>
      </c>
      <c r="S33" s="55" t="s">
        <v>5806</v>
      </c>
    </row>
    <row r="34" spans="1:19" ht="29" x14ac:dyDescent="0.35">
      <c r="A34" t="s">
        <v>0</v>
      </c>
      <c r="B34" t="s">
        <v>1431</v>
      </c>
      <c r="C34" t="s">
        <v>21</v>
      </c>
      <c r="D34" t="s">
        <v>22</v>
      </c>
      <c r="E34">
        <v>2750</v>
      </c>
      <c r="F34" s="19" t="s">
        <v>88</v>
      </c>
      <c r="G34" s="19">
        <v>45385</v>
      </c>
      <c r="H34" s="56" t="s">
        <v>89</v>
      </c>
      <c r="I34" s="55" t="s">
        <v>5409</v>
      </c>
      <c r="K34" t="s">
        <v>5410</v>
      </c>
      <c r="L34" t="s">
        <v>5411</v>
      </c>
      <c r="M34" s="55" t="s">
        <v>267</v>
      </c>
      <c r="Q34" s="3">
        <f t="shared" si="0"/>
        <v>2750</v>
      </c>
      <c r="S34" s="55" t="s">
        <v>5806</v>
      </c>
    </row>
    <row r="35" spans="1:19" ht="29" x14ac:dyDescent="0.35">
      <c r="A35" t="s">
        <v>0</v>
      </c>
      <c r="B35" t="s">
        <v>1431</v>
      </c>
      <c r="C35" t="s">
        <v>21</v>
      </c>
      <c r="D35" t="s">
        <v>22</v>
      </c>
      <c r="E35">
        <v>2750</v>
      </c>
      <c r="F35" s="19" t="s">
        <v>88</v>
      </c>
      <c r="G35" s="19">
        <v>45421</v>
      </c>
      <c r="H35" s="56" t="s">
        <v>89</v>
      </c>
      <c r="I35" s="55" t="s">
        <v>5521</v>
      </c>
      <c r="K35" t="s">
        <v>5410</v>
      </c>
      <c r="L35" t="s">
        <v>5522</v>
      </c>
      <c r="M35" s="55" t="s">
        <v>267</v>
      </c>
      <c r="Q35" s="3">
        <f t="shared" si="0"/>
        <v>2750</v>
      </c>
      <c r="S35" s="55" t="s">
        <v>5806</v>
      </c>
    </row>
    <row r="36" spans="1:19" ht="29" x14ac:dyDescent="0.35">
      <c r="A36" t="s">
        <v>0</v>
      </c>
      <c r="B36" t="s">
        <v>1431</v>
      </c>
      <c r="C36" t="s">
        <v>21</v>
      </c>
      <c r="D36" t="s">
        <v>22</v>
      </c>
      <c r="E36">
        <v>2750</v>
      </c>
      <c r="F36" s="19" t="s">
        <v>88</v>
      </c>
      <c r="G36" s="19">
        <v>45461</v>
      </c>
      <c r="H36" s="56" t="s">
        <v>89</v>
      </c>
      <c r="I36" s="55" t="s">
        <v>5575</v>
      </c>
      <c r="K36" t="s">
        <v>5576</v>
      </c>
      <c r="L36" t="s">
        <v>5577</v>
      </c>
      <c r="M36" s="55" t="s">
        <v>5578</v>
      </c>
      <c r="Q36" s="3">
        <f t="shared" si="0"/>
        <v>2750</v>
      </c>
      <c r="S36" s="55" t="s">
        <v>5806</v>
      </c>
    </row>
    <row r="37" spans="1:19" ht="29" x14ac:dyDescent="0.35">
      <c r="A37" t="s">
        <v>35</v>
      </c>
      <c r="B37" t="s">
        <v>713</v>
      </c>
      <c r="C37" t="s">
        <v>21</v>
      </c>
      <c r="D37" t="s">
        <v>22</v>
      </c>
      <c r="E37">
        <v>2700</v>
      </c>
      <c r="F37" s="19" t="s">
        <v>88</v>
      </c>
      <c r="G37" s="19">
        <v>45448</v>
      </c>
      <c r="H37" s="56" t="s">
        <v>94</v>
      </c>
      <c r="I37" s="55" t="s">
        <v>128</v>
      </c>
      <c r="K37" s="55" t="s">
        <v>5560</v>
      </c>
      <c r="M37" s="55" t="s">
        <v>717</v>
      </c>
      <c r="Q37" s="3">
        <f t="shared" si="0"/>
        <v>2700</v>
      </c>
      <c r="S37" s="55" t="s">
        <v>5806</v>
      </c>
    </row>
    <row r="38" spans="1:19" ht="29" x14ac:dyDescent="0.35">
      <c r="A38" t="s">
        <v>0</v>
      </c>
      <c r="B38" t="s">
        <v>708</v>
      </c>
      <c r="C38" t="s">
        <v>21</v>
      </c>
      <c r="D38" t="s">
        <v>22</v>
      </c>
      <c r="E38">
        <v>2625.41</v>
      </c>
      <c r="F38" s="19" t="s">
        <v>88</v>
      </c>
      <c r="G38" s="19">
        <v>45495</v>
      </c>
      <c r="H38" s="56" t="s">
        <v>89</v>
      </c>
      <c r="I38" s="55" t="s">
        <v>5636</v>
      </c>
      <c r="K38" t="s">
        <v>5637</v>
      </c>
      <c r="L38" t="s">
        <v>5638</v>
      </c>
      <c r="M38" s="55" t="s">
        <v>5639</v>
      </c>
      <c r="Q38" s="3">
        <f t="shared" si="0"/>
        <v>2625.41</v>
      </c>
      <c r="S38" s="55" t="s">
        <v>5806</v>
      </c>
    </row>
    <row r="39" spans="1:19" ht="29" x14ac:dyDescent="0.35">
      <c r="A39" t="s">
        <v>0</v>
      </c>
      <c r="B39" t="s">
        <v>770</v>
      </c>
      <c r="C39" t="s">
        <v>21</v>
      </c>
      <c r="D39" t="s">
        <v>22</v>
      </c>
      <c r="E39">
        <v>2027.07</v>
      </c>
      <c r="F39" s="19" t="s">
        <v>88</v>
      </c>
      <c r="G39" s="19">
        <v>45403</v>
      </c>
      <c r="H39" s="56" t="s">
        <v>637</v>
      </c>
      <c r="I39" s="55" t="s">
        <v>279</v>
      </c>
      <c r="Q39" s="3">
        <f t="shared" si="0"/>
        <v>2027.07</v>
      </c>
      <c r="S39" s="55" t="s">
        <v>5806</v>
      </c>
    </row>
    <row r="40" spans="1:19" ht="29" x14ac:dyDescent="0.35">
      <c r="A40" t="s">
        <v>0</v>
      </c>
      <c r="B40" t="s">
        <v>770</v>
      </c>
      <c r="C40" t="s">
        <v>21</v>
      </c>
      <c r="D40" t="s">
        <v>22</v>
      </c>
      <c r="E40">
        <v>2027.07</v>
      </c>
      <c r="F40" s="19" t="s">
        <v>88</v>
      </c>
      <c r="G40" s="19">
        <v>45439</v>
      </c>
      <c r="H40" s="56" t="s">
        <v>92</v>
      </c>
      <c r="I40" s="55" t="s">
        <v>279</v>
      </c>
      <c r="Q40" s="3">
        <f t="shared" si="0"/>
        <v>2027.07</v>
      </c>
      <c r="S40" s="55" t="s">
        <v>5806</v>
      </c>
    </row>
    <row r="41" spans="1:19" ht="29" x14ac:dyDescent="0.35">
      <c r="A41" t="s">
        <v>0</v>
      </c>
      <c r="B41" t="s">
        <v>770</v>
      </c>
      <c r="C41" t="s">
        <v>21</v>
      </c>
      <c r="D41" t="s">
        <v>22</v>
      </c>
      <c r="E41">
        <v>2027.07</v>
      </c>
      <c r="F41" s="19" t="s">
        <v>88</v>
      </c>
      <c r="G41" s="19">
        <v>45467</v>
      </c>
      <c r="H41" s="56" t="s">
        <v>92</v>
      </c>
      <c r="I41" s="55" t="s">
        <v>279</v>
      </c>
      <c r="Q41" s="3">
        <f t="shared" si="0"/>
        <v>2027.07</v>
      </c>
      <c r="S41" s="55" t="s">
        <v>5806</v>
      </c>
    </row>
    <row r="42" spans="1:19" ht="29" x14ac:dyDescent="0.35">
      <c r="A42" t="s">
        <v>0</v>
      </c>
      <c r="B42" t="s">
        <v>770</v>
      </c>
      <c r="C42" t="s">
        <v>21</v>
      </c>
      <c r="D42" t="s">
        <v>22</v>
      </c>
      <c r="E42">
        <v>2027.07</v>
      </c>
      <c r="F42" s="19" t="s">
        <v>88</v>
      </c>
      <c r="G42" s="19">
        <v>45498</v>
      </c>
      <c r="H42" s="56" t="s">
        <v>880</v>
      </c>
      <c r="I42" s="55" t="s">
        <v>279</v>
      </c>
      <c r="Q42" s="3">
        <f t="shared" si="0"/>
        <v>2027.07</v>
      </c>
      <c r="S42" s="55" t="s">
        <v>5806</v>
      </c>
    </row>
    <row r="43" spans="1:19" ht="29" x14ac:dyDescent="0.35">
      <c r="A43" t="s">
        <v>0</v>
      </c>
      <c r="B43" t="s">
        <v>770</v>
      </c>
      <c r="C43" t="s">
        <v>21</v>
      </c>
      <c r="D43" t="s">
        <v>22</v>
      </c>
      <c r="E43">
        <v>2027.07</v>
      </c>
      <c r="F43" s="19" t="s">
        <v>88</v>
      </c>
      <c r="G43" s="19">
        <v>45526</v>
      </c>
      <c r="H43" s="56" t="s">
        <v>965</v>
      </c>
      <c r="I43" s="55" t="s">
        <v>279</v>
      </c>
      <c r="Q43" s="3">
        <f t="shared" si="0"/>
        <v>2027.07</v>
      </c>
      <c r="S43" s="55" t="s">
        <v>5806</v>
      </c>
    </row>
    <row r="44" spans="1:19" ht="29" x14ac:dyDescent="0.35">
      <c r="A44" t="s">
        <v>0</v>
      </c>
      <c r="B44" t="s">
        <v>770</v>
      </c>
      <c r="C44" t="s">
        <v>21</v>
      </c>
      <c r="D44" t="s">
        <v>22</v>
      </c>
      <c r="E44">
        <v>2027.07</v>
      </c>
      <c r="F44" s="19" t="s">
        <v>88</v>
      </c>
      <c r="G44" s="19">
        <v>45558</v>
      </c>
      <c r="H44" s="56" t="s">
        <v>880</v>
      </c>
      <c r="I44" s="55" t="s">
        <v>279</v>
      </c>
      <c r="Q44" s="3">
        <f t="shared" si="0"/>
        <v>2027.07</v>
      </c>
      <c r="S44" s="55" t="s">
        <v>5806</v>
      </c>
    </row>
    <row r="45" spans="1:19" ht="29" x14ac:dyDescent="0.35">
      <c r="A45" t="s">
        <v>0</v>
      </c>
      <c r="B45" t="s">
        <v>770</v>
      </c>
      <c r="C45" t="s">
        <v>21</v>
      </c>
      <c r="D45" t="s">
        <v>22</v>
      </c>
      <c r="E45">
        <v>2027.07</v>
      </c>
      <c r="F45" s="19" t="s">
        <v>88</v>
      </c>
      <c r="G45" s="19">
        <v>45591</v>
      </c>
      <c r="H45" s="56" t="s">
        <v>880</v>
      </c>
      <c r="I45" s="55" t="s">
        <v>279</v>
      </c>
      <c r="Q45" s="3">
        <f t="shared" si="0"/>
        <v>2027.07</v>
      </c>
      <c r="S45" s="55" t="s">
        <v>5806</v>
      </c>
    </row>
    <row r="46" spans="1:19" ht="43.5" x14ac:dyDescent="0.35">
      <c r="A46" t="s">
        <v>35</v>
      </c>
      <c r="B46" t="s">
        <v>770</v>
      </c>
      <c r="C46" t="s">
        <v>21</v>
      </c>
      <c r="D46" t="s">
        <v>22</v>
      </c>
      <c r="E46">
        <v>2026.6</v>
      </c>
      <c r="F46" s="19" t="s">
        <v>88</v>
      </c>
      <c r="G46" s="19">
        <v>45569</v>
      </c>
      <c r="H46" s="56" t="s">
        <v>94</v>
      </c>
      <c r="I46" s="55" t="s">
        <v>5716</v>
      </c>
      <c r="J46" s="55" t="s">
        <v>5717</v>
      </c>
      <c r="O46" s="55" t="s">
        <v>5718</v>
      </c>
      <c r="Q46" s="3">
        <f t="shared" si="0"/>
        <v>2026.6</v>
      </c>
      <c r="S46" s="55" t="s">
        <v>5806</v>
      </c>
    </row>
    <row r="47" spans="1:19" ht="58" x14ac:dyDescent="0.35">
      <c r="A47" t="s">
        <v>35</v>
      </c>
      <c r="B47" t="s">
        <v>805</v>
      </c>
      <c r="C47" t="s">
        <v>21</v>
      </c>
      <c r="D47" t="s">
        <v>22</v>
      </c>
      <c r="E47">
        <v>1750</v>
      </c>
      <c r="F47" s="19" t="s">
        <v>88</v>
      </c>
      <c r="G47" s="19">
        <v>45485</v>
      </c>
      <c r="H47" s="56" t="s">
        <v>94</v>
      </c>
      <c r="I47" s="55" t="s">
        <v>286</v>
      </c>
      <c r="J47" s="55" t="s">
        <v>5611</v>
      </c>
      <c r="O47" s="55" t="s">
        <v>5612</v>
      </c>
      <c r="Q47" s="3">
        <f t="shared" si="0"/>
        <v>1750</v>
      </c>
      <c r="S47" s="55" t="s">
        <v>5806</v>
      </c>
    </row>
    <row r="48" spans="1:19" ht="29" x14ac:dyDescent="0.35">
      <c r="A48" t="s">
        <v>35</v>
      </c>
      <c r="B48" t="s">
        <v>842</v>
      </c>
      <c r="C48" t="s">
        <v>21</v>
      </c>
      <c r="D48" t="s">
        <v>22</v>
      </c>
      <c r="E48">
        <v>1600</v>
      </c>
      <c r="F48" s="19" t="s">
        <v>88</v>
      </c>
      <c r="G48" s="19">
        <v>45602</v>
      </c>
      <c r="H48" s="56" t="s">
        <v>94</v>
      </c>
      <c r="I48" s="55" t="s">
        <v>5743</v>
      </c>
      <c r="J48" s="55" t="s">
        <v>5744</v>
      </c>
      <c r="O48" s="55" t="s">
        <v>5745</v>
      </c>
      <c r="Q48" s="3">
        <f t="shared" si="0"/>
        <v>1600</v>
      </c>
      <c r="S48" s="55" t="s">
        <v>5806</v>
      </c>
    </row>
    <row r="49" spans="1:19" ht="43.5" x14ac:dyDescent="0.35">
      <c r="A49" t="s">
        <v>35</v>
      </c>
      <c r="B49" t="s">
        <v>642</v>
      </c>
      <c r="C49" t="s">
        <v>21</v>
      </c>
      <c r="D49" t="s">
        <v>22</v>
      </c>
      <c r="E49">
        <v>1363.64</v>
      </c>
      <c r="F49" s="19" t="s">
        <v>88</v>
      </c>
      <c r="G49" s="19">
        <v>45385</v>
      </c>
      <c r="H49" s="56" t="s">
        <v>94</v>
      </c>
      <c r="I49" s="55" t="s">
        <v>856</v>
      </c>
      <c r="J49" s="55" t="s">
        <v>5415</v>
      </c>
      <c r="O49" s="55" t="s">
        <v>5416</v>
      </c>
      <c r="Q49" s="3">
        <f t="shared" si="0"/>
        <v>1363.64</v>
      </c>
      <c r="S49" s="55" t="s">
        <v>5806</v>
      </c>
    </row>
    <row r="50" spans="1:19" ht="43.5" x14ac:dyDescent="0.35">
      <c r="A50" t="s">
        <v>0</v>
      </c>
      <c r="B50" t="s">
        <v>741</v>
      </c>
      <c r="C50" t="s">
        <v>21</v>
      </c>
      <c r="D50" t="s">
        <v>22</v>
      </c>
      <c r="E50">
        <v>1229.8399999999999</v>
      </c>
      <c r="F50" s="19" t="s">
        <v>88</v>
      </c>
      <c r="G50" s="19">
        <v>45583</v>
      </c>
      <c r="H50" s="56" t="s">
        <v>89</v>
      </c>
      <c r="I50" s="55" t="s">
        <v>5719</v>
      </c>
      <c r="K50" t="s">
        <v>5726</v>
      </c>
      <c r="L50" t="s">
        <v>5721</v>
      </c>
      <c r="M50" s="55" t="s">
        <v>5722</v>
      </c>
      <c r="Q50" s="3">
        <f t="shared" si="0"/>
        <v>1229.8399999999999</v>
      </c>
      <c r="S50" s="55" t="s">
        <v>5806</v>
      </c>
    </row>
    <row r="51" spans="1:19" ht="43.5" x14ac:dyDescent="0.35">
      <c r="A51" t="s">
        <v>0</v>
      </c>
      <c r="B51" t="s">
        <v>805</v>
      </c>
      <c r="C51" t="s">
        <v>21</v>
      </c>
      <c r="D51" t="s">
        <v>22</v>
      </c>
      <c r="E51">
        <v>1218.81</v>
      </c>
      <c r="F51" s="19" t="s">
        <v>88</v>
      </c>
      <c r="G51" s="19">
        <v>45583</v>
      </c>
      <c r="H51" s="56" t="s">
        <v>89</v>
      </c>
      <c r="I51" s="55" t="s">
        <v>5719</v>
      </c>
      <c r="K51" t="s">
        <v>5732</v>
      </c>
      <c r="L51" t="s">
        <v>5721</v>
      </c>
      <c r="M51" s="55" t="s">
        <v>5722</v>
      </c>
      <c r="Q51" s="3">
        <f t="shared" si="0"/>
        <v>1218.81</v>
      </c>
      <c r="S51" s="55" t="s">
        <v>5806</v>
      </c>
    </row>
    <row r="52" spans="1:19" ht="43.5" x14ac:dyDescent="0.35">
      <c r="A52" t="s">
        <v>0</v>
      </c>
      <c r="B52" t="s">
        <v>599</v>
      </c>
      <c r="C52" t="s">
        <v>21</v>
      </c>
      <c r="D52" t="s">
        <v>22</v>
      </c>
      <c r="E52">
        <v>1218.42</v>
      </c>
      <c r="F52" s="19" t="s">
        <v>88</v>
      </c>
      <c r="G52" s="19">
        <v>45583</v>
      </c>
      <c r="H52" s="56" t="s">
        <v>89</v>
      </c>
      <c r="I52" s="55" t="s">
        <v>5719</v>
      </c>
      <c r="K52" t="s">
        <v>5735</v>
      </c>
      <c r="L52" t="s">
        <v>5721</v>
      </c>
      <c r="M52" s="55" t="s">
        <v>5722</v>
      </c>
      <c r="Q52" s="3">
        <f t="shared" si="0"/>
        <v>1218.42</v>
      </c>
      <c r="S52" s="55" t="s">
        <v>5806</v>
      </c>
    </row>
    <row r="53" spans="1:19" ht="43.5" x14ac:dyDescent="0.35">
      <c r="A53" t="s">
        <v>0</v>
      </c>
      <c r="B53" t="s">
        <v>5393</v>
      </c>
      <c r="C53" t="s">
        <v>21</v>
      </c>
      <c r="D53" t="s">
        <v>22</v>
      </c>
      <c r="E53">
        <v>1209.48</v>
      </c>
      <c r="F53" s="19" t="s">
        <v>88</v>
      </c>
      <c r="G53" s="19">
        <v>45583</v>
      </c>
      <c r="H53" s="56" t="s">
        <v>89</v>
      </c>
      <c r="I53" s="55" t="s">
        <v>5719</v>
      </c>
      <c r="K53" t="s">
        <v>5731</v>
      </c>
      <c r="L53" t="s">
        <v>5721</v>
      </c>
      <c r="M53" s="55" t="s">
        <v>5722</v>
      </c>
      <c r="Q53" s="3">
        <f t="shared" si="0"/>
        <v>1209.48</v>
      </c>
      <c r="S53" s="55" t="s">
        <v>5806</v>
      </c>
    </row>
    <row r="54" spans="1:19" ht="29" x14ac:dyDescent="0.35">
      <c r="A54" t="s">
        <v>35</v>
      </c>
      <c r="B54" t="s">
        <v>904</v>
      </c>
      <c r="C54" t="s">
        <v>21</v>
      </c>
      <c r="D54" t="s">
        <v>22</v>
      </c>
      <c r="E54">
        <v>1177.1199999999999</v>
      </c>
      <c r="F54" s="19" t="s">
        <v>88</v>
      </c>
      <c r="G54" s="19">
        <v>45506</v>
      </c>
      <c r="H54" s="56" t="s">
        <v>89</v>
      </c>
      <c r="I54" s="55" t="s">
        <v>5652</v>
      </c>
      <c r="K54" t="s">
        <v>5653</v>
      </c>
      <c r="L54" t="s">
        <v>5654</v>
      </c>
      <c r="M54" s="55" t="s">
        <v>905</v>
      </c>
      <c r="Q54" s="3">
        <f t="shared" si="0"/>
        <v>1177.1199999999999</v>
      </c>
      <c r="S54" s="55" t="s">
        <v>5806</v>
      </c>
    </row>
    <row r="55" spans="1:19" ht="43.5" x14ac:dyDescent="0.35">
      <c r="A55" t="s">
        <v>0</v>
      </c>
      <c r="B55" t="s">
        <v>770</v>
      </c>
      <c r="C55" t="s">
        <v>21</v>
      </c>
      <c r="D55" t="s">
        <v>22</v>
      </c>
      <c r="E55">
        <v>1156.25</v>
      </c>
      <c r="F55" s="19" t="s">
        <v>88</v>
      </c>
      <c r="G55" s="19">
        <v>45583</v>
      </c>
      <c r="H55" s="56" t="s">
        <v>89</v>
      </c>
      <c r="I55" s="55" t="s">
        <v>5719</v>
      </c>
      <c r="K55" t="s">
        <v>5729</v>
      </c>
      <c r="L55" t="s">
        <v>5721</v>
      </c>
      <c r="M55" s="55" t="s">
        <v>5722</v>
      </c>
      <c r="Q55" s="3">
        <f t="shared" si="0"/>
        <v>1156.25</v>
      </c>
      <c r="S55" s="55" t="s">
        <v>5806</v>
      </c>
    </row>
    <row r="56" spans="1:19" ht="29" x14ac:dyDescent="0.35">
      <c r="A56" t="s">
        <v>35</v>
      </c>
      <c r="B56" t="s">
        <v>713</v>
      </c>
      <c r="C56" t="s">
        <v>21</v>
      </c>
      <c r="D56" t="s">
        <v>22</v>
      </c>
      <c r="E56">
        <v>1120</v>
      </c>
      <c r="F56" s="19" t="s">
        <v>88</v>
      </c>
      <c r="G56" s="19">
        <v>45504</v>
      </c>
      <c r="H56" s="56" t="s">
        <v>94</v>
      </c>
      <c r="I56" s="55" t="s">
        <v>128</v>
      </c>
      <c r="J56" s="55" t="s">
        <v>5643</v>
      </c>
      <c r="M56" s="55" t="s">
        <v>5644</v>
      </c>
      <c r="Q56" s="3">
        <f t="shared" si="0"/>
        <v>1120</v>
      </c>
      <c r="S56" s="55" t="s">
        <v>5806</v>
      </c>
    </row>
    <row r="57" spans="1:19" ht="29" x14ac:dyDescent="0.35">
      <c r="A57" t="s">
        <v>35</v>
      </c>
      <c r="B57" t="s">
        <v>1416</v>
      </c>
      <c r="C57" t="s">
        <v>21</v>
      </c>
      <c r="D57" t="s">
        <v>22</v>
      </c>
      <c r="E57">
        <v>1054.5</v>
      </c>
      <c r="F57" s="19" t="s">
        <v>88</v>
      </c>
      <c r="G57" s="19">
        <v>45516</v>
      </c>
      <c r="H57" s="56" t="s">
        <v>94</v>
      </c>
      <c r="I57" s="55" t="s">
        <v>3544</v>
      </c>
      <c r="J57" s="55" t="s">
        <v>5662</v>
      </c>
      <c r="M57" s="55" t="s">
        <v>4995</v>
      </c>
      <c r="Q57" s="3">
        <f t="shared" si="0"/>
        <v>1054.5</v>
      </c>
      <c r="S57" s="55" t="s">
        <v>5806</v>
      </c>
    </row>
    <row r="58" spans="1:19" ht="29" x14ac:dyDescent="0.35">
      <c r="A58" t="s">
        <v>35</v>
      </c>
      <c r="B58" t="s">
        <v>655</v>
      </c>
      <c r="C58" t="s">
        <v>21</v>
      </c>
      <c r="D58" t="s">
        <v>22</v>
      </c>
      <c r="E58">
        <v>1016.85</v>
      </c>
      <c r="F58" s="19" t="s">
        <v>88</v>
      </c>
      <c r="G58" s="19">
        <v>45524</v>
      </c>
      <c r="H58" s="56" t="s">
        <v>94</v>
      </c>
      <c r="I58" s="55" t="s">
        <v>1270</v>
      </c>
      <c r="J58" s="55" t="s">
        <v>5664</v>
      </c>
      <c r="M58" s="55" t="s">
        <v>960</v>
      </c>
      <c r="Q58" s="3">
        <f t="shared" si="0"/>
        <v>1016.85</v>
      </c>
      <c r="S58" s="55" t="s">
        <v>5806</v>
      </c>
    </row>
    <row r="59" spans="1:19" ht="29" x14ac:dyDescent="0.35">
      <c r="A59" t="s">
        <v>35</v>
      </c>
      <c r="B59" t="s">
        <v>677</v>
      </c>
      <c r="C59" t="s">
        <v>21</v>
      </c>
      <c r="D59" t="s">
        <v>22</v>
      </c>
      <c r="E59">
        <v>949.61</v>
      </c>
      <c r="F59" s="19" t="s">
        <v>88</v>
      </c>
      <c r="G59" s="19">
        <v>45642</v>
      </c>
      <c r="H59" s="56" t="s">
        <v>94</v>
      </c>
      <c r="I59" s="55" t="s">
        <v>102</v>
      </c>
      <c r="J59" s="55" t="s">
        <v>284</v>
      </c>
      <c r="M59" s="55" t="s">
        <v>1162</v>
      </c>
      <c r="Q59" s="3">
        <f t="shared" si="0"/>
        <v>949.61</v>
      </c>
      <c r="S59" s="55" t="s">
        <v>5806</v>
      </c>
    </row>
    <row r="60" spans="1:19" ht="29" x14ac:dyDescent="0.35">
      <c r="A60" t="s">
        <v>35</v>
      </c>
      <c r="B60" t="s">
        <v>728</v>
      </c>
      <c r="C60" t="s">
        <v>21</v>
      </c>
      <c r="D60" t="s">
        <v>22</v>
      </c>
      <c r="E60">
        <v>903.94</v>
      </c>
      <c r="F60" s="19" t="s">
        <v>88</v>
      </c>
      <c r="G60" s="19">
        <v>45488</v>
      </c>
      <c r="H60" s="56" t="s">
        <v>94</v>
      </c>
      <c r="I60" s="55" t="s">
        <v>285</v>
      </c>
      <c r="J60" s="55" t="s">
        <v>5614</v>
      </c>
      <c r="M60" s="55" t="s">
        <v>5615</v>
      </c>
      <c r="Q60" s="3">
        <f t="shared" si="0"/>
        <v>903.94</v>
      </c>
      <c r="S60" s="55" t="s">
        <v>5806</v>
      </c>
    </row>
    <row r="61" spans="1:19" ht="29" x14ac:dyDescent="0.35">
      <c r="A61" t="s">
        <v>35</v>
      </c>
      <c r="B61" t="s">
        <v>677</v>
      </c>
      <c r="C61" t="s">
        <v>21</v>
      </c>
      <c r="D61" t="s">
        <v>22</v>
      </c>
      <c r="E61">
        <v>890.37</v>
      </c>
      <c r="F61" s="19" t="s">
        <v>88</v>
      </c>
      <c r="G61" s="19">
        <v>45623</v>
      </c>
      <c r="H61" s="56" t="s">
        <v>94</v>
      </c>
      <c r="I61" s="55" t="s">
        <v>5758</v>
      </c>
      <c r="J61" s="55" t="s">
        <v>5759</v>
      </c>
      <c r="M61" s="55" t="s">
        <v>1162</v>
      </c>
      <c r="Q61" s="3">
        <f t="shared" si="0"/>
        <v>890.37</v>
      </c>
      <c r="S61" s="55" t="s">
        <v>5806</v>
      </c>
    </row>
    <row r="62" spans="1:19" ht="29" x14ac:dyDescent="0.35">
      <c r="A62" t="s">
        <v>35</v>
      </c>
      <c r="B62" t="s">
        <v>614</v>
      </c>
      <c r="C62" t="s">
        <v>21</v>
      </c>
      <c r="D62" t="s">
        <v>22</v>
      </c>
      <c r="E62">
        <v>863.64</v>
      </c>
      <c r="F62" s="19" t="s">
        <v>88</v>
      </c>
      <c r="G62" s="19">
        <v>45387</v>
      </c>
      <c r="H62" s="56" t="s">
        <v>94</v>
      </c>
      <c r="I62" s="55" t="s">
        <v>5430</v>
      </c>
      <c r="J62" s="55" t="s">
        <v>5425</v>
      </c>
      <c r="M62" s="55" t="s">
        <v>5431</v>
      </c>
      <c r="Q62" s="3">
        <f t="shared" si="0"/>
        <v>863.64</v>
      </c>
      <c r="S62" s="55" t="s">
        <v>5806</v>
      </c>
    </row>
    <row r="63" spans="1:19" ht="29" x14ac:dyDescent="0.35">
      <c r="A63" t="s">
        <v>35</v>
      </c>
      <c r="B63" t="s">
        <v>614</v>
      </c>
      <c r="C63" t="s">
        <v>21</v>
      </c>
      <c r="D63" t="s">
        <v>22</v>
      </c>
      <c r="E63">
        <v>863.64</v>
      </c>
      <c r="F63" s="19" t="s">
        <v>88</v>
      </c>
      <c r="G63" s="19">
        <v>45401</v>
      </c>
      <c r="H63" s="56" t="s">
        <v>94</v>
      </c>
      <c r="I63" s="55" t="s">
        <v>5470</v>
      </c>
      <c r="J63" s="55" t="s">
        <v>5425</v>
      </c>
      <c r="M63" s="55" t="s">
        <v>5431</v>
      </c>
      <c r="Q63" s="3">
        <f t="shared" si="0"/>
        <v>863.64</v>
      </c>
      <c r="S63" s="55" t="s">
        <v>5806</v>
      </c>
    </row>
    <row r="64" spans="1:19" ht="29" x14ac:dyDescent="0.35">
      <c r="A64" t="s">
        <v>35</v>
      </c>
      <c r="B64" t="s">
        <v>614</v>
      </c>
      <c r="C64" t="s">
        <v>21</v>
      </c>
      <c r="D64" t="s">
        <v>22</v>
      </c>
      <c r="E64">
        <v>863.64</v>
      </c>
      <c r="F64" s="19" t="s">
        <v>88</v>
      </c>
      <c r="G64" s="19">
        <v>45401</v>
      </c>
      <c r="H64" s="56" t="s">
        <v>94</v>
      </c>
      <c r="I64" s="55" t="s">
        <v>5471</v>
      </c>
      <c r="J64" s="55" t="s">
        <v>5472</v>
      </c>
      <c r="M64" s="55" t="s">
        <v>5431</v>
      </c>
      <c r="Q64" s="3">
        <f t="shared" si="0"/>
        <v>863.64</v>
      </c>
      <c r="S64" s="55" t="s">
        <v>5806</v>
      </c>
    </row>
    <row r="65" spans="1:19" ht="29" x14ac:dyDescent="0.35">
      <c r="A65" t="s">
        <v>35</v>
      </c>
      <c r="B65" t="s">
        <v>614</v>
      </c>
      <c r="C65" t="s">
        <v>21</v>
      </c>
      <c r="D65" t="s">
        <v>22</v>
      </c>
      <c r="E65">
        <v>863.64</v>
      </c>
      <c r="F65" s="19" t="s">
        <v>88</v>
      </c>
      <c r="G65" s="19">
        <v>45401</v>
      </c>
      <c r="H65" s="56" t="s">
        <v>94</v>
      </c>
      <c r="I65" s="55" t="s">
        <v>5471</v>
      </c>
      <c r="J65" s="55" t="s">
        <v>5473</v>
      </c>
      <c r="M65" s="55" t="s">
        <v>5431</v>
      </c>
      <c r="Q65" s="3">
        <f t="shared" si="0"/>
        <v>863.64</v>
      </c>
      <c r="S65" s="55" t="s">
        <v>5806</v>
      </c>
    </row>
    <row r="66" spans="1:19" ht="29" x14ac:dyDescent="0.35">
      <c r="A66" t="s">
        <v>35</v>
      </c>
      <c r="B66" t="s">
        <v>614</v>
      </c>
      <c r="C66" t="s">
        <v>21</v>
      </c>
      <c r="D66" t="s">
        <v>22</v>
      </c>
      <c r="E66">
        <v>863.64</v>
      </c>
      <c r="F66" s="19" t="s">
        <v>88</v>
      </c>
      <c r="G66" s="19">
        <v>45401</v>
      </c>
      <c r="H66" s="56" t="s">
        <v>94</v>
      </c>
      <c r="I66" s="55" t="s">
        <v>5471</v>
      </c>
      <c r="J66" s="55" t="s">
        <v>5474</v>
      </c>
      <c r="M66" s="55" t="s">
        <v>5431</v>
      </c>
      <c r="Q66" s="3">
        <f t="shared" si="0"/>
        <v>863.64</v>
      </c>
      <c r="S66" s="55" t="s">
        <v>5806</v>
      </c>
    </row>
    <row r="67" spans="1:19" ht="29" x14ac:dyDescent="0.35">
      <c r="A67" t="s">
        <v>35</v>
      </c>
      <c r="B67" t="s">
        <v>614</v>
      </c>
      <c r="C67" t="s">
        <v>21</v>
      </c>
      <c r="D67" t="s">
        <v>22</v>
      </c>
      <c r="E67">
        <v>863.64</v>
      </c>
      <c r="F67" s="19" t="s">
        <v>88</v>
      </c>
      <c r="G67" s="19">
        <v>45404</v>
      </c>
      <c r="H67" s="56" t="s">
        <v>94</v>
      </c>
      <c r="I67" s="55" t="s">
        <v>5475</v>
      </c>
      <c r="J67" s="55" t="s">
        <v>5476</v>
      </c>
      <c r="M67" s="55" t="s">
        <v>5431</v>
      </c>
      <c r="Q67" s="3">
        <f t="shared" si="0"/>
        <v>863.64</v>
      </c>
      <c r="S67" s="55" t="s">
        <v>5806</v>
      </c>
    </row>
    <row r="68" spans="1:19" ht="29" x14ac:dyDescent="0.35">
      <c r="A68" t="s">
        <v>35</v>
      </c>
      <c r="B68" t="s">
        <v>614</v>
      </c>
      <c r="C68" t="s">
        <v>21</v>
      </c>
      <c r="D68" t="s">
        <v>22</v>
      </c>
      <c r="E68">
        <v>863.64</v>
      </c>
      <c r="F68" s="19" t="s">
        <v>88</v>
      </c>
      <c r="G68" s="19">
        <v>45404</v>
      </c>
      <c r="H68" s="56" t="s">
        <v>94</v>
      </c>
      <c r="I68" s="55" t="s">
        <v>5477</v>
      </c>
      <c r="J68" s="55" t="s">
        <v>5425</v>
      </c>
      <c r="M68" s="55" t="s">
        <v>5431</v>
      </c>
      <c r="Q68" s="3">
        <f t="shared" si="0"/>
        <v>863.64</v>
      </c>
      <c r="S68" s="55" t="s">
        <v>5806</v>
      </c>
    </row>
    <row r="69" spans="1:19" ht="29" x14ac:dyDescent="0.35">
      <c r="A69" t="s">
        <v>35</v>
      </c>
      <c r="B69" t="s">
        <v>614</v>
      </c>
      <c r="C69" t="s">
        <v>21</v>
      </c>
      <c r="D69" t="s">
        <v>22</v>
      </c>
      <c r="E69">
        <v>863.64</v>
      </c>
      <c r="F69" s="19" t="s">
        <v>88</v>
      </c>
      <c r="G69" s="19">
        <v>45404</v>
      </c>
      <c r="H69" s="56" t="s">
        <v>94</v>
      </c>
      <c r="I69" s="55" t="s">
        <v>5478</v>
      </c>
      <c r="J69" s="55" t="s">
        <v>5479</v>
      </c>
      <c r="M69" s="55" t="s">
        <v>5431</v>
      </c>
      <c r="Q69" s="3">
        <f t="shared" si="0"/>
        <v>863.64</v>
      </c>
      <c r="S69" s="55" t="s">
        <v>5806</v>
      </c>
    </row>
    <row r="70" spans="1:19" ht="29" x14ac:dyDescent="0.35">
      <c r="A70" t="s">
        <v>35</v>
      </c>
      <c r="B70" t="s">
        <v>614</v>
      </c>
      <c r="C70" t="s">
        <v>21</v>
      </c>
      <c r="D70" t="s">
        <v>22</v>
      </c>
      <c r="E70">
        <v>863.64</v>
      </c>
      <c r="F70" s="19" t="s">
        <v>88</v>
      </c>
      <c r="G70" s="19">
        <v>45404</v>
      </c>
      <c r="H70" s="56" t="s">
        <v>94</v>
      </c>
      <c r="I70" s="55" t="s">
        <v>5478</v>
      </c>
      <c r="J70" s="55" t="s">
        <v>5480</v>
      </c>
      <c r="M70" s="55" t="s">
        <v>5431</v>
      </c>
      <c r="Q70" s="3">
        <f t="shared" si="0"/>
        <v>863.64</v>
      </c>
      <c r="S70" s="55" t="s">
        <v>5806</v>
      </c>
    </row>
    <row r="71" spans="1:19" ht="29" x14ac:dyDescent="0.35">
      <c r="A71" t="s">
        <v>35</v>
      </c>
      <c r="B71" t="s">
        <v>614</v>
      </c>
      <c r="C71" t="s">
        <v>21</v>
      </c>
      <c r="D71" t="s">
        <v>22</v>
      </c>
      <c r="E71">
        <v>863.64</v>
      </c>
      <c r="F71" s="19" t="s">
        <v>88</v>
      </c>
      <c r="G71" s="19">
        <v>45404</v>
      </c>
      <c r="H71" s="56" t="s">
        <v>94</v>
      </c>
      <c r="I71" s="55" t="s">
        <v>5482</v>
      </c>
      <c r="J71" s="55" t="s">
        <v>5425</v>
      </c>
      <c r="M71" s="55" t="s">
        <v>5431</v>
      </c>
      <c r="Q71" s="3">
        <f t="shared" si="0"/>
        <v>863.64</v>
      </c>
      <c r="S71" s="55" t="s">
        <v>5806</v>
      </c>
    </row>
    <row r="72" spans="1:19" ht="29" x14ac:dyDescent="0.35">
      <c r="A72" t="s">
        <v>35</v>
      </c>
      <c r="B72" t="s">
        <v>614</v>
      </c>
      <c r="C72" t="s">
        <v>21</v>
      </c>
      <c r="D72" t="s">
        <v>22</v>
      </c>
      <c r="E72">
        <v>863.64</v>
      </c>
      <c r="F72" s="19" t="s">
        <v>88</v>
      </c>
      <c r="G72" s="19">
        <v>45414</v>
      </c>
      <c r="H72" s="56" t="s">
        <v>94</v>
      </c>
      <c r="I72" s="55" t="s">
        <v>5496</v>
      </c>
      <c r="J72" s="55" t="s">
        <v>5497</v>
      </c>
      <c r="M72" s="55" t="s">
        <v>5431</v>
      </c>
      <c r="Q72" s="3">
        <f t="shared" ref="Q72:Q135" si="1">ABS(E72)</f>
        <v>863.64</v>
      </c>
      <c r="S72" s="55" t="s">
        <v>5806</v>
      </c>
    </row>
    <row r="73" spans="1:19" ht="29" x14ac:dyDescent="0.35">
      <c r="A73" t="s">
        <v>35</v>
      </c>
      <c r="B73" t="s">
        <v>614</v>
      </c>
      <c r="C73" t="s">
        <v>21</v>
      </c>
      <c r="D73" t="s">
        <v>22</v>
      </c>
      <c r="E73">
        <v>863.64</v>
      </c>
      <c r="F73" s="19" t="s">
        <v>88</v>
      </c>
      <c r="G73" s="19">
        <v>45414</v>
      </c>
      <c r="H73" s="56" t="s">
        <v>94</v>
      </c>
      <c r="I73" s="55" t="s">
        <v>5471</v>
      </c>
      <c r="J73" s="55" t="s">
        <v>5498</v>
      </c>
      <c r="M73" s="55" t="s">
        <v>5431</v>
      </c>
      <c r="Q73" s="3">
        <f t="shared" si="1"/>
        <v>863.64</v>
      </c>
      <c r="S73" s="55" t="s">
        <v>5806</v>
      </c>
    </row>
    <row r="74" spans="1:19" ht="29" x14ac:dyDescent="0.35">
      <c r="A74" t="s">
        <v>35</v>
      </c>
      <c r="B74" t="s">
        <v>614</v>
      </c>
      <c r="C74" t="s">
        <v>21</v>
      </c>
      <c r="D74" t="s">
        <v>22</v>
      </c>
      <c r="E74">
        <v>863.64</v>
      </c>
      <c r="F74" s="19" t="s">
        <v>88</v>
      </c>
      <c r="G74" s="19">
        <v>45415</v>
      </c>
      <c r="H74" s="56" t="s">
        <v>94</v>
      </c>
      <c r="I74" s="55" t="s">
        <v>5509</v>
      </c>
      <c r="J74" s="55" t="s">
        <v>5510</v>
      </c>
      <c r="M74" s="55" t="s">
        <v>5431</v>
      </c>
      <c r="Q74" s="3">
        <f t="shared" si="1"/>
        <v>863.64</v>
      </c>
      <c r="S74" s="55" t="s">
        <v>5806</v>
      </c>
    </row>
    <row r="75" spans="1:19" ht="29" x14ac:dyDescent="0.35">
      <c r="A75" t="s">
        <v>35</v>
      </c>
      <c r="B75" t="s">
        <v>614</v>
      </c>
      <c r="C75" t="s">
        <v>21</v>
      </c>
      <c r="D75" t="s">
        <v>22</v>
      </c>
      <c r="E75">
        <v>863.64</v>
      </c>
      <c r="F75" s="19" t="s">
        <v>88</v>
      </c>
      <c r="G75" s="19">
        <v>45420</v>
      </c>
      <c r="H75" s="56" t="s">
        <v>94</v>
      </c>
      <c r="I75" s="55" t="s">
        <v>5516</v>
      </c>
      <c r="J75" s="55" t="s">
        <v>5517</v>
      </c>
      <c r="M75" s="55" t="s">
        <v>5431</v>
      </c>
      <c r="Q75" s="3">
        <f t="shared" si="1"/>
        <v>863.64</v>
      </c>
      <c r="S75" s="55" t="s">
        <v>5806</v>
      </c>
    </row>
    <row r="76" spans="1:19" ht="29" x14ac:dyDescent="0.35">
      <c r="A76" t="s">
        <v>35</v>
      </c>
      <c r="B76" t="s">
        <v>614</v>
      </c>
      <c r="C76" t="s">
        <v>21</v>
      </c>
      <c r="D76" t="s">
        <v>22</v>
      </c>
      <c r="E76">
        <v>863.64</v>
      </c>
      <c r="F76" s="19" t="s">
        <v>88</v>
      </c>
      <c r="G76" s="19">
        <v>45435</v>
      </c>
      <c r="H76" s="56" t="s">
        <v>94</v>
      </c>
      <c r="I76" s="55" t="s">
        <v>5430</v>
      </c>
      <c r="J76" s="55" t="s">
        <v>5536</v>
      </c>
      <c r="M76" s="55" t="s">
        <v>5431</v>
      </c>
      <c r="Q76" s="3">
        <f t="shared" si="1"/>
        <v>863.64</v>
      </c>
      <c r="S76" s="55" t="s">
        <v>5806</v>
      </c>
    </row>
    <row r="77" spans="1:19" ht="29" x14ac:dyDescent="0.35">
      <c r="A77" t="s">
        <v>35</v>
      </c>
      <c r="B77" t="s">
        <v>614</v>
      </c>
      <c r="C77" t="s">
        <v>21</v>
      </c>
      <c r="D77" t="s">
        <v>22</v>
      </c>
      <c r="E77">
        <v>863.64</v>
      </c>
      <c r="F77" s="19" t="s">
        <v>88</v>
      </c>
      <c r="G77" s="19">
        <v>45435</v>
      </c>
      <c r="H77" s="56" t="s">
        <v>94</v>
      </c>
      <c r="I77" s="55" t="s">
        <v>5430</v>
      </c>
      <c r="J77" s="55" t="s">
        <v>5537</v>
      </c>
      <c r="M77" s="55" t="s">
        <v>5431</v>
      </c>
      <c r="Q77" s="3">
        <f t="shared" si="1"/>
        <v>863.64</v>
      </c>
      <c r="S77" s="55" t="s">
        <v>5806</v>
      </c>
    </row>
    <row r="78" spans="1:19" ht="29" x14ac:dyDescent="0.35">
      <c r="A78" t="s">
        <v>35</v>
      </c>
      <c r="B78" t="s">
        <v>614</v>
      </c>
      <c r="C78" t="s">
        <v>21</v>
      </c>
      <c r="D78" t="s">
        <v>22</v>
      </c>
      <c r="E78">
        <v>863.64</v>
      </c>
      <c r="F78" s="19" t="s">
        <v>88</v>
      </c>
      <c r="G78" s="19">
        <v>45435</v>
      </c>
      <c r="H78" s="56" t="s">
        <v>94</v>
      </c>
      <c r="I78" s="55" t="s">
        <v>5542</v>
      </c>
      <c r="J78" s="55" t="s">
        <v>5543</v>
      </c>
      <c r="M78" s="55" t="s">
        <v>5431</v>
      </c>
      <c r="Q78" s="3">
        <f t="shared" si="1"/>
        <v>863.64</v>
      </c>
      <c r="S78" s="55" t="s">
        <v>5806</v>
      </c>
    </row>
    <row r="79" spans="1:19" ht="29" x14ac:dyDescent="0.35">
      <c r="A79" t="s">
        <v>35</v>
      </c>
      <c r="B79" t="s">
        <v>677</v>
      </c>
      <c r="C79" t="s">
        <v>21</v>
      </c>
      <c r="D79" t="s">
        <v>22</v>
      </c>
      <c r="E79">
        <v>862.61</v>
      </c>
      <c r="F79" s="19" t="s">
        <v>88</v>
      </c>
      <c r="G79" s="19">
        <v>45425</v>
      </c>
      <c r="H79" s="56" t="s">
        <v>94</v>
      </c>
      <c r="I79" s="55" t="s">
        <v>1196</v>
      </c>
      <c r="J79" s="55" t="s">
        <v>5526</v>
      </c>
      <c r="M79" s="55" t="s">
        <v>678</v>
      </c>
      <c r="Q79" s="3">
        <f t="shared" si="1"/>
        <v>862.61</v>
      </c>
      <c r="S79" s="55" t="s">
        <v>5806</v>
      </c>
    </row>
    <row r="80" spans="1:19" ht="29" x14ac:dyDescent="0.35">
      <c r="A80" t="s">
        <v>35</v>
      </c>
      <c r="B80" t="s">
        <v>1092</v>
      </c>
      <c r="C80" t="s">
        <v>21</v>
      </c>
      <c r="D80" t="s">
        <v>22</v>
      </c>
      <c r="E80">
        <v>857.85</v>
      </c>
      <c r="F80" s="19" t="s">
        <v>88</v>
      </c>
      <c r="G80" s="19">
        <v>45548</v>
      </c>
      <c r="H80" s="56" t="s">
        <v>89</v>
      </c>
      <c r="I80" s="55" t="s">
        <v>5686</v>
      </c>
      <c r="K80" t="s">
        <v>5687</v>
      </c>
      <c r="L80" t="s">
        <v>5688</v>
      </c>
      <c r="N80" s="55"/>
      <c r="Q80" s="3">
        <f t="shared" si="1"/>
        <v>857.85</v>
      </c>
      <c r="S80" s="55" t="s">
        <v>5806</v>
      </c>
    </row>
    <row r="81" spans="1:19" ht="29" x14ac:dyDescent="0.35">
      <c r="A81" t="s">
        <v>35</v>
      </c>
      <c r="B81" t="s">
        <v>1092</v>
      </c>
      <c r="C81" t="s">
        <v>21</v>
      </c>
      <c r="D81" t="s">
        <v>22</v>
      </c>
      <c r="E81">
        <v>857.8</v>
      </c>
      <c r="F81" s="19" t="s">
        <v>88</v>
      </c>
      <c r="G81" s="19">
        <v>45454</v>
      </c>
      <c r="H81" s="56" t="s">
        <v>89</v>
      </c>
      <c r="I81" s="55" t="s">
        <v>5562</v>
      </c>
      <c r="K81" t="s">
        <v>5563</v>
      </c>
      <c r="L81" t="s">
        <v>5564</v>
      </c>
      <c r="N81" s="55"/>
      <c r="Q81" s="3">
        <f t="shared" si="1"/>
        <v>857.8</v>
      </c>
      <c r="S81" s="55" t="s">
        <v>5806</v>
      </c>
    </row>
    <row r="82" spans="1:19" ht="29" x14ac:dyDescent="0.35">
      <c r="A82" t="s">
        <v>35</v>
      </c>
      <c r="B82" t="s">
        <v>728</v>
      </c>
      <c r="C82" t="s">
        <v>21</v>
      </c>
      <c r="D82" t="s">
        <v>22</v>
      </c>
      <c r="E82">
        <v>846.96</v>
      </c>
      <c r="F82" s="19" t="s">
        <v>88</v>
      </c>
      <c r="G82" s="19">
        <v>45492</v>
      </c>
      <c r="H82" s="56" t="s">
        <v>89</v>
      </c>
      <c r="I82" s="55" t="s">
        <v>5633</v>
      </c>
      <c r="K82" t="s">
        <v>5634</v>
      </c>
      <c r="L82" t="s">
        <v>5635</v>
      </c>
      <c r="N82" s="55"/>
      <c r="Q82" s="3">
        <f t="shared" si="1"/>
        <v>846.96</v>
      </c>
      <c r="S82" s="55" t="s">
        <v>5806</v>
      </c>
    </row>
    <row r="83" spans="1:19" ht="29" x14ac:dyDescent="0.35">
      <c r="A83" t="s">
        <v>35</v>
      </c>
      <c r="B83" t="s">
        <v>1081</v>
      </c>
      <c r="C83" t="s">
        <v>21</v>
      </c>
      <c r="D83" t="s">
        <v>22</v>
      </c>
      <c r="E83">
        <v>833.11</v>
      </c>
      <c r="F83" s="19" t="s">
        <v>88</v>
      </c>
      <c r="G83" s="19">
        <v>45505</v>
      </c>
      <c r="H83" s="56" t="s">
        <v>89</v>
      </c>
      <c r="I83" s="55" t="s">
        <v>5647</v>
      </c>
      <c r="K83" t="s">
        <v>5648</v>
      </c>
      <c r="L83" t="s">
        <v>5649</v>
      </c>
      <c r="N83" s="55"/>
      <c r="Q83" s="3">
        <f t="shared" si="1"/>
        <v>833.11</v>
      </c>
      <c r="S83" s="55" t="s">
        <v>5806</v>
      </c>
    </row>
    <row r="84" spans="1:19" ht="29" x14ac:dyDescent="0.35">
      <c r="A84" t="s">
        <v>35</v>
      </c>
      <c r="B84" t="s">
        <v>1431</v>
      </c>
      <c r="C84" t="s">
        <v>21</v>
      </c>
      <c r="D84" t="s">
        <v>22</v>
      </c>
      <c r="E84">
        <v>798.76</v>
      </c>
      <c r="F84" s="19" t="s">
        <v>88</v>
      </c>
      <c r="G84" s="19">
        <v>45638</v>
      </c>
      <c r="H84" s="56" t="s">
        <v>94</v>
      </c>
      <c r="I84" s="55" t="s">
        <v>5789</v>
      </c>
      <c r="J84" s="55" t="s">
        <v>5790</v>
      </c>
      <c r="M84" s="55" t="s">
        <v>5791</v>
      </c>
      <c r="Q84" s="3">
        <f t="shared" si="1"/>
        <v>798.76</v>
      </c>
      <c r="S84" s="55" t="s">
        <v>5806</v>
      </c>
    </row>
    <row r="85" spans="1:19" ht="29" x14ac:dyDescent="0.35">
      <c r="A85" t="s">
        <v>35</v>
      </c>
      <c r="B85" t="s">
        <v>728</v>
      </c>
      <c r="C85" t="s">
        <v>21</v>
      </c>
      <c r="D85" t="s">
        <v>22</v>
      </c>
      <c r="E85">
        <v>791.36</v>
      </c>
      <c r="F85" s="19" t="s">
        <v>88</v>
      </c>
      <c r="G85" s="19">
        <v>45467</v>
      </c>
      <c r="H85" s="56" t="s">
        <v>94</v>
      </c>
      <c r="I85" s="55" t="s">
        <v>5588</v>
      </c>
      <c r="J85" s="55" t="s">
        <v>5589</v>
      </c>
      <c r="M85" s="55" t="s">
        <v>5590</v>
      </c>
      <c r="Q85" s="3">
        <f t="shared" si="1"/>
        <v>791.36</v>
      </c>
      <c r="S85" s="55" t="s">
        <v>5806</v>
      </c>
    </row>
    <row r="86" spans="1:19" ht="29" x14ac:dyDescent="0.35">
      <c r="A86" t="s">
        <v>35</v>
      </c>
      <c r="B86" t="s">
        <v>1092</v>
      </c>
      <c r="C86" t="s">
        <v>21</v>
      </c>
      <c r="D86" t="s">
        <v>22</v>
      </c>
      <c r="E86">
        <v>791.36</v>
      </c>
      <c r="F86" s="19" t="s">
        <v>88</v>
      </c>
      <c r="G86" s="19">
        <v>45488</v>
      </c>
      <c r="H86" s="56" t="s">
        <v>94</v>
      </c>
      <c r="I86" s="55" t="s">
        <v>5616</v>
      </c>
      <c r="J86" s="55" t="s">
        <v>5617</v>
      </c>
      <c r="M86" s="55" t="s">
        <v>5590</v>
      </c>
      <c r="Q86" s="3">
        <f t="shared" si="1"/>
        <v>791.36</v>
      </c>
      <c r="S86" s="55" t="s">
        <v>5806</v>
      </c>
    </row>
    <row r="87" spans="1:19" ht="29" x14ac:dyDescent="0.35">
      <c r="A87" t="s">
        <v>35</v>
      </c>
      <c r="B87" t="s">
        <v>1081</v>
      </c>
      <c r="C87" t="s">
        <v>21</v>
      </c>
      <c r="D87" t="s">
        <v>22</v>
      </c>
      <c r="E87">
        <v>791.36</v>
      </c>
      <c r="F87" s="19" t="s">
        <v>88</v>
      </c>
      <c r="G87" s="19">
        <v>45488</v>
      </c>
      <c r="H87" s="56" t="s">
        <v>94</v>
      </c>
      <c r="I87" s="55" t="s">
        <v>5618</v>
      </c>
      <c r="J87" s="55" t="s">
        <v>5619</v>
      </c>
      <c r="M87" s="55" t="s">
        <v>5590</v>
      </c>
      <c r="Q87" s="3">
        <f t="shared" si="1"/>
        <v>791.36</v>
      </c>
      <c r="S87" s="55" t="s">
        <v>5806</v>
      </c>
    </row>
    <row r="88" spans="1:19" ht="29" x14ac:dyDescent="0.35">
      <c r="A88" t="s">
        <v>35</v>
      </c>
      <c r="B88" t="s">
        <v>728</v>
      </c>
      <c r="C88" t="s">
        <v>21</v>
      </c>
      <c r="D88" t="s">
        <v>22</v>
      </c>
      <c r="E88">
        <v>791.36</v>
      </c>
      <c r="F88" s="19" t="s">
        <v>88</v>
      </c>
      <c r="G88" s="19">
        <v>45491</v>
      </c>
      <c r="H88" s="56" t="s">
        <v>94</v>
      </c>
      <c r="I88" s="55" t="s">
        <v>5629</v>
      </c>
      <c r="J88" s="55" t="s">
        <v>5630</v>
      </c>
      <c r="M88" s="55" t="s">
        <v>5590</v>
      </c>
      <c r="Q88" s="3">
        <f t="shared" si="1"/>
        <v>791.36</v>
      </c>
      <c r="S88" s="55" t="s">
        <v>5806</v>
      </c>
    </row>
    <row r="89" spans="1:19" ht="29" x14ac:dyDescent="0.35">
      <c r="A89" t="s">
        <v>35</v>
      </c>
      <c r="B89" t="s">
        <v>728</v>
      </c>
      <c r="C89" t="s">
        <v>21</v>
      </c>
      <c r="D89" t="s">
        <v>22</v>
      </c>
      <c r="E89">
        <v>791.36</v>
      </c>
      <c r="F89" s="19" t="s">
        <v>88</v>
      </c>
      <c r="G89" s="19">
        <v>45491</v>
      </c>
      <c r="H89" s="56" t="s">
        <v>94</v>
      </c>
      <c r="I89" s="55" t="s">
        <v>5629</v>
      </c>
      <c r="J89" s="55" t="s">
        <v>5631</v>
      </c>
      <c r="M89" s="55" t="s">
        <v>5590</v>
      </c>
      <c r="Q89" s="3">
        <f t="shared" si="1"/>
        <v>791.36</v>
      </c>
      <c r="S89" s="55" t="s">
        <v>5806</v>
      </c>
    </row>
    <row r="90" spans="1:19" ht="29" x14ac:dyDescent="0.35">
      <c r="A90" t="s">
        <v>35</v>
      </c>
      <c r="B90" t="s">
        <v>728</v>
      </c>
      <c r="C90" t="s">
        <v>21</v>
      </c>
      <c r="D90" t="s">
        <v>22</v>
      </c>
      <c r="E90">
        <v>791.36</v>
      </c>
      <c r="F90" s="19" t="s">
        <v>88</v>
      </c>
      <c r="G90" s="19">
        <v>45491</v>
      </c>
      <c r="H90" s="56" t="s">
        <v>94</v>
      </c>
      <c r="I90" s="55" t="s">
        <v>5629</v>
      </c>
      <c r="J90" s="55" t="s">
        <v>5632</v>
      </c>
      <c r="M90" s="55" t="s">
        <v>5590</v>
      </c>
      <c r="Q90" s="3">
        <f t="shared" si="1"/>
        <v>791.36</v>
      </c>
      <c r="S90" s="55" t="s">
        <v>5806</v>
      </c>
    </row>
    <row r="91" spans="1:19" ht="29" x14ac:dyDescent="0.35">
      <c r="A91" t="s">
        <v>35</v>
      </c>
      <c r="B91" t="s">
        <v>1092</v>
      </c>
      <c r="C91" t="s">
        <v>21</v>
      </c>
      <c r="D91" t="s">
        <v>22</v>
      </c>
      <c r="E91">
        <v>791.36</v>
      </c>
      <c r="F91" s="19" t="s">
        <v>88</v>
      </c>
      <c r="G91" s="19">
        <v>45636</v>
      </c>
      <c r="H91" s="56" t="s">
        <v>94</v>
      </c>
      <c r="I91" s="55" t="s">
        <v>5780</v>
      </c>
      <c r="J91" s="55" t="s">
        <v>5781</v>
      </c>
      <c r="M91" s="55" t="s">
        <v>5590</v>
      </c>
      <c r="Q91" s="3">
        <f t="shared" si="1"/>
        <v>791.36</v>
      </c>
      <c r="S91" s="55" t="s">
        <v>5806</v>
      </c>
    </row>
    <row r="92" spans="1:19" ht="29" x14ac:dyDescent="0.35">
      <c r="A92" t="s">
        <v>35</v>
      </c>
      <c r="B92" t="s">
        <v>1092</v>
      </c>
      <c r="C92" t="s">
        <v>21</v>
      </c>
      <c r="D92" t="s">
        <v>22</v>
      </c>
      <c r="E92">
        <v>786.81</v>
      </c>
      <c r="F92" s="19" t="s">
        <v>88</v>
      </c>
      <c r="G92" s="19">
        <v>45637</v>
      </c>
      <c r="H92" s="56" t="s">
        <v>89</v>
      </c>
      <c r="I92" s="55" t="s">
        <v>5786</v>
      </c>
      <c r="K92" t="s">
        <v>5787</v>
      </c>
      <c r="L92" t="s">
        <v>5788</v>
      </c>
      <c r="M92" s="55" t="s">
        <v>5785</v>
      </c>
      <c r="Q92" s="3">
        <f t="shared" si="1"/>
        <v>786.81</v>
      </c>
      <c r="S92" s="55" t="s">
        <v>5806</v>
      </c>
    </row>
    <row r="93" spans="1:19" ht="43.5" x14ac:dyDescent="0.35">
      <c r="A93" t="s">
        <v>35</v>
      </c>
      <c r="B93" t="s">
        <v>677</v>
      </c>
      <c r="C93" t="s">
        <v>21</v>
      </c>
      <c r="D93" t="s">
        <v>22</v>
      </c>
      <c r="E93">
        <v>785.84</v>
      </c>
      <c r="F93" s="19" t="s">
        <v>88</v>
      </c>
      <c r="G93" s="19">
        <v>45425</v>
      </c>
      <c r="H93" s="56" t="s">
        <v>94</v>
      </c>
      <c r="I93" s="55" t="s">
        <v>1196</v>
      </c>
      <c r="J93" s="55" t="s">
        <v>5527</v>
      </c>
      <c r="M93" s="55" t="s">
        <v>5528</v>
      </c>
      <c r="Q93" s="3">
        <f t="shared" si="1"/>
        <v>785.84</v>
      </c>
      <c r="S93" s="55" t="s">
        <v>5806</v>
      </c>
    </row>
    <row r="94" spans="1:19" ht="29" x14ac:dyDescent="0.35">
      <c r="A94" t="s">
        <v>35</v>
      </c>
      <c r="B94" t="s">
        <v>655</v>
      </c>
      <c r="C94" t="s">
        <v>21</v>
      </c>
      <c r="D94" t="s">
        <v>22</v>
      </c>
      <c r="E94">
        <v>768.7</v>
      </c>
      <c r="F94" s="19" t="s">
        <v>88</v>
      </c>
      <c r="G94" s="19">
        <v>45391</v>
      </c>
      <c r="H94" s="56" t="s">
        <v>89</v>
      </c>
      <c r="I94" s="55" t="s">
        <v>5440</v>
      </c>
      <c r="K94" t="s">
        <v>5441</v>
      </c>
      <c r="L94" t="s">
        <v>5442</v>
      </c>
      <c r="M94" s="55" t="s">
        <v>5443</v>
      </c>
      <c r="Q94" s="3">
        <f t="shared" si="1"/>
        <v>768.7</v>
      </c>
      <c r="S94" s="55" t="s">
        <v>5806</v>
      </c>
    </row>
    <row r="95" spans="1:19" ht="43.5" x14ac:dyDescent="0.35">
      <c r="A95" t="s">
        <v>35</v>
      </c>
      <c r="B95" t="s">
        <v>764</v>
      </c>
      <c r="C95" t="s">
        <v>21</v>
      </c>
      <c r="D95" t="s">
        <v>22</v>
      </c>
      <c r="E95">
        <v>761.17</v>
      </c>
      <c r="F95" s="19" t="s">
        <v>88</v>
      </c>
      <c r="G95" s="19">
        <v>45447</v>
      </c>
      <c r="H95" s="56" t="s">
        <v>94</v>
      </c>
      <c r="I95" s="55" t="s">
        <v>5557</v>
      </c>
      <c r="J95" s="55" t="s">
        <v>5558</v>
      </c>
      <c r="M95" s="55" t="s">
        <v>5559</v>
      </c>
      <c r="Q95" s="3">
        <f t="shared" si="1"/>
        <v>761.17</v>
      </c>
      <c r="S95" s="55" t="s">
        <v>5806</v>
      </c>
    </row>
    <row r="96" spans="1:19" ht="43.5" x14ac:dyDescent="0.35">
      <c r="A96" t="s">
        <v>0</v>
      </c>
      <c r="B96" t="s">
        <v>790</v>
      </c>
      <c r="C96" t="s">
        <v>21</v>
      </c>
      <c r="D96" t="s">
        <v>22</v>
      </c>
      <c r="E96">
        <v>754.4</v>
      </c>
      <c r="F96" s="19" t="s">
        <v>88</v>
      </c>
      <c r="G96" s="19">
        <v>45583</v>
      </c>
      <c r="H96" s="56" t="s">
        <v>89</v>
      </c>
      <c r="I96" s="55" t="s">
        <v>5719</v>
      </c>
      <c r="K96" t="s">
        <v>5733</v>
      </c>
      <c r="L96" t="s">
        <v>5721</v>
      </c>
      <c r="M96" s="55" t="s">
        <v>5722</v>
      </c>
      <c r="Q96" s="3">
        <f t="shared" si="1"/>
        <v>754.4</v>
      </c>
      <c r="S96" s="55" t="s">
        <v>5806</v>
      </c>
    </row>
    <row r="97" spans="1:19" ht="29" x14ac:dyDescent="0.35">
      <c r="A97" t="s">
        <v>35</v>
      </c>
      <c r="B97" t="s">
        <v>1081</v>
      </c>
      <c r="C97" t="s">
        <v>21</v>
      </c>
      <c r="D97" t="s">
        <v>22</v>
      </c>
      <c r="E97">
        <v>706.36</v>
      </c>
      <c r="F97" s="19" t="s">
        <v>88</v>
      </c>
      <c r="G97" s="19">
        <v>45488</v>
      </c>
      <c r="H97" s="56" t="s">
        <v>94</v>
      </c>
      <c r="I97" s="55" t="s">
        <v>1082</v>
      </c>
      <c r="J97" s="55" t="s">
        <v>5619</v>
      </c>
      <c r="M97" s="55" t="s">
        <v>1084</v>
      </c>
      <c r="Q97" s="3">
        <f t="shared" si="1"/>
        <v>706.36</v>
      </c>
      <c r="S97" s="55" t="s">
        <v>5806</v>
      </c>
    </row>
    <row r="98" spans="1:19" ht="43.5" x14ac:dyDescent="0.35">
      <c r="A98" t="s">
        <v>35</v>
      </c>
      <c r="B98" t="s">
        <v>1251</v>
      </c>
      <c r="C98" t="s">
        <v>21</v>
      </c>
      <c r="D98" t="s">
        <v>22</v>
      </c>
      <c r="E98">
        <v>690</v>
      </c>
      <c r="F98" s="19" t="s">
        <v>88</v>
      </c>
      <c r="G98" s="19">
        <v>45607</v>
      </c>
      <c r="H98" s="56" t="s">
        <v>94</v>
      </c>
      <c r="I98" s="55" t="s">
        <v>5746</v>
      </c>
      <c r="J98" s="55" t="s">
        <v>5747</v>
      </c>
      <c r="M98" s="55" t="s">
        <v>5748</v>
      </c>
      <c r="Q98" s="3">
        <f t="shared" si="1"/>
        <v>690</v>
      </c>
      <c r="S98" s="55" t="s">
        <v>5806</v>
      </c>
    </row>
    <row r="99" spans="1:19" ht="29" x14ac:dyDescent="0.35">
      <c r="A99" t="s">
        <v>35</v>
      </c>
      <c r="B99" t="s">
        <v>5701</v>
      </c>
      <c r="C99" t="s">
        <v>21</v>
      </c>
      <c r="D99" t="s">
        <v>22</v>
      </c>
      <c r="E99">
        <v>681.82</v>
      </c>
      <c r="F99" s="19" t="s">
        <v>88</v>
      </c>
      <c r="G99" s="19">
        <v>45555</v>
      </c>
      <c r="H99" s="56" t="s">
        <v>94</v>
      </c>
      <c r="I99" s="55" t="s">
        <v>289</v>
      </c>
      <c r="J99" s="55" t="s">
        <v>5702</v>
      </c>
      <c r="M99" s="55" t="s">
        <v>5703</v>
      </c>
      <c r="Q99" s="3">
        <f t="shared" si="1"/>
        <v>681.82</v>
      </c>
      <c r="S99" s="55" t="s">
        <v>5806</v>
      </c>
    </row>
    <row r="100" spans="1:19" ht="29" x14ac:dyDescent="0.35">
      <c r="A100" t="s">
        <v>35</v>
      </c>
      <c r="B100" t="s">
        <v>1416</v>
      </c>
      <c r="C100" t="s">
        <v>21</v>
      </c>
      <c r="D100" t="s">
        <v>22</v>
      </c>
      <c r="E100">
        <v>677.27</v>
      </c>
      <c r="F100" s="19" t="s">
        <v>88</v>
      </c>
      <c r="G100" s="19">
        <v>45504</v>
      </c>
      <c r="H100" s="56" t="s">
        <v>94</v>
      </c>
      <c r="I100" s="55" t="s">
        <v>3544</v>
      </c>
      <c r="J100" s="55" t="s">
        <v>5645</v>
      </c>
      <c r="M100" s="55" t="s">
        <v>5646</v>
      </c>
      <c r="Q100" s="3">
        <f t="shared" si="1"/>
        <v>677.27</v>
      </c>
      <c r="S100" s="55" t="s">
        <v>5806</v>
      </c>
    </row>
    <row r="101" spans="1:19" ht="29" x14ac:dyDescent="0.35">
      <c r="A101" t="s">
        <v>35</v>
      </c>
      <c r="B101" t="s">
        <v>677</v>
      </c>
      <c r="C101" t="s">
        <v>21</v>
      </c>
      <c r="D101" t="s">
        <v>22</v>
      </c>
      <c r="E101">
        <v>659.09</v>
      </c>
      <c r="F101" s="19" t="s">
        <v>88</v>
      </c>
      <c r="G101" s="19">
        <v>45476</v>
      </c>
      <c r="H101" s="56" t="s">
        <v>94</v>
      </c>
      <c r="I101" s="55" t="s">
        <v>5594</v>
      </c>
      <c r="J101" s="55" t="s">
        <v>5595</v>
      </c>
      <c r="M101" s="55" t="s">
        <v>652</v>
      </c>
      <c r="Q101" s="3">
        <f t="shared" si="1"/>
        <v>659.09</v>
      </c>
      <c r="S101" s="55" t="s">
        <v>5806</v>
      </c>
    </row>
    <row r="102" spans="1:19" ht="29" x14ac:dyDescent="0.35">
      <c r="A102" t="s">
        <v>35</v>
      </c>
      <c r="B102" t="s">
        <v>1092</v>
      </c>
      <c r="C102" t="s">
        <v>21</v>
      </c>
      <c r="D102" t="s">
        <v>22</v>
      </c>
      <c r="E102">
        <v>650.41</v>
      </c>
      <c r="F102" s="19" t="s">
        <v>88</v>
      </c>
      <c r="G102" s="19">
        <v>45484</v>
      </c>
      <c r="H102" s="56" t="s">
        <v>89</v>
      </c>
      <c r="I102" s="55" t="s">
        <v>5606</v>
      </c>
      <c r="K102" t="s">
        <v>101</v>
      </c>
      <c r="L102" t="s">
        <v>5607</v>
      </c>
      <c r="M102" s="55" t="s">
        <v>5608</v>
      </c>
      <c r="Q102" s="3">
        <f t="shared" si="1"/>
        <v>650.41</v>
      </c>
      <c r="S102" s="55" t="s">
        <v>5806</v>
      </c>
    </row>
    <row r="103" spans="1:19" ht="43.5" x14ac:dyDescent="0.35">
      <c r="A103" t="s">
        <v>35</v>
      </c>
      <c r="B103" t="s">
        <v>728</v>
      </c>
      <c r="C103" t="s">
        <v>21</v>
      </c>
      <c r="D103" t="s">
        <v>22</v>
      </c>
      <c r="E103">
        <v>635.82000000000005</v>
      </c>
      <c r="F103" s="19" t="s">
        <v>88</v>
      </c>
      <c r="G103" s="19">
        <v>45656</v>
      </c>
      <c r="H103" s="56" t="s">
        <v>94</v>
      </c>
      <c r="I103" s="55" t="s">
        <v>5800</v>
      </c>
      <c r="J103" s="55" t="s">
        <v>5801</v>
      </c>
      <c r="O103" s="55" t="s">
        <v>5802</v>
      </c>
      <c r="Q103" s="3">
        <f t="shared" si="1"/>
        <v>635.82000000000005</v>
      </c>
      <c r="S103" s="55" t="s">
        <v>5806</v>
      </c>
    </row>
    <row r="104" spans="1:19" ht="72.5" x14ac:dyDescent="0.35">
      <c r="A104" t="s">
        <v>35</v>
      </c>
      <c r="B104" t="s">
        <v>1431</v>
      </c>
      <c r="C104" t="s">
        <v>21</v>
      </c>
      <c r="D104" t="s">
        <v>22</v>
      </c>
      <c r="E104">
        <v>635.45000000000005</v>
      </c>
      <c r="F104" s="19" t="s">
        <v>88</v>
      </c>
      <c r="G104" s="19">
        <v>45425</v>
      </c>
      <c r="H104" s="56" t="s">
        <v>94</v>
      </c>
      <c r="I104" s="55" t="s">
        <v>5523</v>
      </c>
      <c r="J104" s="55" t="s">
        <v>5524</v>
      </c>
      <c r="O104" s="55" t="s">
        <v>5525</v>
      </c>
      <c r="Q104" s="3">
        <f t="shared" si="1"/>
        <v>635.45000000000005</v>
      </c>
      <c r="S104" s="55" t="s">
        <v>5806</v>
      </c>
    </row>
    <row r="105" spans="1:19" ht="72.5" x14ac:dyDescent="0.35">
      <c r="A105" t="s">
        <v>35</v>
      </c>
      <c r="B105" t="s">
        <v>764</v>
      </c>
      <c r="C105" t="s">
        <v>21</v>
      </c>
      <c r="D105" t="s">
        <v>22</v>
      </c>
      <c r="E105">
        <v>635.45000000000005</v>
      </c>
      <c r="F105" s="19" t="s">
        <v>88</v>
      </c>
      <c r="G105" s="19">
        <v>45505</v>
      </c>
      <c r="H105" s="56" t="s">
        <v>94</v>
      </c>
      <c r="I105" s="55" t="s">
        <v>5557</v>
      </c>
      <c r="J105" s="55" t="s">
        <v>5650</v>
      </c>
      <c r="O105" s="55" t="s">
        <v>5651</v>
      </c>
      <c r="Q105" s="3">
        <f t="shared" si="1"/>
        <v>635.45000000000005</v>
      </c>
      <c r="S105" s="55" t="s">
        <v>5806</v>
      </c>
    </row>
    <row r="106" spans="1:19" ht="72.5" x14ac:dyDescent="0.35">
      <c r="A106" t="s">
        <v>35</v>
      </c>
      <c r="B106" t="s">
        <v>5392</v>
      </c>
      <c r="C106" t="s">
        <v>21</v>
      </c>
      <c r="D106" t="s">
        <v>22</v>
      </c>
      <c r="E106">
        <v>635.45000000000005</v>
      </c>
      <c r="F106" s="19" t="s">
        <v>88</v>
      </c>
      <c r="G106" s="19">
        <v>45531</v>
      </c>
      <c r="H106" s="56" t="s">
        <v>94</v>
      </c>
      <c r="I106" s="55" t="s">
        <v>5675</v>
      </c>
      <c r="J106" s="55" t="s">
        <v>5676</v>
      </c>
      <c r="O106" s="55" t="s">
        <v>5677</v>
      </c>
      <c r="Q106" s="3">
        <f t="shared" si="1"/>
        <v>635.45000000000005</v>
      </c>
      <c r="S106" s="55" t="s">
        <v>5806</v>
      </c>
    </row>
    <row r="107" spans="1:19" ht="43.5" x14ac:dyDescent="0.35">
      <c r="A107" t="s">
        <v>35</v>
      </c>
      <c r="B107" t="s">
        <v>952</v>
      </c>
      <c r="C107" t="s">
        <v>21</v>
      </c>
      <c r="D107" t="s">
        <v>22</v>
      </c>
      <c r="E107">
        <v>631.82000000000005</v>
      </c>
      <c r="F107" s="19" t="s">
        <v>88</v>
      </c>
      <c r="G107" s="19">
        <v>45483</v>
      </c>
      <c r="H107" s="56" t="s">
        <v>94</v>
      </c>
      <c r="I107" s="55" t="s">
        <v>5603</v>
      </c>
      <c r="J107" s="55" t="s">
        <v>5604</v>
      </c>
      <c r="O107" s="55" t="s">
        <v>5605</v>
      </c>
      <c r="Q107" s="3">
        <f t="shared" si="1"/>
        <v>631.82000000000005</v>
      </c>
      <c r="S107" s="55" t="s">
        <v>5806</v>
      </c>
    </row>
    <row r="108" spans="1:19" ht="43.5" x14ac:dyDescent="0.35">
      <c r="A108" t="s">
        <v>35</v>
      </c>
      <c r="B108" t="s">
        <v>614</v>
      </c>
      <c r="C108" t="s">
        <v>21</v>
      </c>
      <c r="D108" t="s">
        <v>22</v>
      </c>
      <c r="E108">
        <v>631.82000000000005</v>
      </c>
      <c r="F108" s="19" t="s">
        <v>88</v>
      </c>
      <c r="G108" s="19">
        <v>45618</v>
      </c>
      <c r="H108" s="56" t="s">
        <v>94</v>
      </c>
      <c r="I108" s="55" t="s">
        <v>5424</v>
      </c>
      <c r="J108" s="55" t="s">
        <v>5756</v>
      </c>
      <c r="O108" s="55" t="s">
        <v>5605</v>
      </c>
      <c r="Q108" s="3">
        <f t="shared" si="1"/>
        <v>631.82000000000005</v>
      </c>
      <c r="S108" s="55" t="s">
        <v>5806</v>
      </c>
    </row>
    <row r="109" spans="1:19" ht="72.5" x14ac:dyDescent="0.35">
      <c r="A109" t="s">
        <v>35</v>
      </c>
      <c r="B109" t="s">
        <v>1032</v>
      </c>
      <c r="C109" t="s">
        <v>21</v>
      </c>
      <c r="D109" t="s">
        <v>22</v>
      </c>
      <c r="E109">
        <v>618.17999999999995</v>
      </c>
      <c r="F109" s="19" t="s">
        <v>88</v>
      </c>
      <c r="G109" s="19">
        <v>45384</v>
      </c>
      <c r="H109" s="56" t="s">
        <v>94</v>
      </c>
      <c r="I109" s="55" t="s">
        <v>5404</v>
      </c>
      <c r="J109" s="55" t="s">
        <v>5405</v>
      </c>
      <c r="O109" s="55" t="s">
        <v>5406</v>
      </c>
      <c r="Q109" s="3">
        <f t="shared" si="1"/>
        <v>618.17999999999995</v>
      </c>
      <c r="S109" s="55" t="s">
        <v>5806</v>
      </c>
    </row>
    <row r="110" spans="1:19" ht="43.5" x14ac:dyDescent="0.35">
      <c r="A110" t="s">
        <v>0</v>
      </c>
      <c r="B110" t="s">
        <v>655</v>
      </c>
      <c r="C110" t="s">
        <v>21</v>
      </c>
      <c r="D110" t="s">
        <v>22</v>
      </c>
      <c r="E110">
        <v>610.5</v>
      </c>
      <c r="F110" s="19" t="s">
        <v>88</v>
      </c>
      <c r="G110" s="19">
        <v>45583</v>
      </c>
      <c r="H110" s="56" t="s">
        <v>89</v>
      </c>
      <c r="I110" s="55" t="s">
        <v>5719</v>
      </c>
      <c r="K110" t="s">
        <v>5727</v>
      </c>
      <c r="L110" t="s">
        <v>5721</v>
      </c>
      <c r="M110" s="55" t="s">
        <v>5722</v>
      </c>
      <c r="Q110" s="3">
        <f t="shared" si="1"/>
        <v>610.5</v>
      </c>
      <c r="S110" s="55" t="s">
        <v>5806</v>
      </c>
    </row>
    <row r="111" spans="1:19" ht="43.5" x14ac:dyDescent="0.35">
      <c r="A111" t="s">
        <v>0</v>
      </c>
      <c r="B111" t="s">
        <v>624</v>
      </c>
      <c r="C111" t="s">
        <v>21</v>
      </c>
      <c r="D111" t="s">
        <v>22</v>
      </c>
      <c r="E111">
        <v>609.75</v>
      </c>
      <c r="F111" s="19" t="s">
        <v>88</v>
      </c>
      <c r="G111" s="19">
        <v>45583</v>
      </c>
      <c r="H111" s="56" t="s">
        <v>89</v>
      </c>
      <c r="I111" s="55" t="s">
        <v>5719</v>
      </c>
      <c r="K111" t="s">
        <v>5728</v>
      </c>
      <c r="L111" t="s">
        <v>5721</v>
      </c>
      <c r="M111" s="55" t="s">
        <v>5722</v>
      </c>
      <c r="Q111" s="3">
        <f t="shared" si="1"/>
        <v>609.75</v>
      </c>
      <c r="S111" s="55" t="s">
        <v>5806</v>
      </c>
    </row>
    <row r="112" spans="1:19" ht="43.5" x14ac:dyDescent="0.35">
      <c r="A112" t="s">
        <v>0</v>
      </c>
      <c r="B112" t="s">
        <v>599</v>
      </c>
      <c r="C112" t="s">
        <v>21</v>
      </c>
      <c r="D112" t="s">
        <v>22</v>
      </c>
      <c r="E112">
        <v>609.21</v>
      </c>
      <c r="F112" s="19" t="s">
        <v>88</v>
      </c>
      <c r="G112" s="19">
        <v>45583</v>
      </c>
      <c r="H112" s="56" t="s">
        <v>89</v>
      </c>
      <c r="I112" s="55" t="s">
        <v>5719</v>
      </c>
      <c r="K112" t="s">
        <v>5730</v>
      </c>
      <c r="L112" t="s">
        <v>5721</v>
      </c>
      <c r="M112" s="55" t="s">
        <v>5722</v>
      </c>
      <c r="Q112" s="3">
        <f t="shared" si="1"/>
        <v>609.21</v>
      </c>
      <c r="S112" s="55" t="s">
        <v>5806</v>
      </c>
    </row>
    <row r="113" spans="1:19" ht="29" x14ac:dyDescent="0.35">
      <c r="A113" t="s">
        <v>35</v>
      </c>
      <c r="B113" t="s">
        <v>805</v>
      </c>
      <c r="C113" t="s">
        <v>21</v>
      </c>
      <c r="D113" t="s">
        <v>22</v>
      </c>
      <c r="E113">
        <v>602.16999999999996</v>
      </c>
      <c r="F113" s="19" t="s">
        <v>88</v>
      </c>
      <c r="G113" s="19">
        <v>45510</v>
      </c>
      <c r="H113" s="56" t="s">
        <v>94</v>
      </c>
      <c r="I113" s="55" t="s">
        <v>286</v>
      </c>
      <c r="J113" s="55" t="s">
        <v>5655</v>
      </c>
      <c r="O113" s="55" t="s">
        <v>5656</v>
      </c>
      <c r="Q113" s="3">
        <f t="shared" si="1"/>
        <v>602.16999999999996</v>
      </c>
      <c r="S113" s="55" t="s">
        <v>5806</v>
      </c>
    </row>
    <row r="114" spans="1:19" ht="43.5" x14ac:dyDescent="0.35">
      <c r="A114" t="s">
        <v>0</v>
      </c>
      <c r="B114" t="s">
        <v>952</v>
      </c>
      <c r="C114" t="s">
        <v>21</v>
      </c>
      <c r="D114" t="s">
        <v>22</v>
      </c>
      <c r="E114">
        <v>600.59</v>
      </c>
      <c r="F114" s="19" t="s">
        <v>88</v>
      </c>
      <c r="G114" s="19">
        <v>45583</v>
      </c>
      <c r="H114" s="56" t="s">
        <v>89</v>
      </c>
      <c r="I114" s="55" t="s">
        <v>5719</v>
      </c>
      <c r="K114" t="s">
        <v>5724</v>
      </c>
      <c r="L114" t="s">
        <v>5721</v>
      </c>
      <c r="M114" s="55" t="s">
        <v>5722</v>
      </c>
      <c r="Q114" s="3">
        <f t="shared" si="1"/>
        <v>600.59</v>
      </c>
      <c r="S114" s="55" t="s">
        <v>5806</v>
      </c>
    </row>
    <row r="115" spans="1:19" ht="43.5" x14ac:dyDescent="0.35">
      <c r="A115" t="s">
        <v>0</v>
      </c>
      <c r="B115" t="s">
        <v>728</v>
      </c>
      <c r="C115" t="s">
        <v>21</v>
      </c>
      <c r="D115" t="s">
        <v>22</v>
      </c>
      <c r="E115">
        <v>593.99</v>
      </c>
      <c r="F115" s="19" t="s">
        <v>88</v>
      </c>
      <c r="G115" s="19">
        <v>45583</v>
      </c>
      <c r="H115" s="56" t="s">
        <v>89</v>
      </c>
      <c r="I115" s="55" t="s">
        <v>5719</v>
      </c>
      <c r="K115" t="s">
        <v>5725</v>
      </c>
      <c r="L115" t="s">
        <v>5721</v>
      </c>
      <c r="M115" s="55" t="s">
        <v>5722</v>
      </c>
      <c r="Q115" s="3">
        <f t="shared" si="1"/>
        <v>593.99</v>
      </c>
      <c r="S115" s="55" t="s">
        <v>5806</v>
      </c>
    </row>
    <row r="116" spans="1:19" ht="29" x14ac:dyDescent="0.35">
      <c r="A116" t="s">
        <v>35</v>
      </c>
      <c r="B116" t="s">
        <v>655</v>
      </c>
      <c r="C116" t="s">
        <v>21</v>
      </c>
      <c r="D116" t="s">
        <v>22</v>
      </c>
      <c r="E116">
        <v>553.64</v>
      </c>
      <c r="F116" s="19" t="s">
        <v>88</v>
      </c>
      <c r="G116" s="19">
        <v>45555</v>
      </c>
      <c r="H116" s="56" t="s">
        <v>94</v>
      </c>
      <c r="I116" s="55" t="s">
        <v>1270</v>
      </c>
      <c r="J116" s="55" t="s">
        <v>5700</v>
      </c>
      <c r="M116" s="55" t="s">
        <v>627</v>
      </c>
      <c r="Q116" s="3">
        <f t="shared" si="1"/>
        <v>553.64</v>
      </c>
      <c r="S116" s="55" t="s">
        <v>5806</v>
      </c>
    </row>
    <row r="117" spans="1:19" ht="29" x14ac:dyDescent="0.35">
      <c r="A117" t="s">
        <v>35</v>
      </c>
      <c r="B117" t="s">
        <v>805</v>
      </c>
      <c r="C117" t="s">
        <v>21</v>
      </c>
      <c r="D117" t="s">
        <v>22</v>
      </c>
      <c r="E117">
        <v>536.36</v>
      </c>
      <c r="F117" s="19" t="s">
        <v>88</v>
      </c>
      <c r="G117" s="19">
        <v>45390</v>
      </c>
      <c r="H117" s="56" t="s">
        <v>94</v>
      </c>
      <c r="I117" s="55" t="s">
        <v>5437</v>
      </c>
      <c r="J117" s="55" t="s">
        <v>5438</v>
      </c>
      <c r="M117" s="55" t="s">
        <v>5439</v>
      </c>
      <c r="Q117" s="3">
        <f t="shared" si="1"/>
        <v>536.36</v>
      </c>
      <c r="S117" s="55" t="s">
        <v>5806</v>
      </c>
    </row>
    <row r="118" spans="1:19" ht="43.5" x14ac:dyDescent="0.35">
      <c r="A118" t="s">
        <v>35</v>
      </c>
      <c r="B118" t="s">
        <v>770</v>
      </c>
      <c r="C118" t="s">
        <v>21</v>
      </c>
      <c r="D118" t="s">
        <v>22</v>
      </c>
      <c r="E118">
        <v>520.15</v>
      </c>
      <c r="F118" s="19" t="s">
        <v>88</v>
      </c>
      <c r="G118" s="19">
        <v>45420</v>
      </c>
      <c r="H118" s="56" t="s">
        <v>94</v>
      </c>
      <c r="I118" s="55" t="s">
        <v>300</v>
      </c>
      <c r="J118" s="55" t="s">
        <v>5518</v>
      </c>
      <c r="M118" s="55" t="s">
        <v>5519</v>
      </c>
      <c r="Q118" s="3">
        <f t="shared" si="1"/>
        <v>520.15</v>
      </c>
      <c r="S118" s="55" t="s">
        <v>5806</v>
      </c>
    </row>
    <row r="119" spans="1:19" ht="43.5" x14ac:dyDescent="0.35">
      <c r="A119" t="s">
        <v>35</v>
      </c>
      <c r="B119" t="s">
        <v>614</v>
      </c>
      <c r="C119" t="s">
        <v>21</v>
      </c>
      <c r="D119" t="s">
        <v>22</v>
      </c>
      <c r="E119">
        <v>472.73</v>
      </c>
      <c r="F119" s="19" t="s">
        <v>88</v>
      </c>
      <c r="G119" s="19">
        <v>45625</v>
      </c>
      <c r="H119" s="56" t="s">
        <v>94</v>
      </c>
      <c r="I119" s="55" t="s">
        <v>5761</v>
      </c>
      <c r="J119" s="55" t="s">
        <v>5762</v>
      </c>
      <c r="M119" s="55" t="s">
        <v>5763</v>
      </c>
      <c r="Q119" s="3">
        <f t="shared" si="1"/>
        <v>472.73</v>
      </c>
      <c r="S119" s="55" t="s">
        <v>5806</v>
      </c>
    </row>
    <row r="120" spans="1:19" ht="29" x14ac:dyDescent="0.35">
      <c r="A120" t="s">
        <v>35</v>
      </c>
      <c r="B120" t="s">
        <v>614</v>
      </c>
      <c r="C120" t="s">
        <v>21</v>
      </c>
      <c r="D120" t="s">
        <v>22</v>
      </c>
      <c r="E120">
        <v>472.73</v>
      </c>
      <c r="F120" s="19" t="s">
        <v>88</v>
      </c>
      <c r="G120" s="19">
        <v>45642</v>
      </c>
      <c r="H120" s="56" t="s">
        <v>94</v>
      </c>
      <c r="I120" s="55" t="s">
        <v>5424</v>
      </c>
      <c r="J120" s="55" t="s">
        <v>5795</v>
      </c>
      <c r="M120" s="55" t="s">
        <v>758</v>
      </c>
      <c r="Q120" s="3">
        <f t="shared" si="1"/>
        <v>472.73</v>
      </c>
      <c r="S120" s="55" t="s">
        <v>5806</v>
      </c>
    </row>
    <row r="121" spans="1:19" ht="29" x14ac:dyDescent="0.35">
      <c r="A121" t="s">
        <v>35</v>
      </c>
      <c r="B121" t="s">
        <v>614</v>
      </c>
      <c r="C121" t="s">
        <v>21</v>
      </c>
      <c r="D121" t="s">
        <v>22</v>
      </c>
      <c r="E121">
        <v>459.09</v>
      </c>
      <c r="F121" s="19" t="s">
        <v>88</v>
      </c>
      <c r="G121" s="19">
        <v>45386</v>
      </c>
      <c r="H121" s="56" t="s">
        <v>94</v>
      </c>
      <c r="I121" s="55" t="s">
        <v>5424</v>
      </c>
      <c r="J121" s="55" t="s">
        <v>5425</v>
      </c>
      <c r="M121" s="55" t="s">
        <v>758</v>
      </c>
      <c r="Q121" s="3">
        <f t="shared" si="1"/>
        <v>459.09</v>
      </c>
      <c r="S121" s="55" t="s">
        <v>5806</v>
      </c>
    </row>
    <row r="122" spans="1:19" ht="43.5" x14ac:dyDescent="0.35">
      <c r="A122" t="s">
        <v>35</v>
      </c>
      <c r="B122" t="s">
        <v>947</v>
      </c>
      <c r="C122" t="s">
        <v>21</v>
      </c>
      <c r="D122" t="s">
        <v>22</v>
      </c>
      <c r="E122">
        <v>454.73</v>
      </c>
      <c r="F122" s="19" t="s">
        <v>88</v>
      </c>
      <c r="G122" s="19">
        <v>45446</v>
      </c>
      <c r="H122" s="56" t="s">
        <v>94</v>
      </c>
      <c r="I122" s="55" t="s">
        <v>2019</v>
      </c>
      <c r="J122" s="55" t="s">
        <v>5550</v>
      </c>
      <c r="M122" s="55" t="s">
        <v>5551</v>
      </c>
      <c r="Q122" s="3">
        <f t="shared" si="1"/>
        <v>454.73</v>
      </c>
      <c r="S122" s="55" t="s">
        <v>5806</v>
      </c>
    </row>
    <row r="123" spans="1:19" ht="43.5" x14ac:dyDescent="0.35">
      <c r="A123" t="s">
        <v>35</v>
      </c>
      <c r="B123" t="s">
        <v>1221</v>
      </c>
      <c r="C123" t="s">
        <v>21</v>
      </c>
      <c r="D123" t="s">
        <v>22</v>
      </c>
      <c r="E123">
        <v>438.37</v>
      </c>
      <c r="F123" s="19" t="s">
        <v>88</v>
      </c>
      <c r="G123" s="19">
        <v>45383</v>
      </c>
      <c r="H123" s="56" t="s">
        <v>89</v>
      </c>
      <c r="I123" s="55" t="s">
        <v>5395</v>
      </c>
      <c r="K123" t="s">
        <v>5396</v>
      </c>
      <c r="L123" t="s">
        <v>5397</v>
      </c>
      <c r="M123" s="55" t="s">
        <v>5398</v>
      </c>
      <c r="Q123" s="3">
        <f t="shared" si="1"/>
        <v>438.37</v>
      </c>
      <c r="S123" s="55" t="s">
        <v>5806</v>
      </c>
    </row>
    <row r="124" spans="1:19" ht="29" x14ac:dyDescent="0.35">
      <c r="A124" t="s">
        <v>35</v>
      </c>
      <c r="B124" t="s">
        <v>1032</v>
      </c>
      <c r="C124" t="s">
        <v>21</v>
      </c>
      <c r="D124" t="s">
        <v>22</v>
      </c>
      <c r="E124">
        <v>-431.41</v>
      </c>
      <c r="F124" s="19" t="s">
        <v>88</v>
      </c>
      <c r="G124" s="19">
        <v>45516</v>
      </c>
      <c r="H124" s="56" t="s">
        <v>2533</v>
      </c>
      <c r="I124" s="55" t="s">
        <v>5663</v>
      </c>
      <c r="Q124" s="3">
        <f t="shared" si="1"/>
        <v>431.41</v>
      </c>
      <c r="S124" s="55" t="s">
        <v>5806</v>
      </c>
    </row>
    <row r="125" spans="1:19" ht="29" x14ac:dyDescent="0.35">
      <c r="A125" t="s">
        <v>35</v>
      </c>
      <c r="B125" t="s">
        <v>677</v>
      </c>
      <c r="C125" t="s">
        <v>21</v>
      </c>
      <c r="D125" t="s">
        <v>22</v>
      </c>
      <c r="E125">
        <v>429.45</v>
      </c>
      <c r="F125" s="19" t="s">
        <v>88</v>
      </c>
      <c r="G125" s="19">
        <v>45624</v>
      </c>
      <c r="H125" s="56" t="s">
        <v>94</v>
      </c>
      <c r="I125" s="55" t="s">
        <v>812</v>
      </c>
      <c r="J125" s="55" t="s">
        <v>5760</v>
      </c>
      <c r="O125" s="55" t="s">
        <v>1162</v>
      </c>
      <c r="Q125" s="3">
        <f t="shared" si="1"/>
        <v>429.45</v>
      </c>
      <c r="S125" s="55" t="s">
        <v>5806</v>
      </c>
    </row>
    <row r="126" spans="1:19" ht="29" x14ac:dyDescent="0.35">
      <c r="A126" t="s">
        <v>35</v>
      </c>
      <c r="B126" t="s">
        <v>1092</v>
      </c>
      <c r="C126" t="s">
        <v>21</v>
      </c>
      <c r="D126" t="s">
        <v>22</v>
      </c>
      <c r="E126">
        <v>385</v>
      </c>
      <c r="F126" s="19" t="s">
        <v>88</v>
      </c>
      <c r="G126" s="19">
        <v>45637</v>
      </c>
      <c r="H126" s="56" t="s">
        <v>89</v>
      </c>
      <c r="I126" s="55" t="s">
        <v>5782</v>
      </c>
      <c r="K126" t="s">
        <v>5783</v>
      </c>
      <c r="L126" t="s">
        <v>5784</v>
      </c>
      <c r="M126" s="55" t="s">
        <v>5785</v>
      </c>
      <c r="Q126" s="3">
        <f t="shared" si="1"/>
        <v>385</v>
      </c>
      <c r="S126" s="55" t="s">
        <v>5806</v>
      </c>
    </row>
    <row r="127" spans="1:19" ht="29" x14ac:dyDescent="0.35">
      <c r="A127" t="s">
        <v>35</v>
      </c>
      <c r="B127" t="s">
        <v>693</v>
      </c>
      <c r="C127" t="s">
        <v>21</v>
      </c>
      <c r="D127" t="s">
        <v>22</v>
      </c>
      <c r="E127">
        <v>379.28</v>
      </c>
      <c r="F127" s="19" t="s">
        <v>88</v>
      </c>
      <c r="G127" s="19">
        <v>45635</v>
      </c>
      <c r="H127" s="56" t="s">
        <v>89</v>
      </c>
      <c r="I127" s="55" t="s">
        <v>5775</v>
      </c>
      <c r="K127" t="s">
        <v>5776</v>
      </c>
      <c r="L127" t="s">
        <v>5777</v>
      </c>
      <c r="M127" s="55" t="s">
        <v>5778</v>
      </c>
      <c r="Q127" s="3">
        <f t="shared" si="1"/>
        <v>379.28</v>
      </c>
      <c r="S127" s="55" t="s">
        <v>5806</v>
      </c>
    </row>
    <row r="128" spans="1:19" ht="43.5" x14ac:dyDescent="0.35">
      <c r="A128" t="s">
        <v>35</v>
      </c>
      <c r="B128" t="s">
        <v>5394</v>
      </c>
      <c r="C128" t="s">
        <v>21</v>
      </c>
      <c r="D128" t="s">
        <v>22</v>
      </c>
      <c r="E128">
        <v>371.54</v>
      </c>
      <c r="F128" s="19" t="s">
        <v>88</v>
      </c>
      <c r="G128" s="19">
        <v>45488</v>
      </c>
      <c r="H128" s="56" t="s">
        <v>94</v>
      </c>
      <c r="I128" s="55" t="s">
        <v>5620</v>
      </c>
      <c r="J128" s="55" t="s">
        <v>5623</v>
      </c>
      <c r="M128" s="55" t="s">
        <v>5624</v>
      </c>
      <c r="Q128" s="3">
        <f t="shared" si="1"/>
        <v>371.54</v>
      </c>
      <c r="S128" s="55" t="s">
        <v>5806</v>
      </c>
    </row>
    <row r="129" spans="1:31" ht="43.5" x14ac:dyDescent="0.35">
      <c r="A129" t="s">
        <v>35</v>
      </c>
      <c r="B129" t="s">
        <v>5394</v>
      </c>
      <c r="C129" t="s">
        <v>21</v>
      </c>
      <c r="D129" t="s">
        <v>22</v>
      </c>
      <c r="E129">
        <v>371.54</v>
      </c>
      <c r="F129" s="19" t="s">
        <v>88</v>
      </c>
      <c r="G129" s="19">
        <v>45488</v>
      </c>
      <c r="H129" s="56" t="s">
        <v>94</v>
      </c>
      <c r="I129" s="55" t="s">
        <v>5620</v>
      </c>
      <c r="J129" s="55" t="s">
        <v>5625</v>
      </c>
      <c r="M129" s="55" t="s">
        <v>5626</v>
      </c>
      <c r="Q129" s="3">
        <f t="shared" si="1"/>
        <v>371.54</v>
      </c>
      <c r="S129" s="55" t="s">
        <v>5806</v>
      </c>
    </row>
    <row r="130" spans="1:31" ht="43.5" x14ac:dyDescent="0.35">
      <c r="A130" t="s">
        <v>35</v>
      </c>
      <c r="B130" t="s">
        <v>610</v>
      </c>
      <c r="C130" t="s">
        <v>21</v>
      </c>
      <c r="D130" t="s">
        <v>22</v>
      </c>
      <c r="E130">
        <v>352.15</v>
      </c>
      <c r="F130" s="19" t="s">
        <v>88</v>
      </c>
      <c r="G130" s="19">
        <v>45565</v>
      </c>
      <c r="H130" s="56" t="s">
        <v>94</v>
      </c>
      <c r="I130" s="55" t="s">
        <v>5713</v>
      </c>
      <c r="J130" s="55" t="s">
        <v>5714</v>
      </c>
      <c r="M130" s="55" t="s">
        <v>5715</v>
      </c>
      <c r="Q130" s="3">
        <f t="shared" si="1"/>
        <v>352.15</v>
      </c>
      <c r="S130" s="55" t="s">
        <v>5807</v>
      </c>
      <c r="AE130">
        <f>E130</f>
        <v>352.15</v>
      </c>
    </row>
    <row r="131" spans="1:31" ht="29" x14ac:dyDescent="0.35">
      <c r="A131" t="s">
        <v>35</v>
      </c>
      <c r="B131" t="s">
        <v>656</v>
      </c>
      <c r="C131" t="s">
        <v>21</v>
      </c>
      <c r="D131" t="s">
        <v>22</v>
      </c>
      <c r="E131">
        <v>352.15</v>
      </c>
      <c r="F131" s="19" t="s">
        <v>88</v>
      </c>
      <c r="G131" s="19">
        <v>45565</v>
      </c>
      <c r="H131" s="56" t="s">
        <v>108</v>
      </c>
      <c r="I131" s="55" t="s">
        <v>108</v>
      </c>
      <c r="Q131" s="3">
        <f t="shared" si="1"/>
        <v>352.15</v>
      </c>
      <c r="S131" s="55" t="s">
        <v>5807</v>
      </c>
      <c r="AE131">
        <f t="shared" ref="AE131:AE132" si="2">E131</f>
        <v>352.15</v>
      </c>
    </row>
    <row r="132" spans="1:31" ht="29" x14ac:dyDescent="0.35">
      <c r="A132" t="s">
        <v>35</v>
      </c>
      <c r="B132" t="s">
        <v>610</v>
      </c>
      <c r="C132" t="s">
        <v>21</v>
      </c>
      <c r="D132" t="s">
        <v>22</v>
      </c>
      <c r="E132">
        <v>-352.15</v>
      </c>
      <c r="F132" s="19" t="s">
        <v>88</v>
      </c>
      <c r="G132" s="19">
        <v>45565</v>
      </c>
      <c r="H132" s="56" t="s">
        <v>108</v>
      </c>
      <c r="I132" s="55" t="s">
        <v>108</v>
      </c>
      <c r="Q132" s="3">
        <f t="shared" si="1"/>
        <v>352.15</v>
      </c>
      <c r="S132" s="55" t="s">
        <v>5807</v>
      </c>
      <c r="AE132">
        <f t="shared" si="2"/>
        <v>-352.15</v>
      </c>
    </row>
    <row r="133" spans="1:31" ht="29" x14ac:dyDescent="0.35">
      <c r="A133" t="s">
        <v>35</v>
      </c>
      <c r="B133" t="s">
        <v>770</v>
      </c>
      <c r="C133" t="s">
        <v>21</v>
      </c>
      <c r="D133" t="s">
        <v>22</v>
      </c>
      <c r="E133">
        <v>350</v>
      </c>
      <c r="F133" s="19" t="s">
        <v>88</v>
      </c>
      <c r="G133" s="19">
        <v>45404</v>
      </c>
      <c r="H133" s="56" t="s">
        <v>94</v>
      </c>
      <c r="I133" s="55" t="s">
        <v>771</v>
      </c>
      <c r="J133" s="55" t="s">
        <v>5483</v>
      </c>
      <c r="M133" s="55" t="s">
        <v>5484</v>
      </c>
      <c r="Q133" s="3">
        <f t="shared" si="1"/>
        <v>350</v>
      </c>
      <c r="S133" s="55" t="s">
        <v>5806</v>
      </c>
    </row>
    <row r="134" spans="1:31" ht="29" x14ac:dyDescent="0.35">
      <c r="A134" t="s">
        <v>35</v>
      </c>
      <c r="B134" t="s">
        <v>805</v>
      </c>
      <c r="C134" t="s">
        <v>21</v>
      </c>
      <c r="D134" t="s">
        <v>22</v>
      </c>
      <c r="E134">
        <v>349.09</v>
      </c>
      <c r="F134" s="19" t="s">
        <v>88</v>
      </c>
      <c r="G134" s="19">
        <v>45446</v>
      </c>
      <c r="H134" s="56" t="s">
        <v>94</v>
      </c>
      <c r="I134" s="55" t="s">
        <v>5552</v>
      </c>
      <c r="J134" s="55" t="s">
        <v>5553</v>
      </c>
      <c r="M134" s="55" t="s">
        <v>5554</v>
      </c>
      <c r="Q134" s="3">
        <f t="shared" si="1"/>
        <v>349.09</v>
      </c>
      <c r="S134" s="55" t="s">
        <v>5806</v>
      </c>
    </row>
    <row r="135" spans="1:31" ht="29" x14ac:dyDescent="0.35">
      <c r="A135" t="s">
        <v>35</v>
      </c>
      <c r="B135" t="s">
        <v>881</v>
      </c>
      <c r="C135" t="s">
        <v>21</v>
      </c>
      <c r="D135" t="s">
        <v>22</v>
      </c>
      <c r="E135">
        <v>327.27</v>
      </c>
      <c r="F135" s="19" t="s">
        <v>88</v>
      </c>
      <c r="G135" s="19">
        <v>45502</v>
      </c>
      <c r="H135" s="56" t="s">
        <v>94</v>
      </c>
      <c r="I135" s="55" t="s">
        <v>479</v>
      </c>
      <c r="J135" s="55" t="s">
        <v>5641</v>
      </c>
      <c r="M135" s="55" t="s">
        <v>5642</v>
      </c>
      <c r="Q135" s="3">
        <f t="shared" si="1"/>
        <v>327.27</v>
      </c>
      <c r="S135" s="55" t="s">
        <v>5806</v>
      </c>
    </row>
    <row r="136" spans="1:31" ht="29" x14ac:dyDescent="0.35">
      <c r="A136" t="s">
        <v>35</v>
      </c>
      <c r="B136" t="s">
        <v>1053</v>
      </c>
      <c r="C136" t="s">
        <v>21</v>
      </c>
      <c r="D136" t="s">
        <v>22</v>
      </c>
      <c r="E136">
        <v>323.08</v>
      </c>
      <c r="F136" s="19" t="s">
        <v>88</v>
      </c>
      <c r="G136" s="19">
        <v>45524</v>
      </c>
      <c r="H136" s="56" t="s">
        <v>94</v>
      </c>
      <c r="I136" s="55" t="s">
        <v>5667</v>
      </c>
      <c r="J136" s="55" t="s">
        <v>5668</v>
      </c>
      <c r="M136" s="55" t="s">
        <v>5669</v>
      </c>
      <c r="Q136" s="3">
        <f t="shared" ref="Q136:Q199" si="3">ABS(E136)</f>
        <v>323.08</v>
      </c>
      <c r="S136" s="55" t="s">
        <v>5806</v>
      </c>
    </row>
    <row r="137" spans="1:31" ht="29" x14ac:dyDescent="0.35">
      <c r="A137" t="s">
        <v>0</v>
      </c>
      <c r="B137" t="s">
        <v>698</v>
      </c>
      <c r="C137" t="s">
        <v>21</v>
      </c>
      <c r="D137" t="s">
        <v>22</v>
      </c>
      <c r="E137">
        <v>312.74</v>
      </c>
      <c r="F137" s="19" t="s">
        <v>88</v>
      </c>
      <c r="G137" s="19">
        <v>45384</v>
      </c>
      <c r="H137" s="56" t="s">
        <v>89</v>
      </c>
      <c r="I137" s="55" t="s">
        <v>5399</v>
      </c>
      <c r="K137" t="s">
        <v>270</v>
      </c>
      <c r="L137" t="s">
        <v>5400</v>
      </c>
      <c r="M137" s="55" t="s">
        <v>271</v>
      </c>
      <c r="Q137" s="3">
        <f t="shared" si="3"/>
        <v>312.74</v>
      </c>
      <c r="S137" s="55" t="s">
        <v>5806</v>
      </c>
    </row>
    <row r="138" spans="1:31" ht="29" x14ac:dyDescent="0.35">
      <c r="A138" t="s">
        <v>0</v>
      </c>
      <c r="B138" t="s">
        <v>698</v>
      </c>
      <c r="C138" t="s">
        <v>21</v>
      </c>
      <c r="D138" t="s">
        <v>22</v>
      </c>
      <c r="E138">
        <v>311.81</v>
      </c>
      <c r="F138" s="19" t="s">
        <v>88</v>
      </c>
      <c r="G138" s="19">
        <v>45413</v>
      </c>
      <c r="H138" s="56" t="s">
        <v>89</v>
      </c>
      <c r="I138" s="55" t="s">
        <v>5486</v>
      </c>
      <c r="K138" t="s">
        <v>270</v>
      </c>
      <c r="L138" t="s">
        <v>5487</v>
      </c>
      <c r="M138" s="55" t="s">
        <v>271</v>
      </c>
      <c r="Q138" s="3">
        <f t="shared" si="3"/>
        <v>311.81</v>
      </c>
      <c r="S138" s="55" t="s">
        <v>5806</v>
      </c>
    </row>
    <row r="139" spans="1:31" ht="29" x14ac:dyDescent="0.35">
      <c r="A139" t="s">
        <v>35</v>
      </c>
      <c r="B139" t="s">
        <v>1491</v>
      </c>
      <c r="C139" t="s">
        <v>21</v>
      </c>
      <c r="D139" t="s">
        <v>22</v>
      </c>
      <c r="E139">
        <v>300</v>
      </c>
      <c r="F139" s="19" t="s">
        <v>88</v>
      </c>
      <c r="G139" s="19">
        <v>45631</v>
      </c>
      <c r="H139" s="56" t="s">
        <v>94</v>
      </c>
      <c r="I139" s="55" t="s">
        <v>2605</v>
      </c>
      <c r="J139" s="55" t="s">
        <v>5772</v>
      </c>
      <c r="M139" s="55" t="s">
        <v>5773</v>
      </c>
      <c r="Q139" s="3">
        <f t="shared" si="3"/>
        <v>300</v>
      </c>
      <c r="S139" s="55" t="s">
        <v>5806</v>
      </c>
    </row>
    <row r="140" spans="1:31" ht="43.5" x14ac:dyDescent="0.35">
      <c r="A140" t="s">
        <v>35</v>
      </c>
      <c r="B140" t="s">
        <v>599</v>
      </c>
      <c r="C140" t="s">
        <v>21</v>
      </c>
      <c r="D140" t="s">
        <v>22</v>
      </c>
      <c r="E140">
        <v>299</v>
      </c>
      <c r="F140" s="19" t="s">
        <v>88</v>
      </c>
      <c r="G140" s="19">
        <v>45464</v>
      </c>
      <c r="H140" s="56" t="s">
        <v>94</v>
      </c>
      <c r="I140" s="55" t="s">
        <v>5581</v>
      </c>
      <c r="J140" s="55" t="s">
        <v>5582</v>
      </c>
      <c r="M140" s="55" t="s">
        <v>5583</v>
      </c>
      <c r="Q140" s="3">
        <f t="shared" si="3"/>
        <v>299</v>
      </c>
      <c r="S140" s="55" t="s">
        <v>5806</v>
      </c>
    </row>
    <row r="141" spans="1:31" ht="29" x14ac:dyDescent="0.35">
      <c r="A141" t="s">
        <v>0</v>
      </c>
      <c r="B141" t="s">
        <v>615</v>
      </c>
      <c r="C141" t="s">
        <v>21</v>
      </c>
      <c r="D141" t="s">
        <v>22</v>
      </c>
      <c r="E141">
        <v>298.11</v>
      </c>
      <c r="F141" s="19" t="s">
        <v>88</v>
      </c>
      <c r="G141" s="19">
        <v>45481</v>
      </c>
      <c r="H141" s="56" t="s">
        <v>89</v>
      </c>
      <c r="I141" s="55" t="s">
        <v>5600</v>
      </c>
      <c r="K141" t="s">
        <v>101</v>
      </c>
      <c r="L141" t="s">
        <v>5601</v>
      </c>
      <c r="M141" s="55" t="s">
        <v>5602</v>
      </c>
      <c r="Q141" s="3">
        <f t="shared" si="3"/>
        <v>298.11</v>
      </c>
      <c r="S141" s="55" t="s">
        <v>5806</v>
      </c>
    </row>
    <row r="142" spans="1:31" ht="43.5" x14ac:dyDescent="0.35">
      <c r="A142" t="s">
        <v>0</v>
      </c>
      <c r="B142" t="s">
        <v>708</v>
      </c>
      <c r="C142" t="s">
        <v>21</v>
      </c>
      <c r="D142" t="s">
        <v>22</v>
      </c>
      <c r="E142">
        <v>273.48</v>
      </c>
      <c r="F142" s="19" t="s">
        <v>88</v>
      </c>
      <c r="G142" s="19">
        <v>45460</v>
      </c>
      <c r="H142" s="56" t="s">
        <v>89</v>
      </c>
      <c r="I142" s="55" t="s">
        <v>5572</v>
      </c>
      <c r="K142" t="s">
        <v>101</v>
      </c>
      <c r="L142" t="s">
        <v>5573</v>
      </c>
      <c r="M142" s="55" t="s">
        <v>5574</v>
      </c>
      <c r="Q142" s="3">
        <f t="shared" si="3"/>
        <v>273.48</v>
      </c>
      <c r="S142" s="55" t="s">
        <v>5806</v>
      </c>
    </row>
    <row r="143" spans="1:31" ht="43.5" x14ac:dyDescent="0.35">
      <c r="A143" t="s">
        <v>35</v>
      </c>
      <c r="B143" t="s">
        <v>642</v>
      </c>
      <c r="C143" t="s">
        <v>21</v>
      </c>
      <c r="D143" t="s">
        <v>22</v>
      </c>
      <c r="E143">
        <v>252.35</v>
      </c>
      <c r="F143" s="19" t="s">
        <v>88</v>
      </c>
      <c r="G143" s="19">
        <v>45385</v>
      </c>
      <c r="H143" s="56" t="s">
        <v>94</v>
      </c>
      <c r="I143" s="55" t="s">
        <v>5412</v>
      </c>
      <c r="J143" s="55" t="s">
        <v>5413</v>
      </c>
      <c r="M143" s="55" t="s">
        <v>5414</v>
      </c>
      <c r="Q143" s="3">
        <f t="shared" si="3"/>
        <v>252.35</v>
      </c>
      <c r="S143" s="55" t="s">
        <v>5806</v>
      </c>
    </row>
    <row r="144" spans="1:31" ht="29" x14ac:dyDescent="0.35">
      <c r="A144" t="s">
        <v>0</v>
      </c>
      <c r="B144" t="s">
        <v>2208</v>
      </c>
      <c r="C144" t="s">
        <v>21</v>
      </c>
      <c r="D144" t="s">
        <v>22</v>
      </c>
      <c r="E144">
        <v>250</v>
      </c>
      <c r="F144" s="19" t="s">
        <v>88</v>
      </c>
      <c r="G144" s="19">
        <v>45513</v>
      </c>
      <c r="H144" s="56" t="s">
        <v>89</v>
      </c>
      <c r="I144" s="55" t="s">
        <v>5658</v>
      </c>
      <c r="K144" t="s">
        <v>5659</v>
      </c>
      <c r="L144" t="s">
        <v>5660</v>
      </c>
      <c r="M144" s="55" t="s">
        <v>5661</v>
      </c>
      <c r="Q144" s="3">
        <f t="shared" si="3"/>
        <v>250</v>
      </c>
      <c r="S144" s="55" t="s">
        <v>5806</v>
      </c>
    </row>
    <row r="145" spans="1:19" ht="43.5" x14ac:dyDescent="0.35">
      <c r="A145" t="s">
        <v>35</v>
      </c>
      <c r="B145" t="s">
        <v>893</v>
      </c>
      <c r="C145" t="s">
        <v>21</v>
      </c>
      <c r="D145" t="s">
        <v>22</v>
      </c>
      <c r="E145">
        <v>234.64</v>
      </c>
      <c r="F145" s="19" t="s">
        <v>88</v>
      </c>
      <c r="G145" s="19">
        <v>45639</v>
      </c>
      <c r="H145" s="56" t="s">
        <v>94</v>
      </c>
      <c r="I145" s="55" t="s">
        <v>5792</v>
      </c>
      <c r="J145" s="55" t="s">
        <v>5793</v>
      </c>
      <c r="M145" s="55" t="s">
        <v>5794</v>
      </c>
      <c r="Q145" s="3">
        <f t="shared" si="3"/>
        <v>234.64</v>
      </c>
      <c r="S145" s="55" t="s">
        <v>5806</v>
      </c>
    </row>
    <row r="146" spans="1:19" ht="29" x14ac:dyDescent="0.35">
      <c r="A146" t="s">
        <v>35</v>
      </c>
      <c r="B146" t="s">
        <v>708</v>
      </c>
      <c r="C146" t="s">
        <v>21</v>
      </c>
      <c r="D146" t="s">
        <v>22</v>
      </c>
      <c r="E146">
        <v>228.95</v>
      </c>
      <c r="F146" s="19" t="s">
        <v>88</v>
      </c>
      <c r="G146" s="19">
        <v>45435</v>
      </c>
      <c r="H146" s="56" t="s">
        <v>94</v>
      </c>
      <c r="I146" s="55" t="s">
        <v>5538</v>
      </c>
      <c r="J146" s="55" t="s">
        <v>5539</v>
      </c>
      <c r="M146" s="55" t="s">
        <v>5540</v>
      </c>
      <c r="Q146" s="3">
        <f t="shared" si="3"/>
        <v>228.95</v>
      </c>
      <c r="S146" s="55" t="s">
        <v>5806</v>
      </c>
    </row>
    <row r="147" spans="1:19" ht="43.5" x14ac:dyDescent="0.35">
      <c r="A147" t="s">
        <v>35</v>
      </c>
      <c r="B147" t="s">
        <v>5394</v>
      </c>
      <c r="C147" t="s">
        <v>21</v>
      </c>
      <c r="D147" t="s">
        <v>22</v>
      </c>
      <c r="E147">
        <v>209.87</v>
      </c>
      <c r="F147" s="19" t="s">
        <v>88</v>
      </c>
      <c r="G147" s="19">
        <v>45488</v>
      </c>
      <c r="H147" s="56" t="s">
        <v>94</v>
      </c>
      <c r="I147" s="55" t="s">
        <v>5620</v>
      </c>
      <c r="J147" s="55" t="s">
        <v>5621</v>
      </c>
      <c r="M147" s="55" t="s">
        <v>5622</v>
      </c>
      <c r="Q147" s="3">
        <f t="shared" si="3"/>
        <v>209.87</v>
      </c>
      <c r="S147" s="55" t="s">
        <v>5806</v>
      </c>
    </row>
    <row r="148" spans="1:19" ht="29" x14ac:dyDescent="0.35">
      <c r="A148" t="s">
        <v>35</v>
      </c>
      <c r="B148" t="s">
        <v>693</v>
      </c>
      <c r="C148" t="s">
        <v>21</v>
      </c>
      <c r="D148" t="s">
        <v>22</v>
      </c>
      <c r="E148">
        <v>208.27</v>
      </c>
      <c r="F148" s="19" t="s">
        <v>88</v>
      </c>
      <c r="G148" s="19">
        <v>45635</v>
      </c>
      <c r="H148" s="56" t="s">
        <v>89</v>
      </c>
      <c r="I148" s="55" t="s">
        <v>5775</v>
      </c>
      <c r="K148" t="s">
        <v>5779</v>
      </c>
      <c r="L148" t="s">
        <v>5777</v>
      </c>
      <c r="M148" s="55" t="s">
        <v>5778</v>
      </c>
      <c r="Q148" s="3">
        <f t="shared" si="3"/>
        <v>208.27</v>
      </c>
      <c r="S148" s="55" t="s">
        <v>5806</v>
      </c>
    </row>
    <row r="149" spans="1:19" ht="29" x14ac:dyDescent="0.35">
      <c r="A149" t="s">
        <v>35</v>
      </c>
      <c r="B149" t="s">
        <v>713</v>
      </c>
      <c r="C149" t="s">
        <v>21</v>
      </c>
      <c r="D149" t="s">
        <v>22</v>
      </c>
      <c r="E149">
        <v>200.88</v>
      </c>
      <c r="F149" s="19" t="s">
        <v>88</v>
      </c>
      <c r="G149" s="19">
        <v>45586</v>
      </c>
      <c r="H149" s="56" t="s">
        <v>94</v>
      </c>
      <c r="I149" s="55" t="s">
        <v>128</v>
      </c>
      <c r="J149" s="55" t="s">
        <v>5736</v>
      </c>
      <c r="M149" s="55" t="s">
        <v>5737</v>
      </c>
      <c r="Q149" s="3">
        <f t="shared" si="3"/>
        <v>200.88</v>
      </c>
      <c r="S149" s="55" t="s">
        <v>5806</v>
      </c>
    </row>
    <row r="150" spans="1:19" ht="29" x14ac:dyDescent="0.35">
      <c r="A150" t="s">
        <v>0</v>
      </c>
      <c r="B150" t="s">
        <v>724</v>
      </c>
      <c r="C150" t="s">
        <v>21</v>
      </c>
      <c r="D150" t="s">
        <v>22</v>
      </c>
      <c r="E150">
        <v>200</v>
      </c>
      <c r="F150" s="19" t="s">
        <v>88</v>
      </c>
      <c r="G150" s="19">
        <v>45526</v>
      </c>
      <c r="H150" s="56" t="s">
        <v>89</v>
      </c>
      <c r="I150" s="55" t="s">
        <v>5670</v>
      </c>
      <c r="K150" t="s">
        <v>5671</v>
      </c>
      <c r="L150" t="s">
        <v>5672</v>
      </c>
      <c r="M150" s="55" t="s">
        <v>5673</v>
      </c>
      <c r="Q150" s="3">
        <f t="shared" si="3"/>
        <v>200</v>
      </c>
      <c r="S150" s="55" t="s">
        <v>5806</v>
      </c>
    </row>
    <row r="151" spans="1:19" ht="43.5" x14ac:dyDescent="0.35">
      <c r="A151" t="s">
        <v>35</v>
      </c>
      <c r="B151" t="s">
        <v>642</v>
      </c>
      <c r="C151" t="s">
        <v>21</v>
      </c>
      <c r="D151" t="s">
        <v>22</v>
      </c>
      <c r="E151">
        <v>195</v>
      </c>
      <c r="F151" s="19" t="s">
        <v>88</v>
      </c>
      <c r="G151" s="19">
        <v>45446</v>
      </c>
      <c r="H151" s="56" t="s">
        <v>94</v>
      </c>
      <c r="I151" s="55" t="s">
        <v>781</v>
      </c>
      <c r="J151" s="55" t="s">
        <v>5548</v>
      </c>
      <c r="M151" s="55" t="s">
        <v>5549</v>
      </c>
      <c r="Q151" s="3">
        <f t="shared" si="3"/>
        <v>195</v>
      </c>
      <c r="S151" s="55" t="s">
        <v>5806</v>
      </c>
    </row>
    <row r="152" spans="1:19" ht="29" x14ac:dyDescent="0.35">
      <c r="A152" t="s">
        <v>0</v>
      </c>
      <c r="B152" t="s">
        <v>633</v>
      </c>
      <c r="C152" t="s">
        <v>21</v>
      </c>
      <c r="D152" t="s">
        <v>22</v>
      </c>
      <c r="E152">
        <v>186.22</v>
      </c>
      <c r="F152" s="19" t="s">
        <v>88</v>
      </c>
      <c r="G152" s="19">
        <v>45432</v>
      </c>
      <c r="H152" s="56" t="s">
        <v>89</v>
      </c>
      <c r="I152" s="55" t="s">
        <v>5529</v>
      </c>
      <c r="K152" t="s">
        <v>5530</v>
      </c>
      <c r="L152" t="s">
        <v>5531</v>
      </c>
      <c r="M152" s="55" t="s">
        <v>276</v>
      </c>
      <c r="Q152" s="3">
        <f t="shared" si="3"/>
        <v>186.22</v>
      </c>
      <c r="S152" s="55" t="s">
        <v>5806</v>
      </c>
    </row>
    <row r="153" spans="1:19" ht="29" x14ac:dyDescent="0.35">
      <c r="A153" t="s">
        <v>35</v>
      </c>
      <c r="B153" t="s">
        <v>633</v>
      </c>
      <c r="C153" t="s">
        <v>21</v>
      </c>
      <c r="D153" t="s">
        <v>22</v>
      </c>
      <c r="E153">
        <v>181.22</v>
      </c>
      <c r="F153" s="19" t="s">
        <v>88</v>
      </c>
      <c r="G153" s="19">
        <v>45397</v>
      </c>
      <c r="H153" s="56" t="s">
        <v>89</v>
      </c>
      <c r="I153" s="55" t="s">
        <v>5464</v>
      </c>
      <c r="K153" t="s">
        <v>5465</v>
      </c>
      <c r="L153" t="s">
        <v>5466</v>
      </c>
      <c r="M153" s="55" t="s">
        <v>276</v>
      </c>
      <c r="Q153" s="3">
        <f t="shared" si="3"/>
        <v>181.22</v>
      </c>
      <c r="S153" s="55" t="s">
        <v>5806</v>
      </c>
    </row>
    <row r="154" spans="1:19" ht="29" x14ac:dyDescent="0.35">
      <c r="A154" t="s">
        <v>35</v>
      </c>
      <c r="B154" t="s">
        <v>708</v>
      </c>
      <c r="C154" t="s">
        <v>21</v>
      </c>
      <c r="D154" t="s">
        <v>22</v>
      </c>
      <c r="E154">
        <v>177.27</v>
      </c>
      <c r="F154" s="19" t="s">
        <v>88</v>
      </c>
      <c r="G154" s="19">
        <v>45442</v>
      </c>
      <c r="H154" s="56" t="s">
        <v>94</v>
      </c>
      <c r="I154" s="55" t="s">
        <v>253</v>
      </c>
      <c r="J154" s="55" t="s">
        <v>5544</v>
      </c>
      <c r="O154" s="55" t="s">
        <v>5545</v>
      </c>
      <c r="Q154" s="3">
        <f t="shared" si="3"/>
        <v>177.27</v>
      </c>
      <c r="S154" s="55" t="s">
        <v>5806</v>
      </c>
    </row>
    <row r="155" spans="1:19" ht="43.5" x14ac:dyDescent="0.35">
      <c r="A155" t="s">
        <v>35</v>
      </c>
      <c r="B155" t="s">
        <v>805</v>
      </c>
      <c r="C155" t="s">
        <v>21</v>
      </c>
      <c r="D155" t="s">
        <v>22</v>
      </c>
      <c r="E155">
        <v>177.27</v>
      </c>
      <c r="F155" s="19" t="s">
        <v>88</v>
      </c>
      <c r="G155" s="19">
        <v>45461</v>
      </c>
      <c r="H155" s="56" t="s">
        <v>94</v>
      </c>
      <c r="I155" s="55" t="s">
        <v>286</v>
      </c>
      <c r="J155" s="55" t="s">
        <v>5580</v>
      </c>
      <c r="O155" s="55" t="s">
        <v>5549</v>
      </c>
      <c r="Q155" s="3">
        <f t="shared" si="3"/>
        <v>177.27</v>
      </c>
      <c r="S155" s="55" t="s">
        <v>5806</v>
      </c>
    </row>
    <row r="156" spans="1:19" ht="29" x14ac:dyDescent="0.35">
      <c r="A156" t="s">
        <v>35</v>
      </c>
      <c r="B156" t="s">
        <v>677</v>
      </c>
      <c r="C156" t="s">
        <v>21</v>
      </c>
      <c r="D156" t="s">
        <v>22</v>
      </c>
      <c r="E156">
        <v>171.23</v>
      </c>
      <c r="F156" s="19" t="s">
        <v>88</v>
      </c>
      <c r="G156" s="19">
        <v>45434</v>
      </c>
      <c r="H156" s="56" t="s">
        <v>94</v>
      </c>
      <c r="I156" s="55" t="s">
        <v>1196</v>
      </c>
      <c r="J156" s="55" t="s">
        <v>5535</v>
      </c>
      <c r="O156" s="55" t="s">
        <v>678</v>
      </c>
      <c r="Q156" s="3">
        <f t="shared" si="3"/>
        <v>171.23</v>
      </c>
      <c r="S156" s="55" t="s">
        <v>5806</v>
      </c>
    </row>
    <row r="157" spans="1:19" ht="29" x14ac:dyDescent="0.35">
      <c r="A157" t="s">
        <v>0</v>
      </c>
      <c r="B157" t="s">
        <v>825</v>
      </c>
      <c r="C157" t="s">
        <v>21</v>
      </c>
      <c r="D157" t="s">
        <v>22</v>
      </c>
      <c r="E157">
        <v>166.07</v>
      </c>
      <c r="F157" s="19" t="s">
        <v>88</v>
      </c>
      <c r="G157" s="19">
        <v>45481</v>
      </c>
      <c r="H157" s="56" t="s">
        <v>89</v>
      </c>
      <c r="I157" s="55" t="s">
        <v>5597</v>
      </c>
      <c r="K157" t="s">
        <v>101</v>
      </c>
      <c r="L157" t="s">
        <v>5598</v>
      </c>
      <c r="M157" s="55" t="s">
        <v>5599</v>
      </c>
      <c r="Q157" s="3">
        <f t="shared" si="3"/>
        <v>166.07</v>
      </c>
      <c r="S157" s="55" t="s">
        <v>5806</v>
      </c>
    </row>
    <row r="158" spans="1:19" ht="29" x14ac:dyDescent="0.35">
      <c r="A158" t="s">
        <v>0</v>
      </c>
      <c r="B158" t="s">
        <v>708</v>
      </c>
      <c r="C158" t="s">
        <v>21</v>
      </c>
      <c r="D158" t="s">
        <v>22</v>
      </c>
      <c r="E158">
        <v>164.09</v>
      </c>
      <c r="F158" s="19" t="s">
        <v>88</v>
      </c>
      <c r="G158" s="19">
        <v>45397</v>
      </c>
      <c r="H158" s="56" t="s">
        <v>89</v>
      </c>
      <c r="I158" s="55" t="s">
        <v>5458</v>
      </c>
      <c r="K158" t="s">
        <v>5459</v>
      </c>
      <c r="L158" t="s">
        <v>5460</v>
      </c>
      <c r="M158" s="55" t="s">
        <v>3932</v>
      </c>
      <c r="Q158" s="3">
        <f t="shared" si="3"/>
        <v>164.09</v>
      </c>
      <c r="S158" s="55" t="s">
        <v>5806</v>
      </c>
    </row>
    <row r="159" spans="1:19" ht="29" x14ac:dyDescent="0.35">
      <c r="A159" t="s">
        <v>0</v>
      </c>
      <c r="B159" t="s">
        <v>708</v>
      </c>
      <c r="C159" t="s">
        <v>21</v>
      </c>
      <c r="D159" t="s">
        <v>22</v>
      </c>
      <c r="E159">
        <v>164.09</v>
      </c>
      <c r="F159" s="19" t="s">
        <v>88</v>
      </c>
      <c r="G159" s="19">
        <v>45397</v>
      </c>
      <c r="H159" s="56" t="s">
        <v>89</v>
      </c>
      <c r="I159" s="55" t="s">
        <v>5461</v>
      </c>
      <c r="K159" t="s">
        <v>5462</v>
      </c>
      <c r="L159" t="s">
        <v>5463</v>
      </c>
      <c r="M159" s="55" t="s">
        <v>3932</v>
      </c>
      <c r="Q159" s="3">
        <f t="shared" si="3"/>
        <v>164.09</v>
      </c>
      <c r="S159" s="55" t="s">
        <v>5806</v>
      </c>
    </row>
    <row r="160" spans="1:19" ht="29" x14ac:dyDescent="0.35">
      <c r="A160" t="s">
        <v>0</v>
      </c>
      <c r="B160" t="s">
        <v>615</v>
      </c>
      <c r="C160" t="s">
        <v>21</v>
      </c>
      <c r="D160" t="s">
        <v>22</v>
      </c>
      <c r="E160">
        <v>163.96</v>
      </c>
      <c r="F160" s="19" t="s">
        <v>88</v>
      </c>
      <c r="G160" s="19">
        <v>45398</v>
      </c>
      <c r="H160" s="56" t="s">
        <v>89</v>
      </c>
      <c r="I160" s="55" t="s">
        <v>5467</v>
      </c>
      <c r="K160" t="s">
        <v>5468</v>
      </c>
      <c r="L160" t="s">
        <v>5469</v>
      </c>
      <c r="M160" s="55" t="s">
        <v>3932</v>
      </c>
      <c r="Q160" s="3">
        <f t="shared" si="3"/>
        <v>163.96</v>
      </c>
      <c r="S160" s="55" t="s">
        <v>5806</v>
      </c>
    </row>
    <row r="161" spans="1:19" ht="29" x14ac:dyDescent="0.35">
      <c r="A161" t="s">
        <v>0</v>
      </c>
      <c r="B161" t="s">
        <v>5426</v>
      </c>
      <c r="C161" t="s">
        <v>21</v>
      </c>
      <c r="D161" t="s">
        <v>22</v>
      </c>
      <c r="E161">
        <v>154.07</v>
      </c>
      <c r="F161" s="19" t="s">
        <v>88</v>
      </c>
      <c r="G161" s="19">
        <v>45387</v>
      </c>
      <c r="H161" s="56" t="s">
        <v>89</v>
      </c>
      <c r="I161" s="55" t="s">
        <v>5427</v>
      </c>
      <c r="K161" t="s">
        <v>277</v>
      </c>
      <c r="L161" t="s">
        <v>5428</v>
      </c>
      <c r="M161" s="55" t="s">
        <v>268</v>
      </c>
      <c r="Q161" s="3">
        <f t="shared" si="3"/>
        <v>154.07</v>
      </c>
      <c r="S161" s="55" t="s">
        <v>5806</v>
      </c>
    </row>
    <row r="162" spans="1:19" ht="29" x14ac:dyDescent="0.35">
      <c r="A162" t="s">
        <v>35</v>
      </c>
      <c r="B162" t="s">
        <v>741</v>
      </c>
      <c r="C162" t="s">
        <v>21</v>
      </c>
      <c r="D162" t="s">
        <v>22</v>
      </c>
      <c r="E162">
        <v>150</v>
      </c>
      <c r="F162" s="19" t="s">
        <v>88</v>
      </c>
      <c r="G162" s="19">
        <v>45485</v>
      </c>
      <c r="H162" s="56" t="s">
        <v>94</v>
      </c>
      <c r="I162" s="55" t="s">
        <v>5334</v>
      </c>
      <c r="J162" s="55" t="s">
        <v>5609</v>
      </c>
      <c r="M162" s="55" t="s">
        <v>5610</v>
      </c>
      <c r="Q162" s="3">
        <f t="shared" si="3"/>
        <v>150</v>
      </c>
      <c r="S162" s="55" t="s">
        <v>5806</v>
      </c>
    </row>
    <row r="163" spans="1:19" ht="29" x14ac:dyDescent="0.35">
      <c r="A163" t="s">
        <v>0</v>
      </c>
      <c r="B163" t="s">
        <v>5426</v>
      </c>
      <c r="C163" t="s">
        <v>21</v>
      </c>
      <c r="D163" t="s">
        <v>22</v>
      </c>
      <c r="E163">
        <v>148.68</v>
      </c>
      <c r="F163" s="19" t="s">
        <v>88</v>
      </c>
      <c r="G163" s="19">
        <v>45415</v>
      </c>
      <c r="H163" s="56" t="s">
        <v>89</v>
      </c>
      <c r="I163" s="55" t="s">
        <v>5499</v>
      </c>
      <c r="K163" t="s">
        <v>277</v>
      </c>
      <c r="L163" t="s">
        <v>5500</v>
      </c>
      <c r="M163" s="55" t="s">
        <v>268</v>
      </c>
      <c r="Q163" s="3">
        <f t="shared" si="3"/>
        <v>148.68</v>
      </c>
      <c r="S163" s="55" t="s">
        <v>5806</v>
      </c>
    </row>
    <row r="164" spans="1:19" ht="29" x14ac:dyDescent="0.35">
      <c r="A164" t="s">
        <v>35</v>
      </c>
      <c r="B164" t="s">
        <v>852</v>
      </c>
      <c r="C164" t="s">
        <v>21</v>
      </c>
      <c r="D164" t="s">
        <v>22</v>
      </c>
      <c r="E164">
        <v>145.27000000000001</v>
      </c>
      <c r="F164" s="19" t="s">
        <v>88</v>
      </c>
      <c r="G164" s="19">
        <v>45386</v>
      </c>
      <c r="H164" s="56" t="s">
        <v>89</v>
      </c>
      <c r="I164" s="55" t="s">
        <v>5421</v>
      </c>
      <c r="K164" t="s">
        <v>5422</v>
      </c>
      <c r="L164" t="s">
        <v>5423</v>
      </c>
      <c r="M164" s="55" t="s">
        <v>295</v>
      </c>
      <c r="Q164" s="3">
        <f t="shared" si="3"/>
        <v>145.27000000000001</v>
      </c>
      <c r="S164" s="55" t="s">
        <v>5806</v>
      </c>
    </row>
    <row r="165" spans="1:19" ht="29" x14ac:dyDescent="0.35">
      <c r="A165" t="s">
        <v>35</v>
      </c>
      <c r="B165" t="s">
        <v>708</v>
      </c>
      <c r="C165" t="s">
        <v>21</v>
      </c>
      <c r="D165" t="s">
        <v>22</v>
      </c>
      <c r="E165">
        <v>127.28</v>
      </c>
      <c r="F165" s="19" t="s">
        <v>88</v>
      </c>
      <c r="G165" s="19">
        <v>45593</v>
      </c>
      <c r="H165" s="56" t="s">
        <v>94</v>
      </c>
      <c r="I165" s="55" t="s">
        <v>298</v>
      </c>
      <c r="J165" s="55" t="s">
        <v>299</v>
      </c>
      <c r="M165" s="55" t="s">
        <v>5429</v>
      </c>
      <c r="Q165" s="3">
        <f t="shared" si="3"/>
        <v>127.28</v>
      </c>
      <c r="S165" s="55" t="s">
        <v>5806</v>
      </c>
    </row>
    <row r="166" spans="1:19" ht="29" x14ac:dyDescent="0.35">
      <c r="A166" t="s">
        <v>0</v>
      </c>
      <c r="B166" t="s">
        <v>4583</v>
      </c>
      <c r="C166" t="s">
        <v>21</v>
      </c>
      <c r="D166" t="s">
        <v>22</v>
      </c>
      <c r="E166">
        <v>112.42</v>
      </c>
      <c r="F166" s="19" t="s">
        <v>88</v>
      </c>
      <c r="G166" s="19">
        <v>45420</v>
      </c>
      <c r="H166" s="56" t="s">
        <v>89</v>
      </c>
      <c r="I166" s="55" t="s">
        <v>5514</v>
      </c>
      <c r="K166" t="s">
        <v>272</v>
      </c>
      <c r="L166" t="s">
        <v>5515</v>
      </c>
      <c r="M166" s="55" t="s">
        <v>273</v>
      </c>
      <c r="Q166" s="3">
        <f t="shared" si="3"/>
        <v>112.42</v>
      </c>
      <c r="S166" s="55" t="s">
        <v>5806</v>
      </c>
    </row>
    <row r="167" spans="1:19" ht="29" x14ac:dyDescent="0.35">
      <c r="A167" t="s">
        <v>35</v>
      </c>
      <c r="B167" t="s">
        <v>1487</v>
      </c>
      <c r="C167" t="s">
        <v>21</v>
      </c>
      <c r="D167" t="s">
        <v>22</v>
      </c>
      <c r="E167">
        <v>101.8</v>
      </c>
      <c r="F167" s="19" t="s">
        <v>88</v>
      </c>
      <c r="G167" s="19">
        <v>45488</v>
      </c>
      <c r="H167" s="56" t="s">
        <v>94</v>
      </c>
      <c r="I167" s="55" t="s">
        <v>297</v>
      </c>
      <c r="J167" s="55" t="s">
        <v>5627</v>
      </c>
      <c r="M167" s="55" t="s">
        <v>5628</v>
      </c>
      <c r="Q167" s="3">
        <f t="shared" si="3"/>
        <v>101.8</v>
      </c>
      <c r="S167" s="55" t="s">
        <v>5806</v>
      </c>
    </row>
    <row r="168" spans="1:19" ht="29" x14ac:dyDescent="0.35">
      <c r="A168" t="s">
        <v>0</v>
      </c>
      <c r="B168" t="s">
        <v>915</v>
      </c>
      <c r="C168" t="s">
        <v>21</v>
      </c>
      <c r="D168" t="s">
        <v>22</v>
      </c>
      <c r="E168">
        <v>100</v>
      </c>
      <c r="F168" s="19" t="s">
        <v>88</v>
      </c>
      <c r="G168" s="19">
        <v>45553</v>
      </c>
      <c r="H168" s="56" t="s">
        <v>89</v>
      </c>
      <c r="I168" s="55" t="s">
        <v>5692</v>
      </c>
      <c r="K168" t="s">
        <v>5693</v>
      </c>
      <c r="L168" t="s">
        <v>5694</v>
      </c>
      <c r="M168" s="55" t="s">
        <v>5695</v>
      </c>
      <c r="Q168" s="3">
        <f t="shared" si="3"/>
        <v>100</v>
      </c>
      <c r="S168" s="55" t="s">
        <v>5806</v>
      </c>
    </row>
    <row r="169" spans="1:19" ht="29" x14ac:dyDescent="0.35">
      <c r="A169" t="s">
        <v>35</v>
      </c>
      <c r="B169" t="s">
        <v>677</v>
      </c>
      <c r="C169" t="s">
        <v>21</v>
      </c>
      <c r="D169" t="s">
        <v>22</v>
      </c>
      <c r="E169">
        <v>90.9</v>
      </c>
      <c r="F169" s="19" t="s">
        <v>88</v>
      </c>
      <c r="G169" s="19">
        <v>45454</v>
      </c>
      <c r="H169" s="56" t="s">
        <v>94</v>
      </c>
      <c r="I169" s="55" t="s">
        <v>98</v>
      </c>
      <c r="J169" s="55" t="s">
        <v>5565</v>
      </c>
      <c r="M169" s="55" t="s">
        <v>5566</v>
      </c>
      <c r="Q169" s="3">
        <f t="shared" si="3"/>
        <v>90.9</v>
      </c>
      <c r="S169" s="55" t="s">
        <v>5806</v>
      </c>
    </row>
    <row r="170" spans="1:19" ht="29" x14ac:dyDescent="0.35">
      <c r="A170" t="s">
        <v>0</v>
      </c>
      <c r="B170" t="s">
        <v>601</v>
      </c>
      <c r="C170" t="s">
        <v>21</v>
      </c>
      <c r="D170" t="s">
        <v>22</v>
      </c>
      <c r="E170">
        <v>87.6</v>
      </c>
      <c r="F170" s="19" t="s">
        <v>88</v>
      </c>
      <c r="G170" s="19">
        <v>45547</v>
      </c>
      <c r="H170" s="56" t="s">
        <v>89</v>
      </c>
      <c r="I170" s="55" t="s">
        <v>5682</v>
      </c>
      <c r="K170" t="s">
        <v>5683</v>
      </c>
      <c r="L170" t="s">
        <v>5684</v>
      </c>
      <c r="M170" s="55" t="s">
        <v>5685</v>
      </c>
      <c r="Q170" s="3">
        <f t="shared" si="3"/>
        <v>87.6</v>
      </c>
      <c r="S170" s="55" t="s">
        <v>5806</v>
      </c>
    </row>
    <row r="171" spans="1:19" ht="29" x14ac:dyDescent="0.35">
      <c r="A171" t="s">
        <v>35</v>
      </c>
      <c r="B171" t="s">
        <v>2728</v>
      </c>
      <c r="C171" t="s">
        <v>21</v>
      </c>
      <c r="D171" t="s">
        <v>22</v>
      </c>
      <c r="E171">
        <v>76.739999999999995</v>
      </c>
      <c r="F171" s="19" t="s">
        <v>88</v>
      </c>
      <c r="G171" s="19">
        <v>45386</v>
      </c>
      <c r="H171" s="56" t="s">
        <v>89</v>
      </c>
      <c r="I171" s="55" t="s">
        <v>5417</v>
      </c>
      <c r="K171" t="s">
        <v>5418</v>
      </c>
      <c r="L171" t="s">
        <v>5419</v>
      </c>
      <c r="M171" s="55" t="s">
        <v>5420</v>
      </c>
      <c r="Q171" s="3">
        <f t="shared" si="3"/>
        <v>76.739999999999995</v>
      </c>
      <c r="S171" s="55" t="s">
        <v>5806</v>
      </c>
    </row>
    <row r="172" spans="1:19" ht="29" x14ac:dyDescent="0.35">
      <c r="A172" t="s">
        <v>35</v>
      </c>
      <c r="B172" t="s">
        <v>740</v>
      </c>
      <c r="C172" t="s">
        <v>21</v>
      </c>
      <c r="D172" t="s">
        <v>22</v>
      </c>
      <c r="E172">
        <v>-71.819999999999993</v>
      </c>
      <c r="F172" s="19" t="s">
        <v>88</v>
      </c>
      <c r="G172" s="19">
        <v>45467</v>
      </c>
      <c r="H172" s="56" t="s">
        <v>94</v>
      </c>
      <c r="I172" s="55" t="s">
        <v>5584</v>
      </c>
      <c r="J172" s="55" t="s">
        <v>5585</v>
      </c>
      <c r="M172" s="55" t="s">
        <v>5586</v>
      </c>
      <c r="Q172" s="3">
        <f t="shared" si="3"/>
        <v>71.819999999999993</v>
      </c>
      <c r="S172" s="55" t="s">
        <v>5806</v>
      </c>
    </row>
    <row r="173" spans="1:19" ht="29" x14ac:dyDescent="0.35">
      <c r="A173" t="s">
        <v>35</v>
      </c>
      <c r="B173" t="s">
        <v>740</v>
      </c>
      <c r="C173" t="s">
        <v>21</v>
      </c>
      <c r="D173" t="s">
        <v>22</v>
      </c>
      <c r="E173">
        <v>71.819999999999993</v>
      </c>
      <c r="F173" s="19" t="s">
        <v>88</v>
      </c>
      <c r="G173" s="19">
        <v>45467</v>
      </c>
      <c r="H173" s="56" t="s">
        <v>94</v>
      </c>
      <c r="I173" s="55" t="s">
        <v>5584</v>
      </c>
      <c r="J173" s="55" t="s">
        <v>5587</v>
      </c>
      <c r="M173" s="55" t="s">
        <v>5586</v>
      </c>
      <c r="Q173" s="3">
        <f t="shared" si="3"/>
        <v>71.819999999999993</v>
      </c>
      <c r="S173" s="55" t="s">
        <v>5806</v>
      </c>
    </row>
    <row r="174" spans="1:19" ht="29" x14ac:dyDescent="0.35">
      <c r="A174" t="s">
        <v>35</v>
      </c>
      <c r="B174" t="s">
        <v>2328</v>
      </c>
      <c r="C174" t="s">
        <v>21</v>
      </c>
      <c r="D174" t="s">
        <v>22</v>
      </c>
      <c r="E174">
        <v>66.36</v>
      </c>
      <c r="F174" s="19" t="s">
        <v>88</v>
      </c>
      <c r="G174" s="19">
        <v>45656</v>
      </c>
      <c r="H174" s="56" t="s">
        <v>94</v>
      </c>
      <c r="I174" s="55" t="s">
        <v>5803</v>
      </c>
      <c r="J174" s="55" t="s">
        <v>5804</v>
      </c>
      <c r="M174" s="55" t="s">
        <v>5805</v>
      </c>
      <c r="Q174" s="3">
        <f t="shared" si="3"/>
        <v>66.36</v>
      </c>
      <c r="S174" s="55" t="s">
        <v>5806</v>
      </c>
    </row>
    <row r="175" spans="1:19" ht="43.5" x14ac:dyDescent="0.35">
      <c r="A175" t="s">
        <v>0</v>
      </c>
      <c r="B175" t="s">
        <v>638</v>
      </c>
      <c r="C175" t="s">
        <v>21</v>
      </c>
      <c r="D175" t="s">
        <v>22</v>
      </c>
      <c r="E175">
        <v>-64.069999999999993</v>
      </c>
      <c r="F175" s="19" t="s">
        <v>88</v>
      </c>
      <c r="G175" s="19">
        <v>45583</v>
      </c>
      <c r="H175" s="56" t="s">
        <v>89</v>
      </c>
      <c r="I175" s="55" t="s">
        <v>5719</v>
      </c>
      <c r="K175" t="s">
        <v>5734</v>
      </c>
      <c r="L175" t="s">
        <v>5721</v>
      </c>
      <c r="M175" s="55" t="s">
        <v>5722</v>
      </c>
      <c r="Q175" s="3">
        <f t="shared" si="3"/>
        <v>64.069999999999993</v>
      </c>
      <c r="S175" s="55" t="s">
        <v>5806</v>
      </c>
    </row>
    <row r="176" spans="1:19" ht="29" x14ac:dyDescent="0.35">
      <c r="A176" t="s">
        <v>35</v>
      </c>
      <c r="B176" t="s">
        <v>708</v>
      </c>
      <c r="C176" t="s">
        <v>21</v>
      </c>
      <c r="D176" t="s">
        <v>22</v>
      </c>
      <c r="E176">
        <v>63.64</v>
      </c>
      <c r="F176" s="19" t="s">
        <v>88</v>
      </c>
      <c r="G176" s="19">
        <v>45387</v>
      </c>
      <c r="H176" s="56" t="s">
        <v>94</v>
      </c>
      <c r="I176" s="55" t="s">
        <v>298</v>
      </c>
      <c r="J176" s="55" t="s">
        <v>299</v>
      </c>
      <c r="M176" s="55" t="s">
        <v>5429</v>
      </c>
      <c r="Q176" s="3">
        <f t="shared" si="3"/>
        <v>63.64</v>
      </c>
      <c r="S176" s="55" t="s">
        <v>5806</v>
      </c>
    </row>
    <row r="177" spans="1:19" ht="29" x14ac:dyDescent="0.35">
      <c r="A177" t="s">
        <v>35</v>
      </c>
      <c r="B177" t="s">
        <v>708</v>
      </c>
      <c r="C177" t="s">
        <v>21</v>
      </c>
      <c r="D177" t="s">
        <v>22</v>
      </c>
      <c r="E177">
        <v>63.64</v>
      </c>
      <c r="F177" s="19" t="s">
        <v>88</v>
      </c>
      <c r="G177" s="19">
        <v>45504</v>
      </c>
      <c r="H177" s="56" t="s">
        <v>94</v>
      </c>
      <c r="I177" s="55" t="s">
        <v>298</v>
      </c>
      <c r="J177" s="55" t="s">
        <v>299</v>
      </c>
      <c r="M177" s="55" t="s">
        <v>5429</v>
      </c>
      <c r="Q177" s="3">
        <f t="shared" si="3"/>
        <v>63.64</v>
      </c>
      <c r="S177" s="55" t="s">
        <v>5806</v>
      </c>
    </row>
    <row r="178" spans="1:19" ht="29" x14ac:dyDescent="0.35">
      <c r="A178" t="s">
        <v>35</v>
      </c>
      <c r="B178" t="s">
        <v>708</v>
      </c>
      <c r="C178" t="s">
        <v>21</v>
      </c>
      <c r="D178" t="s">
        <v>22</v>
      </c>
      <c r="E178">
        <v>63.64</v>
      </c>
      <c r="F178" s="19" t="s">
        <v>88</v>
      </c>
      <c r="G178" s="19">
        <v>45520</v>
      </c>
      <c r="H178" s="56" t="s">
        <v>94</v>
      </c>
      <c r="I178" s="55" t="s">
        <v>298</v>
      </c>
      <c r="J178" s="55" t="s">
        <v>299</v>
      </c>
      <c r="M178" s="55" t="s">
        <v>5429</v>
      </c>
      <c r="Q178" s="3">
        <f t="shared" si="3"/>
        <v>63.64</v>
      </c>
      <c r="S178" s="55" t="s">
        <v>5806</v>
      </c>
    </row>
    <row r="179" spans="1:19" ht="43.5" x14ac:dyDescent="0.35">
      <c r="A179" t="s">
        <v>35</v>
      </c>
      <c r="B179" t="s">
        <v>744</v>
      </c>
      <c r="C179" t="s">
        <v>21</v>
      </c>
      <c r="D179" t="s">
        <v>22</v>
      </c>
      <c r="E179">
        <v>59.08</v>
      </c>
      <c r="F179" s="19" t="s">
        <v>88</v>
      </c>
      <c r="G179" s="19">
        <v>45411</v>
      </c>
      <c r="H179" s="56" t="s">
        <v>94</v>
      </c>
      <c r="I179" s="55" t="s">
        <v>292</v>
      </c>
      <c r="J179" s="55" t="s">
        <v>293</v>
      </c>
      <c r="M179" s="55" t="s">
        <v>5485</v>
      </c>
      <c r="Q179" s="3">
        <f t="shared" si="3"/>
        <v>59.08</v>
      </c>
      <c r="S179" s="55" t="s">
        <v>5806</v>
      </c>
    </row>
    <row r="180" spans="1:19" ht="43.5" x14ac:dyDescent="0.35">
      <c r="A180" t="s">
        <v>35</v>
      </c>
      <c r="B180" t="s">
        <v>744</v>
      </c>
      <c r="C180" t="s">
        <v>21</v>
      </c>
      <c r="D180" t="s">
        <v>22</v>
      </c>
      <c r="E180">
        <v>59.08</v>
      </c>
      <c r="F180" s="19" t="s">
        <v>88</v>
      </c>
      <c r="G180" s="19">
        <v>45420</v>
      </c>
      <c r="H180" s="56" t="s">
        <v>94</v>
      </c>
      <c r="I180" s="55" t="s">
        <v>292</v>
      </c>
      <c r="J180" s="55" t="s">
        <v>293</v>
      </c>
      <c r="M180" s="55" t="s">
        <v>5520</v>
      </c>
      <c r="Q180" s="3">
        <f t="shared" si="3"/>
        <v>59.08</v>
      </c>
      <c r="S180" s="55" t="s">
        <v>5806</v>
      </c>
    </row>
    <row r="181" spans="1:19" ht="43.5" x14ac:dyDescent="0.35">
      <c r="A181" t="s">
        <v>35</v>
      </c>
      <c r="B181" t="s">
        <v>2316</v>
      </c>
      <c r="C181" t="s">
        <v>21</v>
      </c>
      <c r="D181" t="s">
        <v>22</v>
      </c>
      <c r="E181">
        <v>59.08</v>
      </c>
      <c r="F181" s="19" t="s">
        <v>88</v>
      </c>
      <c r="G181" s="19">
        <v>45435</v>
      </c>
      <c r="H181" s="56" t="s">
        <v>94</v>
      </c>
      <c r="I181" s="55" t="s">
        <v>287</v>
      </c>
      <c r="J181" s="55" t="s">
        <v>288</v>
      </c>
      <c r="M181" s="55" t="s">
        <v>5541</v>
      </c>
      <c r="Q181" s="3">
        <f t="shared" si="3"/>
        <v>59.08</v>
      </c>
      <c r="S181" s="55" t="s">
        <v>5806</v>
      </c>
    </row>
    <row r="182" spans="1:19" ht="43.5" x14ac:dyDescent="0.35">
      <c r="A182" t="s">
        <v>35</v>
      </c>
      <c r="B182" t="s">
        <v>606</v>
      </c>
      <c r="C182" t="s">
        <v>21</v>
      </c>
      <c r="D182" t="s">
        <v>22</v>
      </c>
      <c r="E182">
        <v>59.08</v>
      </c>
      <c r="F182" s="19" t="s">
        <v>88</v>
      </c>
      <c r="G182" s="19">
        <v>45442</v>
      </c>
      <c r="H182" s="56" t="s">
        <v>94</v>
      </c>
      <c r="I182" s="55" t="s">
        <v>294</v>
      </c>
      <c r="J182" s="55" t="s">
        <v>5546</v>
      </c>
      <c r="M182" s="55" t="s">
        <v>5547</v>
      </c>
      <c r="Q182" s="3">
        <f t="shared" si="3"/>
        <v>59.08</v>
      </c>
      <c r="S182" s="55" t="s">
        <v>5806</v>
      </c>
    </row>
    <row r="183" spans="1:19" ht="43.5" x14ac:dyDescent="0.35">
      <c r="A183" t="s">
        <v>35</v>
      </c>
      <c r="B183" t="s">
        <v>744</v>
      </c>
      <c r="C183" t="s">
        <v>21</v>
      </c>
      <c r="D183" t="s">
        <v>22</v>
      </c>
      <c r="E183">
        <v>59.08</v>
      </c>
      <c r="F183" s="19" t="s">
        <v>88</v>
      </c>
      <c r="G183" s="19">
        <v>45453</v>
      </c>
      <c r="H183" s="56" t="s">
        <v>94</v>
      </c>
      <c r="I183" s="55" t="s">
        <v>292</v>
      </c>
      <c r="J183" s="55" t="s">
        <v>293</v>
      </c>
      <c r="M183" s="55" t="s">
        <v>5561</v>
      </c>
      <c r="Q183" s="3">
        <f t="shared" si="3"/>
        <v>59.08</v>
      </c>
      <c r="S183" s="55" t="s">
        <v>5806</v>
      </c>
    </row>
    <row r="184" spans="1:19" ht="43.5" x14ac:dyDescent="0.35">
      <c r="A184" t="s">
        <v>35</v>
      </c>
      <c r="B184" t="s">
        <v>2316</v>
      </c>
      <c r="C184" t="s">
        <v>21</v>
      </c>
      <c r="D184" t="s">
        <v>22</v>
      </c>
      <c r="E184">
        <v>59.08</v>
      </c>
      <c r="F184" s="19" t="s">
        <v>88</v>
      </c>
      <c r="G184" s="19">
        <v>45456</v>
      </c>
      <c r="H184" s="56" t="s">
        <v>94</v>
      </c>
      <c r="I184" s="55" t="s">
        <v>287</v>
      </c>
      <c r="J184" s="55" t="s">
        <v>288</v>
      </c>
      <c r="M184" s="55" t="s">
        <v>5571</v>
      </c>
      <c r="Q184" s="3">
        <f t="shared" si="3"/>
        <v>59.08</v>
      </c>
      <c r="S184" s="55" t="s">
        <v>5806</v>
      </c>
    </row>
    <row r="185" spans="1:19" ht="43.5" x14ac:dyDescent="0.35">
      <c r="A185" t="s">
        <v>35</v>
      </c>
      <c r="B185" t="s">
        <v>744</v>
      </c>
      <c r="C185" t="s">
        <v>21</v>
      </c>
      <c r="D185" t="s">
        <v>22</v>
      </c>
      <c r="E185">
        <v>59.08</v>
      </c>
      <c r="F185" s="19" t="s">
        <v>88</v>
      </c>
      <c r="G185" s="19">
        <v>45471</v>
      </c>
      <c r="H185" s="56" t="s">
        <v>94</v>
      </c>
      <c r="I185" s="55" t="s">
        <v>292</v>
      </c>
      <c r="J185" s="55" t="s">
        <v>293</v>
      </c>
      <c r="M185" s="55" t="s">
        <v>5591</v>
      </c>
      <c r="Q185" s="3">
        <f t="shared" si="3"/>
        <v>59.08</v>
      </c>
      <c r="S185" s="55" t="s">
        <v>5806</v>
      </c>
    </row>
    <row r="186" spans="1:19" ht="43.5" x14ac:dyDescent="0.35">
      <c r="A186" t="s">
        <v>35</v>
      </c>
      <c r="B186" t="s">
        <v>2316</v>
      </c>
      <c r="C186" t="s">
        <v>21</v>
      </c>
      <c r="D186" t="s">
        <v>22</v>
      </c>
      <c r="E186">
        <v>59.08</v>
      </c>
      <c r="F186" s="19" t="s">
        <v>88</v>
      </c>
      <c r="G186" s="19">
        <v>45485</v>
      </c>
      <c r="H186" s="56" t="s">
        <v>94</v>
      </c>
      <c r="I186" s="55" t="s">
        <v>287</v>
      </c>
      <c r="J186" s="55" t="s">
        <v>288</v>
      </c>
      <c r="M186" s="55" t="s">
        <v>5613</v>
      </c>
      <c r="Q186" s="3">
        <f t="shared" si="3"/>
        <v>59.08</v>
      </c>
      <c r="S186" s="55" t="s">
        <v>5806</v>
      </c>
    </row>
    <row r="187" spans="1:19" ht="43.5" x14ac:dyDescent="0.35">
      <c r="A187" t="s">
        <v>35</v>
      </c>
      <c r="B187" t="s">
        <v>2316</v>
      </c>
      <c r="C187" t="s">
        <v>21</v>
      </c>
      <c r="D187" t="s">
        <v>22</v>
      </c>
      <c r="E187">
        <v>59.08</v>
      </c>
      <c r="F187" s="19" t="s">
        <v>88</v>
      </c>
      <c r="G187" s="19">
        <v>45524</v>
      </c>
      <c r="H187" s="56" t="s">
        <v>94</v>
      </c>
      <c r="I187" s="55" t="s">
        <v>287</v>
      </c>
      <c r="J187" s="55" t="s">
        <v>288</v>
      </c>
      <c r="M187" s="55" t="s">
        <v>5665</v>
      </c>
      <c r="Q187" s="3">
        <f t="shared" si="3"/>
        <v>59.08</v>
      </c>
      <c r="S187" s="55" t="s">
        <v>5806</v>
      </c>
    </row>
    <row r="188" spans="1:19" ht="43.5" x14ac:dyDescent="0.35">
      <c r="A188" t="s">
        <v>35</v>
      </c>
      <c r="B188" t="s">
        <v>2316</v>
      </c>
      <c r="C188" t="s">
        <v>21</v>
      </c>
      <c r="D188" t="s">
        <v>22</v>
      </c>
      <c r="E188">
        <v>59.08</v>
      </c>
      <c r="F188" s="19" t="s">
        <v>88</v>
      </c>
      <c r="G188" s="19">
        <v>45524</v>
      </c>
      <c r="H188" s="56" t="s">
        <v>94</v>
      </c>
      <c r="I188" s="55" t="s">
        <v>287</v>
      </c>
      <c r="J188" s="55" t="s">
        <v>288</v>
      </c>
      <c r="M188" s="55" t="s">
        <v>5666</v>
      </c>
      <c r="Q188" s="3">
        <f t="shared" si="3"/>
        <v>59.08</v>
      </c>
      <c r="S188" s="55" t="s">
        <v>5806</v>
      </c>
    </row>
    <row r="189" spans="1:19" ht="43.5" x14ac:dyDescent="0.35">
      <c r="A189" t="s">
        <v>35</v>
      </c>
      <c r="B189" t="s">
        <v>606</v>
      </c>
      <c r="C189" t="s">
        <v>21</v>
      </c>
      <c r="D189" t="s">
        <v>22</v>
      </c>
      <c r="E189">
        <v>59.08</v>
      </c>
      <c r="F189" s="19" t="s">
        <v>88</v>
      </c>
      <c r="G189" s="19">
        <v>45560</v>
      </c>
      <c r="H189" s="56" t="s">
        <v>94</v>
      </c>
      <c r="I189" s="55" t="s">
        <v>294</v>
      </c>
      <c r="J189" s="55" t="s">
        <v>5704</v>
      </c>
      <c r="M189" s="55" t="s">
        <v>5705</v>
      </c>
      <c r="Q189" s="3">
        <f t="shared" si="3"/>
        <v>59.08</v>
      </c>
      <c r="S189" s="55" t="s">
        <v>5806</v>
      </c>
    </row>
    <row r="190" spans="1:19" ht="43.5" x14ac:dyDescent="0.35">
      <c r="A190" t="s">
        <v>35</v>
      </c>
      <c r="B190" t="s">
        <v>606</v>
      </c>
      <c r="C190" t="s">
        <v>21</v>
      </c>
      <c r="D190" t="s">
        <v>22</v>
      </c>
      <c r="E190">
        <v>59.08</v>
      </c>
      <c r="F190" s="19" t="s">
        <v>88</v>
      </c>
      <c r="G190" s="19">
        <v>45560</v>
      </c>
      <c r="H190" s="56" t="s">
        <v>94</v>
      </c>
      <c r="I190" s="55" t="s">
        <v>294</v>
      </c>
      <c r="J190" s="55" t="s">
        <v>5706</v>
      </c>
      <c r="M190" s="55" t="s">
        <v>5707</v>
      </c>
      <c r="Q190" s="3">
        <f t="shared" si="3"/>
        <v>59.08</v>
      </c>
      <c r="S190" s="55" t="s">
        <v>5806</v>
      </c>
    </row>
    <row r="191" spans="1:19" ht="43.5" x14ac:dyDescent="0.35">
      <c r="A191" t="s">
        <v>35</v>
      </c>
      <c r="B191" t="s">
        <v>606</v>
      </c>
      <c r="C191" t="s">
        <v>21</v>
      </c>
      <c r="D191" t="s">
        <v>22</v>
      </c>
      <c r="E191">
        <v>59.08</v>
      </c>
      <c r="F191" s="19" t="s">
        <v>88</v>
      </c>
      <c r="G191" s="19">
        <v>45560</v>
      </c>
      <c r="H191" s="56" t="s">
        <v>94</v>
      </c>
      <c r="I191" s="55" t="s">
        <v>294</v>
      </c>
      <c r="J191" s="55" t="s">
        <v>5708</v>
      </c>
      <c r="M191" s="55" t="s">
        <v>5709</v>
      </c>
      <c r="Q191" s="3">
        <f t="shared" si="3"/>
        <v>59.08</v>
      </c>
      <c r="S191" s="55" t="s">
        <v>5806</v>
      </c>
    </row>
    <row r="192" spans="1:19" ht="43.5" x14ac:dyDescent="0.35">
      <c r="A192" t="s">
        <v>35</v>
      </c>
      <c r="B192" t="s">
        <v>606</v>
      </c>
      <c r="C192" t="s">
        <v>21</v>
      </c>
      <c r="D192" t="s">
        <v>22</v>
      </c>
      <c r="E192">
        <v>59.08</v>
      </c>
      <c r="F192" s="19" t="s">
        <v>88</v>
      </c>
      <c r="G192" s="19">
        <v>45560</v>
      </c>
      <c r="H192" s="56" t="s">
        <v>94</v>
      </c>
      <c r="I192" s="55" t="s">
        <v>294</v>
      </c>
      <c r="J192" s="55" t="s">
        <v>5710</v>
      </c>
      <c r="M192" s="55" t="s">
        <v>5711</v>
      </c>
      <c r="Q192" s="3">
        <f t="shared" si="3"/>
        <v>59.08</v>
      </c>
      <c r="S192" s="55" t="s">
        <v>5806</v>
      </c>
    </row>
    <row r="193" spans="1:19" ht="43.5" x14ac:dyDescent="0.35">
      <c r="A193" t="s">
        <v>35</v>
      </c>
      <c r="B193" t="s">
        <v>2316</v>
      </c>
      <c r="C193" t="s">
        <v>21</v>
      </c>
      <c r="D193" t="s">
        <v>22</v>
      </c>
      <c r="E193">
        <v>59.08</v>
      </c>
      <c r="F193" s="19" t="s">
        <v>88</v>
      </c>
      <c r="G193" s="19">
        <v>45586</v>
      </c>
      <c r="H193" s="56" t="s">
        <v>94</v>
      </c>
      <c r="I193" s="55" t="s">
        <v>287</v>
      </c>
      <c r="J193" s="55" t="s">
        <v>288</v>
      </c>
      <c r="M193" s="55" t="s">
        <v>5738</v>
      </c>
      <c r="Q193" s="3">
        <f t="shared" si="3"/>
        <v>59.08</v>
      </c>
      <c r="S193" s="55" t="s">
        <v>5806</v>
      </c>
    </row>
    <row r="194" spans="1:19" ht="43.5" x14ac:dyDescent="0.35">
      <c r="A194" t="s">
        <v>35</v>
      </c>
      <c r="B194" t="s">
        <v>2316</v>
      </c>
      <c r="C194" t="s">
        <v>21</v>
      </c>
      <c r="D194" t="s">
        <v>22</v>
      </c>
      <c r="E194">
        <v>59.08</v>
      </c>
      <c r="F194" s="19" t="s">
        <v>88</v>
      </c>
      <c r="G194" s="19">
        <v>45631</v>
      </c>
      <c r="H194" s="56" t="s">
        <v>94</v>
      </c>
      <c r="I194" s="55" t="s">
        <v>287</v>
      </c>
      <c r="J194" s="55" t="s">
        <v>288</v>
      </c>
      <c r="M194" s="55" t="s">
        <v>5774</v>
      </c>
      <c r="Q194" s="3">
        <f t="shared" si="3"/>
        <v>59.08</v>
      </c>
      <c r="S194" s="55" t="s">
        <v>5806</v>
      </c>
    </row>
    <row r="195" spans="1:19" ht="43.5" x14ac:dyDescent="0.35">
      <c r="A195" t="s">
        <v>35</v>
      </c>
      <c r="B195" t="s">
        <v>2316</v>
      </c>
      <c r="C195" t="s">
        <v>21</v>
      </c>
      <c r="D195" t="s">
        <v>22</v>
      </c>
      <c r="E195">
        <v>59.08</v>
      </c>
      <c r="F195" s="19" t="s">
        <v>88</v>
      </c>
      <c r="G195" s="19">
        <v>45644</v>
      </c>
      <c r="H195" s="56" t="s">
        <v>94</v>
      </c>
      <c r="I195" s="55" t="s">
        <v>287</v>
      </c>
      <c r="J195" s="55" t="s">
        <v>288</v>
      </c>
      <c r="M195" s="55" t="s">
        <v>5798</v>
      </c>
      <c r="Q195" s="3">
        <f t="shared" si="3"/>
        <v>59.08</v>
      </c>
      <c r="S195" s="55" t="s">
        <v>5806</v>
      </c>
    </row>
    <row r="196" spans="1:19" ht="29" x14ac:dyDescent="0.35">
      <c r="A196" t="s">
        <v>35</v>
      </c>
      <c r="B196" t="s">
        <v>1487</v>
      </c>
      <c r="C196" t="s">
        <v>21</v>
      </c>
      <c r="D196" t="s">
        <v>22</v>
      </c>
      <c r="E196">
        <v>54.550000000000004</v>
      </c>
      <c r="F196" s="19" t="s">
        <v>88</v>
      </c>
      <c r="G196" s="19">
        <v>45488</v>
      </c>
      <c r="H196" s="56" t="s">
        <v>94</v>
      </c>
      <c r="I196" s="55" t="s">
        <v>355</v>
      </c>
      <c r="J196" s="55" t="s">
        <v>352</v>
      </c>
      <c r="M196" s="55" t="s">
        <v>529</v>
      </c>
      <c r="Q196" s="3">
        <f t="shared" si="3"/>
        <v>54.550000000000004</v>
      </c>
      <c r="S196" s="55" t="s">
        <v>5806</v>
      </c>
    </row>
    <row r="197" spans="1:19" ht="29" x14ac:dyDescent="0.35">
      <c r="A197" t="s">
        <v>35</v>
      </c>
      <c r="B197" t="s">
        <v>2728</v>
      </c>
      <c r="C197" t="s">
        <v>21</v>
      </c>
      <c r="D197" t="s">
        <v>22</v>
      </c>
      <c r="E197">
        <v>53.89</v>
      </c>
      <c r="F197" s="19" t="s">
        <v>88</v>
      </c>
      <c r="G197" s="19">
        <v>45419</v>
      </c>
      <c r="H197" s="56" t="s">
        <v>89</v>
      </c>
      <c r="I197" s="55" t="s">
        <v>5511</v>
      </c>
      <c r="K197" t="s">
        <v>5512</v>
      </c>
      <c r="L197" t="s">
        <v>5513</v>
      </c>
      <c r="M197" s="55" t="s">
        <v>5420</v>
      </c>
      <c r="Q197" s="3">
        <f t="shared" si="3"/>
        <v>53.89</v>
      </c>
      <c r="S197" s="55" t="s">
        <v>5806</v>
      </c>
    </row>
    <row r="198" spans="1:19" ht="43.5" x14ac:dyDescent="0.35">
      <c r="A198" t="s">
        <v>35</v>
      </c>
      <c r="B198" t="s">
        <v>638</v>
      </c>
      <c r="C198" t="s">
        <v>21</v>
      </c>
      <c r="D198" t="s">
        <v>22</v>
      </c>
      <c r="E198">
        <v>53.64</v>
      </c>
      <c r="F198" s="19" t="s">
        <v>88</v>
      </c>
      <c r="G198" s="19">
        <v>45456</v>
      </c>
      <c r="H198" s="56" t="s">
        <v>94</v>
      </c>
      <c r="I198" s="55" t="s">
        <v>287</v>
      </c>
      <c r="J198" s="55" t="s">
        <v>288</v>
      </c>
      <c r="M198" s="55" t="s">
        <v>5569</v>
      </c>
      <c r="Q198" s="3">
        <f t="shared" si="3"/>
        <v>53.64</v>
      </c>
      <c r="S198" s="55" t="s">
        <v>5806</v>
      </c>
    </row>
    <row r="199" spans="1:19" ht="43.5" x14ac:dyDescent="0.35">
      <c r="A199" t="s">
        <v>35</v>
      </c>
      <c r="B199" t="s">
        <v>2316</v>
      </c>
      <c r="C199" t="s">
        <v>21</v>
      </c>
      <c r="D199" t="s">
        <v>22</v>
      </c>
      <c r="E199">
        <v>53.64</v>
      </c>
      <c r="F199" s="19" t="s">
        <v>88</v>
      </c>
      <c r="G199" s="19">
        <v>45456</v>
      </c>
      <c r="H199" s="56" t="s">
        <v>94</v>
      </c>
      <c r="I199" s="55" t="s">
        <v>287</v>
      </c>
      <c r="J199" s="55" t="s">
        <v>288</v>
      </c>
      <c r="M199" s="55" t="s">
        <v>5570</v>
      </c>
      <c r="Q199" s="3">
        <f t="shared" si="3"/>
        <v>53.64</v>
      </c>
      <c r="S199" s="55" t="s">
        <v>5806</v>
      </c>
    </row>
    <row r="200" spans="1:19" ht="29" x14ac:dyDescent="0.35">
      <c r="A200" t="s">
        <v>35</v>
      </c>
      <c r="B200" t="s">
        <v>1487</v>
      </c>
      <c r="C200" t="s">
        <v>21</v>
      </c>
      <c r="D200" t="s">
        <v>22</v>
      </c>
      <c r="E200">
        <v>50.9</v>
      </c>
      <c r="F200" s="19" t="s">
        <v>88</v>
      </c>
      <c r="G200" s="19">
        <v>45488</v>
      </c>
      <c r="H200" s="56" t="s">
        <v>94</v>
      </c>
      <c r="I200" s="55" t="s">
        <v>297</v>
      </c>
      <c r="J200" s="55" t="s">
        <v>353</v>
      </c>
      <c r="M200" s="55" t="s">
        <v>5628</v>
      </c>
      <c r="Q200" s="3">
        <f t="shared" ref="Q200:Q231" si="4">ABS(E200)</f>
        <v>50.9</v>
      </c>
      <c r="S200" s="55" t="s">
        <v>5806</v>
      </c>
    </row>
    <row r="201" spans="1:19" ht="43.5" x14ac:dyDescent="0.35">
      <c r="A201" t="s">
        <v>35</v>
      </c>
      <c r="B201" t="s">
        <v>805</v>
      </c>
      <c r="C201" t="s">
        <v>21</v>
      </c>
      <c r="D201" t="s">
        <v>22</v>
      </c>
      <c r="E201">
        <v>49.84</v>
      </c>
      <c r="F201" s="19" t="s">
        <v>88</v>
      </c>
      <c r="G201" s="19">
        <v>45461</v>
      </c>
      <c r="H201" s="56" t="s">
        <v>94</v>
      </c>
      <c r="I201" s="55" t="s">
        <v>286</v>
      </c>
      <c r="J201" s="55" t="s">
        <v>5579</v>
      </c>
      <c r="M201" s="55" t="s">
        <v>5533</v>
      </c>
      <c r="Q201" s="3">
        <f t="shared" si="4"/>
        <v>49.84</v>
      </c>
      <c r="S201" s="55" t="s">
        <v>5806</v>
      </c>
    </row>
    <row r="202" spans="1:19" ht="43.5" x14ac:dyDescent="0.35">
      <c r="A202" t="s">
        <v>35</v>
      </c>
      <c r="B202" t="s">
        <v>805</v>
      </c>
      <c r="C202" t="s">
        <v>21</v>
      </c>
      <c r="D202" t="s">
        <v>22</v>
      </c>
      <c r="E202">
        <v>49.84</v>
      </c>
      <c r="F202" s="19" t="s">
        <v>88</v>
      </c>
      <c r="G202" s="19">
        <v>45544</v>
      </c>
      <c r="H202" s="56" t="s">
        <v>94</v>
      </c>
      <c r="I202" s="55" t="s">
        <v>286</v>
      </c>
      <c r="J202" s="55" t="s">
        <v>5679</v>
      </c>
      <c r="M202" s="55" t="s">
        <v>5533</v>
      </c>
      <c r="Q202" s="3">
        <f t="shared" si="4"/>
        <v>49.84</v>
      </c>
      <c r="S202" s="55" t="s">
        <v>5806</v>
      </c>
    </row>
    <row r="203" spans="1:19" ht="29" x14ac:dyDescent="0.35">
      <c r="A203" t="s">
        <v>0</v>
      </c>
      <c r="B203" t="s">
        <v>825</v>
      </c>
      <c r="C203" t="s">
        <v>21</v>
      </c>
      <c r="D203" t="s">
        <v>22</v>
      </c>
      <c r="E203">
        <v>49.66</v>
      </c>
      <c r="F203" s="19" t="s">
        <v>88</v>
      </c>
      <c r="G203" s="19">
        <v>45390</v>
      </c>
      <c r="H203" s="56" t="s">
        <v>89</v>
      </c>
      <c r="I203" s="55" t="s">
        <v>5432</v>
      </c>
      <c r="K203" t="s">
        <v>5433</v>
      </c>
      <c r="L203" t="s">
        <v>5434</v>
      </c>
      <c r="M203" s="55" t="s">
        <v>266</v>
      </c>
      <c r="Q203" s="3">
        <f t="shared" si="4"/>
        <v>49.66</v>
      </c>
      <c r="S203" s="55" t="s">
        <v>5806</v>
      </c>
    </row>
    <row r="204" spans="1:19" ht="29" x14ac:dyDescent="0.35">
      <c r="A204" t="s">
        <v>0</v>
      </c>
      <c r="B204" t="s">
        <v>788</v>
      </c>
      <c r="C204" t="s">
        <v>21</v>
      </c>
      <c r="D204" t="s">
        <v>22</v>
      </c>
      <c r="E204">
        <v>41.9</v>
      </c>
      <c r="F204" s="19" t="s">
        <v>88</v>
      </c>
      <c r="G204" s="19">
        <v>45390</v>
      </c>
      <c r="H204" s="56" t="s">
        <v>89</v>
      </c>
      <c r="I204" s="55" t="s">
        <v>5435</v>
      </c>
      <c r="K204" t="s">
        <v>274</v>
      </c>
      <c r="L204" t="s">
        <v>5436</v>
      </c>
      <c r="M204" s="55" t="s">
        <v>275</v>
      </c>
      <c r="Q204" s="3">
        <f t="shared" si="4"/>
        <v>41.9</v>
      </c>
      <c r="S204" s="55" t="s">
        <v>5806</v>
      </c>
    </row>
    <row r="205" spans="1:19" ht="29" x14ac:dyDescent="0.35">
      <c r="A205" t="s">
        <v>0</v>
      </c>
      <c r="B205" t="s">
        <v>788</v>
      </c>
      <c r="C205" t="s">
        <v>21</v>
      </c>
      <c r="D205" t="s">
        <v>22</v>
      </c>
      <c r="E205">
        <v>41.9</v>
      </c>
      <c r="F205" s="19" t="s">
        <v>88</v>
      </c>
      <c r="G205" s="19">
        <v>45413</v>
      </c>
      <c r="H205" s="56" t="s">
        <v>89</v>
      </c>
      <c r="I205" s="55" t="s">
        <v>5494</v>
      </c>
      <c r="K205" t="s">
        <v>274</v>
      </c>
      <c r="L205" t="s">
        <v>5495</v>
      </c>
      <c r="M205" s="55" t="s">
        <v>275</v>
      </c>
      <c r="Q205" s="3">
        <f t="shared" si="4"/>
        <v>41.9</v>
      </c>
      <c r="S205" s="55" t="s">
        <v>5806</v>
      </c>
    </row>
    <row r="206" spans="1:19" ht="29" x14ac:dyDescent="0.35">
      <c r="A206" t="s">
        <v>0</v>
      </c>
      <c r="B206" t="s">
        <v>825</v>
      </c>
      <c r="C206" t="s">
        <v>21</v>
      </c>
      <c r="D206" t="s">
        <v>22</v>
      </c>
      <c r="E206">
        <v>39.78</v>
      </c>
      <c r="F206" s="19" t="s">
        <v>88</v>
      </c>
      <c r="G206" s="19">
        <v>45413</v>
      </c>
      <c r="H206" s="56" t="s">
        <v>89</v>
      </c>
      <c r="I206" s="55" t="s">
        <v>5492</v>
      </c>
      <c r="K206" t="s">
        <v>265</v>
      </c>
      <c r="L206" t="s">
        <v>5493</v>
      </c>
      <c r="M206" s="55" t="s">
        <v>266</v>
      </c>
      <c r="Q206" s="3">
        <f t="shared" si="4"/>
        <v>39.78</v>
      </c>
      <c r="S206" s="55" t="s">
        <v>5806</v>
      </c>
    </row>
    <row r="207" spans="1:19" ht="29" x14ac:dyDescent="0.35">
      <c r="A207" t="s">
        <v>35</v>
      </c>
      <c r="B207" t="s">
        <v>909</v>
      </c>
      <c r="C207" t="s">
        <v>21</v>
      </c>
      <c r="D207" t="s">
        <v>22</v>
      </c>
      <c r="E207">
        <v>34.630000000000003</v>
      </c>
      <c r="F207" s="19" t="s">
        <v>88</v>
      </c>
      <c r="G207" s="19">
        <v>45415</v>
      </c>
      <c r="H207" s="56" t="s">
        <v>89</v>
      </c>
      <c r="I207" s="55" t="s">
        <v>5503</v>
      </c>
      <c r="K207" t="s">
        <v>5504</v>
      </c>
      <c r="L207" t="s">
        <v>5505</v>
      </c>
      <c r="M207" s="55" t="s">
        <v>283</v>
      </c>
      <c r="Q207" s="3">
        <f t="shared" si="4"/>
        <v>34.630000000000003</v>
      </c>
      <c r="S207" s="55" t="s">
        <v>5806</v>
      </c>
    </row>
    <row r="208" spans="1:19" ht="29" x14ac:dyDescent="0.35">
      <c r="A208" t="s">
        <v>35</v>
      </c>
      <c r="B208" t="s">
        <v>909</v>
      </c>
      <c r="C208" t="s">
        <v>21</v>
      </c>
      <c r="D208" t="s">
        <v>22</v>
      </c>
      <c r="E208">
        <v>34.61</v>
      </c>
      <c r="F208" s="19" t="s">
        <v>88</v>
      </c>
      <c r="G208" s="19">
        <v>45384</v>
      </c>
      <c r="H208" s="56" t="s">
        <v>89</v>
      </c>
      <c r="I208" s="55" t="s">
        <v>5401</v>
      </c>
      <c r="K208" t="s">
        <v>5402</v>
      </c>
      <c r="L208" t="s">
        <v>5403</v>
      </c>
      <c r="M208" s="55" t="s">
        <v>283</v>
      </c>
      <c r="Q208" s="3">
        <f t="shared" si="4"/>
        <v>34.61</v>
      </c>
      <c r="S208" s="55" t="s">
        <v>5806</v>
      </c>
    </row>
    <row r="209" spans="1:19" ht="29" x14ac:dyDescent="0.35">
      <c r="A209" t="s">
        <v>0</v>
      </c>
      <c r="B209" t="s">
        <v>615</v>
      </c>
      <c r="C209" t="s">
        <v>21</v>
      </c>
      <c r="D209" t="s">
        <v>22</v>
      </c>
      <c r="E209">
        <v>34.26</v>
      </c>
      <c r="F209" s="19" t="s">
        <v>88</v>
      </c>
      <c r="G209" s="19">
        <v>45385</v>
      </c>
      <c r="H209" s="56" t="s">
        <v>89</v>
      </c>
      <c r="I209" s="55" t="s">
        <v>5407</v>
      </c>
      <c r="K209" t="s">
        <v>280</v>
      </c>
      <c r="L209" t="s">
        <v>5408</v>
      </c>
      <c r="M209" s="55" t="s">
        <v>278</v>
      </c>
      <c r="Q209" s="3">
        <f t="shared" si="4"/>
        <v>34.26</v>
      </c>
      <c r="S209" s="55" t="s">
        <v>5806</v>
      </c>
    </row>
    <row r="210" spans="1:19" ht="29" x14ac:dyDescent="0.35">
      <c r="A210" t="s">
        <v>35</v>
      </c>
      <c r="B210" t="s">
        <v>805</v>
      </c>
      <c r="C210" t="s">
        <v>21</v>
      </c>
      <c r="D210" t="s">
        <v>22</v>
      </c>
      <c r="E210">
        <v>32.85</v>
      </c>
      <c r="F210" s="19" t="s">
        <v>88</v>
      </c>
      <c r="G210" s="19">
        <v>45404</v>
      </c>
      <c r="H210" s="56" t="s">
        <v>94</v>
      </c>
      <c r="I210" s="55" t="s">
        <v>286</v>
      </c>
      <c r="J210" s="55" t="s">
        <v>290</v>
      </c>
      <c r="M210" s="55" t="s">
        <v>5481</v>
      </c>
      <c r="Q210" s="3">
        <f t="shared" si="4"/>
        <v>32.85</v>
      </c>
      <c r="S210" s="55" t="s">
        <v>5806</v>
      </c>
    </row>
    <row r="211" spans="1:19" ht="29" x14ac:dyDescent="0.35">
      <c r="A211" t="s">
        <v>35</v>
      </c>
      <c r="B211" t="s">
        <v>805</v>
      </c>
      <c r="C211" t="s">
        <v>21</v>
      </c>
      <c r="D211" t="s">
        <v>22</v>
      </c>
      <c r="E211">
        <v>32.85</v>
      </c>
      <c r="F211" s="19" t="s">
        <v>88</v>
      </c>
      <c r="G211" s="19">
        <v>45434</v>
      </c>
      <c r="H211" s="56" t="s">
        <v>94</v>
      </c>
      <c r="I211" s="55" t="s">
        <v>286</v>
      </c>
      <c r="J211" s="55" t="s">
        <v>290</v>
      </c>
      <c r="M211" s="55" t="s">
        <v>5534</v>
      </c>
      <c r="Q211" s="3">
        <f t="shared" si="4"/>
        <v>32.85</v>
      </c>
      <c r="S211" s="55" t="s">
        <v>5806</v>
      </c>
    </row>
    <row r="212" spans="1:19" ht="29" x14ac:dyDescent="0.35">
      <c r="A212" t="s">
        <v>35</v>
      </c>
      <c r="B212" t="s">
        <v>805</v>
      </c>
      <c r="C212" t="s">
        <v>21</v>
      </c>
      <c r="D212" t="s">
        <v>22</v>
      </c>
      <c r="E212">
        <v>32.85</v>
      </c>
      <c r="F212" s="19" t="s">
        <v>88</v>
      </c>
      <c r="G212" s="19">
        <v>45477</v>
      </c>
      <c r="H212" s="56" t="s">
        <v>94</v>
      </c>
      <c r="I212" s="55" t="s">
        <v>286</v>
      </c>
      <c r="J212" s="55" t="s">
        <v>290</v>
      </c>
      <c r="M212" s="55" t="s">
        <v>5596</v>
      </c>
      <c r="Q212" s="3">
        <f t="shared" si="4"/>
        <v>32.85</v>
      </c>
      <c r="S212" s="55" t="s">
        <v>5806</v>
      </c>
    </row>
    <row r="213" spans="1:19" ht="29" x14ac:dyDescent="0.35">
      <c r="A213" t="s">
        <v>35</v>
      </c>
      <c r="B213" t="s">
        <v>805</v>
      </c>
      <c r="C213" t="s">
        <v>21</v>
      </c>
      <c r="D213" t="s">
        <v>22</v>
      </c>
      <c r="E213">
        <v>32.85</v>
      </c>
      <c r="F213" s="19" t="s">
        <v>88</v>
      </c>
      <c r="G213" s="19">
        <v>45510</v>
      </c>
      <c r="H213" s="56" t="s">
        <v>94</v>
      </c>
      <c r="I213" s="55" t="s">
        <v>286</v>
      </c>
      <c r="J213" s="55" t="s">
        <v>290</v>
      </c>
      <c r="M213" s="55" t="s">
        <v>5657</v>
      </c>
      <c r="Q213" s="3">
        <f t="shared" si="4"/>
        <v>32.85</v>
      </c>
      <c r="S213" s="55" t="s">
        <v>5806</v>
      </c>
    </row>
    <row r="214" spans="1:19" ht="29" x14ac:dyDescent="0.35">
      <c r="A214" t="s">
        <v>35</v>
      </c>
      <c r="B214" t="s">
        <v>805</v>
      </c>
      <c r="C214" t="s">
        <v>21</v>
      </c>
      <c r="D214" t="s">
        <v>22</v>
      </c>
      <c r="E214">
        <v>32.85</v>
      </c>
      <c r="F214" s="19" t="s">
        <v>88</v>
      </c>
      <c r="G214" s="19">
        <v>45544</v>
      </c>
      <c r="H214" s="56" t="s">
        <v>94</v>
      </c>
      <c r="I214" s="55" t="s">
        <v>286</v>
      </c>
      <c r="J214" s="55" t="s">
        <v>5680</v>
      </c>
      <c r="M214" s="55" t="s">
        <v>5681</v>
      </c>
      <c r="Q214" s="3">
        <f t="shared" si="4"/>
        <v>32.85</v>
      </c>
      <c r="S214" s="55" t="s">
        <v>5806</v>
      </c>
    </row>
    <row r="215" spans="1:19" ht="29" x14ac:dyDescent="0.35">
      <c r="A215" t="s">
        <v>35</v>
      </c>
      <c r="B215" t="s">
        <v>805</v>
      </c>
      <c r="C215" t="s">
        <v>21</v>
      </c>
      <c r="D215" t="s">
        <v>22</v>
      </c>
      <c r="E215">
        <v>32.85</v>
      </c>
      <c r="F215" s="19" t="s">
        <v>88</v>
      </c>
      <c r="G215" s="19">
        <v>45562</v>
      </c>
      <c r="H215" s="56" t="s">
        <v>94</v>
      </c>
      <c r="I215" s="55" t="s">
        <v>286</v>
      </c>
      <c r="J215" s="55" t="s">
        <v>290</v>
      </c>
      <c r="M215" s="55" t="s">
        <v>5712</v>
      </c>
      <c r="Q215" s="3">
        <f t="shared" si="4"/>
        <v>32.85</v>
      </c>
      <c r="S215" s="55" t="s">
        <v>5806</v>
      </c>
    </row>
    <row r="216" spans="1:19" ht="29" x14ac:dyDescent="0.35">
      <c r="A216" t="s">
        <v>35</v>
      </c>
      <c r="B216" t="s">
        <v>805</v>
      </c>
      <c r="C216" t="s">
        <v>21</v>
      </c>
      <c r="D216" t="s">
        <v>22</v>
      </c>
      <c r="E216">
        <v>32.85</v>
      </c>
      <c r="F216" s="19" t="s">
        <v>88</v>
      </c>
      <c r="G216" s="19">
        <v>45601</v>
      </c>
      <c r="H216" s="56" t="s">
        <v>94</v>
      </c>
      <c r="I216" s="55" t="s">
        <v>286</v>
      </c>
      <c r="J216" s="55" t="s">
        <v>290</v>
      </c>
      <c r="M216" s="55" t="s">
        <v>5742</v>
      </c>
      <c r="Q216" s="3">
        <f t="shared" si="4"/>
        <v>32.85</v>
      </c>
      <c r="S216" s="55" t="s">
        <v>5806</v>
      </c>
    </row>
    <row r="217" spans="1:19" ht="29" x14ac:dyDescent="0.35">
      <c r="A217" t="s">
        <v>35</v>
      </c>
      <c r="B217" t="s">
        <v>805</v>
      </c>
      <c r="C217" t="s">
        <v>21</v>
      </c>
      <c r="D217" t="s">
        <v>22</v>
      </c>
      <c r="E217">
        <v>32.85</v>
      </c>
      <c r="F217" s="19" t="s">
        <v>88</v>
      </c>
      <c r="G217" s="19">
        <v>45622</v>
      </c>
      <c r="H217" s="56" t="s">
        <v>94</v>
      </c>
      <c r="I217" s="55" t="s">
        <v>286</v>
      </c>
      <c r="J217" s="55" t="s">
        <v>290</v>
      </c>
      <c r="M217" s="55" t="s">
        <v>5757</v>
      </c>
      <c r="Q217" s="3">
        <f t="shared" si="4"/>
        <v>32.85</v>
      </c>
      <c r="S217" s="55" t="s">
        <v>5806</v>
      </c>
    </row>
    <row r="218" spans="1:19" ht="29" x14ac:dyDescent="0.35">
      <c r="A218" t="s">
        <v>35</v>
      </c>
      <c r="B218" t="s">
        <v>805</v>
      </c>
      <c r="C218" t="s">
        <v>21</v>
      </c>
      <c r="D218" t="s">
        <v>22</v>
      </c>
      <c r="E218">
        <v>32.85</v>
      </c>
      <c r="F218" s="19" t="s">
        <v>88</v>
      </c>
      <c r="G218" s="19">
        <v>45650</v>
      </c>
      <c r="H218" s="56" t="s">
        <v>94</v>
      </c>
      <c r="I218" s="55" t="s">
        <v>286</v>
      </c>
      <c r="J218" s="55" t="s">
        <v>290</v>
      </c>
      <c r="M218" s="55" t="s">
        <v>5799</v>
      </c>
      <c r="Q218" s="3">
        <f t="shared" si="4"/>
        <v>32.85</v>
      </c>
      <c r="S218" s="55" t="s">
        <v>5806</v>
      </c>
    </row>
    <row r="219" spans="1:19" ht="29" x14ac:dyDescent="0.35">
      <c r="A219" t="s">
        <v>35</v>
      </c>
      <c r="B219" t="s">
        <v>708</v>
      </c>
      <c r="C219" t="s">
        <v>21</v>
      </c>
      <c r="D219" t="s">
        <v>22</v>
      </c>
      <c r="E219">
        <v>31.82</v>
      </c>
      <c r="F219" s="19" t="s">
        <v>88</v>
      </c>
      <c r="G219" s="19">
        <v>45482</v>
      </c>
      <c r="H219" s="56" t="s">
        <v>94</v>
      </c>
      <c r="I219" s="55" t="s">
        <v>298</v>
      </c>
      <c r="J219" s="55" t="s">
        <v>299</v>
      </c>
      <c r="M219" s="55" t="s">
        <v>5429</v>
      </c>
      <c r="Q219" s="3">
        <f t="shared" si="4"/>
        <v>31.82</v>
      </c>
      <c r="S219" s="55" t="s">
        <v>5806</v>
      </c>
    </row>
    <row r="220" spans="1:19" ht="29" x14ac:dyDescent="0.35">
      <c r="A220" t="s">
        <v>35</v>
      </c>
      <c r="B220" t="s">
        <v>708</v>
      </c>
      <c r="C220" t="s">
        <v>21</v>
      </c>
      <c r="D220" t="s">
        <v>22</v>
      </c>
      <c r="E220">
        <v>31.82</v>
      </c>
      <c r="F220" s="19" t="s">
        <v>88</v>
      </c>
      <c r="G220" s="19">
        <v>45539</v>
      </c>
      <c r="H220" s="56" t="s">
        <v>94</v>
      </c>
      <c r="I220" s="55" t="s">
        <v>298</v>
      </c>
      <c r="J220" s="55" t="s">
        <v>299</v>
      </c>
      <c r="M220" s="55" t="s">
        <v>5429</v>
      </c>
      <c r="Q220" s="3">
        <f t="shared" si="4"/>
        <v>31.82</v>
      </c>
      <c r="S220" s="55" t="s">
        <v>5806</v>
      </c>
    </row>
    <row r="221" spans="1:19" ht="43.5" x14ac:dyDescent="0.35">
      <c r="A221" t="s">
        <v>0</v>
      </c>
      <c r="B221" t="s">
        <v>764</v>
      </c>
      <c r="C221" t="s">
        <v>21</v>
      </c>
      <c r="D221" t="s">
        <v>22</v>
      </c>
      <c r="E221">
        <v>27.96</v>
      </c>
      <c r="F221" s="19" t="s">
        <v>88</v>
      </c>
      <c r="G221" s="19">
        <v>45393</v>
      </c>
      <c r="H221" s="56" t="s">
        <v>89</v>
      </c>
      <c r="I221" s="55" t="s">
        <v>5455</v>
      </c>
      <c r="K221" t="s">
        <v>5449</v>
      </c>
      <c r="L221" t="s">
        <v>5456</v>
      </c>
      <c r="M221" s="55" t="s">
        <v>5457</v>
      </c>
      <c r="Q221" s="3">
        <f t="shared" si="4"/>
        <v>27.96</v>
      </c>
      <c r="S221" s="55" t="s">
        <v>5806</v>
      </c>
    </row>
    <row r="222" spans="1:19" ht="29" x14ac:dyDescent="0.35">
      <c r="A222" t="s">
        <v>35</v>
      </c>
      <c r="B222" t="s">
        <v>677</v>
      </c>
      <c r="C222" t="s">
        <v>21</v>
      </c>
      <c r="D222" t="s">
        <v>22</v>
      </c>
      <c r="E222">
        <v>27.73</v>
      </c>
      <c r="F222" s="19" t="s">
        <v>88</v>
      </c>
      <c r="G222" s="19">
        <v>45474</v>
      </c>
      <c r="H222" s="56" t="s">
        <v>94</v>
      </c>
      <c r="I222" s="55" t="s">
        <v>98</v>
      </c>
      <c r="J222" s="55" t="s">
        <v>5592</v>
      </c>
      <c r="O222" s="55" t="s">
        <v>5593</v>
      </c>
      <c r="Q222" s="3">
        <f t="shared" si="4"/>
        <v>27.73</v>
      </c>
      <c r="S222" s="55" t="s">
        <v>5806</v>
      </c>
    </row>
    <row r="223" spans="1:19" ht="29" x14ac:dyDescent="0.35">
      <c r="A223" t="s">
        <v>0</v>
      </c>
      <c r="B223" t="s">
        <v>615</v>
      </c>
      <c r="C223" t="s">
        <v>21</v>
      </c>
      <c r="D223" t="s">
        <v>22</v>
      </c>
      <c r="E223">
        <v>25.64</v>
      </c>
      <c r="F223" s="19" t="s">
        <v>88</v>
      </c>
      <c r="G223" s="19">
        <v>45415</v>
      </c>
      <c r="H223" s="56" t="s">
        <v>89</v>
      </c>
      <c r="I223" s="55" t="s">
        <v>5501</v>
      </c>
      <c r="K223" t="s">
        <v>280</v>
      </c>
      <c r="L223" t="s">
        <v>5502</v>
      </c>
      <c r="M223" s="55" t="s">
        <v>278</v>
      </c>
      <c r="Q223" s="3">
        <f t="shared" si="4"/>
        <v>25.64</v>
      </c>
      <c r="S223" s="55" t="s">
        <v>5806</v>
      </c>
    </row>
    <row r="224" spans="1:19" ht="29" x14ac:dyDescent="0.35">
      <c r="A224" t="s">
        <v>35</v>
      </c>
      <c r="B224" t="s">
        <v>1487</v>
      </c>
      <c r="C224" t="s">
        <v>21</v>
      </c>
      <c r="D224" t="s">
        <v>22</v>
      </c>
      <c r="E224">
        <v>25.45</v>
      </c>
      <c r="F224" s="19" t="s">
        <v>88</v>
      </c>
      <c r="G224" s="19">
        <v>45518</v>
      </c>
      <c r="H224" s="56" t="s">
        <v>94</v>
      </c>
      <c r="I224" s="55" t="s">
        <v>297</v>
      </c>
      <c r="J224" s="55" t="s">
        <v>353</v>
      </c>
      <c r="M224" s="55" t="s">
        <v>5628</v>
      </c>
      <c r="Q224" s="3">
        <f t="shared" si="4"/>
        <v>25.45</v>
      </c>
      <c r="S224" s="55" t="s">
        <v>5806</v>
      </c>
    </row>
    <row r="225" spans="1:19" ht="29" x14ac:dyDescent="0.35">
      <c r="A225" t="s">
        <v>35</v>
      </c>
      <c r="B225" t="s">
        <v>1487</v>
      </c>
      <c r="C225" t="s">
        <v>21</v>
      </c>
      <c r="D225" t="s">
        <v>22</v>
      </c>
      <c r="E225">
        <v>25.45</v>
      </c>
      <c r="F225" s="19" t="s">
        <v>88</v>
      </c>
      <c r="G225" s="19">
        <v>45534</v>
      </c>
      <c r="H225" s="56" t="s">
        <v>94</v>
      </c>
      <c r="I225" s="55" t="s">
        <v>297</v>
      </c>
      <c r="J225" s="55" t="s">
        <v>5627</v>
      </c>
      <c r="M225" s="55" t="s">
        <v>5628</v>
      </c>
      <c r="Q225" s="3">
        <f t="shared" si="4"/>
        <v>25.45</v>
      </c>
      <c r="S225" s="55" t="s">
        <v>5806</v>
      </c>
    </row>
    <row r="226" spans="1:19" ht="29" x14ac:dyDescent="0.35">
      <c r="A226" t="s">
        <v>35</v>
      </c>
      <c r="B226" t="s">
        <v>805</v>
      </c>
      <c r="C226" t="s">
        <v>21</v>
      </c>
      <c r="D226" t="s">
        <v>22</v>
      </c>
      <c r="E226">
        <v>24.92</v>
      </c>
      <c r="F226" s="19" t="s">
        <v>88</v>
      </c>
      <c r="G226" s="19">
        <v>45434</v>
      </c>
      <c r="H226" s="56" t="s">
        <v>94</v>
      </c>
      <c r="I226" s="55" t="s">
        <v>286</v>
      </c>
      <c r="J226" s="55" t="s">
        <v>5532</v>
      </c>
      <c r="M226" s="55" t="s">
        <v>5533</v>
      </c>
      <c r="Q226" s="3">
        <f t="shared" si="4"/>
        <v>24.92</v>
      </c>
      <c r="S226" s="55" t="s">
        <v>5806</v>
      </c>
    </row>
    <row r="227" spans="1:19" ht="43.5" x14ac:dyDescent="0.35">
      <c r="A227" t="s">
        <v>35</v>
      </c>
      <c r="B227" t="s">
        <v>5696</v>
      </c>
      <c r="C227" t="s">
        <v>21</v>
      </c>
      <c r="D227" t="s">
        <v>22</v>
      </c>
      <c r="E227">
        <v>19.239999999999998</v>
      </c>
      <c r="F227" s="19" t="s">
        <v>88</v>
      </c>
      <c r="G227" s="19">
        <v>45553</v>
      </c>
      <c r="H227" s="56" t="s">
        <v>94</v>
      </c>
      <c r="I227" s="55" t="s">
        <v>5697</v>
      </c>
      <c r="J227" s="55" t="s">
        <v>5698</v>
      </c>
      <c r="M227" s="55" t="s">
        <v>5699</v>
      </c>
      <c r="Q227" s="3">
        <f t="shared" si="4"/>
        <v>19.239999999999998</v>
      </c>
      <c r="S227" s="55" t="s">
        <v>5806</v>
      </c>
    </row>
    <row r="228" spans="1:19" ht="29" x14ac:dyDescent="0.35">
      <c r="A228" t="s">
        <v>35</v>
      </c>
      <c r="B228" t="s">
        <v>1106</v>
      </c>
      <c r="C228" t="s">
        <v>21</v>
      </c>
      <c r="D228" t="s">
        <v>22</v>
      </c>
      <c r="E228">
        <v>14.55</v>
      </c>
      <c r="F228" s="19" t="s">
        <v>88</v>
      </c>
      <c r="G228" s="19">
        <v>45537</v>
      </c>
      <c r="H228" s="56" t="s">
        <v>94</v>
      </c>
      <c r="I228" s="55" t="s">
        <v>3332</v>
      </c>
      <c r="J228" s="55" t="s">
        <v>5678</v>
      </c>
      <c r="M228" s="55" t="s">
        <v>529</v>
      </c>
      <c r="Q228" s="3">
        <f t="shared" si="4"/>
        <v>14.55</v>
      </c>
      <c r="S228" s="55" t="s">
        <v>5806</v>
      </c>
    </row>
    <row r="229" spans="1:19" ht="29" x14ac:dyDescent="0.35">
      <c r="A229" t="s">
        <v>35</v>
      </c>
      <c r="B229" t="s">
        <v>1487</v>
      </c>
      <c r="C229" t="s">
        <v>21</v>
      </c>
      <c r="D229" t="s">
        <v>22</v>
      </c>
      <c r="E229">
        <v>10.91</v>
      </c>
      <c r="F229" s="19" t="s">
        <v>88</v>
      </c>
      <c r="G229" s="19">
        <v>45504</v>
      </c>
      <c r="H229" s="56" t="s">
        <v>94</v>
      </c>
      <c r="I229" s="55" t="s">
        <v>355</v>
      </c>
      <c r="J229" s="55" t="s">
        <v>354</v>
      </c>
      <c r="M229" s="55" t="s">
        <v>529</v>
      </c>
      <c r="Q229" s="3">
        <f t="shared" si="4"/>
        <v>10.91</v>
      </c>
      <c r="S229" s="55" t="s">
        <v>5806</v>
      </c>
    </row>
    <row r="230" spans="1:19" ht="29" x14ac:dyDescent="0.35">
      <c r="A230" t="s">
        <v>35</v>
      </c>
      <c r="B230" t="s">
        <v>1487</v>
      </c>
      <c r="C230" t="s">
        <v>21</v>
      </c>
      <c r="D230" t="s">
        <v>22</v>
      </c>
      <c r="E230">
        <v>10.91</v>
      </c>
      <c r="F230" s="19" t="s">
        <v>88</v>
      </c>
      <c r="G230" s="19">
        <v>45534</v>
      </c>
      <c r="H230" s="56" t="s">
        <v>94</v>
      </c>
      <c r="I230" s="55" t="s">
        <v>355</v>
      </c>
      <c r="J230" s="55" t="s">
        <v>352</v>
      </c>
      <c r="M230" s="55" t="s">
        <v>529</v>
      </c>
      <c r="Q230" s="3">
        <f t="shared" si="4"/>
        <v>10.91</v>
      </c>
      <c r="S230" s="55" t="s">
        <v>5806</v>
      </c>
    </row>
    <row r="231" spans="1:19" ht="29" x14ac:dyDescent="0.35">
      <c r="A231" t="s">
        <v>0</v>
      </c>
      <c r="B231" t="s">
        <v>764</v>
      </c>
      <c r="C231" t="s">
        <v>21</v>
      </c>
      <c r="D231" t="s">
        <v>22</v>
      </c>
      <c r="E231">
        <v>3.49</v>
      </c>
      <c r="F231" s="19" t="s">
        <v>88</v>
      </c>
      <c r="G231" s="19">
        <v>45393</v>
      </c>
      <c r="H231" s="56" t="s">
        <v>89</v>
      </c>
      <c r="I231" s="55" t="s">
        <v>5448</v>
      </c>
      <c r="K231" t="s">
        <v>5449</v>
      </c>
      <c r="L231" t="s">
        <v>5450</v>
      </c>
      <c r="M231" s="55" t="s">
        <v>264</v>
      </c>
      <c r="Q231" s="3">
        <f t="shared" si="4"/>
        <v>3.49</v>
      </c>
      <c r="S231" s="55" t="s">
        <v>5806</v>
      </c>
    </row>
  </sheetData>
  <autoFilter ref="A7:AF91" xr:uid="{9E744833-5703-4B0E-8061-D63AD93B4197}">
    <sortState xmlns:xlrd2="http://schemas.microsoft.com/office/spreadsheetml/2017/richdata2" ref="A8:AF231">
      <sortCondition descending="1" ref="Q7:Q91"/>
    </sortState>
  </autoFilter>
  <sortState xmlns:xlrd2="http://schemas.microsoft.com/office/spreadsheetml/2017/richdata2" ref="A7:Q91">
    <sortCondition descending="1" ref="Q7:Q91"/>
  </sortState>
  <mergeCells count="1">
    <mergeCell ref="AD6:AE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01777-F32E-43FE-A8CD-DB4CD13654B1}">
  <sheetPr>
    <tabColor rgb="FF00B050"/>
  </sheetPr>
  <dimension ref="A1:AF164"/>
  <sheetViews>
    <sheetView workbookViewId="0">
      <selection activeCell="C3" sqref="C3"/>
    </sheetView>
  </sheetViews>
  <sheetFormatPr defaultRowHeight="14.5" x14ac:dyDescent="0.35"/>
  <cols>
    <col min="1" max="2" width="6.1796875" customWidth="1"/>
    <col min="3" max="3" width="12.1796875" customWidth="1"/>
    <col min="4" max="4" width="6.1796875" style="3" customWidth="1"/>
    <col min="5" max="5" width="6.1796875" style="109" customWidth="1"/>
    <col min="6" max="6" width="6.1796875" customWidth="1"/>
    <col min="7" max="7" width="6.1796875" style="62" customWidth="1"/>
    <col min="8" max="8" width="6.1796875" style="55" customWidth="1"/>
    <col min="9" max="9" width="16" style="55" customWidth="1"/>
    <col min="10" max="10" width="16" customWidth="1"/>
    <col min="11" max="11" width="22.453125" customWidth="1"/>
    <col min="12" max="12" width="11.54296875" customWidth="1"/>
    <col min="13" max="15" width="16" customWidth="1"/>
    <col min="16" max="16" width="2.81640625" style="5" customWidth="1"/>
    <col min="17" max="17" width="10.1796875" style="3" bestFit="1" customWidth="1"/>
    <col min="18" max="18" width="2.7265625" style="55" customWidth="1"/>
    <col min="19" max="19" width="15" style="55" customWidth="1"/>
    <col min="21" max="21" width="2.81640625" customWidth="1"/>
    <col min="22" max="22" width="10.1796875" style="3" bestFit="1" customWidth="1"/>
    <col min="23" max="29" width="1.81640625" customWidth="1"/>
    <col min="31" max="31" width="9.1796875" bestFit="1" customWidth="1"/>
    <col min="32" max="32" width="13.26953125" customWidth="1"/>
  </cols>
  <sheetData>
    <row r="1" spans="1:32" x14ac:dyDescent="0.35">
      <c r="A1" t="s">
        <v>69</v>
      </c>
      <c r="C1" s="24">
        <f>Summary!A20</f>
        <v>5200006000</v>
      </c>
      <c r="H1" s="177" t="s">
        <v>9252</v>
      </c>
      <c r="I1" s="176" t="s">
        <v>9253</v>
      </c>
      <c r="O1" s="3"/>
      <c r="P1" s="3"/>
    </row>
    <row r="2" spans="1:32" x14ac:dyDescent="0.35">
      <c r="A2" t="s">
        <v>70</v>
      </c>
      <c r="C2" s="24" t="str">
        <f>Summary!B20</f>
        <v>Meeting costs</v>
      </c>
      <c r="F2" t="s">
        <v>141</v>
      </c>
      <c r="I2" s="176" t="s">
        <v>9251</v>
      </c>
      <c r="O2" s="3"/>
      <c r="P2" s="3"/>
    </row>
    <row r="3" spans="1:32" x14ac:dyDescent="0.35">
      <c r="A3" t="s">
        <v>71</v>
      </c>
      <c r="C3" s="22">
        <v>287840.84000000008</v>
      </c>
      <c r="F3" s="19" t="s">
        <v>341</v>
      </c>
      <c r="P3" s="3"/>
    </row>
    <row r="4" spans="1:32" x14ac:dyDescent="0.35">
      <c r="A4" t="s">
        <v>45</v>
      </c>
      <c r="C4" s="22">
        <f>SUM(E:E)</f>
        <v>287840.83999999985</v>
      </c>
      <c r="F4" s="19" t="s">
        <v>342</v>
      </c>
      <c r="P4" s="3"/>
      <c r="V4" s="64"/>
    </row>
    <row r="5" spans="1:32" x14ac:dyDescent="0.35">
      <c r="A5" t="s">
        <v>72</v>
      </c>
      <c r="C5" s="3">
        <f>C3-C4</f>
        <v>0</v>
      </c>
      <c r="F5" s="19" t="s">
        <v>343</v>
      </c>
      <c r="P5" s="3"/>
      <c r="V5" s="64"/>
    </row>
    <row r="6" spans="1:32" x14ac:dyDescent="0.35">
      <c r="C6" s="22"/>
      <c r="F6" s="19"/>
      <c r="T6" s="24" t="s">
        <v>0</v>
      </c>
      <c r="U6" s="24"/>
      <c r="V6" s="3">
        <f>SUMIF($A$11:$A$23974,"AU001",V11:V23974)</f>
        <v>8362.5</v>
      </c>
      <c r="AC6" t="s">
        <v>0</v>
      </c>
      <c r="AD6" s="3">
        <f>SUMIF($A$11:$A$20003,"AU001",AD11:AD20003)</f>
        <v>0</v>
      </c>
      <c r="AE6" s="3">
        <f>SUMIF($A$11:$A$20003,"AU001",AE11:AE20003)</f>
        <v>0</v>
      </c>
    </row>
    <row r="7" spans="1:32" ht="15" thickBot="1" x14ac:dyDescent="0.4">
      <c r="C7" s="22"/>
      <c r="F7" s="19"/>
      <c r="T7" s="24" t="s">
        <v>35</v>
      </c>
      <c r="U7" s="24"/>
      <c r="V7" s="3">
        <f>SUMIF($A$11:$A$23975,"AU052",V11:V23975)</f>
        <v>8550.4499999999989</v>
      </c>
      <c r="AC7" t="s">
        <v>35</v>
      </c>
      <c r="AD7" s="3">
        <f>SUMIF($A$11:$A$20003,"AU052",AD11:AD20003)</f>
        <v>0</v>
      </c>
      <c r="AE7" s="3">
        <f>SUMIF($A$11:$A$20003,"AU052",AE11:AE20003)</f>
        <v>1268.18</v>
      </c>
    </row>
    <row r="8" spans="1:32" ht="15" thickBot="1" x14ac:dyDescent="0.4">
      <c r="Q8" s="30"/>
      <c r="R8" s="57"/>
      <c r="V8" s="66">
        <f>SUM(V11:V164)</f>
        <v>16912.95</v>
      </c>
      <c r="AE8" s="178">
        <f>SUM(AE6:AE7)</f>
        <v>1268.18</v>
      </c>
    </row>
    <row r="9" spans="1:32" ht="15" thickBot="1" x14ac:dyDescent="0.4">
      <c r="F9" s="19"/>
      <c r="AD9" s="191" t="s">
        <v>44</v>
      </c>
      <c r="AE9" s="200"/>
    </row>
    <row r="10" spans="1:32" s="53" customFormat="1" ht="45" customHeight="1" thickBot="1" x14ac:dyDescent="0.4">
      <c r="A10" s="145" t="s">
        <v>74</v>
      </c>
      <c r="B10" s="146" t="s">
        <v>597</v>
      </c>
      <c r="C10" s="146" t="s">
        <v>75</v>
      </c>
      <c r="D10" s="147" t="s">
        <v>76</v>
      </c>
      <c r="E10" s="175" t="s">
        <v>77</v>
      </c>
      <c r="F10" s="146" t="s">
        <v>78</v>
      </c>
      <c r="G10" s="148" t="s">
        <v>79</v>
      </c>
      <c r="H10" s="146" t="s">
        <v>80</v>
      </c>
      <c r="I10" s="146" t="s">
        <v>81</v>
      </c>
      <c r="J10" s="146" t="s">
        <v>82</v>
      </c>
      <c r="K10" s="146" t="s">
        <v>83</v>
      </c>
      <c r="L10" s="146" t="s">
        <v>84</v>
      </c>
      <c r="M10" s="146" t="s">
        <v>85</v>
      </c>
      <c r="N10" s="146" t="s">
        <v>86</v>
      </c>
      <c r="O10" s="149" t="s">
        <v>585</v>
      </c>
      <c r="P10" s="5"/>
      <c r="Q10" s="110" t="s">
        <v>136</v>
      </c>
      <c r="R10" s="91" t="s">
        <v>87</v>
      </c>
      <c r="S10" s="92" t="s">
        <v>46</v>
      </c>
      <c r="T10" s="92" t="s">
        <v>47</v>
      </c>
      <c r="U10" s="92" t="s">
        <v>1286</v>
      </c>
      <c r="V10" s="111" t="s">
        <v>48</v>
      </c>
      <c r="W10" s="112" t="s">
        <v>49</v>
      </c>
      <c r="X10" s="113" t="s">
        <v>50</v>
      </c>
      <c r="Y10" s="114" t="s">
        <v>51</v>
      </c>
      <c r="Z10" s="115" t="s">
        <v>52</v>
      </c>
      <c r="AA10" s="116" t="s">
        <v>53</v>
      </c>
      <c r="AB10" s="116" t="s">
        <v>54</v>
      </c>
      <c r="AC10" s="116" t="s">
        <v>55</v>
      </c>
      <c r="AD10" s="117" t="s">
        <v>56</v>
      </c>
      <c r="AE10" s="117" t="s">
        <v>57</v>
      </c>
      <c r="AF10" s="118" t="s">
        <v>58</v>
      </c>
    </row>
    <row r="11" spans="1:32" s="90" customFormat="1" ht="58" x14ac:dyDescent="0.35">
      <c r="A11" s="121" t="s">
        <v>35</v>
      </c>
      <c r="B11" s="121" t="s">
        <v>649</v>
      </c>
      <c r="C11" s="121">
        <v>5200006000</v>
      </c>
      <c r="D11" s="122" t="s">
        <v>23</v>
      </c>
      <c r="E11" s="123">
        <v>27294.46</v>
      </c>
      <c r="F11" s="121" t="s">
        <v>88</v>
      </c>
      <c r="G11" s="108">
        <v>45385</v>
      </c>
      <c r="H11" s="120" t="s">
        <v>89</v>
      </c>
      <c r="I11" s="120" t="s">
        <v>5818</v>
      </c>
      <c r="J11" s="121"/>
      <c r="K11" s="121" t="s">
        <v>5819</v>
      </c>
      <c r="L11" s="121" t="s">
        <v>5820</v>
      </c>
      <c r="M11" s="121" t="s">
        <v>310</v>
      </c>
      <c r="N11" s="121"/>
      <c r="O11" s="121"/>
      <c r="P11" s="5"/>
      <c r="Q11" s="119">
        <f t="shared" ref="Q11:Q42" si="0">ABS(E11)</f>
        <v>27294.46</v>
      </c>
      <c r="R11" s="89"/>
      <c r="S11" s="89" t="s">
        <v>6015</v>
      </c>
      <c r="V11" s="119"/>
    </row>
    <row r="12" spans="1:32" s="90" customFormat="1" ht="58" x14ac:dyDescent="0.35">
      <c r="A12" s="121" t="s">
        <v>35</v>
      </c>
      <c r="B12" s="121" t="s">
        <v>649</v>
      </c>
      <c r="C12" s="121">
        <v>5200006000</v>
      </c>
      <c r="D12" s="122" t="s">
        <v>23</v>
      </c>
      <c r="E12" s="123">
        <v>27294.46</v>
      </c>
      <c r="F12" s="121" t="s">
        <v>88</v>
      </c>
      <c r="G12" s="108">
        <v>45385</v>
      </c>
      <c r="H12" s="120" t="s">
        <v>89</v>
      </c>
      <c r="I12" s="120" t="s">
        <v>5821</v>
      </c>
      <c r="J12" s="121"/>
      <c r="K12" s="121" t="s">
        <v>5819</v>
      </c>
      <c r="L12" s="121" t="s">
        <v>5822</v>
      </c>
      <c r="M12" s="121" t="s">
        <v>310</v>
      </c>
      <c r="N12" s="121"/>
      <c r="O12" s="121"/>
      <c r="P12" s="5"/>
      <c r="Q12" s="119">
        <f t="shared" si="0"/>
        <v>27294.46</v>
      </c>
      <c r="R12" s="89"/>
      <c r="S12" s="89" t="s">
        <v>6015</v>
      </c>
      <c r="V12" s="119"/>
    </row>
    <row r="13" spans="1:32" s="90" customFormat="1" ht="58" x14ac:dyDescent="0.35">
      <c r="A13" s="121" t="s">
        <v>35</v>
      </c>
      <c r="B13" s="121" t="s">
        <v>649</v>
      </c>
      <c r="C13" s="121">
        <v>5200006000</v>
      </c>
      <c r="D13" s="122" t="s">
        <v>23</v>
      </c>
      <c r="E13" s="123">
        <v>-27294.46</v>
      </c>
      <c r="F13" s="121" t="s">
        <v>88</v>
      </c>
      <c r="G13" s="108">
        <v>45392</v>
      </c>
      <c r="H13" s="120" t="s">
        <v>89</v>
      </c>
      <c r="I13" s="120" t="s">
        <v>5821</v>
      </c>
      <c r="J13" s="121"/>
      <c r="K13" s="121" t="s">
        <v>5819</v>
      </c>
      <c r="L13" s="121" t="s">
        <v>5822</v>
      </c>
      <c r="M13" s="121" t="s">
        <v>310</v>
      </c>
      <c r="N13" s="121"/>
      <c r="O13" s="121"/>
      <c r="P13" s="5"/>
      <c r="Q13" s="119">
        <f t="shared" si="0"/>
        <v>27294.46</v>
      </c>
      <c r="R13" s="89"/>
      <c r="S13" s="89" t="s">
        <v>6015</v>
      </c>
      <c r="V13" s="119"/>
    </row>
    <row r="14" spans="1:32" s="90" customFormat="1" ht="43.5" x14ac:dyDescent="0.35">
      <c r="A14" t="s">
        <v>0</v>
      </c>
      <c r="B14" t="s">
        <v>642</v>
      </c>
      <c r="C14">
        <v>5200006000</v>
      </c>
      <c r="D14" s="3" t="s">
        <v>23</v>
      </c>
      <c r="E14" s="109">
        <v>22930.400000000001</v>
      </c>
      <c r="F14" t="s">
        <v>88</v>
      </c>
      <c r="G14" s="108">
        <v>45637</v>
      </c>
      <c r="H14" s="55" t="s">
        <v>89</v>
      </c>
      <c r="I14" s="55" t="s">
        <v>6000</v>
      </c>
      <c r="J14"/>
      <c r="K14" t="s">
        <v>6001</v>
      </c>
      <c r="L14">
        <v>1010056</v>
      </c>
      <c r="M14" t="s">
        <v>5993</v>
      </c>
      <c r="N14"/>
      <c r="O14"/>
      <c r="P14" s="5"/>
      <c r="Q14" s="119">
        <f t="shared" si="0"/>
        <v>22930.400000000001</v>
      </c>
      <c r="R14" s="55"/>
      <c r="S14" s="55" t="s">
        <v>6016</v>
      </c>
      <c r="T14"/>
      <c r="U14"/>
      <c r="V14" s="3"/>
      <c r="W14"/>
      <c r="X14"/>
      <c r="Y14"/>
      <c r="Z14"/>
      <c r="AA14"/>
      <c r="AB14"/>
      <c r="AC14"/>
      <c r="AD14"/>
      <c r="AE14"/>
      <c r="AF14"/>
    </row>
    <row r="15" spans="1:32" s="90" customFormat="1" ht="58" x14ac:dyDescent="0.35">
      <c r="A15" t="s">
        <v>35</v>
      </c>
      <c r="B15" t="s">
        <v>649</v>
      </c>
      <c r="C15">
        <v>5200006000</v>
      </c>
      <c r="D15" s="3" t="s">
        <v>23</v>
      </c>
      <c r="E15" s="109">
        <v>18181.82</v>
      </c>
      <c r="F15" t="s">
        <v>88</v>
      </c>
      <c r="G15" s="108">
        <v>45524</v>
      </c>
      <c r="H15" s="55" t="s">
        <v>94</v>
      </c>
      <c r="I15" s="55" t="s">
        <v>5811</v>
      </c>
      <c r="J15" t="s">
        <v>5920</v>
      </c>
      <c r="K15"/>
      <c r="L15"/>
      <c r="M15"/>
      <c r="N15"/>
      <c r="O15" t="s">
        <v>5813</v>
      </c>
      <c r="P15" s="5"/>
      <c r="Q15" s="119">
        <f t="shared" si="0"/>
        <v>18181.82</v>
      </c>
      <c r="R15" s="55"/>
      <c r="S15" s="89" t="s">
        <v>6015</v>
      </c>
      <c r="T15"/>
      <c r="U15"/>
      <c r="V15" s="3"/>
      <c r="W15"/>
      <c r="X15"/>
      <c r="Y15"/>
      <c r="Z15"/>
      <c r="AA15"/>
      <c r="AB15"/>
      <c r="AC15"/>
      <c r="AD15"/>
      <c r="AE15"/>
      <c r="AF15"/>
    </row>
    <row r="16" spans="1:32" s="90" customFormat="1" ht="43.5" x14ac:dyDescent="0.35">
      <c r="A16" t="s">
        <v>0</v>
      </c>
      <c r="B16" t="s">
        <v>642</v>
      </c>
      <c r="C16">
        <v>5200006000</v>
      </c>
      <c r="D16" s="3" t="s">
        <v>23</v>
      </c>
      <c r="E16" s="109">
        <v>16927.8</v>
      </c>
      <c r="F16" t="s">
        <v>88</v>
      </c>
      <c r="G16" s="108">
        <v>45635</v>
      </c>
      <c r="H16" s="55" t="s">
        <v>89</v>
      </c>
      <c r="I16" s="55" t="s">
        <v>5991</v>
      </c>
      <c r="J16"/>
      <c r="K16" t="s">
        <v>5992</v>
      </c>
      <c r="L16">
        <v>1009992</v>
      </c>
      <c r="M16" t="s">
        <v>5993</v>
      </c>
      <c r="N16"/>
      <c r="O16"/>
      <c r="P16" s="5"/>
      <c r="Q16" s="119">
        <f t="shared" si="0"/>
        <v>16927.8</v>
      </c>
      <c r="R16" s="55"/>
      <c r="S16" s="55" t="s">
        <v>6016</v>
      </c>
      <c r="T16"/>
      <c r="U16"/>
      <c r="V16" s="3"/>
      <c r="W16"/>
      <c r="X16"/>
      <c r="Y16"/>
      <c r="Z16"/>
      <c r="AA16"/>
      <c r="AB16"/>
      <c r="AC16"/>
      <c r="AD16"/>
      <c r="AE16"/>
      <c r="AF16"/>
    </row>
    <row r="17" spans="1:32" s="90" customFormat="1" ht="43.5" x14ac:dyDescent="0.35">
      <c r="A17" t="s">
        <v>0</v>
      </c>
      <c r="B17" t="s">
        <v>642</v>
      </c>
      <c r="C17">
        <v>5200006000</v>
      </c>
      <c r="D17" s="3" t="s">
        <v>23</v>
      </c>
      <c r="E17" s="109">
        <v>16567.8</v>
      </c>
      <c r="F17" t="s">
        <v>88</v>
      </c>
      <c r="G17" s="108">
        <v>45586</v>
      </c>
      <c r="H17" s="55" t="s">
        <v>89</v>
      </c>
      <c r="I17" s="55" t="s">
        <v>5940</v>
      </c>
      <c r="J17"/>
      <c r="K17" t="s">
        <v>5941</v>
      </c>
      <c r="L17">
        <v>1009785</v>
      </c>
      <c r="M17" t="s">
        <v>5942</v>
      </c>
      <c r="N17"/>
      <c r="O17"/>
      <c r="P17" s="5"/>
      <c r="Q17" s="119">
        <f t="shared" si="0"/>
        <v>16567.8</v>
      </c>
      <c r="R17" s="55"/>
      <c r="S17" s="55" t="s">
        <v>6016</v>
      </c>
      <c r="T17"/>
      <c r="U17"/>
      <c r="V17" s="3"/>
      <c r="W17"/>
      <c r="X17"/>
      <c r="Y17"/>
      <c r="Z17"/>
      <c r="AA17"/>
      <c r="AB17"/>
      <c r="AC17"/>
      <c r="AD17"/>
      <c r="AE17"/>
      <c r="AF17"/>
    </row>
    <row r="18" spans="1:32" s="90" customFormat="1" ht="43.5" x14ac:dyDescent="0.35">
      <c r="A18" s="121" t="s">
        <v>0</v>
      </c>
      <c r="B18" s="121" t="s">
        <v>708</v>
      </c>
      <c r="C18" s="121">
        <v>5200006000</v>
      </c>
      <c r="D18" s="122" t="s">
        <v>23</v>
      </c>
      <c r="E18" s="123">
        <v>16127.76</v>
      </c>
      <c r="F18" s="121" t="s">
        <v>88</v>
      </c>
      <c r="G18" s="108">
        <v>45393</v>
      </c>
      <c r="H18" s="120" t="s">
        <v>89</v>
      </c>
      <c r="I18" s="120" t="s">
        <v>5833</v>
      </c>
      <c r="J18" s="121"/>
      <c r="K18" s="121" t="s">
        <v>5834</v>
      </c>
      <c r="L18" s="121">
        <v>241762032</v>
      </c>
      <c r="M18" s="121" t="s">
        <v>5835</v>
      </c>
      <c r="N18" s="121"/>
      <c r="O18" s="121"/>
      <c r="P18" s="5"/>
      <c r="Q18" s="119">
        <f t="shared" si="0"/>
        <v>16127.76</v>
      </c>
      <c r="R18" s="89"/>
      <c r="S18" s="55" t="s">
        <v>6016</v>
      </c>
      <c r="V18" s="119"/>
    </row>
    <row r="19" spans="1:32" s="90" customFormat="1" ht="29" x14ac:dyDescent="0.35">
      <c r="A19" s="121" t="s">
        <v>0</v>
      </c>
      <c r="B19" s="121" t="s">
        <v>642</v>
      </c>
      <c r="C19" s="121">
        <v>5200006000</v>
      </c>
      <c r="D19" s="122" t="s">
        <v>23</v>
      </c>
      <c r="E19" s="123">
        <v>16032.19</v>
      </c>
      <c r="F19" s="121" t="s">
        <v>88</v>
      </c>
      <c r="G19" s="108">
        <v>45385</v>
      </c>
      <c r="H19" s="90" t="s">
        <v>89</v>
      </c>
      <c r="I19" s="120" t="s">
        <v>5816</v>
      </c>
      <c r="J19" s="121"/>
      <c r="K19" s="121" t="s">
        <v>5817</v>
      </c>
      <c r="L19" s="121">
        <v>21099</v>
      </c>
      <c r="M19" s="121" t="s">
        <v>305</v>
      </c>
      <c r="N19" s="121"/>
      <c r="O19" s="121"/>
      <c r="P19" s="5"/>
      <c r="Q19" s="119">
        <f t="shared" si="0"/>
        <v>16032.19</v>
      </c>
      <c r="R19" s="89"/>
      <c r="S19" s="55" t="s">
        <v>6016</v>
      </c>
      <c r="V19" s="119"/>
    </row>
    <row r="20" spans="1:32" s="90" customFormat="1" ht="43.5" x14ac:dyDescent="0.35">
      <c r="A20" s="121" t="s">
        <v>0</v>
      </c>
      <c r="B20" s="121" t="s">
        <v>642</v>
      </c>
      <c r="C20" s="121">
        <v>5200006000</v>
      </c>
      <c r="D20" s="122" t="s">
        <v>23</v>
      </c>
      <c r="E20" s="123">
        <v>14843.52</v>
      </c>
      <c r="F20" s="121" t="s">
        <v>88</v>
      </c>
      <c r="G20" s="108">
        <v>45384</v>
      </c>
      <c r="H20" s="120" t="s">
        <v>89</v>
      </c>
      <c r="I20" s="120" t="s">
        <v>5808</v>
      </c>
      <c r="J20" s="121"/>
      <c r="K20" s="121" t="s">
        <v>5809</v>
      </c>
      <c r="L20" s="121">
        <v>1240327</v>
      </c>
      <c r="M20" s="121" t="s">
        <v>5810</v>
      </c>
      <c r="N20" s="121"/>
      <c r="O20" s="121"/>
      <c r="P20" s="5"/>
      <c r="Q20" s="119">
        <f t="shared" si="0"/>
        <v>14843.52</v>
      </c>
      <c r="R20" s="89"/>
      <c r="S20" s="55" t="s">
        <v>6016</v>
      </c>
      <c r="V20" s="119"/>
    </row>
    <row r="21" spans="1:32" s="90" customFormat="1" ht="43.5" x14ac:dyDescent="0.35">
      <c r="A21" t="s">
        <v>35</v>
      </c>
      <c r="B21" t="s">
        <v>2316</v>
      </c>
      <c r="C21">
        <v>5200006000</v>
      </c>
      <c r="D21" s="3" t="s">
        <v>23</v>
      </c>
      <c r="E21" s="109">
        <v>13353.92</v>
      </c>
      <c r="F21" t="s">
        <v>88</v>
      </c>
      <c r="G21" s="108">
        <v>45637</v>
      </c>
      <c r="H21" s="55" t="s">
        <v>89</v>
      </c>
      <c r="I21" s="55" t="s">
        <v>6002</v>
      </c>
      <c r="J21"/>
      <c r="K21" t="s">
        <v>6006</v>
      </c>
      <c r="L21" t="s">
        <v>6004</v>
      </c>
      <c r="M21" t="s">
        <v>6005</v>
      </c>
      <c r="N21"/>
      <c r="O21"/>
      <c r="P21" s="5"/>
      <c r="Q21" s="119">
        <f t="shared" si="0"/>
        <v>13353.92</v>
      </c>
      <c r="R21" s="55"/>
      <c r="S21" s="55" t="s">
        <v>6017</v>
      </c>
      <c r="T21"/>
      <c r="U21"/>
      <c r="V21" s="3"/>
      <c r="W21"/>
      <c r="X21"/>
      <c r="Y21"/>
      <c r="Z21"/>
      <c r="AA21"/>
      <c r="AB21"/>
      <c r="AC21"/>
      <c r="AD21"/>
      <c r="AE21"/>
      <c r="AF21"/>
    </row>
    <row r="22" spans="1:32" s="90" customFormat="1" ht="58" x14ac:dyDescent="0.35">
      <c r="A22" t="s">
        <v>35</v>
      </c>
      <c r="B22" t="s">
        <v>649</v>
      </c>
      <c r="C22">
        <v>5200006000</v>
      </c>
      <c r="D22" s="3" t="s">
        <v>23</v>
      </c>
      <c r="E22" s="109">
        <v>9090.91</v>
      </c>
      <c r="F22" t="s">
        <v>88</v>
      </c>
      <c r="G22" s="108">
        <v>45524</v>
      </c>
      <c r="H22" s="55" t="s">
        <v>94</v>
      </c>
      <c r="I22" s="55" t="s">
        <v>5811</v>
      </c>
      <c r="J22" t="s">
        <v>5919</v>
      </c>
      <c r="K22"/>
      <c r="L22"/>
      <c r="M22"/>
      <c r="N22"/>
      <c r="O22" t="s">
        <v>5813</v>
      </c>
      <c r="P22" s="5"/>
      <c r="Q22" s="119">
        <f t="shared" si="0"/>
        <v>9090.91</v>
      </c>
      <c r="R22" s="55"/>
      <c r="S22" s="89" t="s">
        <v>6015</v>
      </c>
      <c r="T22"/>
      <c r="U22"/>
      <c r="V22" s="3"/>
      <c r="W22"/>
      <c r="X22"/>
      <c r="Y22"/>
      <c r="Z22"/>
      <c r="AA22"/>
      <c r="AB22"/>
      <c r="AC22"/>
      <c r="AD22"/>
      <c r="AE22"/>
      <c r="AF22"/>
    </row>
    <row r="23" spans="1:32" s="90" customFormat="1" ht="29" x14ac:dyDescent="0.35">
      <c r="A23" t="s">
        <v>35</v>
      </c>
      <c r="B23" t="s">
        <v>642</v>
      </c>
      <c r="C23">
        <v>5200006000</v>
      </c>
      <c r="D23" s="3" t="s">
        <v>23</v>
      </c>
      <c r="E23" s="109">
        <v>8636</v>
      </c>
      <c r="F23" t="s">
        <v>88</v>
      </c>
      <c r="G23" s="108">
        <v>45512</v>
      </c>
      <c r="H23" s="55" t="s">
        <v>94</v>
      </c>
      <c r="I23" s="55" t="s">
        <v>856</v>
      </c>
      <c r="J23" t="s">
        <v>5918</v>
      </c>
      <c r="K23"/>
      <c r="L23"/>
      <c r="M23"/>
      <c r="N23"/>
      <c r="O23" t="s">
        <v>5917</v>
      </c>
      <c r="P23" s="5"/>
      <c r="Q23" s="119">
        <f t="shared" si="0"/>
        <v>8636</v>
      </c>
      <c r="R23" s="55"/>
      <c r="S23" s="55" t="s">
        <v>6016</v>
      </c>
      <c r="T23"/>
      <c r="U23"/>
      <c r="V23" s="3"/>
      <c r="W23"/>
      <c r="X23"/>
      <c r="Y23"/>
      <c r="Z23"/>
      <c r="AA23"/>
      <c r="AB23"/>
      <c r="AC23"/>
      <c r="AD23"/>
      <c r="AE23"/>
      <c r="AF23"/>
    </row>
    <row r="24" spans="1:32" s="90" customFormat="1" ht="43.5" x14ac:dyDescent="0.35">
      <c r="A24" s="121" t="s">
        <v>35</v>
      </c>
      <c r="B24" s="121" t="s">
        <v>638</v>
      </c>
      <c r="C24" s="121">
        <v>5200006000</v>
      </c>
      <c r="D24" s="122" t="s">
        <v>23</v>
      </c>
      <c r="E24" s="123">
        <v>8501.24</v>
      </c>
      <c r="F24" s="121" t="s">
        <v>88</v>
      </c>
      <c r="G24" s="108">
        <v>45385</v>
      </c>
      <c r="H24" s="120" t="s">
        <v>94</v>
      </c>
      <c r="I24" s="120" t="s">
        <v>5823</v>
      </c>
      <c r="J24" s="121" t="s">
        <v>5824</v>
      </c>
      <c r="K24" s="121"/>
      <c r="L24" s="121"/>
      <c r="M24" s="121"/>
      <c r="N24" s="121"/>
      <c r="O24" s="121" t="s">
        <v>5825</v>
      </c>
      <c r="P24" s="5"/>
      <c r="Q24" s="119">
        <f t="shared" si="0"/>
        <v>8501.24</v>
      </c>
      <c r="R24" s="89"/>
      <c r="S24" s="55" t="s">
        <v>6016</v>
      </c>
      <c r="V24" s="119"/>
    </row>
    <row r="25" spans="1:32" s="90" customFormat="1" ht="29" x14ac:dyDescent="0.35">
      <c r="A25" s="121" t="s">
        <v>35</v>
      </c>
      <c r="B25" s="121" t="s">
        <v>642</v>
      </c>
      <c r="C25" s="121">
        <v>5200006000</v>
      </c>
      <c r="D25" s="122" t="s">
        <v>23</v>
      </c>
      <c r="E25" s="123">
        <v>8153.71</v>
      </c>
      <c r="F25" s="121" t="s">
        <v>88</v>
      </c>
      <c r="G25" s="108">
        <v>45418</v>
      </c>
      <c r="H25" s="120" t="s">
        <v>94</v>
      </c>
      <c r="I25" s="120" t="s">
        <v>856</v>
      </c>
      <c r="J25" s="121" t="s">
        <v>5864</v>
      </c>
      <c r="K25" s="121"/>
      <c r="L25" s="121"/>
      <c r="M25" s="121"/>
      <c r="N25" s="121"/>
      <c r="O25" s="121" t="s">
        <v>5865</v>
      </c>
      <c r="P25" s="5"/>
      <c r="Q25" s="119">
        <f t="shared" si="0"/>
        <v>8153.71</v>
      </c>
      <c r="R25" s="89"/>
      <c r="S25" s="55" t="s">
        <v>6016</v>
      </c>
      <c r="V25" s="119"/>
    </row>
    <row r="26" spans="1:32" s="90" customFormat="1" ht="29" x14ac:dyDescent="0.35">
      <c r="A26" t="s">
        <v>35</v>
      </c>
      <c r="B26" t="s">
        <v>600</v>
      </c>
      <c r="C26">
        <v>5200006000</v>
      </c>
      <c r="D26" s="3" t="s">
        <v>23</v>
      </c>
      <c r="E26" s="109">
        <v>7978.4</v>
      </c>
      <c r="F26" t="s">
        <v>88</v>
      </c>
      <c r="G26" s="108">
        <v>45485</v>
      </c>
      <c r="H26" s="55" t="s">
        <v>94</v>
      </c>
      <c r="I26" s="55" t="s">
        <v>2680</v>
      </c>
      <c r="J26" t="s">
        <v>5892</v>
      </c>
      <c r="K26"/>
      <c r="L26"/>
      <c r="M26"/>
      <c r="N26"/>
      <c r="O26" t="s">
        <v>5893</v>
      </c>
      <c r="P26" s="5"/>
      <c r="Q26" s="119">
        <f t="shared" si="0"/>
        <v>7978.4</v>
      </c>
      <c r="R26" s="55"/>
      <c r="S26" s="55" t="s">
        <v>6016</v>
      </c>
      <c r="T26"/>
      <c r="U26"/>
      <c r="V26" s="3"/>
      <c r="W26"/>
      <c r="X26"/>
      <c r="Y26"/>
      <c r="Z26"/>
      <c r="AA26"/>
      <c r="AB26"/>
      <c r="AC26"/>
      <c r="AD26"/>
      <c r="AE26"/>
      <c r="AF26"/>
    </row>
    <row r="27" spans="1:32" s="90" customFormat="1" ht="43.5" x14ac:dyDescent="0.35">
      <c r="A27" t="s">
        <v>35</v>
      </c>
      <c r="B27" t="s">
        <v>1884</v>
      </c>
      <c r="C27">
        <v>5200006000</v>
      </c>
      <c r="D27" s="3" t="s">
        <v>23</v>
      </c>
      <c r="E27" s="109">
        <v>7723.37</v>
      </c>
      <c r="F27" t="s">
        <v>88</v>
      </c>
      <c r="G27" s="108">
        <v>45569</v>
      </c>
      <c r="H27" s="55" t="s">
        <v>89</v>
      </c>
      <c r="I27" s="55" t="s">
        <v>5933</v>
      </c>
      <c r="J27"/>
      <c r="K27" t="s">
        <v>5934</v>
      </c>
      <c r="L27">
        <v>1800002156</v>
      </c>
      <c r="M27" t="s">
        <v>5935</v>
      </c>
      <c r="N27"/>
      <c r="O27"/>
      <c r="P27" s="5"/>
      <c r="Q27" s="119">
        <f t="shared" si="0"/>
        <v>7723.37</v>
      </c>
      <c r="R27" s="55"/>
      <c r="S27" s="55" t="s">
        <v>6016</v>
      </c>
      <c r="T27"/>
      <c r="U27"/>
      <c r="V27" s="3"/>
      <c r="W27"/>
      <c r="X27"/>
      <c r="Y27"/>
      <c r="Z27"/>
      <c r="AA27"/>
      <c r="AB27"/>
      <c r="AC27"/>
      <c r="AD27"/>
      <c r="AE27"/>
      <c r="AF27"/>
    </row>
    <row r="28" spans="1:32" s="90" customFormat="1" ht="43.5" x14ac:dyDescent="0.35">
      <c r="A28" t="s">
        <v>35</v>
      </c>
      <c r="B28" t="s">
        <v>1884</v>
      </c>
      <c r="C28">
        <v>5200006000</v>
      </c>
      <c r="D28" s="3" t="s">
        <v>23</v>
      </c>
      <c r="E28" s="109">
        <v>7723.37</v>
      </c>
      <c r="F28" t="s">
        <v>88</v>
      </c>
      <c r="G28" s="108">
        <v>45569</v>
      </c>
      <c r="H28" s="55" t="s">
        <v>89</v>
      </c>
      <c r="I28" s="55" t="s">
        <v>5936</v>
      </c>
      <c r="J28"/>
      <c r="K28" t="s">
        <v>5934</v>
      </c>
      <c r="L28">
        <v>1800002156</v>
      </c>
      <c r="M28" t="s">
        <v>5937</v>
      </c>
      <c r="N28"/>
      <c r="O28"/>
      <c r="P28" s="5"/>
      <c r="Q28" s="119">
        <f t="shared" si="0"/>
        <v>7723.37</v>
      </c>
      <c r="R28" s="55"/>
      <c r="S28" s="55" t="s">
        <v>6016</v>
      </c>
      <c r="T28"/>
      <c r="U28"/>
      <c r="V28" s="3"/>
      <c r="W28"/>
      <c r="X28"/>
      <c r="Y28"/>
      <c r="Z28"/>
      <c r="AA28"/>
      <c r="AB28"/>
      <c r="AC28"/>
      <c r="AD28"/>
      <c r="AE28"/>
      <c r="AF28"/>
    </row>
    <row r="29" spans="1:32" s="90" customFormat="1" ht="43.5" x14ac:dyDescent="0.35">
      <c r="A29" t="s">
        <v>35</v>
      </c>
      <c r="B29" t="s">
        <v>1884</v>
      </c>
      <c r="C29">
        <v>5200006000</v>
      </c>
      <c r="D29" s="3" t="s">
        <v>23</v>
      </c>
      <c r="E29" s="109">
        <v>-7723.37</v>
      </c>
      <c r="F29" t="s">
        <v>88</v>
      </c>
      <c r="G29" s="108">
        <v>45588</v>
      </c>
      <c r="H29" s="55" t="s">
        <v>89</v>
      </c>
      <c r="I29" s="55" t="s">
        <v>5933</v>
      </c>
      <c r="J29"/>
      <c r="K29" t="s">
        <v>5934</v>
      </c>
      <c r="L29">
        <v>1800002156</v>
      </c>
      <c r="M29" t="s">
        <v>5935</v>
      </c>
      <c r="N29"/>
      <c r="O29"/>
      <c r="P29" s="5"/>
      <c r="Q29" s="119">
        <f t="shared" si="0"/>
        <v>7723.37</v>
      </c>
      <c r="R29" s="55"/>
      <c r="S29" s="55" t="s">
        <v>6016</v>
      </c>
      <c r="T29"/>
      <c r="U29"/>
      <c r="V29" s="3"/>
      <c r="W29"/>
      <c r="X29"/>
      <c r="Y29"/>
      <c r="Z29"/>
      <c r="AA29"/>
      <c r="AB29"/>
      <c r="AC29"/>
      <c r="AD29"/>
      <c r="AE29"/>
      <c r="AF29"/>
    </row>
    <row r="30" spans="1:32" s="90" customFormat="1" ht="43.5" x14ac:dyDescent="0.35">
      <c r="A30" t="s">
        <v>0</v>
      </c>
      <c r="B30" t="s">
        <v>642</v>
      </c>
      <c r="C30">
        <v>5200006000</v>
      </c>
      <c r="D30" s="3" t="s">
        <v>23</v>
      </c>
      <c r="E30" s="109">
        <v>6822.53</v>
      </c>
      <c r="F30" t="s">
        <v>88</v>
      </c>
      <c r="G30" s="108">
        <v>45510</v>
      </c>
      <c r="H30" s="55" t="s">
        <v>89</v>
      </c>
      <c r="I30" s="55" t="s">
        <v>5912</v>
      </c>
      <c r="J30"/>
      <c r="K30" t="s">
        <v>5915</v>
      </c>
      <c r="L30">
        <v>4000000100</v>
      </c>
      <c r="M30" t="s">
        <v>5914</v>
      </c>
      <c r="N30"/>
      <c r="O30"/>
      <c r="P30" s="5"/>
      <c r="Q30" s="119">
        <f t="shared" si="0"/>
        <v>6822.53</v>
      </c>
      <c r="R30" s="55"/>
      <c r="S30" s="55" t="s">
        <v>53</v>
      </c>
      <c r="T30" t="s">
        <v>64</v>
      </c>
      <c r="U30" t="str">
        <f>B30</f>
        <v>AU070150</v>
      </c>
      <c r="V30" s="3">
        <f>E30</f>
        <v>6822.53</v>
      </c>
      <c r="W30"/>
      <c r="X30"/>
      <c r="Y30"/>
      <c r="Z30"/>
      <c r="AA30"/>
      <c r="AB30"/>
      <c r="AC30"/>
      <c r="AD30"/>
      <c r="AE30"/>
      <c r="AF30"/>
    </row>
    <row r="31" spans="1:32" s="90" customFormat="1" ht="43.5" x14ac:dyDescent="0.35">
      <c r="A31" s="121" t="s">
        <v>0</v>
      </c>
      <c r="B31" s="121" t="s">
        <v>2140</v>
      </c>
      <c r="C31" s="121">
        <v>5200006000</v>
      </c>
      <c r="D31" s="122" t="s">
        <v>23</v>
      </c>
      <c r="E31" s="123">
        <v>6444.13</v>
      </c>
      <c r="F31" s="121" t="s">
        <v>88</v>
      </c>
      <c r="G31" s="108">
        <v>45392</v>
      </c>
      <c r="H31" s="120" t="s">
        <v>89</v>
      </c>
      <c r="I31" s="120" t="s">
        <v>5830</v>
      </c>
      <c r="J31" s="121"/>
      <c r="K31" s="121" t="s">
        <v>5831</v>
      </c>
      <c r="L31" s="121">
        <v>75813022</v>
      </c>
      <c r="M31" s="121" t="s">
        <v>5832</v>
      </c>
      <c r="N31" s="121"/>
      <c r="O31" s="121"/>
      <c r="P31" s="5"/>
      <c r="Q31" s="119">
        <f t="shared" si="0"/>
        <v>6444.13</v>
      </c>
      <c r="R31" s="89"/>
      <c r="S31" s="55" t="s">
        <v>6016</v>
      </c>
      <c r="V31" s="119"/>
    </row>
    <row r="32" spans="1:32" s="90" customFormat="1" ht="43.5" x14ac:dyDescent="0.35">
      <c r="A32" s="121" t="s">
        <v>0</v>
      </c>
      <c r="B32" s="121" t="s">
        <v>2222</v>
      </c>
      <c r="C32" s="121">
        <v>5200006000</v>
      </c>
      <c r="D32" s="122" t="s">
        <v>23</v>
      </c>
      <c r="E32" s="123">
        <v>6115.17</v>
      </c>
      <c r="F32" s="121" t="s">
        <v>88</v>
      </c>
      <c r="G32" s="108">
        <v>45401</v>
      </c>
      <c r="H32" s="120" t="s">
        <v>89</v>
      </c>
      <c r="I32" s="120" t="s">
        <v>5859</v>
      </c>
      <c r="J32" s="121"/>
      <c r="K32" s="121" t="s">
        <v>5860</v>
      </c>
      <c r="L32" s="121">
        <v>241728646</v>
      </c>
      <c r="M32" s="121" t="s">
        <v>2735</v>
      </c>
      <c r="N32" s="121"/>
      <c r="O32" s="121"/>
      <c r="P32" s="5"/>
      <c r="Q32" s="119">
        <f t="shared" si="0"/>
        <v>6115.17</v>
      </c>
      <c r="R32" s="89"/>
      <c r="S32" s="55" t="s">
        <v>6016</v>
      </c>
      <c r="V32" s="119"/>
    </row>
    <row r="33" spans="1:32" s="90" customFormat="1" ht="29" x14ac:dyDescent="0.35">
      <c r="A33" t="s">
        <v>35</v>
      </c>
      <c r="B33" t="s">
        <v>664</v>
      </c>
      <c r="C33">
        <v>5200006000</v>
      </c>
      <c r="D33" s="3" t="s">
        <v>23</v>
      </c>
      <c r="E33" s="109">
        <v>6024.32</v>
      </c>
      <c r="F33" t="s">
        <v>88</v>
      </c>
      <c r="G33" s="108">
        <v>45614</v>
      </c>
      <c r="H33" s="55" t="s">
        <v>94</v>
      </c>
      <c r="I33" s="55" t="s">
        <v>5964</v>
      </c>
      <c r="J33" t="s">
        <v>5965</v>
      </c>
      <c r="K33"/>
      <c r="L33"/>
      <c r="M33"/>
      <c r="N33"/>
      <c r="O33" t="s">
        <v>5966</v>
      </c>
      <c r="P33" s="5"/>
      <c r="Q33" s="119">
        <f t="shared" si="0"/>
        <v>6024.32</v>
      </c>
      <c r="R33" s="55"/>
      <c r="S33" s="55" t="s">
        <v>6016</v>
      </c>
      <c r="T33"/>
      <c r="U33"/>
      <c r="V33" s="3"/>
      <c r="W33"/>
      <c r="X33"/>
      <c r="Y33"/>
      <c r="Z33"/>
      <c r="AA33"/>
      <c r="AB33"/>
      <c r="AC33"/>
      <c r="AD33"/>
      <c r="AE33"/>
      <c r="AF33"/>
    </row>
    <row r="34" spans="1:32" s="90" customFormat="1" ht="29" x14ac:dyDescent="0.35">
      <c r="A34" t="s">
        <v>35</v>
      </c>
      <c r="B34" t="s">
        <v>2140</v>
      </c>
      <c r="C34">
        <v>5200006000</v>
      </c>
      <c r="D34" s="3" t="s">
        <v>23</v>
      </c>
      <c r="E34" s="109">
        <v>-5910.4</v>
      </c>
      <c r="F34" t="s">
        <v>88</v>
      </c>
      <c r="G34" s="108">
        <v>45443</v>
      </c>
      <c r="H34" s="55" t="s">
        <v>94</v>
      </c>
      <c r="I34" s="55" t="s">
        <v>311</v>
      </c>
      <c r="J34" t="s">
        <v>5876</v>
      </c>
      <c r="K34"/>
      <c r="L34"/>
      <c r="M34"/>
      <c r="N34"/>
      <c r="O34" t="s">
        <v>5877</v>
      </c>
      <c r="P34" s="5"/>
      <c r="Q34" s="119">
        <f t="shared" si="0"/>
        <v>5910.4</v>
      </c>
      <c r="R34" s="55"/>
      <c r="S34" s="55" t="s">
        <v>6016</v>
      </c>
      <c r="T34"/>
      <c r="U34"/>
      <c r="V34" s="3"/>
      <c r="W34"/>
      <c r="X34"/>
      <c r="Y34"/>
      <c r="Z34"/>
      <c r="AA34"/>
      <c r="AB34"/>
      <c r="AC34"/>
      <c r="AD34"/>
      <c r="AE34"/>
      <c r="AF34"/>
    </row>
    <row r="35" spans="1:32" s="90" customFormat="1" ht="29" x14ac:dyDescent="0.35">
      <c r="A35" t="s">
        <v>35</v>
      </c>
      <c r="B35" t="s">
        <v>600</v>
      </c>
      <c r="C35">
        <v>5200006000</v>
      </c>
      <c r="D35" s="3" t="s">
        <v>23</v>
      </c>
      <c r="E35" s="109">
        <v>4103.6499999999996</v>
      </c>
      <c r="F35" t="s">
        <v>88</v>
      </c>
      <c r="G35" s="108">
        <v>45485</v>
      </c>
      <c r="H35" s="55" t="s">
        <v>94</v>
      </c>
      <c r="I35" s="55" t="s">
        <v>372</v>
      </c>
      <c r="J35" t="s">
        <v>5890</v>
      </c>
      <c r="K35"/>
      <c r="L35"/>
      <c r="M35"/>
      <c r="N35"/>
      <c r="O35" t="s">
        <v>5891</v>
      </c>
      <c r="P35" s="5"/>
      <c r="Q35" s="119">
        <f t="shared" si="0"/>
        <v>4103.6499999999996</v>
      </c>
      <c r="R35" s="55"/>
      <c r="S35" s="55" t="s">
        <v>6016</v>
      </c>
      <c r="T35"/>
      <c r="U35"/>
      <c r="V35" s="3"/>
      <c r="W35"/>
      <c r="X35"/>
      <c r="Y35"/>
      <c r="Z35"/>
      <c r="AA35"/>
      <c r="AB35"/>
      <c r="AC35"/>
      <c r="AD35"/>
      <c r="AE35"/>
      <c r="AF35"/>
    </row>
    <row r="36" spans="1:32" s="90" customFormat="1" ht="29" x14ac:dyDescent="0.35">
      <c r="A36" t="s">
        <v>35</v>
      </c>
      <c r="B36" t="s">
        <v>649</v>
      </c>
      <c r="C36">
        <v>5200006000</v>
      </c>
      <c r="D36" s="3" t="s">
        <v>23</v>
      </c>
      <c r="E36" s="109">
        <v>3357.81</v>
      </c>
      <c r="F36" t="s">
        <v>88</v>
      </c>
      <c r="G36" s="108">
        <v>45643</v>
      </c>
      <c r="H36" s="55" t="s">
        <v>94</v>
      </c>
      <c r="I36" s="55" t="s">
        <v>6012</v>
      </c>
      <c r="J36" t="s">
        <v>6013</v>
      </c>
      <c r="K36"/>
      <c r="L36"/>
      <c r="M36"/>
      <c r="N36"/>
      <c r="O36" t="s">
        <v>6014</v>
      </c>
      <c r="P36" s="5"/>
      <c r="Q36" s="119">
        <f t="shared" si="0"/>
        <v>3357.81</v>
      </c>
      <c r="R36" s="55"/>
      <c r="S36" s="55" t="s">
        <v>6016</v>
      </c>
      <c r="T36"/>
      <c r="U36"/>
      <c r="V36" s="3"/>
      <c r="W36"/>
      <c r="X36"/>
      <c r="Y36"/>
      <c r="Z36"/>
      <c r="AA36"/>
      <c r="AB36"/>
      <c r="AC36"/>
      <c r="AD36"/>
      <c r="AE36"/>
      <c r="AF36"/>
    </row>
    <row r="37" spans="1:32" s="90" customFormat="1" ht="43.5" x14ac:dyDescent="0.35">
      <c r="A37" t="s">
        <v>35</v>
      </c>
      <c r="B37" t="s">
        <v>2316</v>
      </c>
      <c r="C37">
        <v>5200006000</v>
      </c>
      <c r="D37" s="3" t="s">
        <v>23</v>
      </c>
      <c r="E37" s="109">
        <v>3263.31</v>
      </c>
      <c r="F37" t="s">
        <v>88</v>
      </c>
      <c r="G37" s="108">
        <v>45637</v>
      </c>
      <c r="H37" s="55" t="s">
        <v>89</v>
      </c>
      <c r="I37" s="55" t="s">
        <v>6002</v>
      </c>
      <c r="J37"/>
      <c r="K37" t="s">
        <v>6003</v>
      </c>
      <c r="L37" t="s">
        <v>6004</v>
      </c>
      <c r="M37" t="s">
        <v>6005</v>
      </c>
      <c r="N37"/>
      <c r="O37"/>
      <c r="P37" s="5"/>
      <c r="Q37" s="119">
        <f t="shared" si="0"/>
        <v>3263.31</v>
      </c>
      <c r="R37" s="55"/>
      <c r="S37" s="55" t="s">
        <v>6016</v>
      </c>
      <c r="T37"/>
      <c r="U37"/>
      <c r="V37" s="3"/>
      <c r="W37"/>
      <c r="X37"/>
      <c r="Y37"/>
      <c r="Z37"/>
      <c r="AA37"/>
      <c r="AB37"/>
      <c r="AC37"/>
      <c r="AD37"/>
      <c r="AE37"/>
      <c r="AF37"/>
    </row>
    <row r="38" spans="1:32" s="90" customFormat="1" ht="58" x14ac:dyDescent="0.35">
      <c r="A38" s="121" t="s">
        <v>35</v>
      </c>
      <c r="B38" s="121" t="s">
        <v>649</v>
      </c>
      <c r="C38" s="121">
        <v>5200006000</v>
      </c>
      <c r="D38" s="122" t="s">
        <v>23</v>
      </c>
      <c r="E38" s="123">
        <v>2482.61</v>
      </c>
      <c r="F38" s="121" t="s">
        <v>88</v>
      </c>
      <c r="G38" s="108">
        <v>45405</v>
      </c>
      <c r="H38" s="120" t="s">
        <v>129</v>
      </c>
      <c r="I38" s="120" t="s">
        <v>129</v>
      </c>
      <c r="J38" s="121"/>
      <c r="K38" s="121"/>
      <c r="L38" s="121"/>
      <c r="M38" s="121"/>
      <c r="N38" s="121"/>
      <c r="O38" s="121"/>
      <c r="P38" s="5"/>
      <c r="Q38" s="119">
        <f t="shared" si="0"/>
        <v>2482.61</v>
      </c>
      <c r="R38" s="89"/>
      <c r="S38" s="55" t="s">
        <v>6016</v>
      </c>
      <c r="V38" s="119"/>
    </row>
    <row r="39" spans="1:32" s="90" customFormat="1" ht="43.5" x14ac:dyDescent="0.35">
      <c r="A39" s="121" t="s">
        <v>35</v>
      </c>
      <c r="B39" s="121" t="s">
        <v>2170</v>
      </c>
      <c r="C39" s="121">
        <v>5200006000</v>
      </c>
      <c r="D39" s="122" t="s">
        <v>23</v>
      </c>
      <c r="E39" s="123">
        <v>2402.69</v>
      </c>
      <c r="F39" s="121" t="s">
        <v>88</v>
      </c>
      <c r="G39" s="108">
        <v>45387</v>
      </c>
      <c r="H39" s="120" t="s">
        <v>94</v>
      </c>
      <c r="I39" s="120" t="s">
        <v>315</v>
      </c>
      <c r="J39" s="121" t="s">
        <v>5826</v>
      </c>
      <c r="K39" s="121"/>
      <c r="L39" s="121"/>
      <c r="M39" s="121"/>
      <c r="N39" s="121"/>
      <c r="O39" s="121" t="s">
        <v>5827</v>
      </c>
      <c r="P39" s="5"/>
      <c r="Q39" s="119">
        <f t="shared" si="0"/>
        <v>2402.69</v>
      </c>
      <c r="R39" s="89"/>
      <c r="S39" s="55" t="s">
        <v>6016</v>
      </c>
      <c r="V39" s="119"/>
    </row>
    <row r="40" spans="1:32" s="90" customFormat="1" ht="29" x14ac:dyDescent="0.35">
      <c r="A40" t="s">
        <v>35</v>
      </c>
      <c r="B40" t="s">
        <v>2140</v>
      </c>
      <c r="C40">
        <v>5200006000</v>
      </c>
      <c r="D40" s="3" t="s">
        <v>23</v>
      </c>
      <c r="E40" s="109">
        <v>2272.73</v>
      </c>
      <c r="F40" t="s">
        <v>88</v>
      </c>
      <c r="G40" s="108">
        <v>45582</v>
      </c>
      <c r="H40" s="55" t="s">
        <v>94</v>
      </c>
      <c r="I40" s="55" t="s">
        <v>124</v>
      </c>
      <c r="J40" t="s">
        <v>5938</v>
      </c>
      <c r="K40"/>
      <c r="L40"/>
      <c r="M40"/>
      <c r="N40"/>
      <c r="O40" t="s">
        <v>5939</v>
      </c>
      <c r="P40" s="5"/>
      <c r="Q40" s="119">
        <f t="shared" si="0"/>
        <v>2272.73</v>
      </c>
      <c r="R40" s="55"/>
      <c r="S40" s="55" t="s">
        <v>6016</v>
      </c>
      <c r="T40"/>
      <c r="U40"/>
      <c r="V40" s="3"/>
      <c r="W40"/>
      <c r="X40"/>
      <c r="Y40"/>
      <c r="Z40"/>
      <c r="AA40"/>
      <c r="AB40"/>
      <c r="AC40"/>
      <c r="AD40"/>
      <c r="AE40"/>
      <c r="AF40"/>
    </row>
    <row r="41" spans="1:32" s="90" customFormat="1" ht="29" x14ac:dyDescent="0.35">
      <c r="A41" t="s">
        <v>35</v>
      </c>
      <c r="B41" t="s">
        <v>2140</v>
      </c>
      <c r="C41">
        <v>5200006000</v>
      </c>
      <c r="D41" s="3" t="s">
        <v>23</v>
      </c>
      <c r="E41" s="109">
        <v>2079.13</v>
      </c>
      <c r="F41" t="s">
        <v>88</v>
      </c>
      <c r="G41" s="108">
        <v>45621</v>
      </c>
      <c r="H41" s="55" t="s">
        <v>94</v>
      </c>
      <c r="I41" s="55" t="s">
        <v>311</v>
      </c>
      <c r="J41" t="s">
        <v>5938</v>
      </c>
      <c r="K41"/>
      <c r="L41"/>
      <c r="M41"/>
      <c r="N41"/>
      <c r="O41" t="s">
        <v>5967</v>
      </c>
      <c r="P41" s="5"/>
      <c r="Q41" s="119">
        <f t="shared" si="0"/>
        <v>2079.13</v>
      </c>
      <c r="R41" s="55"/>
      <c r="S41" s="55" t="s">
        <v>6016</v>
      </c>
      <c r="T41"/>
      <c r="U41"/>
      <c r="V41" s="3"/>
      <c r="W41"/>
      <c r="X41"/>
      <c r="Y41"/>
      <c r="Z41"/>
      <c r="AA41"/>
      <c r="AB41"/>
      <c r="AC41"/>
      <c r="AD41"/>
      <c r="AE41"/>
      <c r="AF41"/>
    </row>
    <row r="42" spans="1:32" s="90" customFormat="1" ht="43.5" x14ac:dyDescent="0.35">
      <c r="A42" t="s">
        <v>0</v>
      </c>
      <c r="B42" t="s">
        <v>642</v>
      </c>
      <c r="C42">
        <v>5200006000</v>
      </c>
      <c r="D42" s="3" t="s">
        <v>23</v>
      </c>
      <c r="E42" s="109">
        <v>1976.94</v>
      </c>
      <c r="F42" t="s">
        <v>88</v>
      </c>
      <c r="G42" s="108">
        <v>45456</v>
      </c>
      <c r="H42" s="55" t="s">
        <v>89</v>
      </c>
      <c r="I42" s="55" t="s">
        <v>5883</v>
      </c>
      <c r="J42"/>
      <c r="K42"/>
      <c r="L42">
        <v>2306</v>
      </c>
      <c r="M42" t="s">
        <v>147</v>
      </c>
      <c r="N42"/>
      <c r="O42"/>
      <c r="P42" s="5"/>
      <c r="Q42" s="119">
        <f t="shared" si="0"/>
        <v>1976.94</v>
      </c>
      <c r="R42" s="55"/>
      <c r="S42" s="55" t="s">
        <v>6016</v>
      </c>
      <c r="T42"/>
      <c r="U42"/>
      <c r="V42" s="3"/>
      <c r="W42"/>
      <c r="X42"/>
      <c r="Y42"/>
      <c r="Z42"/>
      <c r="AA42"/>
      <c r="AB42"/>
      <c r="AC42"/>
      <c r="AD42"/>
      <c r="AE42"/>
      <c r="AF42"/>
    </row>
    <row r="43" spans="1:32" s="90" customFormat="1" ht="29" x14ac:dyDescent="0.35">
      <c r="A43" t="s">
        <v>35</v>
      </c>
      <c r="B43" t="s">
        <v>740</v>
      </c>
      <c r="C43">
        <v>5200006000</v>
      </c>
      <c r="D43" s="3" t="s">
        <v>23</v>
      </c>
      <c r="E43" s="109">
        <v>1976.61</v>
      </c>
      <c r="F43" t="s">
        <v>88</v>
      </c>
      <c r="G43" s="108">
        <v>45460</v>
      </c>
      <c r="H43" s="55" t="s">
        <v>94</v>
      </c>
      <c r="I43" s="55" t="s">
        <v>306</v>
      </c>
      <c r="J43" t="s">
        <v>5882</v>
      </c>
      <c r="K43"/>
      <c r="L43"/>
      <c r="M43"/>
      <c r="N43"/>
      <c r="O43" t="s">
        <v>541</v>
      </c>
      <c r="P43" s="5"/>
      <c r="Q43" s="119">
        <f t="shared" ref="Q43:Q74" si="1">ABS(E43)</f>
        <v>1976.61</v>
      </c>
      <c r="R43" s="55"/>
      <c r="S43" s="55" t="s">
        <v>6016</v>
      </c>
      <c r="T43"/>
      <c r="U43"/>
      <c r="V43" s="3"/>
      <c r="W43"/>
      <c r="X43"/>
      <c r="Y43"/>
      <c r="Z43"/>
      <c r="AA43"/>
      <c r="AB43"/>
      <c r="AC43"/>
      <c r="AD43"/>
      <c r="AE43"/>
      <c r="AF43"/>
    </row>
    <row r="44" spans="1:32" s="90" customFormat="1" ht="43.5" x14ac:dyDescent="0.35">
      <c r="A44" t="s">
        <v>35</v>
      </c>
      <c r="B44" t="s">
        <v>732</v>
      </c>
      <c r="C44">
        <v>5200006000</v>
      </c>
      <c r="D44" s="3" t="s">
        <v>23</v>
      </c>
      <c r="E44" s="109">
        <v>1891.53</v>
      </c>
      <c r="F44" t="s">
        <v>88</v>
      </c>
      <c r="G44" s="108">
        <v>45505</v>
      </c>
      <c r="H44" s="55" t="s">
        <v>89</v>
      </c>
      <c r="I44" s="55" t="s">
        <v>5910</v>
      </c>
      <c r="J44"/>
      <c r="K44" t="s">
        <v>5911</v>
      </c>
      <c r="L44">
        <v>418</v>
      </c>
      <c r="M44" t="s">
        <v>4786</v>
      </c>
      <c r="N44"/>
      <c r="O44"/>
      <c r="P44" s="5"/>
      <c r="Q44" s="119">
        <f t="shared" si="1"/>
        <v>1891.53</v>
      </c>
      <c r="R44" s="55"/>
      <c r="S44" s="55" t="s">
        <v>53</v>
      </c>
      <c r="T44" t="s">
        <v>64</v>
      </c>
      <c r="U44" t="str">
        <f>B44</f>
        <v>AU032053</v>
      </c>
      <c r="V44" s="3">
        <f>E44</f>
        <v>1891.53</v>
      </c>
      <c r="W44"/>
      <c r="X44"/>
      <c r="Y44"/>
      <c r="Z44"/>
      <c r="AA44"/>
      <c r="AB44"/>
      <c r="AC44"/>
      <c r="AD44"/>
      <c r="AE44"/>
      <c r="AF44"/>
    </row>
    <row r="45" spans="1:32" s="90" customFormat="1" ht="29" x14ac:dyDescent="0.35">
      <c r="A45" t="s">
        <v>35</v>
      </c>
      <c r="B45" t="s">
        <v>2140</v>
      </c>
      <c r="C45">
        <v>5200006000</v>
      </c>
      <c r="D45" s="3" t="s">
        <v>23</v>
      </c>
      <c r="E45" s="109">
        <v>1736.36</v>
      </c>
      <c r="F45" t="s">
        <v>88</v>
      </c>
      <c r="G45" s="108">
        <v>45488</v>
      </c>
      <c r="H45" s="55" t="s">
        <v>94</v>
      </c>
      <c r="I45" s="55" t="s">
        <v>311</v>
      </c>
      <c r="J45" t="s">
        <v>5896</v>
      </c>
      <c r="K45"/>
      <c r="L45"/>
      <c r="M45"/>
      <c r="N45"/>
      <c r="O45" t="s">
        <v>5897</v>
      </c>
      <c r="P45" s="5"/>
      <c r="Q45" s="119">
        <f t="shared" si="1"/>
        <v>1736.36</v>
      </c>
      <c r="R45" s="55"/>
      <c r="S45" s="55" t="s">
        <v>6016</v>
      </c>
      <c r="T45"/>
      <c r="U45"/>
      <c r="V45" s="3"/>
      <c r="W45"/>
      <c r="X45"/>
      <c r="Y45"/>
      <c r="Z45"/>
      <c r="AA45"/>
      <c r="AB45"/>
      <c r="AC45"/>
      <c r="AD45"/>
      <c r="AE45"/>
      <c r="AF45"/>
    </row>
    <row r="46" spans="1:32" s="90" customFormat="1" ht="43.5" x14ac:dyDescent="0.35">
      <c r="A46" t="s">
        <v>0</v>
      </c>
      <c r="B46" t="s">
        <v>642</v>
      </c>
      <c r="C46">
        <v>5200006000</v>
      </c>
      <c r="D46" s="3" t="s">
        <v>23</v>
      </c>
      <c r="E46" s="109">
        <v>1539.97</v>
      </c>
      <c r="F46" t="s">
        <v>88</v>
      </c>
      <c r="G46" s="108">
        <v>45510</v>
      </c>
      <c r="H46" s="55" t="s">
        <v>89</v>
      </c>
      <c r="I46" s="55" t="s">
        <v>5912</v>
      </c>
      <c r="J46"/>
      <c r="K46" t="s">
        <v>5913</v>
      </c>
      <c r="L46">
        <v>4000000100</v>
      </c>
      <c r="M46" t="s">
        <v>5914</v>
      </c>
      <c r="N46"/>
      <c r="O46"/>
      <c r="P46" s="5"/>
      <c r="Q46" s="119">
        <f t="shared" si="1"/>
        <v>1539.97</v>
      </c>
      <c r="R46" s="55"/>
      <c r="S46" s="55" t="s">
        <v>53</v>
      </c>
      <c r="T46" t="s">
        <v>64</v>
      </c>
      <c r="U46" t="str">
        <f>B46</f>
        <v>AU070150</v>
      </c>
      <c r="V46" s="3">
        <f>E46</f>
        <v>1539.97</v>
      </c>
      <c r="W46"/>
      <c r="X46"/>
      <c r="Y46"/>
      <c r="Z46"/>
      <c r="AA46"/>
      <c r="AB46"/>
      <c r="AC46"/>
      <c r="AD46"/>
      <c r="AE46"/>
      <c r="AF46"/>
    </row>
    <row r="47" spans="1:32" s="90" customFormat="1" ht="29" x14ac:dyDescent="0.35">
      <c r="A47" t="s">
        <v>35</v>
      </c>
      <c r="B47" t="s">
        <v>633</v>
      </c>
      <c r="C47">
        <v>5200006000</v>
      </c>
      <c r="D47" s="3" t="s">
        <v>23</v>
      </c>
      <c r="E47" s="109">
        <v>1361.06</v>
      </c>
      <c r="F47" t="s">
        <v>88</v>
      </c>
      <c r="G47" s="108">
        <v>45608</v>
      </c>
      <c r="H47" s="55" t="s">
        <v>94</v>
      </c>
      <c r="I47" s="55" t="s">
        <v>311</v>
      </c>
      <c r="J47" t="s">
        <v>5960</v>
      </c>
      <c r="K47"/>
      <c r="L47"/>
      <c r="M47"/>
      <c r="N47"/>
      <c r="O47" t="s">
        <v>5961</v>
      </c>
      <c r="P47" s="5"/>
      <c r="Q47" s="119">
        <f t="shared" si="1"/>
        <v>1361.06</v>
      </c>
      <c r="R47" s="55"/>
      <c r="S47" s="55" t="s">
        <v>6016</v>
      </c>
      <c r="T47"/>
      <c r="U47"/>
      <c r="V47" s="3"/>
      <c r="W47"/>
      <c r="X47"/>
      <c r="Y47"/>
      <c r="Z47"/>
      <c r="AA47"/>
      <c r="AB47"/>
      <c r="AC47"/>
      <c r="AD47"/>
      <c r="AE47"/>
      <c r="AF47"/>
    </row>
    <row r="48" spans="1:32" s="90" customFormat="1" ht="43.5" x14ac:dyDescent="0.35">
      <c r="A48" t="s">
        <v>35</v>
      </c>
      <c r="B48" t="s">
        <v>2158</v>
      </c>
      <c r="C48">
        <v>5200006000</v>
      </c>
      <c r="D48" s="3" t="s">
        <v>23</v>
      </c>
      <c r="E48" s="109">
        <v>1312.73</v>
      </c>
      <c r="F48" t="s">
        <v>88</v>
      </c>
      <c r="G48" s="108">
        <v>45624</v>
      </c>
      <c r="H48" s="55" t="s">
        <v>94</v>
      </c>
      <c r="I48" s="55" t="s">
        <v>338</v>
      </c>
      <c r="J48" t="s">
        <v>5972</v>
      </c>
      <c r="K48"/>
      <c r="L48"/>
      <c r="M48"/>
      <c r="N48"/>
      <c r="O48" t="s">
        <v>5973</v>
      </c>
      <c r="P48" s="5"/>
      <c r="Q48" s="119">
        <f t="shared" si="1"/>
        <v>1312.73</v>
      </c>
      <c r="R48" s="55"/>
      <c r="S48" s="55" t="s">
        <v>6016</v>
      </c>
      <c r="T48"/>
      <c r="U48"/>
      <c r="V48" s="3"/>
      <c r="W48"/>
      <c r="X48"/>
      <c r="Y48"/>
      <c r="Z48"/>
      <c r="AA48"/>
      <c r="AB48"/>
      <c r="AC48"/>
      <c r="AD48"/>
      <c r="AE48"/>
      <c r="AF48"/>
    </row>
    <row r="49" spans="1:32" s="90" customFormat="1" ht="29" x14ac:dyDescent="0.35">
      <c r="A49" t="s">
        <v>35</v>
      </c>
      <c r="B49" t="s">
        <v>805</v>
      </c>
      <c r="C49">
        <v>5200006000</v>
      </c>
      <c r="D49" s="3" t="s">
        <v>23</v>
      </c>
      <c r="E49" s="109">
        <v>1268.18</v>
      </c>
      <c r="F49" t="s">
        <v>88</v>
      </c>
      <c r="G49" s="108">
        <v>45477</v>
      </c>
      <c r="H49" s="55" t="s">
        <v>94</v>
      </c>
      <c r="I49" s="55" t="s">
        <v>316</v>
      </c>
      <c r="J49" t="s">
        <v>5888</v>
      </c>
      <c r="K49"/>
      <c r="L49"/>
      <c r="M49"/>
      <c r="N49"/>
      <c r="O49" t="s">
        <v>5889</v>
      </c>
      <c r="P49" s="5"/>
      <c r="Q49" s="119">
        <f t="shared" si="1"/>
        <v>1268.18</v>
      </c>
      <c r="R49" s="55"/>
      <c r="S49" s="55" t="s">
        <v>5807</v>
      </c>
      <c r="T49"/>
      <c r="U49"/>
      <c r="V49" s="3"/>
      <c r="W49"/>
      <c r="X49"/>
      <c r="Y49"/>
      <c r="Z49"/>
      <c r="AA49"/>
      <c r="AB49"/>
      <c r="AC49"/>
      <c r="AD49"/>
      <c r="AE49">
        <f>E49</f>
        <v>1268.18</v>
      </c>
      <c r="AF49"/>
    </row>
    <row r="50" spans="1:32" s="90" customFormat="1" ht="29" x14ac:dyDescent="0.35">
      <c r="A50" t="s">
        <v>35</v>
      </c>
      <c r="B50" t="s">
        <v>770</v>
      </c>
      <c r="C50">
        <v>5200006000</v>
      </c>
      <c r="D50" s="3" t="s">
        <v>23</v>
      </c>
      <c r="E50" s="109">
        <v>1227.05</v>
      </c>
      <c r="F50" t="s">
        <v>88</v>
      </c>
      <c r="G50" s="108">
        <v>45643</v>
      </c>
      <c r="H50" s="55" t="s">
        <v>94</v>
      </c>
      <c r="I50" s="55" t="s">
        <v>6009</v>
      </c>
      <c r="J50" t="s">
        <v>6010</v>
      </c>
      <c r="K50"/>
      <c r="L50"/>
      <c r="M50"/>
      <c r="N50"/>
      <c r="O50" t="s">
        <v>6011</v>
      </c>
      <c r="P50" s="5"/>
      <c r="Q50" s="119">
        <f t="shared" si="1"/>
        <v>1227.05</v>
      </c>
      <c r="R50" s="55"/>
      <c r="S50" s="55" t="s">
        <v>53</v>
      </c>
      <c r="T50" t="s">
        <v>64</v>
      </c>
      <c r="U50" t="str">
        <f>B50</f>
        <v>AU071196</v>
      </c>
      <c r="V50" s="3">
        <f>E50</f>
        <v>1227.05</v>
      </c>
      <c r="W50"/>
      <c r="X50"/>
      <c r="Y50"/>
      <c r="Z50"/>
      <c r="AA50"/>
      <c r="AB50"/>
      <c r="AC50"/>
      <c r="AD50"/>
      <c r="AE50"/>
      <c r="AF50"/>
    </row>
    <row r="51" spans="1:32" s="90" customFormat="1" ht="29" x14ac:dyDescent="0.35">
      <c r="A51" s="121" t="s">
        <v>35</v>
      </c>
      <c r="B51" s="121" t="s">
        <v>2222</v>
      </c>
      <c r="C51" s="121">
        <v>5200006000</v>
      </c>
      <c r="D51" s="122" t="s">
        <v>23</v>
      </c>
      <c r="E51" s="123">
        <v>1095.45</v>
      </c>
      <c r="F51" s="121" t="s">
        <v>88</v>
      </c>
      <c r="G51" s="108">
        <v>45400</v>
      </c>
      <c r="H51" s="120" t="s">
        <v>94</v>
      </c>
      <c r="I51" s="120" t="s">
        <v>2680</v>
      </c>
      <c r="J51" s="121" t="s">
        <v>5857</v>
      </c>
      <c r="K51" s="121"/>
      <c r="L51" s="121"/>
      <c r="M51" s="121"/>
      <c r="N51" s="121"/>
      <c r="O51" s="121" t="s">
        <v>5858</v>
      </c>
      <c r="P51" s="5"/>
      <c r="Q51" s="119">
        <f t="shared" si="1"/>
        <v>1095.45</v>
      </c>
      <c r="R51" s="89"/>
      <c r="S51" s="55" t="s">
        <v>53</v>
      </c>
      <c r="T51" t="s">
        <v>64</v>
      </c>
      <c r="U51" t="str">
        <f>B51</f>
        <v>AU032067</v>
      </c>
      <c r="V51" s="3">
        <f>E51</f>
        <v>1095.45</v>
      </c>
    </row>
    <row r="52" spans="1:32" s="90" customFormat="1" ht="29" x14ac:dyDescent="0.35">
      <c r="A52" s="121" t="s">
        <v>35</v>
      </c>
      <c r="B52" s="121" t="s">
        <v>1032</v>
      </c>
      <c r="C52" s="121">
        <v>5200006000</v>
      </c>
      <c r="D52" s="122" t="s">
        <v>23</v>
      </c>
      <c r="E52" s="123">
        <v>967.91</v>
      </c>
      <c r="F52" s="121" t="s">
        <v>88</v>
      </c>
      <c r="G52" s="108">
        <v>45384</v>
      </c>
      <c r="H52" s="120" t="s">
        <v>94</v>
      </c>
      <c r="I52" s="120" t="s">
        <v>5814</v>
      </c>
      <c r="J52" s="121" t="s">
        <v>5815</v>
      </c>
      <c r="K52" s="121"/>
      <c r="L52" s="121"/>
      <c r="M52" s="121"/>
      <c r="N52" s="121"/>
      <c r="O52" s="121" t="s">
        <v>1526</v>
      </c>
      <c r="P52" s="5"/>
      <c r="Q52" s="119">
        <f t="shared" si="1"/>
        <v>967.91</v>
      </c>
      <c r="R52" s="89"/>
      <c r="S52" s="55" t="s">
        <v>6016</v>
      </c>
      <c r="V52" s="119"/>
    </row>
    <row r="53" spans="1:32" s="90" customFormat="1" ht="43.5" x14ac:dyDescent="0.35">
      <c r="A53" s="121" t="s">
        <v>35</v>
      </c>
      <c r="B53" s="121" t="s">
        <v>2158</v>
      </c>
      <c r="C53" s="121">
        <v>5200006000</v>
      </c>
      <c r="D53" s="122" t="s">
        <v>23</v>
      </c>
      <c r="E53" s="123">
        <v>926</v>
      </c>
      <c r="F53" s="121" t="s">
        <v>88</v>
      </c>
      <c r="G53" s="108">
        <v>45414</v>
      </c>
      <c r="H53" s="120" t="s">
        <v>94</v>
      </c>
      <c r="I53" s="120" t="s">
        <v>338</v>
      </c>
      <c r="J53" s="121" t="s">
        <v>5861</v>
      </c>
      <c r="K53" s="121"/>
      <c r="L53" s="121"/>
      <c r="M53" s="121"/>
      <c r="N53" s="121"/>
      <c r="O53" s="121" t="s">
        <v>5862</v>
      </c>
      <c r="P53" s="5"/>
      <c r="Q53" s="119">
        <f t="shared" si="1"/>
        <v>926</v>
      </c>
      <c r="R53" s="89"/>
      <c r="S53" s="55" t="s">
        <v>6016</v>
      </c>
      <c r="V53" s="119"/>
    </row>
    <row r="54" spans="1:32" s="90" customFormat="1" ht="29" x14ac:dyDescent="0.35">
      <c r="A54" t="s">
        <v>35</v>
      </c>
      <c r="B54" t="s">
        <v>740</v>
      </c>
      <c r="C54">
        <v>5200006000</v>
      </c>
      <c r="D54" s="3" t="s">
        <v>23</v>
      </c>
      <c r="E54" s="109">
        <v>901.65</v>
      </c>
      <c r="F54" t="s">
        <v>88</v>
      </c>
      <c r="G54" s="108">
        <v>45453</v>
      </c>
      <c r="H54" s="55" t="s">
        <v>94</v>
      </c>
      <c r="I54" s="55" t="s">
        <v>306</v>
      </c>
      <c r="J54" t="s">
        <v>5882</v>
      </c>
      <c r="K54"/>
      <c r="L54"/>
      <c r="M54"/>
      <c r="N54"/>
      <c r="O54" t="s">
        <v>541</v>
      </c>
      <c r="P54" s="5"/>
      <c r="Q54" s="119">
        <f t="shared" si="1"/>
        <v>901.65</v>
      </c>
      <c r="R54" s="55"/>
      <c r="S54" s="55" t="s">
        <v>6016</v>
      </c>
      <c r="T54"/>
      <c r="U54"/>
      <c r="V54" s="3"/>
      <c r="W54"/>
      <c r="X54"/>
      <c r="Y54"/>
      <c r="Z54"/>
      <c r="AA54"/>
      <c r="AB54"/>
      <c r="AC54"/>
      <c r="AD54"/>
      <c r="AE54"/>
      <c r="AF54"/>
    </row>
    <row r="55" spans="1:32" s="90" customFormat="1" ht="29" x14ac:dyDescent="0.35">
      <c r="A55" t="s">
        <v>35</v>
      </c>
      <c r="B55" t="s">
        <v>642</v>
      </c>
      <c r="C55">
        <v>5200006000</v>
      </c>
      <c r="D55" s="3" t="s">
        <v>23</v>
      </c>
      <c r="E55" s="109">
        <v>878.05</v>
      </c>
      <c r="F55" t="s">
        <v>88</v>
      </c>
      <c r="G55" s="108">
        <v>45643</v>
      </c>
      <c r="H55" s="55" t="s">
        <v>94</v>
      </c>
      <c r="I55" s="55" t="s">
        <v>6009</v>
      </c>
      <c r="J55" t="s">
        <v>6010</v>
      </c>
      <c r="K55"/>
      <c r="L55"/>
      <c r="M55"/>
      <c r="N55"/>
      <c r="O55" t="s">
        <v>6011</v>
      </c>
      <c r="P55" s="5"/>
      <c r="Q55" s="119">
        <f t="shared" si="1"/>
        <v>878.05</v>
      </c>
      <c r="R55" s="55"/>
      <c r="S55" s="55" t="s">
        <v>53</v>
      </c>
      <c r="T55" t="s">
        <v>64</v>
      </c>
      <c r="U55" t="str">
        <f>B55</f>
        <v>AU070150</v>
      </c>
      <c r="V55" s="3">
        <f>E55</f>
        <v>878.05</v>
      </c>
      <c r="W55"/>
      <c r="X55"/>
      <c r="Y55"/>
      <c r="Z55"/>
      <c r="AA55"/>
      <c r="AB55"/>
      <c r="AC55"/>
      <c r="AD55"/>
      <c r="AE55"/>
      <c r="AF55"/>
    </row>
    <row r="56" spans="1:32" s="90" customFormat="1" ht="29" x14ac:dyDescent="0.35">
      <c r="A56" t="s">
        <v>35</v>
      </c>
      <c r="B56" t="s">
        <v>623</v>
      </c>
      <c r="C56">
        <v>5200006000</v>
      </c>
      <c r="D56" s="3" t="s">
        <v>23</v>
      </c>
      <c r="E56" s="109">
        <v>877.74</v>
      </c>
      <c r="F56" t="s">
        <v>88</v>
      </c>
      <c r="G56" s="108">
        <v>45504</v>
      </c>
      <c r="H56" s="55" t="s">
        <v>94</v>
      </c>
      <c r="I56" s="55" t="s">
        <v>5908</v>
      </c>
      <c r="J56" t="s">
        <v>5906</v>
      </c>
      <c r="K56"/>
      <c r="L56"/>
      <c r="M56"/>
      <c r="N56"/>
      <c r="O56" t="s">
        <v>5909</v>
      </c>
      <c r="P56" s="5"/>
      <c r="Q56" s="119">
        <f t="shared" si="1"/>
        <v>877.74</v>
      </c>
      <c r="R56" s="55"/>
      <c r="S56" s="55" t="s">
        <v>6016</v>
      </c>
      <c r="T56"/>
      <c r="U56"/>
      <c r="V56" s="3"/>
      <c r="W56"/>
      <c r="X56"/>
      <c r="Y56"/>
      <c r="Z56"/>
      <c r="AA56"/>
      <c r="AB56"/>
      <c r="AC56"/>
      <c r="AD56"/>
      <c r="AE56"/>
      <c r="AF56"/>
    </row>
    <row r="57" spans="1:32" s="90" customFormat="1" ht="29" x14ac:dyDescent="0.35">
      <c r="A57" s="121" t="s">
        <v>35</v>
      </c>
      <c r="B57" s="121" t="s">
        <v>649</v>
      </c>
      <c r="C57" s="121">
        <v>5200006000</v>
      </c>
      <c r="D57" s="122" t="s">
        <v>23</v>
      </c>
      <c r="E57" s="123">
        <v>848.07</v>
      </c>
      <c r="F57" s="121" t="s">
        <v>88</v>
      </c>
      <c r="G57" s="108">
        <v>45384</v>
      </c>
      <c r="H57" s="120" t="s">
        <v>94</v>
      </c>
      <c r="I57" s="120" t="s">
        <v>5811</v>
      </c>
      <c r="J57" s="121" t="s">
        <v>5812</v>
      </c>
      <c r="K57" s="121"/>
      <c r="L57" s="121"/>
      <c r="M57" s="121"/>
      <c r="N57" s="121"/>
      <c r="O57" s="121" t="s">
        <v>5813</v>
      </c>
      <c r="P57" s="5"/>
      <c r="Q57" s="119">
        <f t="shared" si="1"/>
        <v>848.07</v>
      </c>
      <c r="R57" s="89"/>
      <c r="S57" s="55" t="s">
        <v>6016</v>
      </c>
      <c r="V57" s="119"/>
    </row>
    <row r="58" spans="1:32" s="90" customFormat="1" ht="43.5" x14ac:dyDescent="0.35">
      <c r="A58" t="s">
        <v>35</v>
      </c>
      <c r="B58" t="s">
        <v>770</v>
      </c>
      <c r="C58">
        <v>5200006000</v>
      </c>
      <c r="D58" s="3" t="s">
        <v>23</v>
      </c>
      <c r="E58" s="109">
        <v>723.38</v>
      </c>
      <c r="F58" t="s">
        <v>88</v>
      </c>
      <c r="G58" s="108">
        <v>45635</v>
      </c>
      <c r="H58" s="55" t="s">
        <v>89</v>
      </c>
      <c r="I58" s="55" t="s">
        <v>5995</v>
      </c>
      <c r="J58"/>
      <c r="K58" s="174" t="s">
        <v>5996</v>
      </c>
      <c r="L58">
        <v>425</v>
      </c>
      <c r="M58" t="s">
        <v>5997</v>
      </c>
      <c r="N58"/>
      <c r="O58"/>
      <c r="P58" s="5"/>
      <c r="Q58" s="119">
        <f t="shared" si="1"/>
        <v>723.38</v>
      </c>
      <c r="R58" s="55"/>
      <c r="S58" s="55" t="s">
        <v>6016</v>
      </c>
      <c r="T58"/>
      <c r="U58"/>
      <c r="V58" s="3"/>
      <c r="W58"/>
      <c r="X58"/>
      <c r="Y58"/>
      <c r="Z58"/>
      <c r="AA58"/>
      <c r="AB58"/>
      <c r="AC58"/>
      <c r="AD58"/>
      <c r="AE58"/>
      <c r="AF58"/>
    </row>
    <row r="59" spans="1:32" s="90" customFormat="1" ht="43.5" x14ac:dyDescent="0.35">
      <c r="A59" t="s">
        <v>35</v>
      </c>
      <c r="B59" t="s">
        <v>5927</v>
      </c>
      <c r="C59">
        <v>5200006000</v>
      </c>
      <c r="D59" s="3" t="s">
        <v>23</v>
      </c>
      <c r="E59" s="109">
        <v>-681.82</v>
      </c>
      <c r="F59" t="s">
        <v>88</v>
      </c>
      <c r="G59" s="108">
        <v>45539</v>
      </c>
      <c r="H59" s="55" t="s">
        <v>94</v>
      </c>
      <c r="I59" s="55" t="s">
        <v>144</v>
      </c>
      <c r="J59" t="s">
        <v>5928</v>
      </c>
      <c r="K59"/>
      <c r="L59"/>
      <c r="M59"/>
      <c r="N59"/>
      <c r="O59" t="s">
        <v>5929</v>
      </c>
      <c r="P59" s="5"/>
      <c r="Q59" s="119">
        <f t="shared" si="1"/>
        <v>681.82</v>
      </c>
      <c r="R59" s="55"/>
      <c r="S59" s="55" t="s">
        <v>6016</v>
      </c>
      <c r="T59"/>
      <c r="U59"/>
      <c r="V59" s="3"/>
      <c r="W59"/>
      <c r="X59"/>
      <c r="Y59"/>
      <c r="Z59"/>
      <c r="AA59"/>
      <c r="AB59"/>
      <c r="AC59"/>
      <c r="AD59"/>
      <c r="AE59"/>
      <c r="AF59"/>
    </row>
    <row r="60" spans="1:32" s="90" customFormat="1" ht="29" x14ac:dyDescent="0.35">
      <c r="A60" t="s">
        <v>35</v>
      </c>
      <c r="B60" t="s">
        <v>805</v>
      </c>
      <c r="C60">
        <v>5200006000</v>
      </c>
      <c r="D60" s="3" t="s">
        <v>23</v>
      </c>
      <c r="E60" s="109">
        <v>663.53</v>
      </c>
      <c r="F60" t="s">
        <v>88</v>
      </c>
      <c r="G60" s="108">
        <v>45562</v>
      </c>
      <c r="H60" s="55" t="s">
        <v>94</v>
      </c>
      <c r="I60" s="55" t="s">
        <v>301</v>
      </c>
      <c r="J60" t="s">
        <v>5932</v>
      </c>
      <c r="K60"/>
      <c r="L60"/>
      <c r="M60"/>
      <c r="N60"/>
      <c r="O60" t="s">
        <v>1122</v>
      </c>
      <c r="P60" s="5"/>
      <c r="Q60" s="119">
        <f t="shared" si="1"/>
        <v>663.53</v>
      </c>
      <c r="R60" s="55"/>
      <c r="S60" s="55" t="s">
        <v>6016</v>
      </c>
      <c r="T60"/>
      <c r="U60"/>
      <c r="V60" s="3"/>
      <c r="W60"/>
      <c r="X60"/>
      <c r="Y60"/>
      <c r="Z60"/>
      <c r="AA60"/>
      <c r="AB60"/>
      <c r="AC60"/>
      <c r="AD60"/>
      <c r="AE60"/>
      <c r="AF60"/>
    </row>
    <row r="61" spans="1:32" s="90" customFormat="1" ht="29" x14ac:dyDescent="0.35">
      <c r="A61" t="s">
        <v>35</v>
      </c>
      <c r="B61" t="s">
        <v>740</v>
      </c>
      <c r="C61">
        <v>5200006000</v>
      </c>
      <c r="D61" s="3" t="s">
        <v>23</v>
      </c>
      <c r="E61" s="109">
        <v>569.64</v>
      </c>
      <c r="F61" t="s">
        <v>88</v>
      </c>
      <c r="G61" s="108">
        <v>45467</v>
      </c>
      <c r="H61" s="55" t="s">
        <v>94</v>
      </c>
      <c r="I61" s="55" t="s">
        <v>306</v>
      </c>
      <c r="J61" t="s">
        <v>5882</v>
      </c>
      <c r="K61"/>
      <c r="L61"/>
      <c r="M61"/>
      <c r="N61"/>
      <c r="O61" t="s">
        <v>541</v>
      </c>
      <c r="P61" s="5"/>
      <c r="Q61" s="119">
        <f t="shared" si="1"/>
        <v>569.64</v>
      </c>
      <c r="R61" s="55"/>
      <c r="S61" s="55" t="s">
        <v>6016</v>
      </c>
      <c r="T61"/>
      <c r="U61"/>
      <c r="V61" s="3"/>
      <c r="W61"/>
      <c r="X61"/>
      <c r="Y61"/>
      <c r="Z61"/>
      <c r="AA61"/>
      <c r="AB61"/>
      <c r="AC61"/>
      <c r="AD61"/>
      <c r="AE61"/>
      <c r="AF61"/>
    </row>
    <row r="62" spans="1:32" s="90" customFormat="1" ht="43.5" x14ac:dyDescent="0.35">
      <c r="A62" t="s">
        <v>0</v>
      </c>
      <c r="B62" t="s">
        <v>600</v>
      </c>
      <c r="C62">
        <v>5200006000</v>
      </c>
      <c r="D62" s="3" t="s">
        <v>23</v>
      </c>
      <c r="E62" s="109">
        <v>566.5</v>
      </c>
      <c r="F62" t="s">
        <v>88</v>
      </c>
      <c r="G62" s="108">
        <v>45597</v>
      </c>
      <c r="H62" s="55" t="s">
        <v>89</v>
      </c>
      <c r="I62" s="55" t="s">
        <v>5956</v>
      </c>
      <c r="J62"/>
      <c r="K62" t="s">
        <v>5957</v>
      </c>
      <c r="L62">
        <v>5758662</v>
      </c>
      <c r="M62" t="s">
        <v>5958</v>
      </c>
      <c r="N62"/>
      <c r="O62"/>
      <c r="P62" s="5"/>
      <c r="Q62" s="119">
        <f t="shared" si="1"/>
        <v>566.5</v>
      </c>
      <c r="R62" s="55"/>
      <c r="S62" s="55" t="s">
        <v>6016</v>
      </c>
      <c r="T62"/>
      <c r="U62"/>
      <c r="V62" s="3"/>
      <c r="W62"/>
      <c r="X62"/>
      <c r="Y62"/>
      <c r="Z62"/>
      <c r="AA62"/>
      <c r="AB62"/>
      <c r="AC62"/>
      <c r="AD62"/>
      <c r="AE62"/>
      <c r="AF62"/>
    </row>
    <row r="63" spans="1:32" s="90" customFormat="1" ht="29" x14ac:dyDescent="0.35">
      <c r="A63" t="s">
        <v>35</v>
      </c>
      <c r="B63" t="s">
        <v>681</v>
      </c>
      <c r="C63">
        <v>5200006000</v>
      </c>
      <c r="D63" s="3" t="s">
        <v>23</v>
      </c>
      <c r="E63" s="109">
        <v>560.73</v>
      </c>
      <c r="F63" t="s">
        <v>88</v>
      </c>
      <c r="G63" s="108">
        <v>45635</v>
      </c>
      <c r="H63" s="55" t="s">
        <v>94</v>
      </c>
      <c r="I63" s="55" t="s">
        <v>5964</v>
      </c>
      <c r="J63" t="s">
        <v>5999</v>
      </c>
      <c r="K63"/>
      <c r="L63"/>
      <c r="M63"/>
      <c r="N63"/>
      <c r="O63" t="s">
        <v>5966</v>
      </c>
      <c r="P63" s="5"/>
      <c r="Q63" s="119">
        <f t="shared" si="1"/>
        <v>560.73</v>
      </c>
      <c r="R63" s="55"/>
      <c r="S63" s="55" t="s">
        <v>6016</v>
      </c>
      <c r="T63"/>
      <c r="U63"/>
      <c r="V63" s="3"/>
      <c r="W63"/>
      <c r="X63"/>
      <c r="Y63"/>
      <c r="Z63"/>
      <c r="AA63"/>
      <c r="AB63"/>
      <c r="AC63"/>
      <c r="AD63"/>
      <c r="AE63"/>
      <c r="AF63"/>
    </row>
    <row r="64" spans="1:32" s="90" customFormat="1" ht="29" x14ac:dyDescent="0.35">
      <c r="A64" t="s">
        <v>35</v>
      </c>
      <c r="B64" t="s">
        <v>664</v>
      </c>
      <c r="C64">
        <v>5200006000</v>
      </c>
      <c r="D64" s="3" t="s">
        <v>23</v>
      </c>
      <c r="E64" s="109">
        <v>560.73</v>
      </c>
      <c r="F64" t="s">
        <v>88</v>
      </c>
      <c r="G64" s="108">
        <v>45635</v>
      </c>
      <c r="H64" s="55" t="s">
        <v>94</v>
      </c>
      <c r="I64" s="55" t="s">
        <v>5964</v>
      </c>
      <c r="J64" t="s">
        <v>5999</v>
      </c>
      <c r="K64"/>
      <c r="L64"/>
      <c r="M64"/>
      <c r="N64"/>
      <c r="O64" t="s">
        <v>5966</v>
      </c>
      <c r="P64" s="5"/>
      <c r="Q64" s="119">
        <f t="shared" si="1"/>
        <v>560.73</v>
      </c>
      <c r="R64" s="55"/>
      <c r="S64" s="55" t="s">
        <v>6016</v>
      </c>
      <c r="T64"/>
      <c r="U64"/>
      <c r="V64" s="3"/>
      <c r="W64"/>
      <c r="X64"/>
      <c r="Y64"/>
      <c r="Z64"/>
      <c r="AA64"/>
      <c r="AB64"/>
      <c r="AC64"/>
      <c r="AD64"/>
      <c r="AE64"/>
      <c r="AF64"/>
    </row>
    <row r="65" spans="1:32" s="90" customFormat="1" ht="29" x14ac:dyDescent="0.35">
      <c r="A65" t="s">
        <v>35</v>
      </c>
      <c r="B65" t="s">
        <v>624</v>
      </c>
      <c r="C65">
        <v>5200006000</v>
      </c>
      <c r="D65" s="3" t="s">
        <v>23</v>
      </c>
      <c r="E65" s="109">
        <v>545.91</v>
      </c>
      <c r="F65" t="s">
        <v>88</v>
      </c>
      <c r="G65" s="108">
        <v>45643</v>
      </c>
      <c r="H65" s="55" t="s">
        <v>94</v>
      </c>
      <c r="I65" s="55" t="s">
        <v>6009</v>
      </c>
      <c r="J65" s="174" t="s">
        <v>6010</v>
      </c>
      <c r="K65"/>
      <c r="L65"/>
      <c r="M65"/>
      <c r="N65"/>
      <c r="O65" t="s">
        <v>6011</v>
      </c>
      <c r="P65" s="5"/>
      <c r="Q65" s="119">
        <f t="shared" si="1"/>
        <v>545.91</v>
      </c>
      <c r="R65" s="55"/>
      <c r="S65" s="55" t="s">
        <v>53</v>
      </c>
      <c r="T65" t="s">
        <v>64</v>
      </c>
      <c r="U65" t="str">
        <f>B65</f>
        <v>AU074251</v>
      </c>
      <c r="V65" s="3">
        <f>E65</f>
        <v>545.91</v>
      </c>
      <c r="W65"/>
      <c r="X65"/>
      <c r="Y65"/>
      <c r="Z65"/>
      <c r="AA65"/>
      <c r="AB65"/>
      <c r="AC65"/>
      <c r="AD65"/>
      <c r="AE65"/>
      <c r="AF65"/>
    </row>
    <row r="66" spans="1:32" s="90" customFormat="1" ht="29" x14ac:dyDescent="0.35">
      <c r="A66" s="121" t="s">
        <v>35</v>
      </c>
      <c r="B66" s="121" t="s">
        <v>2222</v>
      </c>
      <c r="C66" s="121">
        <v>5200006000</v>
      </c>
      <c r="D66" s="122" t="s">
        <v>23</v>
      </c>
      <c r="E66" s="123">
        <v>545.45000000000005</v>
      </c>
      <c r="F66" s="121" t="s">
        <v>88</v>
      </c>
      <c r="G66" s="108">
        <v>45400</v>
      </c>
      <c r="H66" s="120" t="s">
        <v>94</v>
      </c>
      <c r="I66" s="120" t="s">
        <v>5851</v>
      </c>
      <c r="J66" s="121" t="s">
        <v>5852</v>
      </c>
      <c r="K66" s="121"/>
      <c r="L66" s="121"/>
      <c r="M66" s="121"/>
      <c r="N66" s="121"/>
      <c r="O66" s="121" t="s">
        <v>5853</v>
      </c>
      <c r="P66" s="5"/>
      <c r="Q66" s="119">
        <f t="shared" si="1"/>
        <v>545.45000000000005</v>
      </c>
      <c r="R66" s="89"/>
      <c r="S66" s="55" t="s">
        <v>53</v>
      </c>
      <c r="T66" t="s">
        <v>64</v>
      </c>
      <c r="U66" t="str">
        <f>B66</f>
        <v>AU032067</v>
      </c>
      <c r="V66" s="3">
        <f>E66</f>
        <v>545.45000000000005</v>
      </c>
    </row>
    <row r="67" spans="1:32" ht="43.5" x14ac:dyDescent="0.35">
      <c r="A67" t="s">
        <v>35</v>
      </c>
      <c r="B67" t="s">
        <v>642</v>
      </c>
      <c r="C67">
        <v>5200006000</v>
      </c>
      <c r="D67" s="3" t="s">
        <v>23</v>
      </c>
      <c r="E67" s="109">
        <v>517.5</v>
      </c>
      <c r="F67" t="s">
        <v>88</v>
      </c>
      <c r="G67" s="108">
        <v>45635</v>
      </c>
      <c r="H67" s="55" t="s">
        <v>89</v>
      </c>
      <c r="I67" s="55" t="s">
        <v>5995</v>
      </c>
      <c r="K67" s="174" t="s">
        <v>5996</v>
      </c>
      <c r="L67">
        <v>425</v>
      </c>
      <c r="M67" t="s">
        <v>5997</v>
      </c>
      <c r="Q67" s="119">
        <f t="shared" si="1"/>
        <v>517.5</v>
      </c>
      <c r="S67" s="55" t="s">
        <v>9259</v>
      </c>
      <c r="T67" t="s">
        <v>64</v>
      </c>
      <c r="U67" t="str">
        <f>B67</f>
        <v>AU070150</v>
      </c>
      <c r="V67" s="3">
        <f>E67</f>
        <v>517.5</v>
      </c>
    </row>
    <row r="68" spans="1:32" ht="29" x14ac:dyDescent="0.35">
      <c r="A68" t="s">
        <v>35</v>
      </c>
      <c r="B68" t="s">
        <v>934</v>
      </c>
      <c r="C68">
        <v>5200006000</v>
      </c>
      <c r="D68" s="3" t="s">
        <v>23</v>
      </c>
      <c r="E68" s="109">
        <v>481.23</v>
      </c>
      <c r="F68" t="s">
        <v>88</v>
      </c>
      <c r="G68" s="108">
        <v>45590</v>
      </c>
      <c r="H68" s="55" t="s">
        <v>94</v>
      </c>
      <c r="I68" s="55" t="s">
        <v>5943</v>
      </c>
      <c r="J68" t="s">
        <v>5944</v>
      </c>
      <c r="O68" t="s">
        <v>5945</v>
      </c>
      <c r="Q68" s="119">
        <f t="shared" si="1"/>
        <v>481.23</v>
      </c>
      <c r="S68" s="55" t="s">
        <v>6016</v>
      </c>
    </row>
    <row r="69" spans="1:32" ht="43.5" x14ac:dyDescent="0.35">
      <c r="A69" t="s">
        <v>35</v>
      </c>
      <c r="B69" t="s">
        <v>728</v>
      </c>
      <c r="C69">
        <v>5200006000</v>
      </c>
      <c r="D69" s="3" t="s">
        <v>23</v>
      </c>
      <c r="E69" s="109">
        <v>475.74</v>
      </c>
      <c r="F69" t="s">
        <v>88</v>
      </c>
      <c r="G69" s="108">
        <v>45631</v>
      </c>
      <c r="H69" s="55" t="s">
        <v>89</v>
      </c>
      <c r="I69" s="55" t="s">
        <v>5985</v>
      </c>
      <c r="K69" t="s">
        <v>5986</v>
      </c>
      <c r="L69" t="s">
        <v>5987</v>
      </c>
      <c r="M69" t="s">
        <v>1325</v>
      </c>
      <c r="Q69" s="119">
        <f t="shared" si="1"/>
        <v>475.74</v>
      </c>
      <c r="S69" s="55" t="s">
        <v>53</v>
      </c>
      <c r="T69" t="s">
        <v>64</v>
      </c>
      <c r="U69" t="str">
        <f>B69</f>
        <v>AU020080</v>
      </c>
      <c r="V69" s="3">
        <f>E69</f>
        <v>475.74</v>
      </c>
    </row>
    <row r="70" spans="1:32" ht="29" x14ac:dyDescent="0.35">
      <c r="A70" t="s">
        <v>35</v>
      </c>
      <c r="B70" t="s">
        <v>740</v>
      </c>
      <c r="C70">
        <v>5200006000</v>
      </c>
      <c r="D70" s="3" t="s">
        <v>23</v>
      </c>
      <c r="E70" s="109">
        <v>455.41</v>
      </c>
      <c r="F70" t="s">
        <v>88</v>
      </c>
      <c r="G70" s="108">
        <v>45453</v>
      </c>
      <c r="H70" s="55" t="s">
        <v>94</v>
      </c>
      <c r="I70" s="55" t="s">
        <v>306</v>
      </c>
      <c r="J70" t="s">
        <v>307</v>
      </c>
      <c r="O70" t="s">
        <v>541</v>
      </c>
      <c r="Q70" s="119">
        <f t="shared" si="1"/>
        <v>455.41</v>
      </c>
      <c r="S70" s="55" t="s">
        <v>6016</v>
      </c>
    </row>
    <row r="71" spans="1:32" ht="43.5" x14ac:dyDescent="0.35">
      <c r="A71" t="s">
        <v>35</v>
      </c>
      <c r="B71" t="s">
        <v>655</v>
      </c>
      <c r="C71">
        <v>5200006000</v>
      </c>
      <c r="D71" s="3" t="s">
        <v>23</v>
      </c>
      <c r="E71" s="109">
        <v>406.33</v>
      </c>
      <c r="F71" t="s">
        <v>88</v>
      </c>
      <c r="G71" s="108">
        <v>45635</v>
      </c>
      <c r="H71" s="55" t="s">
        <v>89</v>
      </c>
      <c r="I71" s="55" t="s">
        <v>5995</v>
      </c>
      <c r="J71" s="174"/>
      <c r="K71" s="174" t="s">
        <v>5996</v>
      </c>
      <c r="L71">
        <v>425</v>
      </c>
      <c r="M71" t="s">
        <v>5997</v>
      </c>
      <c r="Q71" s="119">
        <f t="shared" si="1"/>
        <v>406.33</v>
      </c>
      <c r="S71" s="55" t="s">
        <v>9259</v>
      </c>
      <c r="T71" t="s">
        <v>64</v>
      </c>
      <c r="U71" t="str">
        <f>B71</f>
        <v>AU073158</v>
      </c>
      <c r="V71" s="3">
        <f>E71</f>
        <v>406.33</v>
      </c>
    </row>
    <row r="72" spans="1:32" ht="29" x14ac:dyDescent="0.35">
      <c r="A72" t="s">
        <v>35</v>
      </c>
      <c r="B72" t="s">
        <v>2140</v>
      </c>
      <c r="C72">
        <v>5200006000</v>
      </c>
      <c r="D72" s="3" t="s">
        <v>23</v>
      </c>
      <c r="E72" s="109">
        <v>392.27</v>
      </c>
      <c r="F72" t="s">
        <v>88</v>
      </c>
      <c r="G72" s="108">
        <v>45488</v>
      </c>
      <c r="H72" s="55" t="s">
        <v>94</v>
      </c>
      <c r="I72" s="55" t="s">
        <v>124</v>
      </c>
      <c r="J72" s="174" t="s">
        <v>5898</v>
      </c>
      <c r="K72" s="174"/>
      <c r="O72" t="s">
        <v>5899</v>
      </c>
      <c r="Q72" s="119">
        <f t="shared" si="1"/>
        <v>392.27</v>
      </c>
      <c r="S72" s="179" t="s">
        <v>1285</v>
      </c>
    </row>
    <row r="73" spans="1:32" ht="29" x14ac:dyDescent="0.35">
      <c r="A73" t="s">
        <v>35</v>
      </c>
      <c r="B73" t="s">
        <v>642</v>
      </c>
      <c r="C73">
        <v>5200006000</v>
      </c>
      <c r="D73" s="3" t="s">
        <v>23</v>
      </c>
      <c r="E73" s="109">
        <v>376.38</v>
      </c>
      <c r="F73" t="s">
        <v>88</v>
      </c>
      <c r="G73" s="108">
        <v>45512</v>
      </c>
      <c r="H73" s="55" t="s">
        <v>94</v>
      </c>
      <c r="I73" s="55" t="s">
        <v>856</v>
      </c>
      <c r="J73" t="s">
        <v>5916</v>
      </c>
      <c r="O73" t="s">
        <v>5917</v>
      </c>
      <c r="Q73" s="119">
        <f t="shared" si="1"/>
        <v>376.38</v>
      </c>
      <c r="S73" s="55" t="s">
        <v>6016</v>
      </c>
    </row>
    <row r="74" spans="1:32" ht="43.5" x14ac:dyDescent="0.35">
      <c r="A74" t="s">
        <v>35</v>
      </c>
      <c r="B74" t="s">
        <v>2263</v>
      </c>
      <c r="C74">
        <v>5200006000</v>
      </c>
      <c r="D74" s="3" t="s">
        <v>23</v>
      </c>
      <c r="E74" s="109">
        <v>344.92</v>
      </c>
      <c r="F74" t="s">
        <v>88</v>
      </c>
      <c r="G74" s="108">
        <v>45504</v>
      </c>
      <c r="H74" s="55" t="s">
        <v>94</v>
      </c>
      <c r="I74" s="55" t="s">
        <v>95</v>
      </c>
      <c r="J74" t="s">
        <v>5904</v>
      </c>
      <c r="O74" t="s">
        <v>5905</v>
      </c>
      <c r="Q74" s="119">
        <f t="shared" si="1"/>
        <v>344.92</v>
      </c>
      <c r="S74" s="55" t="s">
        <v>53</v>
      </c>
      <c r="T74" t="s">
        <v>64</v>
      </c>
      <c r="U74" t="str">
        <f>B74</f>
        <v>AU032065</v>
      </c>
      <c r="V74" s="3">
        <f>E74</f>
        <v>344.92</v>
      </c>
    </row>
    <row r="75" spans="1:32" ht="43.5" x14ac:dyDescent="0.35">
      <c r="A75" t="s">
        <v>35</v>
      </c>
      <c r="B75" t="s">
        <v>624</v>
      </c>
      <c r="C75">
        <v>5200006000</v>
      </c>
      <c r="D75" s="3" t="s">
        <v>23</v>
      </c>
      <c r="E75" s="109">
        <v>321.52999999999997</v>
      </c>
      <c r="F75" t="s">
        <v>88</v>
      </c>
      <c r="G75" s="108">
        <v>45635</v>
      </c>
      <c r="H75" s="55" t="s">
        <v>89</v>
      </c>
      <c r="I75" s="55" t="s">
        <v>5995</v>
      </c>
      <c r="K75" t="s">
        <v>5996</v>
      </c>
      <c r="L75">
        <v>425</v>
      </c>
      <c r="M75" t="s">
        <v>5997</v>
      </c>
      <c r="Q75" s="119">
        <f t="shared" ref="Q75:Q106" si="2">ABS(E75)</f>
        <v>321.52999999999997</v>
      </c>
      <c r="S75" s="55" t="s">
        <v>9259</v>
      </c>
      <c r="T75" t="s">
        <v>64</v>
      </c>
      <c r="U75" t="str">
        <f>B75</f>
        <v>AU074251</v>
      </c>
      <c r="V75" s="3">
        <f>E75</f>
        <v>321.52999999999997</v>
      </c>
    </row>
    <row r="76" spans="1:32" ht="43.5" x14ac:dyDescent="0.35">
      <c r="A76" t="s">
        <v>35</v>
      </c>
      <c r="B76" t="s">
        <v>633</v>
      </c>
      <c r="C76">
        <v>5200006000</v>
      </c>
      <c r="D76" s="3" t="s">
        <v>23</v>
      </c>
      <c r="E76" s="109">
        <v>300</v>
      </c>
      <c r="F76" t="s">
        <v>88</v>
      </c>
      <c r="G76" s="108">
        <v>45631</v>
      </c>
      <c r="H76" s="55" t="s">
        <v>94</v>
      </c>
      <c r="I76" s="55" t="s">
        <v>5988</v>
      </c>
      <c r="J76" t="s">
        <v>5989</v>
      </c>
      <c r="O76" t="s">
        <v>5990</v>
      </c>
      <c r="Q76" s="119">
        <f t="shared" si="2"/>
        <v>300</v>
      </c>
      <c r="S76" s="55" t="s">
        <v>6016</v>
      </c>
    </row>
    <row r="77" spans="1:32" ht="29" x14ac:dyDescent="0.35">
      <c r="A77" t="s">
        <v>35</v>
      </c>
      <c r="B77" t="s">
        <v>2140</v>
      </c>
      <c r="C77">
        <v>5200006000</v>
      </c>
      <c r="D77" s="3" t="s">
        <v>23</v>
      </c>
      <c r="E77" s="109">
        <v>275.73</v>
      </c>
      <c r="F77" t="s">
        <v>88</v>
      </c>
      <c r="G77" s="108">
        <v>45593</v>
      </c>
      <c r="H77" s="55" t="s">
        <v>94</v>
      </c>
      <c r="I77" s="55" t="s">
        <v>311</v>
      </c>
      <c r="J77" t="s">
        <v>5946</v>
      </c>
      <c r="O77" t="s">
        <v>5947</v>
      </c>
      <c r="Q77" s="119">
        <f t="shared" si="2"/>
        <v>275.73</v>
      </c>
      <c r="S77" s="55" t="s">
        <v>6016</v>
      </c>
    </row>
    <row r="78" spans="1:32" ht="29" x14ac:dyDescent="0.35">
      <c r="A78" t="s">
        <v>35</v>
      </c>
      <c r="B78" t="s">
        <v>740</v>
      </c>
      <c r="C78">
        <v>5200006000</v>
      </c>
      <c r="D78" s="3" t="s">
        <v>23</v>
      </c>
      <c r="E78" s="109">
        <v>263.92</v>
      </c>
      <c r="F78" t="s">
        <v>88</v>
      </c>
      <c r="G78" s="108">
        <v>45453</v>
      </c>
      <c r="H78" s="55" t="s">
        <v>94</v>
      </c>
      <c r="I78" s="55" t="s">
        <v>306</v>
      </c>
      <c r="J78" t="s">
        <v>5880</v>
      </c>
      <c r="O78" t="s">
        <v>541</v>
      </c>
      <c r="Q78" s="119">
        <f t="shared" si="2"/>
        <v>263.92</v>
      </c>
      <c r="S78" s="55" t="s">
        <v>6016</v>
      </c>
    </row>
    <row r="79" spans="1:32" ht="29" x14ac:dyDescent="0.35">
      <c r="A79" t="s">
        <v>35</v>
      </c>
      <c r="B79" t="s">
        <v>740</v>
      </c>
      <c r="C79">
        <v>5200006000</v>
      </c>
      <c r="D79" s="3" t="s">
        <v>23</v>
      </c>
      <c r="E79" s="109">
        <v>249.96</v>
      </c>
      <c r="F79" t="s">
        <v>88</v>
      </c>
      <c r="G79" s="108">
        <v>45467</v>
      </c>
      <c r="H79" s="55" t="s">
        <v>94</v>
      </c>
      <c r="I79" s="55" t="s">
        <v>306</v>
      </c>
      <c r="J79" t="s">
        <v>5887</v>
      </c>
      <c r="O79" t="s">
        <v>541</v>
      </c>
      <c r="Q79" s="119">
        <f t="shared" si="2"/>
        <v>249.96</v>
      </c>
      <c r="S79" s="55" t="s">
        <v>6016</v>
      </c>
    </row>
    <row r="80" spans="1:32" ht="29" x14ac:dyDescent="0.35">
      <c r="A80" t="s">
        <v>35</v>
      </c>
      <c r="B80" t="s">
        <v>2140</v>
      </c>
      <c r="C80">
        <v>5200006000</v>
      </c>
      <c r="D80" s="3" t="s">
        <v>23</v>
      </c>
      <c r="E80" s="109">
        <v>248.64</v>
      </c>
      <c r="F80" t="s">
        <v>88</v>
      </c>
      <c r="G80" s="108">
        <v>45593</v>
      </c>
      <c r="H80" s="55" t="s">
        <v>94</v>
      </c>
      <c r="I80" s="55" t="s">
        <v>124</v>
      </c>
      <c r="J80" t="s">
        <v>5948</v>
      </c>
      <c r="O80" t="s">
        <v>5949</v>
      </c>
      <c r="Q80" s="119">
        <f t="shared" si="2"/>
        <v>248.64</v>
      </c>
      <c r="S80" s="55" t="s">
        <v>1285</v>
      </c>
    </row>
    <row r="81" spans="1:32" ht="29" x14ac:dyDescent="0.35">
      <c r="A81" t="s">
        <v>35</v>
      </c>
      <c r="B81" t="s">
        <v>600</v>
      </c>
      <c r="C81">
        <v>5200006000</v>
      </c>
      <c r="D81" s="3" t="s">
        <v>23</v>
      </c>
      <c r="E81" s="109">
        <v>-244.55</v>
      </c>
      <c r="F81" t="s">
        <v>88</v>
      </c>
      <c r="G81" s="108">
        <v>45495</v>
      </c>
      <c r="H81" s="55" t="s">
        <v>94</v>
      </c>
      <c r="I81" s="55" t="s">
        <v>372</v>
      </c>
      <c r="J81" t="s">
        <v>5902</v>
      </c>
      <c r="O81" t="s">
        <v>5891</v>
      </c>
      <c r="Q81" s="119">
        <f t="shared" si="2"/>
        <v>244.55</v>
      </c>
      <c r="S81" s="55" t="s">
        <v>6016</v>
      </c>
    </row>
    <row r="82" spans="1:32" ht="29" x14ac:dyDescent="0.35">
      <c r="A82" s="121" t="s">
        <v>35</v>
      </c>
      <c r="B82" s="121" t="s">
        <v>740</v>
      </c>
      <c r="C82" s="121">
        <v>5200006000</v>
      </c>
      <c r="D82" s="122" t="s">
        <v>23</v>
      </c>
      <c r="E82" s="123">
        <v>232.91</v>
      </c>
      <c r="F82" s="121" t="s">
        <v>88</v>
      </c>
      <c r="G82" s="108">
        <v>45398</v>
      </c>
      <c r="H82" s="120" t="s">
        <v>94</v>
      </c>
      <c r="I82" s="120" t="s">
        <v>306</v>
      </c>
      <c r="J82" s="121" t="s">
        <v>307</v>
      </c>
      <c r="K82" s="121"/>
      <c r="L82" s="121"/>
      <c r="M82" s="121"/>
      <c r="N82" s="121"/>
      <c r="O82" s="121" t="s">
        <v>541</v>
      </c>
      <c r="Q82" s="119">
        <f t="shared" si="2"/>
        <v>232.91</v>
      </c>
      <c r="R82" s="89"/>
      <c r="S82" s="55" t="s">
        <v>6016</v>
      </c>
      <c r="T82" s="90"/>
      <c r="U82" s="90"/>
      <c r="V82" s="119"/>
      <c r="W82" s="90"/>
      <c r="X82" s="90"/>
      <c r="Y82" s="90"/>
      <c r="Z82" s="90"/>
      <c r="AA82" s="90"/>
      <c r="AB82" s="90"/>
      <c r="AC82" s="90"/>
      <c r="AD82" s="90"/>
      <c r="AE82" s="90"/>
      <c r="AF82" s="90"/>
    </row>
    <row r="83" spans="1:32" ht="43.5" x14ac:dyDescent="0.35">
      <c r="A83" t="s">
        <v>35</v>
      </c>
      <c r="B83" t="s">
        <v>740</v>
      </c>
      <c r="C83">
        <v>5200006000</v>
      </c>
      <c r="D83" s="3" t="s">
        <v>23</v>
      </c>
      <c r="E83" s="109">
        <v>232.73</v>
      </c>
      <c r="F83" t="s">
        <v>88</v>
      </c>
      <c r="G83" s="108">
        <v>45594</v>
      </c>
      <c r="H83" s="55" t="s">
        <v>94</v>
      </c>
      <c r="I83" s="55" t="s">
        <v>313</v>
      </c>
      <c r="J83" t="s">
        <v>314</v>
      </c>
      <c r="O83" t="s">
        <v>5829</v>
      </c>
      <c r="Q83" s="119">
        <f t="shared" si="2"/>
        <v>232.73</v>
      </c>
      <c r="S83" s="55" t="s">
        <v>6016</v>
      </c>
    </row>
    <row r="84" spans="1:32" ht="29" x14ac:dyDescent="0.35">
      <c r="A84" t="s">
        <v>35</v>
      </c>
      <c r="B84" t="s">
        <v>740</v>
      </c>
      <c r="C84">
        <v>5200006000</v>
      </c>
      <c r="D84" s="3" t="s">
        <v>23</v>
      </c>
      <c r="E84" s="109">
        <v>225.75</v>
      </c>
      <c r="F84" t="s">
        <v>88</v>
      </c>
      <c r="G84" s="108">
        <v>45453</v>
      </c>
      <c r="H84" s="55" t="s">
        <v>94</v>
      </c>
      <c r="I84" s="55" t="s">
        <v>308</v>
      </c>
      <c r="J84" t="s">
        <v>309</v>
      </c>
      <c r="O84" t="s">
        <v>541</v>
      </c>
      <c r="Q84" s="119">
        <f t="shared" si="2"/>
        <v>225.75</v>
      </c>
      <c r="S84" s="55" t="s">
        <v>6016</v>
      </c>
    </row>
    <row r="85" spans="1:32" ht="43.5" x14ac:dyDescent="0.35">
      <c r="A85" t="s">
        <v>35</v>
      </c>
      <c r="B85" t="s">
        <v>1884</v>
      </c>
      <c r="C85">
        <v>5200006000</v>
      </c>
      <c r="D85" s="3" t="s">
        <v>23</v>
      </c>
      <c r="E85" s="109">
        <v>221.57</v>
      </c>
      <c r="F85" t="s">
        <v>88</v>
      </c>
      <c r="G85" s="108">
        <v>45537</v>
      </c>
      <c r="H85" s="55" t="s">
        <v>89</v>
      </c>
      <c r="I85" s="55" t="s">
        <v>5921</v>
      </c>
      <c r="K85" t="s">
        <v>5922</v>
      </c>
      <c r="L85" t="s">
        <v>5923</v>
      </c>
      <c r="M85" t="s">
        <v>5924</v>
      </c>
      <c r="Q85" s="119">
        <f t="shared" si="2"/>
        <v>221.57</v>
      </c>
      <c r="S85" s="55" t="s">
        <v>6018</v>
      </c>
    </row>
    <row r="86" spans="1:32" ht="29" x14ac:dyDescent="0.35">
      <c r="A86" s="121" t="s">
        <v>35</v>
      </c>
      <c r="B86" s="121" t="s">
        <v>2222</v>
      </c>
      <c r="C86" s="121">
        <v>5200006000</v>
      </c>
      <c r="D86" s="122" t="s">
        <v>23</v>
      </c>
      <c r="E86" s="123">
        <v>210.91</v>
      </c>
      <c r="F86" s="121" t="s">
        <v>88</v>
      </c>
      <c r="G86" s="108">
        <v>45400</v>
      </c>
      <c r="H86" s="120" t="s">
        <v>94</v>
      </c>
      <c r="I86" s="120" t="s">
        <v>5854</v>
      </c>
      <c r="J86" s="180" t="s">
        <v>5855</v>
      </c>
      <c r="K86" s="121"/>
      <c r="L86" s="121"/>
      <c r="M86" s="121"/>
      <c r="N86" s="121"/>
      <c r="O86" s="121" t="s">
        <v>5856</v>
      </c>
      <c r="Q86" s="119">
        <f t="shared" si="2"/>
        <v>210.91</v>
      </c>
      <c r="R86" s="89"/>
      <c r="S86" s="55" t="s">
        <v>6016</v>
      </c>
      <c r="T86" s="90"/>
      <c r="U86" s="90"/>
      <c r="V86" s="119"/>
      <c r="W86" s="90"/>
      <c r="X86" s="90"/>
      <c r="Y86" s="90"/>
      <c r="Z86" s="90"/>
      <c r="AA86" s="90"/>
      <c r="AB86" s="90"/>
      <c r="AC86" s="90"/>
      <c r="AD86" s="90"/>
      <c r="AE86" s="90"/>
      <c r="AF86" s="90"/>
    </row>
    <row r="87" spans="1:32" ht="43.5" x14ac:dyDescent="0.35">
      <c r="A87" s="90" t="s">
        <v>35</v>
      </c>
      <c r="B87" s="90" t="s">
        <v>740</v>
      </c>
      <c r="C87" s="90">
        <v>5200006000</v>
      </c>
      <c r="D87" s="119" t="s">
        <v>23</v>
      </c>
      <c r="E87" s="124">
        <v>203.64</v>
      </c>
      <c r="F87" s="90" t="s">
        <v>88</v>
      </c>
      <c r="G87" s="108">
        <v>45439</v>
      </c>
      <c r="H87" s="89" t="s">
        <v>94</v>
      </c>
      <c r="I87" s="89" t="s">
        <v>313</v>
      </c>
      <c r="J87" s="181" t="s">
        <v>314</v>
      </c>
      <c r="K87" s="90"/>
      <c r="L87" s="90"/>
      <c r="M87" s="90"/>
      <c r="N87" s="90"/>
      <c r="O87" s="90" t="s">
        <v>5829</v>
      </c>
      <c r="Q87" s="119">
        <f t="shared" si="2"/>
        <v>203.64</v>
      </c>
      <c r="R87" s="89"/>
      <c r="S87" s="55" t="s">
        <v>6016</v>
      </c>
      <c r="T87" s="90"/>
      <c r="U87" s="90"/>
      <c r="V87" s="119"/>
      <c r="W87" s="90"/>
      <c r="X87" s="90"/>
      <c r="Y87" s="90"/>
      <c r="Z87" s="90"/>
      <c r="AA87" s="90"/>
      <c r="AB87" s="90"/>
      <c r="AC87" s="90"/>
      <c r="AD87" s="90"/>
      <c r="AE87" s="90"/>
      <c r="AF87" s="90"/>
    </row>
    <row r="88" spans="1:32" ht="43.5" x14ac:dyDescent="0.35">
      <c r="A88" t="s">
        <v>35</v>
      </c>
      <c r="B88" t="s">
        <v>740</v>
      </c>
      <c r="C88">
        <v>5200006000</v>
      </c>
      <c r="D88" s="3" t="s">
        <v>23</v>
      </c>
      <c r="E88" s="109">
        <v>203.64</v>
      </c>
      <c r="F88" t="s">
        <v>88</v>
      </c>
      <c r="G88" s="108">
        <v>45460</v>
      </c>
      <c r="H88" s="55" t="s">
        <v>94</v>
      </c>
      <c r="I88" s="55" t="s">
        <v>313</v>
      </c>
      <c r="J88" s="174" t="s">
        <v>314</v>
      </c>
      <c r="O88" t="s">
        <v>5829</v>
      </c>
      <c r="Q88" s="119">
        <f t="shared" si="2"/>
        <v>203.64</v>
      </c>
      <c r="S88" s="55" t="s">
        <v>6016</v>
      </c>
    </row>
    <row r="89" spans="1:32" ht="43.5" x14ac:dyDescent="0.35">
      <c r="A89" t="s">
        <v>35</v>
      </c>
      <c r="B89" t="s">
        <v>740</v>
      </c>
      <c r="C89">
        <v>5200006000</v>
      </c>
      <c r="D89" s="3" t="s">
        <v>23</v>
      </c>
      <c r="E89" s="109">
        <v>203.64</v>
      </c>
      <c r="F89" t="s">
        <v>88</v>
      </c>
      <c r="G89" s="108">
        <v>45483</v>
      </c>
      <c r="H89" s="55" t="s">
        <v>94</v>
      </c>
      <c r="I89" s="55" t="s">
        <v>313</v>
      </c>
      <c r="J89" s="174" t="s">
        <v>314</v>
      </c>
      <c r="O89" t="s">
        <v>5829</v>
      </c>
      <c r="Q89" s="119">
        <f t="shared" si="2"/>
        <v>203.64</v>
      </c>
      <c r="S89" s="55" t="s">
        <v>6016</v>
      </c>
    </row>
    <row r="90" spans="1:32" ht="43.5" x14ac:dyDescent="0.35">
      <c r="A90" t="s">
        <v>35</v>
      </c>
      <c r="B90" t="s">
        <v>740</v>
      </c>
      <c r="C90">
        <v>5200006000</v>
      </c>
      <c r="D90" s="3" t="s">
        <v>23</v>
      </c>
      <c r="E90" s="109">
        <v>203.64</v>
      </c>
      <c r="F90" t="s">
        <v>88</v>
      </c>
      <c r="G90" s="108">
        <v>45505</v>
      </c>
      <c r="H90" s="55" t="s">
        <v>94</v>
      </c>
      <c r="I90" s="55" t="s">
        <v>313</v>
      </c>
      <c r="J90" s="174" t="s">
        <v>314</v>
      </c>
      <c r="O90" t="s">
        <v>5829</v>
      </c>
      <c r="Q90" s="119">
        <f t="shared" si="2"/>
        <v>203.64</v>
      </c>
      <c r="S90" s="55" t="s">
        <v>6016</v>
      </c>
    </row>
    <row r="91" spans="1:32" ht="43.5" x14ac:dyDescent="0.35">
      <c r="A91" s="121" t="s">
        <v>35</v>
      </c>
      <c r="B91" s="121" t="s">
        <v>740</v>
      </c>
      <c r="C91" s="121">
        <v>5200006000</v>
      </c>
      <c r="D91" s="122" t="s">
        <v>23</v>
      </c>
      <c r="E91" s="123">
        <v>190.91</v>
      </c>
      <c r="F91" s="121" t="s">
        <v>88</v>
      </c>
      <c r="G91" s="108">
        <v>45421</v>
      </c>
      <c r="H91" s="120" t="s">
        <v>94</v>
      </c>
      <c r="I91" s="120" t="s">
        <v>313</v>
      </c>
      <c r="J91" s="180" t="s">
        <v>314</v>
      </c>
      <c r="K91" s="121"/>
      <c r="L91" s="121"/>
      <c r="M91" s="121"/>
      <c r="N91" s="121"/>
      <c r="O91" s="121" t="s">
        <v>5829</v>
      </c>
      <c r="Q91" s="119">
        <f t="shared" si="2"/>
        <v>190.91</v>
      </c>
      <c r="R91" s="89"/>
      <c r="S91" s="55" t="s">
        <v>6016</v>
      </c>
      <c r="T91" s="90"/>
      <c r="U91" s="90"/>
      <c r="V91" s="119"/>
      <c r="W91" s="90"/>
      <c r="X91" s="90"/>
      <c r="Y91" s="90"/>
      <c r="Z91" s="90"/>
      <c r="AA91" s="90"/>
      <c r="AB91" s="90"/>
      <c r="AC91" s="90"/>
      <c r="AD91" s="90"/>
      <c r="AE91" s="90"/>
      <c r="AF91" s="90"/>
    </row>
    <row r="92" spans="1:32" ht="29" x14ac:dyDescent="0.35">
      <c r="A92" s="121" t="s">
        <v>35</v>
      </c>
      <c r="B92" s="121" t="s">
        <v>2222</v>
      </c>
      <c r="C92" s="121">
        <v>5200006000</v>
      </c>
      <c r="D92" s="122" t="s">
        <v>23</v>
      </c>
      <c r="E92" s="123">
        <v>181.78</v>
      </c>
      <c r="F92" s="121" t="s">
        <v>88</v>
      </c>
      <c r="G92" s="108">
        <v>45400</v>
      </c>
      <c r="H92" s="120" t="s">
        <v>94</v>
      </c>
      <c r="I92" s="120" t="s">
        <v>97</v>
      </c>
      <c r="J92" s="121" t="s">
        <v>5842</v>
      </c>
      <c r="K92" s="121"/>
      <c r="L92" s="121"/>
      <c r="M92" s="121"/>
      <c r="N92" s="121"/>
      <c r="O92" s="121" t="s">
        <v>5843</v>
      </c>
      <c r="Q92" s="119">
        <f t="shared" si="2"/>
        <v>181.78</v>
      </c>
      <c r="R92" s="89"/>
      <c r="S92" s="55" t="s">
        <v>6016</v>
      </c>
      <c r="T92" s="90"/>
      <c r="U92" s="90"/>
      <c r="V92" s="119"/>
      <c r="W92" s="90"/>
      <c r="X92" s="90"/>
      <c r="Y92" s="90"/>
      <c r="Z92" s="90"/>
      <c r="AA92" s="90"/>
      <c r="AB92" s="90"/>
      <c r="AC92" s="90"/>
      <c r="AD92" s="90"/>
      <c r="AE92" s="90"/>
      <c r="AF92" s="90"/>
    </row>
    <row r="93" spans="1:32" ht="43.5" x14ac:dyDescent="0.35">
      <c r="A93" t="s">
        <v>35</v>
      </c>
      <c r="B93" t="s">
        <v>740</v>
      </c>
      <c r="C93">
        <v>5200006000</v>
      </c>
      <c r="D93" s="3" t="s">
        <v>23</v>
      </c>
      <c r="E93" s="109">
        <v>174.55</v>
      </c>
      <c r="F93" t="s">
        <v>88</v>
      </c>
      <c r="G93" s="108">
        <v>45552</v>
      </c>
      <c r="H93" s="55" t="s">
        <v>94</v>
      </c>
      <c r="I93" s="55" t="s">
        <v>313</v>
      </c>
      <c r="J93" t="s">
        <v>314</v>
      </c>
      <c r="O93" t="s">
        <v>5829</v>
      </c>
      <c r="Q93" s="119">
        <f t="shared" si="2"/>
        <v>174.55</v>
      </c>
      <c r="S93" s="55" t="s">
        <v>6016</v>
      </c>
    </row>
    <row r="94" spans="1:32" ht="29" x14ac:dyDescent="0.35">
      <c r="A94" t="s">
        <v>35</v>
      </c>
      <c r="B94" t="s">
        <v>2140</v>
      </c>
      <c r="C94">
        <v>5200006000</v>
      </c>
      <c r="D94" s="3" t="s">
        <v>23</v>
      </c>
      <c r="E94" s="109">
        <v>173.64</v>
      </c>
      <c r="F94" t="s">
        <v>88</v>
      </c>
      <c r="G94" s="108">
        <v>45594</v>
      </c>
      <c r="H94" s="55" t="s">
        <v>94</v>
      </c>
      <c r="I94" s="55" t="s">
        <v>124</v>
      </c>
      <c r="J94" t="s">
        <v>5955</v>
      </c>
      <c r="O94" t="s">
        <v>5899</v>
      </c>
      <c r="Q94" s="119">
        <f t="shared" si="2"/>
        <v>173.64</v>
      </c>
      <c r="S94" s="55" t="s">
        <v>6016</v>
      </c>
    </row>
    <row r="95" spans="1:32" ht="29" x14ac:dyDescent="0.35">
      <c r="A95" t="s">
        <v>35</v>
      </c>
      <c r="B95" t="s">
        <v>740</v>
      </c>
      <c r="C95">
        <v>5200006000</v>
      </c>
      <c r="D95" s="3" t="s">
        <v>23</v>
      </c>
      <c r="E95" s="109">
        <v>164.37</v>
      </c>
      <c r="F95" t="s">
        <v>88</v>
      </c>
      <c r="G95" s="108">
        <v>45460</v>
      </c>
      <c r="H95" s="55" t="s">
        <v>94</v>
      </c>
      <c r="I95" s="55" t="s">
        <v>308</v>
      </c>
      <c r="J95" t="s">
        <v>5884</v>
      </c>
      <c r="O95" t="s">
        <v>541</v>
      </c>
      <c r="Q95" s="119">
        <f t="shared" si="2"/>
        <v>164.37</v>
      </c>
      <c r="S95" s="55" t="s">
        <v>6016</v>
      </c>
    </row>
    <row r="96" spans="1:32" ht="43.5" x14ac:dyDescent="0.35">
      <c r="A96" s="121" t="s">
        <v>35</v>
      </c>
      <c r="B96" s="121" t="s">
        <v>740</v>
      </c>
      <c r="C96" s="121">
        <v>5200006000</v>
      </c>
      <c r="D96" s="122" t="s">
        <v>23</v>
      </c>
      <c r="E96" s="123">
        <v>163.63999999999999</v>
      </c>
      <c r="F96" s="121" t="s">
        <v>88</v>
      </c>
      <c r="G96" s="108">
        <v>45387</v>
      </c>
      <c r="H96" s="120" t="s">
        <v>94</v>
      </c>
      <c r="I96" s="120" t="s">
        <v>313</v>
      </c>
      <c r="J96" s="180" t="s">
        <v>314</v>
      </c>
      <c r="K96" s="121"/>
      <c r="L96" s="121"/>
      <c r="M96" s="121"/>
      <c r="N96" s="121"/>
      <c r="O96" s="121" t="s">
        <v>5829</v>
      </c>
      <c r="Q96" s="119">
        <f t="shared" si="2"/>
        <v>163.63999999999999</v>
      </c>
      <c r="R96" s="89"/>
      <c r="S96" s="55" t="s">
        <v>6016</v>
      </c>
      <c r="T96" s="90"/>
      <c r="U96" s="90"/>
      <c r="V96" s="119"/>
      <c r="W96" s="90"/>
      <c r="X96" s="90"/>
      <c r="Y96" s="90"/>
      <c r="Z96" s="90"/>
      <c r="AA96" s="90"/>
      <c r="AB96" s="90"/>
      <c r="AC96" s="90"/>
      <c r="AD96" s="90"/>
      <c r="AE96" s="90"/>
      <c r="AF96" s="90"/>
    </row>
    <row r="97" spans="1:32" ht="29" x14ac:dyDescent="0.35">
      <c r="A97" t="s">
        <v>35</v>
      </c>
      <c r="B97" t="s">
        <v>740</v>
      </c>
      <c r="C97">
        <v>5200006000</v>
      </c>
      <c r="D97" s="3" t="s">
        <v>23</v>
      </c>
      <c r="E97" s="109">
        <v>161.82</v>
      </c>
      <c r="F97" t="s">
        <v>88</v>
      </c>
      <c r="G97" s="108">
        <v>45467</v>
      </c>
      <c r="H97" s="55" t="s">
        <v>94</v>
      </c>
      <c r="I97" s="55" t="s">
        <v>306</v>
      </c>
      <c r="J97" t="s">
        <v>5839</v>
      </c>
      <c r="O97" t="s">
        <v>5881</v>
      </c>
      <c r="Q97" s="119">
        <f t="shared" si="2"/>
        <v>161.82</v>
      </c>
      <c r="S97" s="55" t="s">
        <v>6016</v>
      </c>
    </row>
    <row r="98" spans="1:32" ht="43.5" x14ac:dyDescent="0.35">
      <c r="A98" t="s">
        <v>35</v>
      </c>
      <c r="B98" t="s">
        <v>5998</v>
      </c>
      <c r="C98">
        <v>5200006000</v>
      </c>
      <c r="D98" s="3" t="s">
        <v>23</v>
      </c>
      <c r="E98" s="109">
        <v>160.65</v>
      </c>
      <c r="F98" t="s">
        <v>88</v>
      </c>
      <c r="G98" s="108">
        <v>45635</v>
      </c>
      <c r="H98" s="55" t="s">
        <v>89</v>
      </c>
      <c r="I98" s="55" t="s">
        <v>5995</v>
      </c>
      <c r="K98" t="s">
        <v>5996</v>
      </c>
      <c r="L98">
        <v>425</v>
      </c>
      <c r="M98" t="s">
        <v>5997</v>
      </c>
      <c r="Q98" s="119">
        <f t="shared" si="2"/>
        <v>160.65</v>
      </c>
      <c r="S98" s="55" t="s">
        <v>9259</v>
      </c>
      <c r="T98" t="s">
        <v>64</v>
      </c>
      <c r="U98" t="str">
        <f>B98</f>
        <v>AU070152</v>
      </c>
      <c r="V98" s="3">
        <f>E98</f>
        <v>160.65</v>
      </c>
    </row>
    <row r="99" spans="1:32" ht="43.5" x14ac:dyDescent="0.35">
      <c r="A99" t="s">
        <v>35</v>
      </c>
      <c r="B99" t="s">
        <v>852</v>
      </c>
      <c r="C99">
        <v>5200006000</v>
      </c>
      <c r="D99" s="3" t="s">
        <v>23</v>
      </c>
      <c r="E99" s="109">
        <v>159.55000000000001</v>
      </c>
      <c r="F99" t="s">
        <v>88</v>
      </c>
      <c r="G99" s="108">
        <v>45539</v>
      </c>
      <c r="H99" s="55" t="s">
        <v>89</v>
      </c>
      <c r="I99" s="55" t="s">
        <v>5925</v>
      </c>
      <c r="K99" t="s">
        <v>5926</v>
      </c>
      <c r="L99">
        <v>10123340010</v>
      </c>
      <c r="M99" t="s">
        <v>348</v>
      </c>
      <c r="Q99" s="119">
        <f t="shared" si="2"/>
        <v>159.55000000000001</v>
      </c>
      <c r="S99" s="55" t="s">
        <v>6016</v>
      </c>
    </row>
    <row r="100" spans="1:32" ht="29" x14ac:dyDescent="0.35">
      <c r="A100" t="s">
        <v>35</v>
      </c>
      <c r="B100" t="s">
        <v>2140</v>
      </c>
      <c r="C100">
        <v>5200006000</v>
      </c>
      <c r="D100" s="3" t="s">
        <v>23</v>
      </c>
      <c r="E100" s="109">
        <v>157.27000000000001</v>
      </c>
      <c r="F100" t="s">
        <v>88</v>
      </c>
      <c r="G100" s="108">
        <v>45488</v>
      </c>
      <c r="H100" s="55" t="s">
        <v>94</v>
      </c>
      <c r="I100" s="55" t="s">
        <v>243</v>
      </c>
      <c r="J100" t="s">
        <v>5894</v>
      </c>
      <c r="O100" t="s">
        <v>5895</v>
      </c>
      <c r="Q100" s="119">
        <f t="shared" si="2"/>
        <v>157.27000000000001</v>
      </c>
      <c r="S100" s="55" t="s">
        <v>6016</v>
      </c>
    </row>
    <row r="101" spans="1:32" ht="29" x14ac:dyDescent="0.35">
      <c r="A101" t="s">
        <v>35</v>
      </c>
      <c r="B101" t="s">
        <v>623</v>
      </c>
      <c r="C101">
        <v>5200006000</v>
      </c>
      <c r="D101" s="3" t="s">
        <v>23</v>
      </c>
      <c r="E101" s="109">
        <v>154.63999999999999</v>
      </c>
      <c r="F101" t="s">
        <v>88</v>
      </c>
      <c r="G101" s="108">
        <v>45594</v>
      </c>
      <c r="H101" s="55" t="s">
        <v>94</v>
      </c>
      <c r="I101" s="55" t="s">
        <v>1303</v>
      </c>
      <c r="J101" t="s">
        <v>5950</v>
      </c>
      <c r="O101" t="s">
        <v>5951</v>
      </c>
      <c r="Q101" s="119">
        <f t="shared" si="2"/>
        <v>154.63999999999999</v>
      </c>
      <c r="S101" s="55" t="s">
        <v>6016</v>
      </c>
    </row>
    <row r="102" spans="1:32" ht="29" x14ac:dyDescent="0.35">
      <c r="A102" s="121" t="s">
        <v>35</v>
      </c>
      <c r="B102" s="121" t="s">
        <v>740</v>
      </c>
      <c r="C102" s="121">
        <v>5200006000</v>
      </c>
      <c r="D102" s="122" t="s">
        <v>23</v>
      </c>
      <c r="E102" s="123">
        <v>141.27000000000001</v>
      </c>
      <c r="F102" s="121" t="s">
        <v>88</v>
      </c>
      <c r="G102" s="108">
        <v>45421</v>
      </c>
      <c r="H102" s="120" t="s">
        <v>94</v>
      </c>
      <c r="I102" s="120" t="s">
        <v>312</v>
      </c>
      <c r="J102" s="121" t="s">
        <v>5867</v>
      </c>
      <c r="K102" s="121"/>
      <c r="L102" s="121"/>
      <c r="M102" s="121"/>
      <c r="N102" s="121"/>
      <c r="O102" s="121" t="s">
        <v>5868</v>
      </c>
      <c r="Q102" s="119">
        <f t="shared" si="2"/>
        <v>141.27000000000001</v>
      </c>
      <c r="R102" s="89"/>
      <c r="S102" s="55" t="s">
        <v>6016</v>
      </c>
      <c r="T102" s="90"/>
      <c r="U102" s="90"/>
      <c r="V102" s="119"/>
      <c r="W102" s="90"/>
      <c r="X102" s="90"/>
      <c r="Y102" s="90"/>
      <c r="Z102" s="90"/>
      <c r="AA102" s="90"/>
      <c r="AB102" s="90"/>
      <c r="AC102" s="90"/>
      <c r="AD102" s="90"/>
      <c r="AE102" s="90"/>
      <c r="AF102" s="90"/>
    </row>
    <row r="103" spans="1:32" ht="43.5" x14ac:dyDescent="0.35">
      <c r="A103" s="121" t="s">
        <v>35</v>
      </c>
      <c r="B103" s="121" t="s">
        <v>740</v>
      </c>
      <c r="C103" s="121">
        <v>5200006000</v>
      </c>
      <c r="D103" s="122" t="s">
        <v>23</v>
      </c>
      <c r="E103" s="123">
        <v>140</v>
      </c>
      <c r="F103" s="121" t="s">
        <v>88</v>
      </c>
      <c r="G103" s="108">
        <v>45398</v>
      </c>
      <c r="H103" s="120" t="s">
        <v>94</v>
      </c>
      <c r="I103" s="120" t="s">
        <v>5836</v>
      </c>
      <c r="J103" s="121" t="s">
        <v>5837</v>
      </c>
      <c r="K103" s="121"/>
      <c r="L103" s="121"/>
      <c r="M103" s="121"/>
      <c r="N103" s="121"/>
      <c r="O103" s="121" t="s">
        <v>5838</v>
      </c>
      <c r="Q103" s="119">
        <f t="shared" si="2"/>
        <v>140</v>
      </c>
      <c r="R103" s="89"/>
      <c r="S103" s="55" t="s">
        <v>6016</v>
      </c>
      <c r="T103" s="90"/>
      <c r="U103" s="90"/>
      <c r="V103" s="119"/>
      <c r="W103" s="90"/>
      <c r="X103" s="90"/>
      <c r="Y103" s="90"/>
      <c r="Z103" s="90"/>
      <c r="AA103" s="90"/>
      <c r="AB103" s="90"/>
      <c r="AC103" s="90"/>
      <c r="AD103" s="90"/>
      <c r="AE103" s="90"/>
      <c r="AF103" s="90"/>
    </row>
    <row r="104" spans="1:32" ht="29" x14ac:dyDescent="0.35">
      <c r="A104" s="121" t="s">
        <v>35</v>
      </c>
      <c r="B104" s="121" t="s">
        <v>732</v>
      </c>
      <c r="C104" s="121">
        <v>5200006000</v>
      </c>
      <c r="D104" s="122" t="s">
        <v>23</v>
      </c>
      <c r="E104" s="123">
        <v>131.82</v>
      </c>
      <c r="F104" s="121" t="s">
        <v>88</v>
      </c>
      <c r="G104" s="108">
        <v>45400</v>
      </c>
      <c r="H104" s="120" t="s">
        <v>94</v>
      </c>
      <c r="I104" s="120" t="s">
        <v>97</v>
      </c>
      <c r="J104" s="121" t="s">
        <v>5849</v>
      </c>
      <c r="K104" s="121"/>
      <c r="L104" s="121"/>
      <c r="M104" s="121"/>
      <c r="N104" s="121"/>
      <c r="O104" s="121" t="s">
        <v>5850</v>
      </c>
      <c r="Q104" s="119">
        <f t="shared" si="2"/>
        <v>131.82</v>
      </c>
      <c r="R104" s="89"/>
      <c r="S104" s="55" t="s">
        <v>6016</v>
      </c>
      <c r="T104" s="90"/>
      <c r="U104" s="90"/>
      <c r="V104" s="119"/>
      <c r="W104" s="90"/>
      <c r="X104" s="90"/>
      <c r="Y104" s="90"/>
      <c r="Z104" s="90"/>
      <c r="AA104" s="90"/>
      <c r="AB104" s="90"/>
      <c r="AC104" s="90"/>
      <c r="AD104" s="90"/>
      <c r="AE104" s="90"/>
      <c r="AF104" s="90"/>
    </row>
    <row r="105" spans="1:32" ht="29" x14ac:dyDescent="0.35">
      <c r="A105" s="121" t="s">
        <v>35</v>
      </c>
      <c r="B105" s="121" t="s">
        <v>732</v>
      </c>
      <c r="C105" s="121">
        <v>5200006000</v>
      </c>
      <c r="D105" s="122" t="s">
        <v>23</v>
      </c>
      <c r="E105" s="123">
        <v>131.81</v>
      </c>
      <c r="F105" s="121" t="s">
        <v>88</v>
      </c>
      <c r="G105" s="108">
        <v>45400</v>
      </c>
      <c r="H105" s="120" t="s">
        <v>94</v>
      </c>
      <c r="I105" s="120" t="s">
        <v>97</v>
      </c>
      <c r="J105" s="121" t="s">
        <v>5848</v>
      </c>
      <c r="K105" s="121"/>
      <c r="L105" s="121"/>
      <c r="M105" s="121"/>
      <c r="N105" s="121"/>
      <c r="O105" s="121" t="s">
        <v>5843</v>
      </c>
      <c r="Q105" s="119">
        <f t="shared" si="2"/>
        <v>131.81</v>
      </c>
      <c r="R105" s="89"/>
      <c r="S105" s="55" t="s">
        <v>6016</v>
      </c>
      <c r="T105" s="90"/>
      <c r="U105" s="90"/>
      <c r="V105" s="119"/>
      <c r="W105" s="90"/>
      <c r="X105" s="90"/>
      <c r="Y105" s="90"/>
      <c r="Z105" s="90"/>
      <c r="AA105" s="90"/>
      <c r="AB105" s="90"/>
      <c r="AC105" s="90"/>
      <c r="AD105" s="90"/>
      <c r="AE105" s="90"/>
      <c r="AF105" s="90"/>
    </row>
    <row r="106" spans="1:32" ht="29" x14ac:dyDescent="0.35">
      <c r="A106" t="s">
        <v>35</v>
      </c>
      <c r="B106" t="s">
        <v>740</v>
      </c>
      <c r="C106">
        <v>5200006000</v>
      </c>
      <c r="D106" s="3" t="s">
        <v>23</v>
      </c>
      <c r="E106" s="109">
        <v>130.91</v>
      </c>
      <c r="F106" t="s">
        <v>88</v>
      </c>
      <c r="G106" s="108">
        <v>45453</v>
      </c>
      <c r="H106" s="55" t="s">
        <v>94</v>
      </c>
      <c r="I106" s="55" t="s">
        <v>306</v>
      </c>
      <c r="J106" t="s">
        <v>5880</v>
      </c>
      <c r="O106" t="s">
        <v>5881</v>
      </c>
      <c r="Q106" s="119">
        <f t="shared" si="2"/>
        <v>130.91</v>
      </c>
      <c r="S106" s="55" t="s">
        <v>6016</v>
      </c>
    </row>
    <row r="107" spans="1:32" ht="29" x14ac:dyDescent="0.35">
      <c r="A107" t="s">
        <v>35</v>
      </c>
      <c r="B107" t="s">
        <v>623</v>
      </c>
      <c r="C107">
        <v>5200006000</v>
      </c>
      <c r="D107" s="3" t="s">
        <v>23</v>
      </c>
      <c r="E107" s="109">
        <v>114.55</v>
      </c>
      <c r="F107" t="s">
        <v>88</v>
      </c>
      <c r="G107" s="108">
        <v>45594</v>
      </c>
      <c r="H107" s="55" t="s">
        <v>94</v>
      </c>
      <c r="I107" s="55" t="s">
        <v>451</v>
      </c>
      <c r="J107" t="s">
        <v>5954</v>
      </c>
      <c r="O107" t="s">
        <v>4130</v>
      </c>
      <c r="Q107" s="119">
        <f t="shared" ref="Q107:Q138" si="3">ABS(E107)</f>
        <v>114.55</v>
      </c>
      <c r="S107" s="55" t="s">
        <v>6016</v>
      </c>
    </row>
    <row r="108" spans="1:32" ht="29" x14ac:dyDescent="0.35">
      <c r="A108" s="121" t="s">
        <v>35</v>
      </c>
      <c r="B108" s="121" t="s">
        <v>805</v>
      </c>
      <c r="C108" s="121">
        <v>5200006000</v>
      </c>
      <c r="D108" s="122" t="s">
        <v>23</v>
      </c>
      <c r="E108" s="123">
        <v>109.09</v>
      </c>
      <c r="F108" s="121" t="s">
        <v>88</v>
      </c>
      <c r="G108" s="108">
        <v>45434</v>
      </c>
      <c r="H108" s="120" t="s">
        <v>94</v>
      </c>
      <c r="I108" s="120" t="s">
        <v>5873</v>
      </c>
      <c r="J108" s="121" t="s">
        <v>5874</v>
      </c>
      <c r="K108" s="121"/>
      <c r="L108" s="121"/>
      <c r="M108" s="121"/>
      <c r="N108" s="121"/>
      <c r="O108" s="121" t="s">
        <v>743</v>
      </c>
      <c r="Q108" s="119">
        <f t="shared" si="3"/>
        <v>109.09</v>
      </c>
      <c r="R108" s="89"/>
      <c r="S108" s="55" t="s">
        <v>6016</v>
      </c>
      <c r="T108" s="90"/>
      <c r="U108" s="90"/>
      <c r="V108" s="119"/>
      <c r="W108" s="90"/>
      <c r="X108" s="90"/>
      <c r="Y108" s="90"/>
      <c r="Z108" s="90"/>
      <c r="AA108" s="90"/>
      <c r="AB108" s="90"/>
      <c r="AC108" s="90"/>
      <c r="AD108" s="90"/>
      <c r="AE108" s="90"/>
      <c r="AF108" s="90"/>
    </row>
    <row r="109" spans="1:32" ht="29" x14ac:dyDescent="0.35">
      <c r="A109" s="121" t="s">
        <v>35</v>
      </c>
      <c r="B109" s="121" t="s">
        <v>740</v>
      </c>
      <c r="C109" s="121">
        <v>5200006000</v>
      </c>
      <c r="D109" s="122" t="s">
        <v>23</v>
      </c>
      <c r="E109" s="123">
        <v>101.31</v>
      </c>
      <c r="F109" s="121" t="s">
        <v>88</v>
      </c>
      <c r="G109" s="108">
        <v>45432</v>
      </c>
      <c r="H109" s="120" t="s">
        <v>94</v>
      </c>
      <c r="I109" s="120" t="s">
        <v>312</v>
      </c>
      <c r="J109" s="121" t="s">
        <v>5871</v>
      </c>
      <c r="K109" s="121"/>
      <c r="L109" s="121"/>
      <c r="M109" s="121"/>
      <c r="N109" s="121"/>
      <c r="O109" s="121" t="s">
        <v>5872</v>
      </c>
      <c r="Q109" s="119">
        <f t="shared" si="3"/>
        <v>101.31</v>
      </c>
      <c r="R109" s="89"/>
      <c r="S109" s="55" t="s">
        <v>6016</v>
      </c>
      <c r="T109" s="90"/>
      <c r="U109" s="90"/>
      <c r="V109" s="119"/>
      <c r="W109" s="90"/>
      <c r="X109" s="90"/>
      <c r="Y109" s="90"/>
      <c r="Z109" s="90"/>
      <c r="AA109" s="90"/>
      <c r="AB109" s="90"/>
      <c r="AC109" s="90"/>
      <c r="AD109" s="90"/>
      <c r="AE109" s="90"/>
      <c r="AF109" s="90"/>
    </row>
    <row r="110" spans="1:32" ht="29" x14ac:dyDescent="0.35">
      <c r="A110" s="90" t="s">
        <v>35</v>
      </c>
      <c r="B110" s="90" t="s">
        <v>740</v>
      </c>
      <c r="C110" s="90">
        <v>5200006000</v>
      </c>
      <c r="D110" s="119" t="s">
        <v>23</v>
      </c>
      <c r="E110" s="124">
        <v>96.71</v>
      </c>
      <c r="F110" s="90" t="s">
        <v>88</v>
      </c>
      <c r="G110" s="108">
        <v>45439</v>
      </c>
      <c r="H110" s="89" t="s">
        <v>94</v>
      </c>
      <c r="I110" s="89" t="s">
        <v>312</v>
      </c>
      <c r="J110" s="90" t="s">
        <v>5871</v>
      </c>
      <c r="K110" s="90"/>
      <c r="L110" s="90"/>
      <c r="M110" s="90"/>
      <c r="N110" s="90"/>
      <c r="O110" s="90" t="s">
        <v>5875</v>
      </c>
      <c r="Q110" s="119">
        <f t="shared" si="3"/>
        <v>96.71</v>
      </c>
      <c r="R110" s="89"/>
      <c r="S110" s="55" t="s">
        <v>6016</v>
      </c>
      <c r="T110" s="90"/>
      <c r="U110" s="90"/>
      <c r="V110" s="119"/>
      <c r="W110" s="90"/>
      <c r="X110" s="90"/>
      <c r="Y110" s="90"/>
      <c r="Z110" s="90"/>
      <c r="AA110" s="90"/>
      <c r="AB110" s="90"/>
      <c r="AC110" s="90"/>
      <c r="AD110" s="90"/>
      <c r="AE110" s="90"/>
      <c r="AF110" s="90"/>
    </row>
    <row r="111" spans="1:32" ht="29" x14ac:dyDescent="0.35">
      <c r="A111" t="s">
        <v>35</v>
      </c>
      <c r="B111" t="s">
        <v>740</v>
      </c>
      <c r="C111">
        <v>5200006000</v>
      </c>
      <c r="D111" s="3" t="s">
        <v>23</v>
      </c>
      <c r="E111" s="109">
        <v>95.73</v>
      </c>
      <c r="F111" t="s">
        <v>88</v>
      </c>
      <c r="G111" s="108">
        <v>45467</v>
      </c>
      <c r="H111" s="55" t="s">
        <v>94</v>
      </c>
      <c r="I111" s="55" t="s">
        <v>306</v>
      </c>
      <c r="J111" t="s">
        <v>307</v>
      </c>
      <c r="O111" t="s">
        <v>541</v>
      </c>
      <c r="Q111" s="119">
        <f t="shared" si="3"/>
        <v>95.73</v>
      </c>
      <c r="S111" s="55" t="s">
        <v>6016</v>
      </c>
    </row>
    <row r="112" spans="1:32" ht="29" x14ac:dyDescent="0.35">
      <c r="A112" t="s">
        <v>35</v>
      </c>
      <c r="B112" t="s">
        <v>740</v>
      </c>
      <c r="C112">
        <v>5200006000</v>
      </c>
      <c r="D112" s="3" t="s">
        <v>23</v>
      </c>
      <c r="E112" s="109">
        <v>91.4</v>
      </c>
      <c r="F112" t="s">
        <v>88</v>
      </c>
      <c r="G112" s="108">
        <v>45460</v>
      </c>
      <c r="H112" s="55" t="s">
        <v>94</v>
      </c>
      <c r="I112" s="55" t="s">
        <v>308</v>
      </c>
      <c r="J112" t="s">
        <v>5885</v>
      </c>
      <c r="O112" t="s">
        <v>541</v>
      </c>
      <c r="Q112" s="119">
        <f t="shared" si="3"/>
        <v>91.4</v>
      </c>
      <c r="S112" s="55" t="s">
        <v>6016</v>
      </c>
    </row>
    <row r="113" spans="1:32" ht="29" x14ac:dyDescent="0.35">
      <c r="A113" s="121" t="s">
        <v>35</v>
      </c>
      <c r="B113" s="121" t="s">
        <v>740</v>
      </c>
      <c r="C113" s="121">
        <v>5200006000</v>
      </c>
      <c r="D113" s="122" t="s">
        <v>23</v>
      </c>
      <c r="E113" s="123">
        <v>86.55</v>
      </c>
      <c r="F113" s="121" t="s">
        <v>88</v>
      </c>
      <c r="G113" s="108">
        <v>45432</v>
      </c>
      <c r="H113" s="120" t="s">
        <v>94</v>
      </c>
      <c r="I113" s="120" t="s">
        <v>312</v>
      </c>
      <c r="J113" s="121" t="s">
        <v>5870</v>
      </c>
      <c r="K113" s="121"/>
      <c r="L113" s="121"/>
      <c r="M113" s="121"/>
      <c r="N113" s="121"/>
      <c r="O113" s="121" t="s">
        <v>5838</v>
      </c>
      <c r="Q113" s="119">
        <f t="shared" si="3"/>
        <v>86.55</v>
      </c>
      <c r="R113" s="89"/>
      <c r="S113" s="55" t="s">
        <v>6016</v>
      </c>
      <c r="T113" s="90"/>
      <c r="U113" s="90"/>
      <c r="V113" s="119"/>
      <c r="W113" s="90"/>
      <c r="X113" s="90"/>
      <c r="Y113" s="90"/>
      <c r="Z113" s="90"/>
      <c r="AA113" s="90"/>
      <c r="AB113" s="90"/>
      <c r="AC113" s="90"/>
      <c r="AD113" s="90"/>
      <c r="AE113" s="90"/>
      <c r="AF113" s="90"/>
    </row>
    <row r="114" spans="1:32" ht="29" x14ac:dyDescent="0.35">
      <c r="A114" s="121" t="s">
        <v>35</v>
      </c>
      <c r="B114" s="121" t="s">
        <v>740</v>
      </c>
      <c r="C114" s="121">
        <v>5200006000</v>
      </c>
      <c r="D114" s="122" t="s">
        <v>23</v>
      </c>
      <c r="E114" s="123">
        <v>81.09</v>
      </c>
      <c r="F114" s="121" t="s">
        <v>88</v>
      </c>
      <c r="G114" s="108">
        <v>45398</v>
      </c>
      <c r="H114" s="120" t="s">
        <v>94</v>
      </c>
      <c r="I114" s="120" t="s">
        <v>306</v>
      </c>
      <c r="J114" s="121" t="s">
        <v>5839</v>
      </c>
      <c r="K114" s="121"/>
      <c r="L114" s="121"/>
      <c r="M114" s="121"/>
      <c r="N114" s="121"/>
      <c r="O114" s="121" t="s">
        <v>575</v>
      </c>
      <c r="Q114" s="119">
        <f t="shared" si="3"/>
        <v>81.09</v>
      </c>
      <c r="R114" s="89"/>
      <c r="S114" s="55" t="s">
        <v>6016</v>
      </c>
      <c r="T114" s="90"/>
      <c r="U114" s="90"/>
      <c r="V114" s="119"/>
      <c r="W114" s="90"/>
      <c r="X114" s="90"/>
      <c r="Y114" s="90"/>
      <c r="Z114" s="90"/>
      <c r="AA114" s="90"/>
      <c r="AB114" s="90"/>
      <c r="AC114" s="90"/>
      <c r="AD114" s="90"/>
      <c r="AE114" s="90"/>
      <c r="AF114" s="90"/>
    </row>
    <row r="115" spans="1:32" ht="43.5" x14ac:dyDescent="0.35">
      <c r="A115" t="s">
        <v>35</v>
      </c>
      <c r="B115" t="s">
        <v>5994</v>
      </c>
      <c r="C115">
        <v>5200006000</v>
      </c>
      <c r="D115" s="3" t="s">
        <v>23</v>
      </c>
      <c r="E115" s="109">
        <v>80.33</v>
      </c>
      <c r="F115" t="s">
        <v>88</v>
      </c>
      <c r="G115" s="108">
        <v>45635</v>
      </c>
      <c r="H115" s="55" t="s">
        <v>89</v>
      </c>
      <c r="I115" s="55" t="s">
        <v>5995</v>
      </c>
      <c r="K115" t="s">
        <v>5996</v>
      </c>
      <c r="L115">
        <v>425</v>
      </c>
      <c r="M115" t="s">
        <v>5997</v>
      </c>
      <c r="Q115" s="119">
        <f t="shared" si="3"/>
        <v>80.33</v>
      </c>
      <c r="S115" s="55" t="s">
        <v>9259</v>
      </c>
      <c r="T115" t="s">
        <v>64</v>
      </c>
      <c r="U115" t="str">
        <f>B115</f>
        <v>AU060135</v>
      </c>
      <c r="V115" s="3">
        <f>E115</f>
        <v>80.33</v>
      </c>
    </row>
    <row r="116" spans="1:32" ht="43.5" x14ac:dyDescent="0.35">
      <c r="A116" t="s">
        <v>35</v>
      </c>
      <c r="B116" t="s">
        <v>2316</v>
      </c>
      <c r="C116">
        <v>5200006000</v>
      </c>
      <c r="D116" s="3" t="s">
        <v>23</v>
      </c>
      <c r="E116" s="109">
        <v>76.61</v>
      </c>
      <c r="F116" t="s">
        <v>88</v>
      </c>
      <c r="G116" s="108">
        <v>45637</v>
      </c>
      <c r="H116" s="55" t="s">
        <v>89</v>
      </c>
      <c r="I116" s="55" t="s">
        <v>6002</v>
      </c>
      <c r="K116" t="s">
        <v>6008</v>
      </c>
      <c r="L116" t="s">
        <v>6004</v>
      </c>
      <c r="M116" t="s">
        <v>6005</v>
      </c>
      <c r="Q116" s="119">
        <f t="shared" si="3"/>
        <v>76.61</v>
      </c>
      <c r="S116" s="55" t="s">
        <v>6016</v>
      </c>
    </row>
    <row r="117" spans="1:32" ht="29" x14ac:dyDescent="0.35">
      <c r="A117" t="s">
        <v>35</v>
      </c>
      <c r="B117" t="s">
        <v>732</v>
      </c>
      <c r="C117">
        <v>5200006000</v>
      </c>
      <c r="D117" s="3" t="s">
        <v>23</v>
      </c>
      <c r="E117" s="109">
        <v>75.09</v>
      </c>
      <c r="F117" t="s">
        <v>88</v>
      </c>
      <c r="G117" s="108">
        <v>45496</v>
      </c>
      <c r="H117" s="55" t="s">
        <v>94</v>
      </c>
      <c r="I117" s="55" t="s">
        <v>1105</v>
      </c>
      <c r="J117" t="s">
        <v>5903</v>
      </c>
      <c r="O117" t="s">
        <v>3057</v>
      </c>
      <c r="Q117" s="119">
        <f t="shared" si="3"/>
        <v>75.09</v>
      </c>
      <c r="S117" s="55" t="s">
        <v>6016</v>
      </c>
    </row>
    <row r="118" spans="1:32" ht="43.5" x14ac:dyDescent="0.35">
      <c r="A118" t="s">
        <v>35</v>
      </c>
      <c r="B118" t="s">
        <v>2316</v>
      </c>
      <c r="C118">
        <v>5200006000</v>
      </c>
      <c r="D118" s="3" t="s">
        <v>23</v>
      </c>
      <c r="E118" s="109">
        <v>70</v>
      </c>
      <c r="F118" t="s">
        <v>88</v>
      </c>
      <c r="G118" s="108">
        <v>45637</v>
      </c>
      <c r="H118" s="55" t="s">
        <v>89</v>
      </c>
      <c r="I118" s="55" t="s">
        <v>6002</v>
      </c>
      <c r="K118" t="s">
        <v>6007</v>
      </c>
      <c r="L118" t="s">
        <v>6004</v>
      </c>
      <c r="M118" t="s">
        <v>6005</v>
      </c>
      <c r="Q118" s="119">
        <f t="shared" si="3"/>
        <v>70</v>
      </c>
      <c r="S118" s="55" t="s">
        <v>6016</v>
      </c>
    </row>
    <row r="119" spans="1:32" ht="58" x14ac:dyDescent="0.35">
      <c r="A119" s="121" t="s">
        <v>0</v>
      </c>
      <c r="B119" s="121" t="s">
        <v>642</v>
      </c>
      <c r="C119" s="121">
        <v>5200006000</v>
      </c>
      <c r="D119" s="122" t="s">
        <v>23</v>
      </c>
      <c r="E119" s="123">
        <v>-63.16</v>
      </c>
      <c r="F119" s="121" t="s">
        <v>88</v>
      </c>
      <c r="G119" s="108">
        <v>45406</v>
      </c>
      <c r="H119" s="120" t="s">
        <v>181</v>
      </c>
      <c r="I119" s="120" t="s">
        <v>182</v>
      </c>
      <c r="J119" s="121"/>
      <c r="K119" s="121"/>
      <c r="L119" s="121"/>
      <c r="M119" s="121"/>
      <c r="N119" s="121"/>
      <c r="O119" s="121"/>
      <c r="Q119" s="119">
        <f t="shared" si="3"/>
        <v>63.16</v>
      </c>
      <c r="R119" s="89"/>
      <c r="S119" s="55" t="s">
        <v>6016</v>
      </c>
      <c r="T119" s="90"/>
      <c r="U119" s="90"/>
      <c r="V119" s="119"/>
      <c r="W119" s="90"/>
      <c r="X119" s="90"/>
      <c r="Y119" s="90"/>
      <c r="Z119" s="90"/>
      <c r="AA119" s="90"/>
      <c r="AB119" s="90"/>
      <c r="AC119" s="90"/>
      <c r="AD119" s="90"/>
      <c r="AE119" s="90"/>
      <c r="AF119" s="90"/>
    </row>
    <row r="120" spans="1:32" ht="29" x14ac:dyDescent="0.35">
      <c r="A120" t="s">
        <v>35</v>
      </c>
      <c r="B120" t="s">
        <v>633</v>
      </c>
      <c r="C120">
        <v>5200006000</v>
      </c>
      <c r="D120" s="3" t="s">
        <v>23</v>
      </c>
      <c r="E120" s="109">
        <v>61.82</v>
      </c>
      <c r="F120" t="s">
        <v>88</v>
      </c>
      <c r="G120" s="108">
        <v>45608</v>
      </c>
      <c r="H120" s="55" t="s">
        <v>94</v>
      </c>
      <c r="I120" s="55" t="s">
        <v>124</v>
      </c>
      <c r="J120" t="s">
        <v>5963</v>
      </c>
      <c r="O120" t="s">
        <v>5899</v>
      </c>
      <c r="Q120" s="119">
        <f t="shared" si="3"/>
        <v>61.82</v>
      </c>
      <c r="S120" s="55" t="s">
        <v>6016</v>
      </c>
    </row>
    <row r="121" spans="1:32" ht="29" x14ac:dyDescent="0.35">
      <c r="A121" t="s">
        <v>35</v>
      </c>
      <c r="B121" t="s">
        <v>623</v>
      </c>
      <c r="C121">
        <v>5200006000</v>
      </c>
      <c r="D121" s="3" t="s">
        <v>23</v>
      </c>
      <c r="E121" s="109">
        <v>55.38</v>
      </c>
      <c r="F121" t="s">
        <v>88</v>
      </c>
      <c r="G121" s="108">
        <v>45594</v>
      </c>
      <c r="H121" s="55" t="s">
        <v>94</v>
      </c>
      <c r="I121" s="55" t="s">
        <v>451</v>
      </c>
      <c r="J121" t="s">
        <v>5952</v>
      </c>
      <c r="O121" t="s">
        <v>5953</v>
      </c>
      <c r="Q121" s="119">
        <f t="shared" si="3"/>
        <v>55.38</v>
      </c>
      <c r="S121" s="55" t="s">
        <v>6016</v>
      </c>
    </row>
    <row r="122" spans="1:32" ht="43.5" x14ac:dyDescent="0.35">
      <c r="A122" t="s">
        <v>35</v>
      </c>
      <c r="B122" t="s">
        <v>5980</v>
      </c>
      <c r="C122">
        <v>5200006000</v>
      </c>
      <c r="D122" s="3" t="s">
        <v>23</v>
      </c>
      <c r="E122" s="109">
        <v>54.62</v>
      </c>
      <c r="F122" t="s">
        <v>88</v>
      </c>
      <c r="G122" s="108">
        <v>45628</v>
      </c>
      <c r="H122" s="55" t="s">
        <v>89</v>
      </c>
      <c r="I122" s="55" t="s">
        <v>5981</v>
      </c>
      <c r="K122" t="s">
        <v>5982</v>
      </c>
      <c r="L122" t="s">
        <v>5983</v>
      </c>
      <c r="M122" t="s">
        <v>5984</v>
      </c>
      <c r="Q122" s="119">
        <f t="shared" si="3"/>
        <v>54.62</v>
      </c>
      <c r="S122" s="55" t="s">
        <v>1285</v>
      </c>
    </row>
    <row r="123" spans="1:32" ht="29" x14ac:dyDescent="0.35">
      <c r="A123" t="s">
        <v>35</v>
      </c>
      <c r="B123" t="s">
        <v>805</v>
      </c>
      <c r="C123">
        <v>5200006000</v>
      </c>
      <c r="D123" s="3" t="s">
        <v>23</v>
      </c>
      <c r="E123" s="109">
        <v>54.54</v>
      </c>
      <c r="F123" t="s">
        <v>88</v>
      </c>
      <c r="G123" s="108">
        <v>45446</v>
      </c>
      <c r="H123" s="55" t="s">
        <v>94</v>
      </c>
      <c r="I123" s="55" t="s">
        <v>5878</v>
      </c>
      <c r="J123" t="s">
        <v>5879</v>
      </c>
      <c r="O123" t="s">
        <v>2488</v>
      </c>
      <c r="Q123" s="119">
        <f t="shared" si="3"/>
        <v>54.54</v>
      </c>
      <c r="S123" s="55" t="s">
        <v>6016</v>
      </c>
    </row>
    <row r="124" spans="1:32" ht="58" x14ac:dyDescent="0.35">
      <c r="A124" s="121" t="s">
        <v>0</v>
      </c>
      <c r="B124" s="121" t="s">
        <v>642</v>
      </c>
      <c r="C124" s="121">
        <v>5200006000</v>
      </c>
      <c r="D124" s="122" t="s">
        <v>23</v>
      </c>
      <c r="E124" s="123">
        <v>-52.51</v>
      </c>
      <c r="F124" s="121" t="s">
        <v>88</v>
      </c>
      <c r="G124" s="108">
        <v>45410</v>
      </c>
      <c r="H124" s="120" t="s">
        <v>181</v>
      </c>
      <c r="I124" s="120" t="s">
        <v>182</v>
      </c>
      <c r="J124" s="121"/>
      <c r="K124" s="121"/>
      <c r="L124" s="121"/>
      <c r="M124" s="121"/>
      <c r="N124" s="121"/>
      <c r="O124" s="121"/>
      <c r="Q124" s="119">
        <f t="shared" si="3"/>
        <v>52.51</v>
      </c>
      <c r="R124" s="89"/>
      <c r="S124" s="55" t="s">
        <v>6016</v>
      </c>
      <c r="T124" s="90"/>
      <c r="U124" s="90"/>
      <c r="V124" s="119"/>
      <c r="W124" s="90"/>
      <c r="X124" s="90"/>
      <c r="Y124" s="90"/>
      <c r="Z124" s="90"/>
      <c r="AA124" s="90"/>
      <c r="AB124" s="90"/>
      <c r="AC124" s="90"/>
      <c r="AD124" s="90"/>
      <c r="AE124" s="90"/>
      <c r="AF124" s="90"/>
    </row>
    <row r="125" spans="1:32" ht="29" x14ac:dyDescent="0.35">
      <c r="A125" t="s">
        <v>35</v>
      </c>
      <c r="B125" t="s">
        <v>2140</v>
      </c>
      <c r="C125">
        <v>5200006000</v>
      </c>
      <c r="D125" s="3" t="s">
        <v>23</v>
      </c>
      <c r="E125" s="109">
        <v>46.92</v>
      </c>
      <c r="F125" t="s">
        <v>88</v>
      </c>
      <c r="G125" s="108">
        <v>45608</v>
      </c>
      <c r="H125" s="55" t="s">
        <v>94</v>
      </c>
      <c r="I125" s="55" t="s">
        <v>451</v>
      </c>
      <c r="J125" t="s">
        <v>5962</v>
      </c>
      <c r="O125" t="s">
        <v>541</v>
      </c>
      <c r="Q125" s="119">
        <f t="shared" si="3"/>
        <v>46.92</v>
      </c>
      <c r="S125" s="55" t="s">
        <v>6016</v>
      </c>
    </row>
    <row r="126" spans="1:32" ht="43.5" x14ac:dyDescent="0.35">
      <c r="A126" t="s">
        <v>35</v>
      </c>
      <c r="B126" t="s">
        <v>740</v>
      </c>
      <c r="C126">
        <v>5200006000</v>
      </c>
      <c r="D126" s="3" t="s">
        <v>23</v>
      </c>
      <c r="E126" s="109">
        <v>45.16</v>
      </c>
      <c r="F126" t="s">
        <v>88</v>
      </c>
      <c r="G126" s="108">
        <v>45467</v>
      </c>
      <c r="H126" s="55" t="s">
        <v>94</v>
      </c>
      <c r="I126" s="55" t="s">
        <v>5836</v>
      </c>
      <c r="J126" t="s">
        <v>5886</v>
      </c>
      <c r="O126" t="s">
        <v>3490</v>
      </c>
      <c r="Q126" s="119">
        <f t="shared" si="3"/>
        <v>45.16</v>
      </c>
      <c r="S126" s="55" t="s">
        <v>6016</v>
      </c>
    </row>
    <row r="127" spans="1:32" ht="43.5" x14ac:dyDescent="0.35">
      <c r="A127" t="s">
        <v>35</v>
      </c>
      <c r="B127" t="s">
        <v>713</v>
      </c>
      <c r="C127">
        <v>5200006000</v>
      </c>
      <c r="D127" s="3" t="s">
        <v>23</v>
      </c>
      <c r="E127" s="109">
        <v>40.28</v>
      </c>
      <c r="F127" t="s">
        <v>88</v>
      </c>
      <c r="G127" s="108">
        <v>45635</v>
      </c>
      <c r="H127" s="55" t="s">
        <v>89</v>
      </c>
      <c r="I127" s="55" t="s">
        <v>5995</v>
      </c>
      <c r="K127" t="s">
        <v>5996</v>
      </c>
      <c r="L127">
        <v>425</v>
      </c>
      <c r="M127" t="s">
        <v>5997</v>
      </c>
      <c r="Q127" s="119">
        <f t="shared" si="3"/>
        <v>40.28</v>
      </c>
      <c r="S127" s="55" t="s">
        <v>9259</v>
      </c>
      <c r="T127" t="s">
        <v>64</v>
      </c>
      <c r="U127" t="str">
        <f>B127</f>
        <v>AU075166</v>
      </c>
      <c r="V127" s="3">
        <f>E127</f>
        <v>40.28</v>
      </c>
    </row>
    <row r="128" spans="1:32" ht="29" x14ac:dyDescent="0.35">
      <c r="A128" t="s">
        <v>35</v>
      </c>
      <c r="B128" t="s">
        <v>770</v>
      </c>
      <c r="C128">
        <v>5200006000</v>
      </c>
      <c r="D128" s="3" t="s">
        <v>23</v>
      </c>
      <c r="E128" s="109">
        <v>36.36</v>
      </c>
      <c r="F128" t="s">
        <v>88</v>
      </c>
      <c r="G128" s="108">
        <v>45600</v>
      </c>
      <c r="H128" s="55" t="s">
        <v>94</v>
      </c>
      <c r="I128" s="55" t="s">
        <v>2353</v>
      </c>
      <c r="J128" t="s">
        <v>5959</v>
      </c>
      <c r="O128" t="s">
        <v>743</v>
      </c>
      <c r="Q128" s="119">
        <f t="shared" si="3"/>
        <v>36.36</v>
      </c>
      <c r="S128" s="55" t="s">
        <v>6016</v>
      </c>
    </row>
    <row r="129" spans="1:32" ht="29" x14ac:dyDescent="0.35">
      <c r="A129" t="s">
        <v>35</v>
      </c>
      <c r="B129" t="s">
        <v>805</v>
      </c>
      <c r="C129">
        <v>5200006000</v>
      </c>
      <c r="D129" s="3" t="s">
        <v>23</v>
      </c>
      <c r="E129" s="109">
        <v>36.36</v>
      </c>
      <c r="F129" t="s">
        <v>88</v>
      </c>
      <c r="G129" s="108">
        <v>45624</v>
      </c>
      <c r="H129" s="55" t="s">
        <v>94</v>
      </c>
      <c r="I129" s="55" t="s">
        <v>5873</v>
      </c>
      <c r="J129" t="s">
        <v>5968</v>
      </c>
      <c r="O129" t="s">
        <v>743</v>
      </c>
      <c r="Q129" s="119">
        <f t="shared" si="3"/>
        <v>36.36</v>
      </c>
      <c r="S129" s="55" t="s">
        <v>6016</v>
      </c>
    </row>
    <row r="130" spans="1:32" ht="29" x14ac:dyDescent="0.35">
      <c r="A130" t="s">
        <v>35</v>
      </c>
      <c r="B130" t="s">
        <v>805</v>
      </c>
      <c r="C130">
        <v>5200006000</v>
      </c>
      <c r="D130" s="3" t="s">
        <v>23</v>
      </c>
      <c r="E130" s="109">
        <v>36.36</v>
      </c>
      <c r="F130" t="s">
        <v>88</v>
      </c>
      <c r="G130" s="108">
        <v>45624</v>
      </c>
      <c r="H130" s="55" t="s">
        <v>94</v>
      </c>
      <c r="I130" s="55" t="s">
        <v>5873</v>
      </c>
      <c r="J130" t="s">
        <v>5969</v>
      </c>
      <c r="O130" t="s">
        <v>743</v>
      </c>
      <c r="Q130" s="119">
        <f t="shared" si="3"/>
        <v>36.36</v>
      </c>
      <c r="S130" s="55" t="s">
        <v>6016</v>
      </c>
    </row>
    <row r="131" spans="1:32" ht="29" x14ac:dyDescent="0.35">
      <c r="A131" t="s">
        <v>35</v>
      </c>
      <c r="B131" t="s">
        <v>805</v>
      </c>
      <c r="C131">
        <v>5200006000</v>
      </c>
      <c r="D131" s="3" t="s">
        <v>23</v>
      </c>
      <c r="E131" s="109">
        <v>36.36</v>
      </c>
      <c r="F131" t="s">
        <v>88</v>
      </c>
      <c r="G131" s="108">
        <v>45624</v>
      </c>
      <c r="H131" s="55" t="s">
        <v>94</v>
      </c>
      <c r="I131" s="55" t="s">
        <v>5873</v>
      </c>
      <c r="J131" t="s">
        <v>5970</v>
      </c>
      <c r="O131" t="s">
        <v>743</v>
      </c>
      <c r="Q131" s="119">
        <f t="shared" si="3"/>
        <v>36.36</v>
      </c>
      <c r="S131" s="55" t="s">
        <v>6016</v>
      </c>
    </row>
    <row r="132" spans="1:32" ht="29" x14ac:dyDescent="0.35">
      <c r="A132" t="s">
        <v>35</v>
      </c>
      <c r="B132" t="s">
        <v>805</v>
      </c>
      <c r="C132">
        <v>5200006000</v>
      </c>
      <c r="D132" s="3" t="s">
        <v>23</v>
      </c>
      <c r="E132" s="109">
        <v>36.36</v>
      </c>
      <c r="F132" t="s">
        <v>88</v>
      </c>
      <c r="G132" s="108">
        <v>45624</v>
      </c>
      <c r="H132" s="55" t="s">
        <v>94</v>
      </c>
      <c r="I132" s="55" t="s">
        <v>5873</v>
      </c>
      <c r="J132" t="s">
        <v>5971</v>
      </c>
      <c r="O132" t="s">
        <v>743</v>
      </c>
      <c r="Q132" s="119">
        <f t="shared" si="3"/>
        <v>36.36</v>
      </c>
      <c r="S132" s="55" t="s">
        <v>6016</v>
      </c>
    </row>
    <row r="133" spans="1:32" ht="58" x14ac:dyDescent="0.35">
      <c r="A133" s="121" t="s">
        <v>0</v>
      </c>
      <c r="B133" s="121" t="s">
        <v>642</v>
      </c>
      <c r="C133" s="121">
        <v>5200006000</v>
      </c>
      <c r="D133" s="122" t="s">
        <v>23</v>
      </c>
      <c r="E133" s="123">
        <v>-36.26</v>
      </c>
      <c r="F133" s="121" t="s">
        <v>88</v>
      </c>
      <c r="G133" s="108">
        <v>45405</v>
      </c>
      <c r="H133" s="120" t="s">
        <v>181</v>
      </c>
      <c r="I133" s="120" t="s">
        <v>182</v>
      </c>
      <c r="J133" s="121"/>
      <c r="K133" s="121"/>
      <c r="L133" s="121"/>
      <c r="M133" s="121"/>
      <c r="N133" s="121"/>
      <c r="O133" s="121"/>
      <c r="Q133" s="119">
        <f t="shared" si="3"/>
        <v>36.26</v>
      </c>
      <c r="R133" s="89"/>
      <c r="S133" s="55" t="s">
        <v>6016</v>
      </c>
      <c r="T133" s="90"/>
      <c r="U133" s="90"/>
      <c r="V133" s="119"/>
      <c r="W133" s="90"/>
      <c r="X133" s="90"/>
      <c r="Y133" s="90"/>
      <c r="Z133" s="90"/>
      <c r="AA133" s="90"/>
      <c r="AB133" s="90"/>
      <c r="AC133" s="90"/>
      <c r="AD133" s="90"/>
      <c r="AE133" s="90"/>
      <c r="AF133" s="90"/>
    </row>
    <row r="134" spans="1:32" ht="29" x14ac:dyDescent="0.35">
      <c r="A134" t="s">
        <v>35</v>
      </c>
      <c r="B134" t="s">
        <v>623</v>
      </c>
      <c r="C134">
        <v>5200006000</v>
      </c>
      <c r="D134" s="3" t="s">
        <v>23</v>
      </c>
      <c r="E134" s="109">
        <v>33.51</v>
      </c>
      <c r="F134" t="s">
        <v>88</v>
      </c>
      <c r="G134" s="108">
        <v>45504</v>
      </c>
      <c r="H134" s="55" t="s">
        <v>94</v>
      </c>
      <c r="I134" s="55" t="s">
        <v>1105</v>
      </c>
      <c r="J134" t="s">
        <v>5906</v>
      </c>
      <c r="O134" t="s">
        <v>5907</v>
      </c>
      <c r="Q134" s="119">
        <f t="shared" si="3"/>
        <v>33.51</v>
      </c>
      <c r="S134" s="55" t="s">
        <v>6016</v>
      </c>
    </row>
    <row r="135" spans="1:32" ht="58" x14ac:dyDescent="0.35">
      <c r="A135" s="121" t="s">
        <v>0</v>
      </c>
      <c r="B135" s="121" t="s">
        <v>642</v>
      </c>
      <c r="C135" s="121">
        <v>5200006000</v>
      </c>
      <c r="D135" s="122" t="s">
        <v>23</v>
      </c>
      <c r="E135" s="123">
        <v>31.73</v>
      </c>
      <c r="F135" s="121" t="s">
        <v>88</v>
      </c>
      <c r="G135" s="108">
        <v>45399</v>
      </c>
      <c r="H135" s="120" t="s">
        <v>181</v>
      </c>
      <c r="I135" s="120" t="s">
        <v>182</v>
      </c>
      <c r="J135" s="121"/>
      <c r="K135" s="121"/>
      <c r="L135" s="121"/>
      <c r="M135" s="121"/>
      <c r="N135" s="121"/>
      <c r="O135" s="121"/>
      <c r="Q135" s="119">
        <f t="shared" si="3"/>
        <v>31.73</v>
      </c>
      <c r="R135" s="89"/>
      <c r="S135" s="55" t="s">
        <v>6016</v>
      </c>
      <c r="T135" s="90"/>
      <c r="U135" s="90"/>
      <c r="V135" s="119"/>
      <c r="W135" s="90"/>
      <c r="X135" s="90"/>
      <c r="Y135" s="90"/>
      <c r="Z135" s="90"/>
      <c r="AA135" s="90"/>
      <c r="AB135" s="90"/>
      <c r="AC135" s="90"/>
      <c r="AD135" s="90"/>
      <c r="AE135" s="90"/>
      <c r="AF135" s="90"/>
    </row>
    <row r="136" spans="1:32" ht="43.5" x14ac:dyDescent="0.35">
      <c r="A136" t="s">
        <v>35</v>
      </c>
      <c r="B136" t="s">
        <v>677</v>
      </c>
      <c r="C136">
        <v>5200006000</v>
      </c>
      <c r="D136" s="3" t="s">
        <v>23</v>
      </c>
      <c r="E136" s="109">
        <v>31.18</v>
      </c>
      <c r="F136" t="s">
        <v>88</v>
      </c>
      <c r="G136" s="108">
        <v>45624</v>
      </c>
      <c r="H136" s="55" t="s">
        <v>94</v>
      </c>
      <c r="I136" s="55" t="s">
        <v>5975</v>
      </c>
      <c r="J136" t="s">
        <v>5976</v>
      </c>
      <c r="O136" t="s">
        <v>5977</v>
      </c>
      <c r="Q136" s="119">
        <f t="shared" si="3"/>
        <v>31.18</v>
      </c>
      <c r="S136" s="55" t="s">
        <v>6016</v>
      </c>
    </row>
    <row r="137" spans="1:32" ht="58" x14ac:dyDescent="0.35">
      <c r="A137" s="121" t="s">
        <v>0</v>
      </c>
      <c r="B137" s="121" t="s">
        <v>642</v>
      </c>
      <c r="C137" s="121">
        <v>5200006000</v>
      </c>
      <c r="D137" s="122" t="s">
        <v>23</v>
      </c>
      <c r="E137" s="123">
        <v>-28.61</v>
      </c>
      <c r="F137" s="121" t="s">
        <v>88</v>
      </c>
      <c r="G137" s="108">
        <v>45403</v>
      </c>
      <c r="H137" s="120" t="s">
        <v>181</v>
      </c>
      <c r="I137" s="120" t="s">
        <v>182</v>
      </c>
      <c r="J137" s="121"/>
      <c r="K137" s="121"/>
      <c r="L137" s="121"/>
      <c r="M137" s="121"/>
      <c r="N137" s="121"/>
      <c r="O137" s="121"/>
      <c r="Q137" s="119">
        <f t="shared" si="3"/>
        <v>28.61</v>
      </c>
      <c r="R137" s="89"/>
      <c r="S137" s="55" t="s">
        <v>6016</v>
      </c>
      <c r="T137" s="90"/>
      <c r="U137" s="90"/>
      <c r="V137" s="119"/>
      <c r="W137" s="90"/>
      <c r="X137" s="90"/>
      <c r="Y137" s="90"/>
      <c r="Z137" s="90"/>
      <c r="AA137" s="90"/>
      <c r="AB137" s="90"/>
      <c r="AC137" s="90"/>
      <c r="AD137" s="90"/>
      <c r="AE137" s="90"/>
      <c r="AF137" s="90"/>
    </row>
    <row r="138" spans="1:32" ht="29" x14ac:dyDescent="0.35">
      <c r="A138" t="s">
        <v>35</v>
      </c>
      <c r="B138" t="s">
        <v>605</v>
      </c>
      <c r="C138">
        <v>5200006000</v>
      </c>
      <c r="D138" s="3" t="s">
        <v>23</v>
      </c>
      <c r="E138" s="109">
        <v>28.32</v>
      </c>
      <c r="F138" t="s">
        <v>88</v>
      </c>
      <c r="G138" s="108">
        <v>45489</v>
      </c>
      <c r="H138" s="55" t="s">
        <v>94</v>
      </c>
      <c r="I138" s="55" t="s">
        <v>5900</v>
      </c>
      <c r="J138" t="s">
        <v>5901</v>
      </c>
      <c r="O138" t="s">
        <v>575</v>
      </c>
      <c r="Q138" s="119">
        <f t="shared" si="3"/>
        <v>28.32</v>
      </c>
      <c r="S138" s="55" t="s">
        <v>6016</v>
      </c>
    </row>
    <row r="139" spans="1:32" ht="29" x14ac:dyDescent="0.35">
      <c r="A139" s="121" t="s">
        <v>35</v>
      </c>
      <c r="B139" s="121" t="s">
        <v>740</v>
      </c>
      <c r="C139" s="121">
        <v>5200006000</v>
      </c>
      <c r="D139" s="122" t="s">
        <v>23</v>
      </c>
      <c r="E139" s="123">
        <v>27.16</v>
      </c>
      <c r="F139" s="121" t="s">
        <v>88</v>
      </c>
      <c r="G139" s="108">
        <v>45398</v>
      </c>
      <c r="H139" s="120" t="s">
        <v>94</v>
      </c>
      <c r="I139" s="120" t="s">
        <v>306</v>
      </c>
      <c r="J139" s="121" t="s">
        <v>307</v>
      </c>
      <c r="K139" s="121"/>
      <c r="L139" s="121"/>
      <c r="M139" s="121"/>
      <c r="N139" s="121"/>
      <c r="O139" s="121" t="s">
        <v>575</v>
      </c>
      <c r="Q139" s="119">
        <f t="shared" ref="Q139:Q164" si="4">ABS(E139)</f>
        <v>27.16</v>
      </c>
      <c r="R139" s="89"/>
      <c r="S139" s="55" t="s">
        <v>6016</v>
      </c>
      <c r="T139" s="90"/>
      <c r="U139" s="90"/>
      <c r="V139" s="119"/>
      <c r="W139" s="90"/>
      <c r="X139" s="90"/>
      <c r="Y139" s="90"/>
      <c r="Z139" s="90"/>
      <c r="AA139" s="90"/>
      <c r="AB139" s="90"/>
      <c r="AC139" s="90"/>
      <c r="AD139" s="90"/>
      <c r="AE139" s="90"/>
      <c r="AF139" s="90"/>
    </row>
    <row r="140" spans="1:32" ht="29" x14ac:dyDescent="0.35">
      <c r="A140" t="s">
        <v>35</v>
      </c>
      <c r="B140" t="s">
        <v>740</v>
      </c>
      <c r="C140">
        <v>5200006000</v>
      </c>
      <c r="D140" s="3" t="s">
        <v>23</v>
      </c>
      <c r="E140" s="109">
        <v>27.09</v>
      </c>
      <c r="F140" t="s">
        <v>88</v>
      </c>
      <c r="G140" s="108">
        <v>45453</v>
      </c>
      <c r="H140" s="55" t="s">
        <v>94</v>
      </c>
      <c r="I140" s="55" t="s">
        <v>308</v>
      </c>
      <c r="J140" t="s">
        <v>309</v>
      </c>
      <c r="O140" t="s">
        <v>575</v>
      </c>
      <c r="Q140" s="119">
        <f t="shared" si="4"/>
        <v>27.09</v>
      </c>
      <c r="S140" s="55" t="s">
        <v>6016</v>
      </c>
    </row>
    <row r="141" spans="1:32" ht="58" x14ac:dyDescent="0.35">
      <c r="A141" s="121" t="s">
        <v>0</v>
      </c>
      <c r="B141" s="121" t="s">
        <v>642</v>
      </c>
      <c r="C141" s="121">
        <v>5200006000</v>
      </c>
      <c r="D141" s="122" t="s">
        <v>23</v>
      </c>
      <c r="E141" s="123">
        <v>26.72</v>
      </c>
      <c r="F141" s="121" t="s">
        <v>88</v>
      </c>
      <c r="G141" s="108">
        <v>45398</v>
      </c>
      <c r="H141" s="120" t="s">
        <v>181</v>
      </c>
      <c r="I141" s="120" t="s">
        <v>182</v>
      </c>
      <c r="J141" s="121"/>
      <c r="K141" s="121"/>
      <c r="L141" s="121"/>
      <c r="M141" s="121"/>
      <c r="N141" s="121"/>
      <c r="O141" s="121"/>
      <c r="Q141" s="119">
        <f t="shared" si="4"/>
        <v>26.72</v>
      </c>
      <c r="R141" s="89"/>
      <c r="S141" s="55" t="s">
        <v>6016</v>
      </c>
      <c r="T141" s="90"/>
      <c r="U141" s="90"/>
      <c r="V141" s="119"/>
      <c r="W141" s="90"/>
      <c r="X141" s="90"/>
      <c r="Y141" s="90"/>
      <c r="Z141" s="90"/>
      <c r="AA141" s="90"/>
      <c r="AB141" s="90"/>
      <c r="AC141" s="90"/>
      <c r="AD141" s="90"/>
      <c r="AE141" s="90"/>
      <c r="AF141" s="90"/>
    </row>
    <row r="142" spans="1:32" ht="29" x14ac:dyDescent="0.35">
      <c r="A142" t="s">
        <v>35</v>
      </c>
      <c r="B142" t="s">
        <v>740</v>
      </c>
      <c r="C142">
        <v>5200006000</v>
      </c>
      <c r="D142" s="3" t="s">
        <v>23</v>
      </c>
      <c r="E142" s="109">
        <v>25.85</v>
      </c>
      <c r="F142" t="s">
        <v>88</v>
      </c>
      <c r="G142" s="108">
        <v>45474</v>
      </c>
      <c r="H142" s="55" t="s">
        <v>94</v>
      </c>
      <c r="I142" s="55" t="s">
        <v>308</v>
      </c>
      <c r="J142" t="s">
        <v>309</v>
      </c>
      <c r="O142" t="s">
        <v>575</v>
      </c>
      <c r="Q142" s="119">
        <f t="shared" si="4"/>
        <v>25.85</v>
      </c>
      <c r="S142" s="55" t="s">
        <v>6016</v>
      </c>
    </row>
    <row r="143" spans="1:32" ht="29" x14ac:dyDescent="0.35">
      <c r="A143" s="121" t="s">
        <v>35</v>
      </c>
      <c r="B143" s="121" t="s">
        <v>740</v>
      </c>
      <c r="C143" s="121">
        <v>5200006000</v>
      </c>
      <c r="D143" s="122" t="s">
        <v>23</v>
      </c>
      <c r="E143" s="123">
        <v>25.83</v>
      </c>
      <c r="F143" s="121" t="s">
        <v>88</v>
      </c>
      <c r="G143" s="108">
        <v>45421</v>
      </c>
      <c r="H143" s="120" t="s">
        <v>94</v>
      </c>
      <c r="I143" s="120" t="s">
        <v>308</v>
      </c>
      <c r="J143" s="121" t="s">
        <v>5863</v>
      </c>
      <c r="K143" s="121"/>
      <c r="L143" s="121"/>
      <c r="M143" s="121"/>
      <c r="N143" s="121"/>
      <c r="O143" s="121" t="s">
        <v>5869</v>
      </c>
      <c r="Q143" s="119">
        <f t="shared" si="4"/>
        <v>25.83</v>
      </c>
      <c r="R143" s="89"/>
      <c r="S143" s="55" t="s">
        <v>6016</v>
      </c>
      <c r="T143" s="90"/>
      <c r="U143" s="90"/>
      <c r="V143" s="119"/>
      <c r="W143" s="90"/>
      <c r="X143" s="90"/>
      <c r="Y143" s="90"/>
      <c r="Z143" s="90"/>
      <c r="AA143" s="90"/>
      <c r="AB143" s="90"/>
      <c r="AC143" s="90"/>
      <c r="AD143" s="90"/>
      <c r="AE143" s="90"/>
      <c r="AF143" s="90"/>
    </row>
    <row r="144" spans="1:32" ht="29" x14ac:dyDescent="0.35">
      <c r="A144" s="121" t="s">
        <v>35</v>
      </c>
      <c r="B144" s="121" t="s">
        <v>740</v>
      </c>
      <c r="C144" s="121">
        <v>5200006000</v>
      </c>
      <c r="D144" s="122" t="s">
        <v>23</v>
      </c>
      <c r="E144" s="123">
        <v>24</v>
      </c>
      <c r="F144" s="121" t="s">
        <v>88</v>
      </c>
      <c r="G144" s="108">
        <v>45387</v>
      </c>
      <c r="H144" s="120" t="s">
        <v>94</v>
      </c>
      <c r="I144" s="120" t="s">
        <v>308</v>
      </c>
      <c r="J144" s="121" t="s">
        <v>5828</v>
      </c>
      <c r="K144" s="121"/>
      <c r="L144" s="121"/>
      <c r="M144" s="121"/>
      <c r="N144" s="121"/>
      <c r="O144" s="121" t="s">
        <v>575</v>
      </c>
      <c r="Q144" s="119">
        <f t="shared" si="4"/>
        <v>24</v>
      </c>
      <c r="R144" s="89"/>
      <c r="S144" s="55" t="s">
        <v>6016</v>
      </c>
      <c r="T144" s="90"/>
      <c r="U144" s="90"/>
      <c r="V144" s="119"/>
      <c r="W144" s="90"/>
      <c r="X144" s="90"/>
      <c r="Y144" s="90"/>
      <c r="Z144" s="90"/>
      <c r="AA144" s="90"/>
      <c r="AB144" s="90"/>
      <c r="AC144" s="90"/>
      <c r="AD144" s="90"/>
      <c r="AE144" s="90"/>
      <c r="AF144" s="90"/>
    </row>
    <row r="145" spans="1:32" ht="43.5" x14ac:dyDescent="0.35">
      <c r="A145" t="s">
        <v>35</v>
      </c>
      <c r="B145" t="s">
        <v>677</v>
      </c>
      <c r="C145">
        <v>5200006000</v>
      </c>
      <c r="D145" s="3" t="s">
        <v>23</v>
      </c>
      <c r="E145" s="109">
        <v>19.73</v>
      </c>
      <c r="F145" t="s">
        <v>88</v>
      </c>
      <c r="G145" s="108">
        <v>45624</v>
      </c>
      <c r="H145" s="55" t="s">
        <v>94</v>
      </c>
      <c r="I145" s="55" t="s">
        <v>5975</v>
      </c>
      <c r="J145" t="s">
        <v>5978</v>
      </c>
      <c r="O145" t="s">
        <v>5979</v>
      </c>
      <c r="Q145" s="119">
        <f t="shared" si="4"/>
        <v>19.73</v>
      </c>
      <c r="S145" s="55" t="s">
        <v>53</v>
      </c>
      <c r="T145" t="s">
        <v>64</v>
      </c>
      <c r="U145" t="str">
        <f>B145</f>
        <v>AU050119</v>
      </c>
      <c r="V145" s="3">
        <f>E145</f>
        <v>19.73</v>
      </c>
    </row>
    <row r="146" spans="1:32" ht="29" x14ac:dyDescent="0.35">
      <c r="A146" s="121" t="s">
        <v>35</v>
      </c>
      <c r="B146" s="121" t="s">
        <v>599</v>
      </c>
      <c r="C146" s="121">
        <v>5200006000</v>
      </c>
      <c r="D146" s="122" t="s">
        <v>23</v>
      </c>
      <c r="E146" s="123">
        <v>19.41</v>
      </c>
      <c r="F146" s="121" t="s">
        <v>88</v>
      </c>
      <c r="G146" s="108">
        <v>45415</v>
      </c>
      <c r="H146" s="120" t="s">
        <v>94</v>
      </c>
      <c r="I146" s="120" t="s">
        <v>308</v>
      </c>
      <c r="J146" s="121" t="s">
        <v>5863</v>
      </c>
      <c r="K146" s="121"/>
      <c r="L146" s="121"/>
      <c r="M146" s="121"/>
      <c r="N146" s="121"/>
      <c r="O146" s="121" t="s">
        <v>575</v>
      </c>
      <c r="Q146" s="119">
        <f t="shared" si="4"/>
        <v>19.41</v>
      </c>
      <c r="R146" s="89"/>
      <c r="S146" s="55" t="s">
        <v>6016</v>
      </c>
      <c r="T146" s="90"/>
      <c r="U146" s="90"/>
      <c r="V146" s="119"/>
      <c r="W146" s="90"/>
      <c r="X146" s="90"/>
      <c r="Y146" s="90"/>
      <c r="Z146" s="90"/>
      <c r="AA146" s="90"/>
      <c r="AB146" s="90"/>
      <c r="AC146" s="90"/>
      <c r="AD146" s="90"/>
      <c r="AE146" s="90"/>
      <c r="AF146" s="90"/>
    </row>
    <row r="147" spans="1:32" ht="29" x14ac:dyDescent="0.35">
      <c r="A147" s="90" t="s">
        <v>35</v>
      </c>
      <c r="B147" s="90" t="s">
        <v>740</v>
      </c>
      <c r="C147" s="90">
        <v>5200006000</v>
      </c>
      <c r="D147" s="119" t="s">
        <v>23</v>
      </c>
      <c r="E147" s="124">
        <v>19.27</v>
      </c>
      <c r="F147" s="90" t="s">
        <v>88</v>
      </c>
      <c r="G147" s="108">
        <v>45439</v>
      </c>
      <c r="H147" s="89" t="s">
        <v>94</v>
      </c>
      <c r="I147" s="89" t="s">
        <v>308</v>
      </c>
      <c r="J147" s="90" t="s">
        <v>309</v>
      </c>
      <c r="K147" s="90"/>
      <c r="L147" s="90"/>
      <c r="M147" s="90"/>
      <c r="N147" s="90"/>
      <c r="O147" s="90" t="s">
        <v>575</v>
      </c>
      <c r="Q147" s="119">
        <f t="shared" si="4"/>
        <v>19.27</v>
      </c>
      <c r="R147" s="89"/>
      <c r="S147" s="55" t="s">
        <v>6016</v>
      </c>
      <c r="T147" s="90"/>
      <c r="U147" s="90"/>
      <c r="V147" s="119"/>
      <c r="W147" s="90"/>
      <c r="X147" s="90"/>
      <c r="Y147" s="90"/>
      <c r="Z147" s="90"/>
      <c r="AA147" s="90"/>
      <c r="AB147" s="90"/>
      <c r="AC147" s="90"/>
      <c r="AD147" s="90"/>
      <c r="AE147" s="90"/>
      <c r="AF147" s="90"/>
    </row>
    <row r="148" spans="1:32" ht="58" x14ac:dyDescent="0.35">
      <c r="A148" s="121" t="s">
        <v>0</v>
      </c>
      <c r="B148" s="121" t="s">
        <v>642</v>
      </c>
      <c r="C148" s="121">
        <v>5200006000</v>
      </c>
      <c r="D148" s="122" t="s">
        <v>23</v>
      </c>
      <c r="E148" s="123">
        <v>-19.059999999999999</v>
      </c>
      <c r="F148" s="121" t="s">
        <v>88</v>
      </c>
      <c r="G148" s="108">
        <v>45397</v>
      </c>
      <c r="H148" s="120" t="s">
        <v>181</v>
      </c>
      <c r="I148" s="120" t="s">
        <v>182</v>
      </c>
      <c r="J148" s="121"/>
      <c r="K148" s="121"/>
      <c r="L148" s="121"/>
      <c r="M148" s="121"/>
      <c r="N148" s="121"/>
      <c r="O148" s="121"/>
      <c r="Q148" s="119">
        <f t="shared" si="4"/>
        <v>19.059999999999999</v>
      </c>
      <c r="R148" s="89"/>
      <c r="S148" s="55" t="s">
        <v>6016</v>
      </c>
      <c r="T148" s="90"/>
      <c r="U148" s="90"/>
      <c r="V148" s="119"/>
      <c r="W148" s="90"/>
      <c r="X148" s="90"/>
      <c r="Y148" s="90"/>
      <c r="Z148" s="90"/>
      <c r="AA148" s="90"/>
      <c r="AB148" s="90"/>
      <c r="AC148" s="90"/>
      <c r="AD148" s="90"/>
      <c r="AE148" s="90"/>
      <c r="AF148" s="90"/>
    </row>
    <row r="149" spans="1:32" ht="29" x14ac:dyDescent="0.35">
      <c r="A149" s="121" t="s">
        <v>35</v>
      </c>
      <c r="B149" s="121" t="s">
        <v>740</v>
      </c>
      <c r="C149" s="121">
        <v>5200006000</v>
      </c>
      <c r="D149" s="122" t="s">
        <v>23</v>
      </c>
      <c r="E149" s="123">
        <v>18.14</v>
      </c>
      <c r="F149" s="121" t="s">
        <v>88</v>
      </c>
      <c r="G149" s="108">
        <v>45421</v>
      </c>
      <c r="H149" s="120" t="s">
        <v>94</v>
      </c>
      <c r="I149" s="120" t="s">
        <v>312</v>
      </c>
      <c r="J149" s="121" t="s">
        <v>5866</v>
      </c>
      <c r="K149" s="121"/>
      <c r="L149" s="121"/>
      <c r="M149" s="121"/>
      <c r="N149" s="121"/>
      <c r="O149" s="121" t="s">
        <v>3490</v>
      </c>
      <c r="Q149" s="119">
        <f t="shared" si="4"/>
        <v>18.14</v>
      </c>
      <c r="R149" s="89"/>
      <c r="S149" s="55" t="s">
        <v>6016</v>
      </c>
      <c r="T149" s="90"/>
      <c r="U149" s="90"/>
      <c r="V149" s="119"/>
      <c r="W149" s="90"/>
      <c r="X149" s="90"/>
      <c r="Y149" s="90"/>
      <c r="Z149" s="90"/>
      <c r="AA149" s="90"/>
      <c r="AB149" s="90"/>
      <c r="AC149" s="90"/>
      <c r="AD149" s="90"/>
      <c r="AE149" s="90"/>
      <c r="AF149" s="90"/>
    </row>
    <row r="150" spans="1:32" ht="29" x14ac:dyDescent="0.35">
      <c r="A150" t="s">
        <v>35</v>
      </c>
      <c r="B150" t="s">
        <v>740</v>
      </c>
      <c r="C150">
        <v>5200006000</v>
      </c>
      <c r="D150" s="3" t="s">
        <v>23</v>
      </c>
      <c r="E150" s="109">
        <v>16.59</v>
      </c>
      <c r="F150" t="s">
        <v>88</v>
      </c>
      <c r="G150" s="108">
        <v>45478</v>
      </c>
      <c r="H150" s="55" t="s">
        <v>94</v>
      </c>
      <c r="I150" s="55" t="s">
        <v>308</v>
      </c>
      <c r="J150" t="s">
        <v>309</v>
      </c>
      <c r="O150" t="s">
        <v>575</v>
      </c>
      <c r="Q150" s="119">
        <f t="shared" si="4"/>
        <v>16.59</v>
      </c>
      <c r="S150" s="55" t="s">
        <v>6016</v>
      </c>
    </row>
    <row r="151" spans="1:32" ht="58" x14ac:dyDescent="0.35">
      <c r="A151" s="121" t="s">
        <v>0</v>
      </c>
      <c r="B151" s="121" t="s">
        <v>642</v>
      </c>
      <c r="C151" s="121">
        <v>5200006000</v>
      </c>
      <c r="D151" s="122" t="s">
        <v>23</v>
      </c>
      <c r="E151" s="123">
        <v>-16.04</v>
      </c>
      <c r="F151" s="121" t="s">
        <v>88</v>
      </c>
      <c r="G151" s="108">
        <v>45411</v>
      </c>
      <c r="H151" s="120" t="s">
        <v>181</v>
      </c>
      <c r="I151" s="120" t="s">
        <v>182</v>
      </c>
      <c r="J151" s="121"/>
      <c r="K151" s="121"/>
      <c r="L151" s="121"/>
      <c r="M151" s="121"/>
      <c r="N151" s="121"/>
      <c r="O151" s="121"/>
      <c r="Q151" s="119">
        <f t="shared" si="4"/>
        <v>16.04</v>
      </c>
      <c r="R151" s="89"/>
      <c r="S151" s="55" t="s">
        <v>6016</v>
      </c>
      <c r="T151" s="90"/>
      <c r="U151" s="90"/>
      <c r="V151" s="119"/>
      <c r="W151" s="90"/>
      <c r="X151" s="90"/>
      <c r="Y151" s="90"/>
      <c r="Z151" s="90"/>
      <c r="AA151" s="90"/>
      <c r="AB151" s="90"/>
      <c r="AC151" s="90"/>
      <c r="AD151" s="90"/>
      <c r="AE151" s="90"/>
      <c r="AF151" s="90"/>
    </row>
    <row r="152" spans="1:32" ht="58" x14ac:dyDescent="0.35">
      <c r="A152" s="121" t="s">
        <v>0</v>
      </c>
      <c r="B152" s="121" t="s">
        <v>642</v>
      </c>
      <c r="C152" s="121">
        <v>5200006000</v>
      </c>
      <c r="D152" s="122" t="s">
        <v>23</v>
      </c>
      <c r="E152" s="123">
        <v>15.64</v>
      </c>
      <c r="F152" s="121" t="s">
        <v>88</v>
      </c>
      <c r="G152" s="108">
        <v>45393</v>
      </c>
      <c r="H152" s="120" t="s">
        <v>181</v>
      </c>
      <c r="I152" s="120" t="s">
        <v>182</v>
      </c>
      <c r="J152" s="121"/>
      <c r="K152" s="121"/>
      <c r="L152" s="121"/>
      <c r="M152" s="121"/>
      <c r="N152" s="121"/>
      <c r="O152" s="121"/>
      <c r="Q152" s="119">
        <f t="shared" si="4"/>
        <v>15.64</v>
      </c>
      <c r="R152" s="89"/>
      <c r="S152" s="55" t="s">
        <v>6016</v>
      </c>
      <c r="T152" s="90"/>
      <c r="U152" s="90"/>
      <c r="V152" s="119"/>
      <c r="W152" s="90"/>
      <c r="X152" s="90"/>
      <c r="Y152" s="90"/>
      <c r="Z152" s="90"/>
      <c r="AA152" s="90"/>
      <c r="AB152" s="90"/>
      <c r="AC152" s="90"/>
      <c r="AD152" s="90"/>
      <c r="AE152" s="90"/>
      <c r="AF152" s="90"/>
    </row>
    <row r="153" spans="1:32" ht="29" x14ac:dyDescent="0.35">
      <c r="A153" t="s">
        <v>35</v>
      </c>
      <c r="B153" t="s">
        <v>677</v>
      </c>
      <c r="C153">
        <v>5200006000</v>
      </c>
      <c r="D153" s="3" t="s">
        <v>23</v>
      </c>
      <c r="E153" s="109">
        <v>14.91</v>
      </c>
      <c r="F153" t="s">
        <v>88</v>
      </c>
      <c r="G153" s="108">
        <v>45624</v>
      </c>
      <c r="H153" s="55" t="s">
        <v>94</v>
      </c>
      <c r="I153" s="55" t="s">
        <v>317</v>
      </c>
      <c r="J153" t="s">
        <v>5974</v>
      </c>
      <c r="O153" t="s">
        <v>575</v>
      </c>
      <c r="Q153" s="119">
        <f t="shared" si="4"/>
        <v>14.91</v>
      </c>
      <c r="S153" s="55" t="s">
        <v>6016</v>
      </c>
    </row>
    <row r="154" spans="1:32" ht="29" x14ac:dyDescent="0.35">
      <c r="A154" t="s">
        <v>35</v>
      </c>
      <c r="B154" t="s">
        <v>740</v>
      </c>
      <c r="C154">
        <v>5200006000</v>
      </c>
      <c r="D154" s="3" t="s">
        <v>23</v>
      </c>
      <c r="E154" s="109">
        <v>14.32</v>
      </c>
      <c r="F154" t="s">
        <v>88</v>
      </c>
      <c r="G154" s="108">
        <v>45460</v>
      </c>
      <c r="H154" s="55" t="s">
        <v>94</v>
      </c>
      <c r="I154" s="55" t="s">
        <v>306</v>
      </c>
      <c r="J154" t="s">
        <v>307</v>
      </c>
      <c r="O154" t="s">
        <v>575</v>
      </c>
      <c r="Q154" s="119">
        <f t="shared" si="4"/>
        <v>14.32</v>
      </c>
      <c r="S154" s="55" t="s">
        <v>6016</v>
      </c>
    </row>
    <row r="155" spans="1:32" ht="58" x14ac:dyDescent="0.35">
      <c r="A155" s="121" t="s">
        <v>0</v>
      </c>
      <c r="B155" s="121" t="s">
        <v>642</v>
      </c>
      <c r="C155" s="121">
        <v>5200006000</v>
      </c>
      <c r="D155" s="122" t="s">
        <v>23</v>
      </c>
      <c r="E155" s="123">
        <v>12.48</v>
      </c>
      <c r="F155" s="121" t="s">
        <v>88</v>
      </c>
      <c r="G155" s="108">
        <v>45407</v>
      </c>
      <c r="H155" s="120" t="s">
        <v>181</v>
      </c>
      <c r="I155" s="120" t="s">
        <v>182</v>
      </c>
      <c r="J155" s="121"/>
      <c r="K155" s="121"/>
      <c r="L155" s="121"/>
      <c r="M155" s="121"/>
      <c r="N155" s="121"/>
      <c r="O155" s="121"/>
      <c r="Q155" s="119">
        <f t="shared" si="4"/>
        <v>12.48</v>
      </c>
      <c r="R155" s="89"/>
      <c r="S155" s="55" t="s">
        <v>6016</v>
      </c>
      <c r="T155" s="90"/>
      <c r="U155" s="90"/>
      <c r="V155" s="119"/>
      <c r="W155" s="90"/>
      <c r="X155" s="90"/>
      <c r="Y155" s="90"/>
      <c r="Z155" s="90"/>
      <c r="AA155" s="90"/>
      <c r="AB155" s="90"/>
      <c r="AC155" s="90"/>
      <c r="AD155" s="90"/>
      <c r="AE155" s="90"/>
      <c r="AF155" s="90"/>
    </row>
    <row r="156" spans="1:32" ht="29" x14ac:dyDescent="0.35">
      <c r="A156" t="s">
        <v>35</v>
      </c>
      <c r="B156" t="s">
        <v>740</v>
      </c>
      <c r="C156">
        <v>5200006000</v>
      </c>
      <c r="D156" s="3" t="s">
        <v>23</v>
      </c>
      <c r="E156" s="109">
        <v>12.23</v>
      </c>
      <c r="F156" t="s">
        <v>88</v>
      </c>
      <c r="G156" s="108">
        <v>45544</v>
      </c>
      <c r="H156" s="55" t="s">
        <v>94</v>
      </c>
      <c r="I156" s="55" t="s">
        <v>5930</v>
      </c>
      <c r="J156" t="s">
        <v>5931</v>
      </c>
      <c r="O156" t="s">
        <v>575</v>
      </c>
      <c r="Q156" s="119">
        <f t="shared" si="4"/>
        <v>12.23</v>
      </c>
      <c r="S156" s="55" t="s">
        <v>6016</v>
      </c>
    </row>
    <row r="157" spans="1:32" ht="58" x14ac:dyDescent="0.35">
      <c r="A157" s="121" t="s">
        <v>0</v>
      </c>
      <c r="B157" s="121" t="s">
        <v>642</v>
      </c>
      <c r="C157" s="121">
        <v>5200006000</v>
      </c>
      <c r="D157" s="122" t="s">
        <v>23</v>
      </c>
      <c r="E157" s="123">
        <v>11.29</v>
      </c>
      <c r="F157" s="121" t="s">
        <v>88</v>
      </c>
      <c r="G157" s="108">
        <v>45404</v>
      </c>
      <c r="H157" s="120" t="s">
        <v>181</v>
      </c>
      <c r="I157" s="120" t="s">
        <v>182</v>
      </c>
      <c r="J157" s="121"/>
      <c r="K157" s="121"/>
      <c r="L157" s="121"/>
      <c r="M157" s="121"/>
      <c r="N157" s="121"/>
      <c r="O157" s="121"/>
      <c r="Q157" s="119">
        <f t="shared" si="4"/>
        <v>11.29</v>
      </c>
      <c r="R157" s="89"/>
      <c r="S157" s="55" t="s">
        <v>6016</v>
      </c>
      <c r="T157" s="90"/>
      <c r="U157" s="90"/>
      <c r="V157" s="119"/>
      <c r="W157" s="90"/>
      <c r="X157" s="90"/>
      <c r="Y157" s="90"/>
      <c r="Z157" s="90"/>
      <c r="AA157" s="90"/>
      <c r="AB157" s="90"/>
      <c r="AC157" s="90"/>
      <c r="AD157" s="90"/>
      <c r="AE157" s="90"/>
      <c r="AF157" s="90"/>
    </row>
    <row r="158" spans="1:32" ht="29" x14ac:dyDescent="0.35">
      <c r="A158" s="121" t="s">
        <v>35</v>
      </c>
      <c r="B158" s="121" t="s">
        <v>2222</v>
      </c>
      <c r="C158" s="121">
        <v>5200006000</v>
      </c>
      <c r="D158" s="122" t="s">
        <v>23</v>
      </c>
      <c r="E158" s="123">
        <v>9.08</v>
      </c>
      <c r="F158" s="121" t="s">
        <v>88</v>
      </c>
      <c r="G158" s="108">
        <v>45400</v>
      </c>
      <c r="H158" s="120" t="s">
        <v>94</v>
      </c>
      <c r="I158" s="120" t="s">
        <v>97</v>
      </c>
      <c r="J158" s="121" t="s">
        <v>5844</v>
      </c>
      <c r="K158" s="121"/>
      <c r="L158" s="121"/>
      <c r="M158" s="121"/>
      <c r="N158" s="121"/>
      <c r="O158" s="121" t="s">
        <v>5845</v>
      </c>
      <c r="Q158" s="119">
        <f t="shared" si="4"/>
        <v>9.08</v>
      </c>
      <c r="R158" s="89"/>
      <c r="S158" s="55" t="s">
        <v>6016</v>
      </c>
      <c r="T158" s="90"/>
      <c r="U158" s="90"/>
      <c r="V158" s="119"/>
      <c r="W158" s="90"/>
      <c r="X158" s="90"/>
      <c r="Y158" s="90"/>
      <c r="Z158" s="90"/>
      <c r="AA158" s="90"/>
      <c r="AB158" s="90"/>
      <c r="AC158" s="90"/>
      <c r="AD158" s="90"/>
      <c r="AE158" s="90"/>
      <c r="AF158" s="90"/>
    </row>
    <row r="159" spans="1:32" ht="29" x14ac:dyDescent="0.35">
      <c r="A159" s="121" t="s">
        <v>35</v>
      </c>
      <c r="B159" s="121" t="s">
        <v>2222</v>
      </c>
      <c r="C159" s="121">
        <v>5200006000</v>
      </c>
      <c r="D159" s="122" t="s">
        <v>23</v>
      </c>
      <c r="E159" s="123">
        <v>7.05</v>
      </c>
      <c r="F159" s="121" t="s">
        <v>88</v>
      </c>
      <c r="G159" s="108">
        <v>45400</v>
      </c>
      <c r="H159" s="120" t="s">
        <v>94</v>
      </c>
      <c r="I159" s="120" t="s">
        <v>97</v>
      </c>
      <c r="J159" s="121" t="s">
        <v>5840</v>
      </c>
      <c r="K159" s="121"/>
      <c r="L159" s="121"/>
      <c r="M159" s="121"/>
      <c r="N159" s="121"/>
      <c r="O159" s="121" t="s">
        <v>5841</v>
      </c>
      <c r="Q159" s="119">
        <f t="shared" si="4"/>
        <v>7.05</v>
      </c>
      <c r="R159" s="89"/>
      <c r="S159" s="55" t="s">
        <v>6016</v>
      </c>
      <c r="T159" s="90"/>
      <c r="U159" s="90"/>
      <c r="V159" s="119"/>
      <c r="W159" s="90"/>
      <c r="X159" s="90"/>
      <c r="Y159" s="90"/>
      <c r="Z159" s="90"/>
      <c r="AA159" s="90"/>
      <c r="AB159" s="90"/>
      <c r="AC159" s="90"/>
      <c r="AD159" s="90"/>
      <c r="AE159" s="90"/>
      <c r="AF159" s="90"/>
    </row>
    <row r="160" spans="1:32" ht="29" x14ac:dyDescent="0.35">
      <c r="A160" s="121" t="s">
        <v>35</v>
      </c>
      <c r="B160" s="121" t="s">
        <v>2222</v>
      </c>
      <c r="C160" s="121">
        <v>5200006000</v>
      </c>
      <c r="D160" s="122" t="s">
        <v>23</v>
      </c>
      <c r="E160" s="123">
        <v>6.36</v>
      </c>
      <c r="F160" s="121" t="s">
        <v>88</v>
      </c>
      <c r="G160" s="108">
        <v>45400</v>
      </c>
      <c r="H160" s="120" t="s">
        <v>94</v>
      </c>
      <c r="I160" s="120" t="s">
        <v>97</v>
      </c>
      <c r="J160" s="121" t="s">
        <v>5846</v>
      </c>
      <c r="K160" s="121"/>
      <c r="L160" s="121"/>
      <c r="M160" s="121"/>
      <c r="N160" s="121"/>
      <c r="O160" s="121" t="s">
        <v>5847</v>
      </c>
      <c r="Q160" s="119">
        <f t="shared" si="4"/>
        <v>6.36</v>
      </c>
      <c r="R160" s="89"/>
      <c r="S160" s="55" t="s">
        <v>6016</v>
      </c>
      <c r="T160" s="90"/>
      <c r="U160" s="90"/>
      <c r="V160" s="119"/>
      <c r="W160" s="90"/>
      <c r="X160" s="90"/>
      <c r="Y160" s="90"/>
      <c r="Z160" s="90"/>
      <c r="AA160" s="90"/>
      <c r="AB160" s="90"/>
      <c r="AC160" s="90"/>
      <c r="AD160" s="90"/>
      <c r="AE160" s="90"/>
      <c r="AF160" s="90"/>
    </row>
    <row r="161" spans="1:32" ht="58" x14ac:dyDescent="0.35">
      <c r="A161" s="121" t="s">
        <v>0</v>
      </c>
      <c r="B161" s="121" t="s">
        <v>642</v>
      </c>
      <c r="C161" s="121">
        <v>5200006000</v>
      </c>
      <c r="D161" s="122" t="s">
        <v>23</v>
      </c>
      <c r="E161" s="123">
        <v>-4.45</v>
      </c>
      <c r="F161" s="121" t="s">
        <v>88</v>
      </c>
      <c r="G161" s="108">
        <v>45396</v>
      </c>
      <c r="H161" s="120" t="s">
        <v>181</v>
      </c>
      <c r="I161" s="120" t="s">
        <v>182</v>
      </c>
      <c r="J161" s="121"/>
      <c r="K161" s="121"/>
      <c r="L161" s="121"/>
      <c r="M161" s="121"/>
      <c r="N161" s="121"/>
      <c r="O161" s="121"/>
      <c r="Q161" s="119">
        <f t="shared" si="4"/>
        <v>4.45</v>
      </c>
      <c r="R161" s="89"/>
      <c r="S161" s="55" t="s">
        <v>6016</v>
      </c>
      <c r="T161" s="90"/>
      <c r="U161" s="90"/>
      <c r="V161" s="119"/>
      <c r="W161" s="90"/>
      <c r="X161" s="90"/>
      <c r="Y161" s="90"/>
      <c r="Z161" s="90"/>
      <c r="AA161" s="90"/>
      <c r="AB161" s="90"/>
      <c r="AC161" s="90"/>
      <c r="AD161" s="90"/>
      <c r="AE161" s="90"/>
      <c r="AF161" s="90"/>
    </row>
    <row r="162" spans="1:32" ht="58" x14ac:dyDescent="0.35">
      <c r="A162" s="121" t="s">
        <v>0</v>
      </c>
      <c r="B162" s="121" t="s">
        <v>642</v>
      </c>
      <c r="C162" s="121">
        <v>5200006000</v>
      </c>
      <c r="D162" s="122" t="s">
        <v>23</v>
      </c>
      <c r="E162" s="123">
        <v>2.69</v>
      </c>
      <c r="F162" s="121" t="s">
        <v>88</v>
      </c>
      <c r="G162" s="108">
        <v>45392</v>
      </c>
      <c r="H162" s="120" t="s">
        <v>181</v>
      </c>
      <c r="I162" s="120" t="s">
        <v>182</v>
      </c>
      <c r="J162" s="121"/>
      <c r="K162" s="121"/>
      <c r="L162" s="121"/>
      <c r="M162" s="121"/>
      <c r="N162" s="121"/>
      <c r="O162" s="121"/>
      <c r="Q162" s="119">
        <f t="shared" si="4"/>
        <v>2.69</v>
      </c>
      <c r="R162" s="89"/>
      <c r="S162" s="55" t="s">
        <v>6016</v>
      </c>
      <c r="T162" s="90"/>
      <c r="U162" s="90"/>
      <c r="V162" s="119"/>
      <c r="W162" s="90"/>
      <c r="X162" s="90"/>
      <c r="Y162" s="90"/>
      <c r="Z162" s="90"/>
      <c r="AA162" s="90"/>
      <c r="AB162" s="90"/>
      <c r="AC162" s="90"/>
      <c r="AD162" s="90"/>
      <c r="AE162" s="90"/>
      <c r="AF162" s="90"/>
    </row>
    <row r="163" spans="1:32" ht="58" x14ac:dyDescent="0.35">
      <c r="A163" s="121" t="s">
        <v>0</v>
      </c>
      <c r="B163" s="121" t="s">
        <v>642</v>
      </c>
      <c r="C163" s="121">
        <v>5200006000</v>
      </c>
      <c r="D163" s="122" t="s">
        <v>23</v>
      </c>
      <c r="E163" s="123">
        <v>-0.84</v>
      </c>
      <c r="F163" s="121" t="s">
        <v>88</v>
      </c>
      <c r="G163" s="108">
        <v>45400</v>
      </c>
      <c r="H163" s="120" t="s">
        <v>181</v>
      </c>
      <c r="I163" s="120" t="s">
        <v>182</v>
      </c>
      <c r="J163" s="121"/>
      <c r="K163" s="121"/>
      <c r="L163" s="121"/>
      <c r="M163" s="121"/>
      <c r="N163" s="121"/>
      <c r="O163" s="121"/>
      <c r="Q163" s="119">
        <f t="shared" si="4"/>
        <v>0.84</v>
      </c>
      <c r="R163" s="89"/>
      <c r="S163" s="55" t="s">
        <v>6016</v>
      </c>
      <c r="T163" s="90"/>
      <c r="U163" s="90"/>
      <c r="V163" s="119"/>
      <c r="W163" s="90"/>
      <c r="X163" s="90"/>
      <c r="Y163" s="90"/>
      <c r="Z163" s="90"/>
      <c r="AA163" s="90"/>
      <c r="AB163" s="90"/>
      <c r="AC163" s="90"/>
      <c r="AD163" s="90"/>
      <c r="AE163" s="90"/>
      <c r="AF163" s="90"/>
    </row>
    <row r="164" spans="1:32" ht="58" x14ac:dyDescent="0.35">
      <c r="A164" s="121" t="s">
        <v>0</v>
      </c>
      <c r="B164" s="121" t="s">
        <v>642</v>
      </c>
      <c r="C164" s="121">
        <v>5200006000</v>
      </c>
      <c r="D164" s="122" t="s">
        <v>23</v>
      </c>
      <c r="E164" s="123">
        <v>-0.19</v>
      </c>
      <c r="F164" s="121" t="s">
        <v>88</v>
      </c>
      <c r="G164" s="108">
        <v>45412</v>
      </c>
      <c r="H164" s="120" t="s">
        <v>181</v>
      </c>
      <c r="I164" s="120" t="s">
        <v>182</v>
      </c>
      <c r="J164" s="121"/>
      <c r="K164" s="121"/>
      <c r="L164" s="121"/>
      <c r="M164" s="121"/>
      <c r="N164" s="121"/>
      <c r="O164" s="121"/>
      <c r="Q164" s="119">
        <f t="shared" si="4"/>
        <v>0.19</v>
      </c>
      <c r="R164" s="89"/>
      <c r="S164" s="55" t="s">
        <v>6016</v>
      </c>
      <c r="T164" s="90"/>
      <c r="U164" s="90"/>
      <c r="V164" s="119"/>
      <c r="W164" s="90"/>
      <c r="X164" s="90"/>
      <c r="Y164" s="90"/>
      <c r="Z164" s="90"/>
      <c r="AA164" s="90"/>
      <c r="AB164" s="90"/>
      <c r="AC164" s="90"/>
      <c r="AD164" s="90"/>
      <c r="AE164" s="90"/>
      <c r="AF164" s="90"/>
    </row>
  </sheetData>
  <autoFilter ref="A10:AF164" xr:uid="{B7C01777-F32E-43FE-A8CD-DB4CD13654B1}">
    <sortState xmlns:xlrd2="http://schemas.microsoft.com/office/spreadsheetml/2017/richdata2" ref="A11:AF164">
      <sortCondition descending="1" ref="Q10:Q63"/>
    </sortState>
  </autoFilter>
  <sortState xmlns:xlrd2="http://schemas.microsoft.com/office/spreadsheetml/2017/richdata2" ref="A10:Q63">
    <sortCondition descending="1" ref="Q10:Q63"/>
  </sortState>
  <mergeCells count="1">
    <mergeCell ref="AD9:AE9"/>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565D3-B937-48EA-9CA3-02904BCDB346}">
  <sheetPr>
    <tabColor rgb="FF00B050"/>
  </sheetPr>
  <dimension ref="A1:AE384"/>
  <sheetViews>
    <sheetView workbookViewId="0">
      <selection activeCell="C3" sqref="C3"/>
    </sheetView>
  </sheetViews>
  <sheetFormatPr defaultRowHeight="14.5" x14ac:dyDescent="0.35"/>
  <cols>
    <col min="3" max="4" width="12" customWidth="1"/>
    <col min="6" max="6" width="10.7265625" style="19" bestFit="1" customWidth="1"/>
    <col min="7" max="7" width="16.81640625" style="62" customWidth="1"/>
    <col min="8" max="8" width="30.453125" style="55" customWidth="1"/>
    <col min="9" max="9" width="10.7265625" style="55" customWidth="1"/>
    <col min="10" max="11" width="10.7265625" customWidth="1"/>
    <col min="12" max="15" width="2" customWidth="1"/>
    <col min="16" max="16" width="2.1796875" style="5" customWidth="1"/>
    <col min="17" max="17" width="16.1796875" style="3" customWidth="1"/>
    <col min="18" max="18" width="5.54296875" customWidth="1"/>
    <col min="19" max="19" width="20.54296875" bestFit="1" customWidth="1"/>
    <col min="22" max="27" width="1.453125" customWidth="1"/>
  </cols>
  <sheetData>
    <row r="1" spans="1:31" x14ac:dyDescent="0.35">
      <c r="A1" t="s">
        <v>69</v>
      </c>
      <c r="C1" s="24">
        <f>Summary!A21</f>
        <v>5200999000</v>
      </c>
      <c r="D1" s="3"/>
    </row>
    <row r="2" spans="1:31" x14ac:dyDescent="0.35">
      <c r="A2" t="s">
        <v>70</v>
      </c>
      <c r="C2" s="24" t="str">
        <f>Summary!B21</f>
        <v>Miscellaneous expenses</v>
      </c>
      <c r="D2" s="3"/>
      <c r="G2" s="62" t="s">
        <v>141</v>
      </c>
    </row>
    <row r="3" spans="1:31" x14ac:dyDescent="0.35">
      <c r="A3" t="s">
        <v>71</v>
      </c>
      <c r="C3" s="22">
        <v>368345.33999999968</v>
      </c>
      <c r="D3" s="3"/>
      <c r="G3" s="98" t="s">
        <v>344</v>
      </c>
      <c r="AB3" t="s">
        <v>0</v>
      </c>
      <c r="AC3" s="3">
        <f>SUMIF($A$8:$A$20000,"AU001",AC8:AC20000)</f>
        <v>0</v>
      </c>
      <c r="AD3" s="3">
        <f>SUMIF($A$8:$A$20000,"AU001",AD8:AD20000)</f>
        <v>0</v>
      </c>
    </row>
    <row r="4" spans="1:31" x14ac:dyDescent="0.35">
      <c r="A4" t="s">
        <v>45</v>
      </c>
      <c r="C4" s="22">
        <f>SUM(E:E)</f>
        <v>368345.33999999921</v>
      </c>
      <c r="D4" s="3"/>
      <c r="G4" s="125" t="s">
        <v>345</v>
      </c>
      <c r="T4" s="24" t="s">
        <v>0</v>
      </c>
      <c r="U4" s="3">
        <f>SUMIF($A$10:$A$23974,"AU001",U9:U23973)</f>
        <v>0</v>
      </c>
      <c r="AB4" t="s">
        <v>35</v>
      </c>
      <c r="AC4" s="3">
        <f>SUMIF($A$8:$A$20000,"AU052",AC8:AC20000)</f>
        <v>0</v>
      </c>
      <c r="AD4" s="3">
        <f>SUMIF($A$8:$A$20000,"AU052",AD8:AD20000)</f>
        <v>0</v>
      </c>
    </row>
    <row r="5" spans="1:31" ht="15" thickBot="1" x14ac:dyDescent="0.4">
      <c r="A5" t="s">
        <v>72</v>
      </c>
      <c r="C5" s="3">
        <f>C3-C4</f>
        <v>4.6566128730773926E-10</v>
      </c>
      <c r="D5" s="3"/>
      <c r="Q5" s="30"/>
      <c r="R5" s="24"/>
      <c r="T5" s="24" t="s">
        <v>35</v>
      </c>
      <c r="U5" s="3">
        <f>SUMIF($A$10:$A$23975,"AU052",U9:U23974)</f>
        <v>0</v>
      </c>
    </row>
    <row r="6" spans="1:31" ht="15" thickBot="1" x14ac:dyDescent="0.4">
      <c r="D6" s="3"/>
      <c r="AC6" s="191" t="s">
        <v>44</v>
      </c>
      <c r="AD6" s="192"/>
    </row>
    <row r="7" spans="1:31" s="53" customFormat="1" ht="73.5" customHeight="1" thickBot="1" x14ac:dyDescent="0.4">
      <c r="A7" s="1" t="s">
        <v>74</v>
      </c>
      <c r="B7" s="2" t="s">
        <v>597</v>
      </c>
      <c r="C7" s="2" t="s">
        <v>75</v>
      </c>
      <c r="D7" s="2" t="s">
        <v>76</v>
      </c>
      <c r="E7" s="2" t="s">
        <v>77</v>
      </c>
      <c r="F7" s="2" t="s">
        <v>78</v>
      </c>
      <c r="G7" s="162" t="s">
        <v>79</v>
      </c>
      <c r="H7" s="2" t="s">
        <v>80</v>
      </c>
      <c r="I7" s="2" t="s">
        <v>81</v>
      </c>
      <c r="J7" s="2" t="s">
        <v>82</v>
      </c>
      <c r="K7" s="2" t="s">
        <v>83</v>
      </c>
      <c r="L7" s="2" t="s">
        <v>84</v>
      </c>
      <c r="M7" s="2" t="s">
        <v>85</v>
      </c>
      <c r="N7" s="2" t="s">
        <v>86</v>
      </c>
      <c r="O7" s="163" t="s">
        <v>585</v>
      </c>
      <c r="P7" s="43"/>
      <c r="Q7" s="54" t="s">
        <v>136</v>
      </c>
      <c r="R7" s="44" t="s">
        <v>87</v>
      </c>
      <c r="S7" s="45" t="s">
        <v>46</v>
      </c>
      <c r="T7" s="45" t="s">
        <v>47</v>
      </c>
      <c r="U7" s="45" t="s">
        <v>48</v>
      </c>
      <c r="V7" s="46" t="s">
        <v>49</v>
      </c>
      <c r="W7" s="47" t="s">
        <v>50</v>
      </c>
      <c r="X7" s="48" t="s">
        <v>51</v>
      </c>
      <c r="Y7" s="49" t="s">
        <v>52</v>
      </c>
      <c r="Z7" s="50" t="s">
        <v>53</v>
      </c>
      <c r="AA7" s="50" t="s">
        <v>54</v>
      </c>
      <c r="AB7" s="50" t="s">
        <v>55</v>
      </c>
      <c r="AC7" s="51" t="s">
        <v>56</v>
      </c>
      <c r="AD7" s="51" t="s">
        <v>57</v>
      </c>
      <c r="AE7" s="52" t="s">
        <v>58</v>
      </c>
    </row>
    <row r="8" spans="1:31" x14ac:dyDescent="0.35">
      <c r="A8" t="s">
        <v>0</v>
      </c>
      <c r="B8" t="s">
        <v>1106</v>
      </c>
      <c r="C8" t="s">
        <v>24</v>
      </c>
      <c r="D8" t="s">
        <v>25</v>
      </c>
      <c r="E8">
        <v>3630000</v>
      </c>
      <c r="F8" t="s">
        <v>88</v>
      </c>
      <c r="G8" s="19">
        <v>45393</v>
      </c>
      <c r="H8" t="s">
        <v>318</v>
      </c>
      <c r="I8" t="s">
        <v>6020</v>
      </c>
      <c r="Q8" s="3">
        <f t="shared" ref="Q8:Q71" si="0">ABS(E8)</f>
        <v>3630000</v>
      </c>
      <c r="R8" t="s">
        <v>138</v>
      </c>
      <c r="S8" t="s">
        <v>137</v>
      </c>
      <c r="T8" t="s">
        <v>65</v>
      </c>
    </row>
    <row r="9" spans="1:31" x14ac:dyDescent="0.35">
      <c r="A9" t="s">
        <v>0</v>
      </c>
      <c r="B9" t="s">
        <v>1106</v>
      </c>
      <c r="C9" t="s">
        <v>24</v>
      </c>
      <c r="D9" t="s">
        <v>25</v>
      </c>
      <c r="E9">
        <v>-3630000</v>
      </c>
      <c r="F9" t="s">
        <v>88</v>
      </c>
      <c r="G9" s="19">
        <v>45412</v>
      </c>
      <c r="H9" t="s">
        <v>6046</v>
      </c>
      <c r="I9" t="s">
        <v>6046</v>
      </c>
      <c r="Q9" s="3">
        <f t="shared" si="0"/>
        <v>3630000</v>
      </c>
      <c r="R9" t="s">
        <v>138</v>
      </c>
      <c r="S9" t="s">
        <v>137</v>
      </c>
      <c r="T9" t="s">
        <v>65</v>
      </c>
    </row>
    <row r="10" spans="1:31" x14ac:dyDescent="0.35">
      <c r="A10" t="s">
        <v>34</v>
      </c>
      <c r="B10" t="s">
        <v>638</v>
      </c>
      <c r="C10" t="s">
        <v>24</v>
      </c>
      <c r="D10" t="s">
        <v>25</v>
      </c>
      <c r="E10">
        <v>101562.84</v>
      </c>
      <c r="F10" t="s">
        <v>88</v>
      </c>
      <c r="G10" s="19">
        <v>45412</v>
      </c>
      <c r="H10" t="s">
        <v>6050</v>
      </c>
      <c r="I10" t="s">
        <v>324</v>
      </c>
      <c r="Q10" s="3">
        <f t="shared" si="0"/>
        <v>101562.84</v>
      </c>
      <c r="R10" t="s">
        <v>138</v>
      </c>
      <c r="S10" t="s">
        <v>137</v>
      </c>
      <c r="T10" t="s">
        <v>65</v>
      </c>
    </row>
    <row r="11" spans="1:31" x14ac:dyDescent="0.35">
      <c r="A11" t="s">
        <v>0</v>
      </c>
      <c r="B11" t="s">
        <v>5980</v>
      </c>
      <c r="C11" t="s">
        <v>24</v>
      </c>
      <c r="D11" t="s">
        <v>25</v>
      </c>
      <c r="E11">
        <v>54114.1</v>
      </c>
      <c r="F11" t="s">
        <v>88</v>
      </c>
      <c r="G11" s="19">
        <v>45649</v>
      </c>
      <c r="H11" t="s">
        <v>323</v>
      </c>
      <c r="I11" t="s">
        <v>6212</v>
      </c>
      <c r="Q11" s="3">
        <f t="shared" si="0"/>
        <v>54114.1</v>
      </c>
      <c r="R11" t="s">
        <v>138</v>
      </c>
      <c r="S11" t="s">
        <v>137</v>
      </c>
    </row>
    <row r="12" spans="1:31" x14ac:dyDescent="0.35">
      <c r="A12" t="s">
        <v>0</v>
      </c>
      <c r="B12" t="s">
        <v>1053</v>
      </c>
      <c r="C12" t="s">
        <v>24</v>
      </c>
      <c r="D12" t="s">
        <v>25</v>
      </c>
      <c r="E12">
        <v>51270.94</v>
      </c>
      <c r="F12" t="s">
        <v>88</v>
      </c>
      <c r="G12" s="19">
        <v>45594</v>
      </c>
      <c r="H12" t="s">
        <v>318</v>
      </c>
      <c r="I12" t="s">
        <v>6179</v>
      </c>
      <c r="Q12" s="3">
        <f t="shared" si="0"/>
        <v>51270.94</v>
      </c>
      <c r="R12" t="s">
        <v>138</v>
      </c>
      <c r="S12" t="s">
        <v>137</v>
      </c>
    </row>
    <row r="13" spans="1:31" x14ac:dyDescent="0.35">
      <c r="A13" t="s">
        <v>0</v>
      </c>
      <c r="B13" t="s">
        <v>5980</v>
      </c>
      <c r="C13" t="s">
        <v>24</v>
      </c>
      <c r="D13" t="s">
        <v>25</v>
      </c>
      <c r="E13">
        <v>28859.3</v>
      </c>
      <c r="F13" t="s">
        <v>88</v>
      </c>
      <c r="G13" s="19">
        <v>45525</v>
      </c>
      <c r="H13" t="s">
        <v>323</v>
      </c>
      <c r="I13" t="s">
        <v>6138</v>
      </c>
      <c r="Q13" s="3">
        <f t="shared" si="0"/>
        <v>28859.3</v>
      </c>
      <c r="R13" t="s">
        <v>138</v>
      </c>
      <c r="S13" t="s">
        <v>137</v>
      </c>
    </row>
    <row r="14" spans="1:31" x14ac:dyDescent="0.35">
      <c r="A14" t="s">
        <v>35</v>
      </c>
      <c r="B14" t="s">
        <v>638</v>
      </c>
      <c r="C14" t="s">
        <v>24</v>
      </c>
      <c r="D14" t="s">
        <v>25</v>
      </c>
      <c r="E14">
        <v>-28077.279999999999</v>
      </c>
      <c r="F14" t="s">
        <v>88</v>
      </c>
      <c r="G14" s="19">
        <v>45402</v>
      </c>
      <c r="H14" t="s">
        <v>6025</v>
      </c>
      <c r="I14" t="s">
        <v>6026</v>
      </c>
      <c r="Q14" s="3">
        <f t="shared" si="0"/>
        <v>28077.279999999999</v>
      </c>
      <c r="R14" t="s">
        <v>138</v>
      </c>
      <c r="S14" t="s">
        <v>137</v>
      </c>
      <c r="T14" t="s">
        <v>65</v>
      </c>
    </row>
    <row r="15" spans="1:31" x14ac:dyDescent="0.35">
      <c r="A15" t="s">
        <v>0</v>
      </c>
      <c r="B15" t="s">
        <v>1884</v>
      </c>
      <c r="C15" t="s">
        <v>24</v>
      </c>
      <c r="D15" t="s">
        <v>25</v>
      </c>
      <c r="E15">
        <v>25710</v>
      </c>
      <c r="F15" t="s">
        <v>88</v>
      </c>
      <c r="G15" s="19">
        <v>45447</v>
      </c>
      <c r="H15" t="s">
        <v>6076</v>
      </c>
      <c r="I15" t="s">
        <v>6076</v>
      </c>
      <c r="Q15" s="3">
        <f t="shared" si="0"/>
        <v>25710</v>
      </c>
      <c r="R15" t="s">
        <v>138</v>
      </c>
      <c r="S15" t="s">
        <v>137</v>
      </c>
      <c r="T15" t="s">
        <v>65</v>
      </c>
    </row>
    <row r="16" spans="1:31" x14ac:dyDescent="0.35">
      <c r="A16" t="s">
        <v>35</v>
      </c>
      <c r="B16" t="s">
        <v>713</v>
      </c>
      <c r="C16" t="s">
        <v>24</v>
      </c>
      <c r="D16" t="s">
        <v>25</v>
      </c>
      <c r="E16">
        <v>-21025.69</v>
      </c>
      <c r="F16" t="s">
        <v>88</v>
      </c>
      <c r="G16" s="19">
        <v>45657</v>
      </c>
      <c r="H16" t="s">
        <v>6221</v>
      </c>
      <c r="I16" t="s">
        <v>6222</v>
      </c>
      <c r="Q16" s="3">
        <f t="shared" si="0"/>
        <v>21025.69</v>
      </c>
      <c r="R16" t="s">
        <v>138</v>
      </c>
      <c r="S16" t="s">
        <v>137</v>
      </c>
    </row>
    <row r="17" spans="1:20" x14ac:dyDescent="0.35">
      <c r="A17" t="s">
        <v>0</v>
      </c>
      <c r="B17" t="s">
        <v>5980</v>
      </c>
      <c r="C17" t="s">
        <v>24</v>
      </c>
      <c r="D17" t="s">
        <v>25</v>
      </c>
      <c r="E17">
        <v>13071.66</v>
      </c>
      <c r="F17" t="s">
        <v>88</v>
      </c>
      <c r="G17" s="19">
        <v>45467</v>
      </c>
      <c r="H17" t="s">
        <v>323</v>
      </c>
      <c r="I17" t="s">
        <v>6096</v>
      </c>
      <c r="Q17" s="3">
        <f t="shared" si="0"/>
        <v>13071.66</v>
      </c>
      <c r="R17" t="s">
        <v>138</v>
      </c>
      <c r="S17" t="s">
        <v>137</v>
      </c>
      <c r="T17" t="s">
        <v>65</v>
      </c>
    </row>
    <row r="18" spans="1:20" x14ac:dyDescent="0.35">
      <c r="A18" t="s">
        <v>35</v>
      </c>
      <c r="B18" t="s">
        <v>5980</v>
      </c>
      <c r="C18" t="s">
        <v>24</v>
      </c>
      <c r="D18" t="s">
        <v>25</v>
      </c>
      <c r="E18">
        <v>11295.24</v>
      </c>
      <c r="F18" t="s">
        <v>88</v>
      </c>
      <c r="G18" s="19">
        <v>45523</v>
      </c>
      <c r="H18" t="s">
        <v>323</v>
      </c>
      <c r="I18" t="s">
        <v>6136</v>
      </c>
      <c r="Q18" s="3">
        <f t="shared" si="0"/>
        <v>11295.24</v>
      </c>
      <c r="R18" t="s">
        <v>138</v>
      </c>
      <c r="S18" t="s">
        <v>137</v>
      </c>
    </row>
    <row r="19" spans="1:20" x14ac:dyDescent="0.35">
      <c r="A19" t="s">
        <v>0</v>
      </c>
      <c r="B19" t="s">
        <v>598</v>
      </c>
      <c r="C19" t="s">
        <v>24</v>
      </c>
      <c r="D19" t="s">
        <v>25</v>
      </c>
      <c r="E19">
        <v>-8813.3799999999992</v>
      </c>
      <c r="F19" t="s">
        <v>88</v>
      </c>
      <c r="G19" s="19">
        <v>45513</v>
      </c>
      <c r="H19" t="s">
        <v>922</v>
      </c>
      <c r="I19" t="s">
        <v>922</v>
      </c>
      <c r="Q19" s="3">
        <f t="shared" si="0"/>
        <v>8813.3799999999992</v>
      </c>
      <c r="R19" t="s">
        <v>138</v>
      </c>
      <c r="S19" t="s">
        <v>137</v>
      </c>
    </row>
    <row r="20" spans="1:20" x14ac:dyDescent="0.35">
      <c r="A20" t="s">
        <v>35</v>
      </c>
      <c r="B20" t="s">
        <v>598</v>
      </c>
      <c r="C20" t="s">
        <v>24</v>
      </c>
      <c r="D20" t="s">
        <v>25</v>
      </c>
      <c r="E20">
        <v>-8148.2199999999993</v>
      </c>
      <c r="F20" t="s">
        <v>88</v>
      </c>
      <c r="G20" s="19">
        <v>45513</v>
      </c>
      <c r="H20" t="s">
        <v>922</v>
      </c>
      <c r="I20" t="s">
        <v>922</v>
      </c>
      <c r="Q20" s="3">
        <f t="shared" si="0"/>
        <v>8148.2199999999993</v>
      </c>
      <c r="R20" t="s">
        <v>138</v>
      </c>
      <c r="S20" t="s">
        <v>137</v>
      </c>
    </row>
    <row r="21" spans="1:20" x14ac:dyDescent="0.35">
      <c r="A21" t="s">
        <v>0</v>
      </c>
      <c r="B21" t="s">
        <v>5980</v>
      </c>
      <c r="C21" t="s">
        <v>24</v>
      </c>
      <c r="D21" t="s">
        <v>25</v>
      </c>
      <c r="E21">
        <v>8055.52</v>
      </c>
      <c r="F21" t="s">
        <v>88</v>
      </c>
      <c r="G21" s="19">
        <v>45523</v>
      </c>
      <c r="H21" t="s">
        <v>323</v>
      </c>
      <c r="I21" t="s">
        <v>6135</v>
      </c>
      <c r="Q21" s="3">
        <f t="shared" si="0"/>
        <v>8055.52</v>
      </c>
      <c r="R21" t="s">
        <v>138</v>
      </c>
      <c r="S21" t="s">
        <v>137</v>
      </c>
    </row>
    <row r="22" spans="1:20" x14ac:dyDescent="0.35">
      <c r="A22" t="s">
        <v>35</v>
      </c>
      <c r="B22" t="s">
        <v>598</v>
      </c>
      <c r="C22" t="s">
        <v>24</v>
      </c>
      <c r="D22" t="s">
        <v>25</v>
      </c>
      <c r="E22">
        <v>-7933.9900000000007</v>
      </c>
      <c r="F22" t="s">
        <v>88</v>
      </c>
      <c r="G22" s="19">
        <v>45636</v>
      </c>
      <c r="H22" t="s">
        <v>1239</v>
      </c>
      <c r="I22" t="s">
        <v>1239</v>
      </c>
      <c r="Q22" s="3">
        <f t="shared" si="0"/>
        <v>7933.9900000000007</v>
      </c>
      <c r="R22" t="s">
        <v>138</v>
      </c>
      <c r="S22" t="s">
        <v>137</v>
      </c>
    </row>
    <row r="23" spans="1:20" x14ac:dyDescent="0.35">
      <c r="A23" t="s">
        <v>0</v>
      </c>
      <c r="B23" t="s">
        <v>656</v>
      </c>
      <c r="C23" t="s">
        <v>24</v>
      </c>
      <c r="D23" t="s">
        <v>25</v>
      </c>
      <c r="E23">
        <v>7641.91</v>
      </c>
      <c r="F23" t="s">
        <v>88</v>
      </c>
      <c r="G23" s="19">
        <v>45484</v>
      </c>
      <c r="H23" t="s">
        <v>6109</v>
      </c>
      <c r="I23" t="s">
        <v>6109</v>
      </c>
      <c r="Q23" s="3">
        <f t="shared" si="0"/>
        <v>7641.91</v>
      </c>
      <c r="R23" t="s">
        <v>138</v>
      </c>
      <c r="S23" t="s">
        <v>137</v>
      </c>
    </row>
    <row r="24" spans="1:20" x14ac:dyDescent="0.35">
      <c r="A24" t="s">
        <v>0</v>
      </c>
      <c r="B24" t="s">
        <v>5980</v>
      </c>
      <c r="C24" t="s">
        <v>24</v>
      </c>
      <c r="D24" t="s">
        <v>25</v>
      </c>
      <c r="E24">
        <v>6797.5</v>
      </c>
      <c r="F24" t="s">
        <v>88</v>
      </c>
      <c r="G24" s="19">
        <v>45404</v>
      </c>
      <c r="H24" t="s">
        <v>323</v>
      </c>
      <c r="I24" t="s">
        <v>6034</v>
      </c>
      <c r="Q24" s="3">
        <f t="shared" si="0"/>
        <v>6797.5</v>
      </c>
      <c r="R24" t="s">
        <v>138</v>
      </c>
      <c r="S24" t="s">
        <v>137</v>
      </c>
      <c r="T24" t="s">
        <v>65</v>
      </c>
    </row>
    <row r="25" spans="1:20" x14ac:dyDescent="0.35">
      <c r="A25" t="s">
        <v>0</v>
      </c>
      <c r="B25" t="s">
        <v>1627</v>
      </c>
      <c r="C25" t="s">
        <v>24</v>
      </c>
      <c r="D25" t="s">
        <v>25</v>
      </c>
      <c r="E25">
        <v>6446.0300000000007</v>
      </c>
      <c r="F25" t="s">
        <v>88</v>
      </c>
      <c r="G25" s="19">
        <v>45608</v>
      </c>
      <c r="H25" t="s">
        <v>321</v>
      </c>
      <c r="I25" t="s">
        <v>321</v>
      </c>
      <c r="Q25" s="3">
        <f t="shared" si="0"/>
        <v>6446.0300000000007</v>
      </c>
      <c r="R25" t="s">
        <v>138</v>
      </c>
      <c r="S25" t="s">
        <v>137</v>
      </c>
    </row>
    <row r="26" spans="1:20" x14ac:dyDescent="0.35">
      <c r="A26" t="s">
        <v>0</v>
      </c>
      <c r="B26" t="s">
        <v>1491</v>
      </c>
      <c r="C26" t="s">
        <v>24</v>
      </c>
      <c r="D26" t="s">
        <v>25</v>
      </c>
      <c r="E26">
        <v>6000</v>
      </c>
      <c r="F26" t="s">
        <v>88</v>
      </c>
      <c r="G26" s="19">
        <v>45643</v>
      </c>
      <c r="H26" t="s">
        <v>318</v>
      </c>
      <c r="I26" t="s">
        <v>101</v>
      </c>
      <c r="Q26" s="3">
        <f t="shared" si="0"/>
        <v>6000</v>
      </c>
      <c r="R26" t="s">
        <v>138</v>
      </c>
      <c r="S26" t="s">
        <v>137</v>
      </c>
    </row>
    <row r="27" spans="1:20" x14ac:dyDescent="0.35">
      <c r="A27" t="s">
        <v>0</v>
      </c>
      <c r="B27" t="s">
        <v>1216</v>
      </c>
      <c r="C27" t="s">
        <v>24</v>
      </c>
      <c r="D27" t="s">
        <v>25</v>
      </c>
      <c r="E27">
        <v>5679</v>
      </c>
      <c r="F27" t="s">
        <v>88</v>
      </c>
      <c r="G27" s="19">
        <v>45560</v>
      </c>
      <c r="H27" t="s">
        <v>318</v>
      </c>
      <c r="I27" t="s">
        <v>6152</v>
      </c>
      <c r="Q27" s="3">
        <f t="shared" si="0"/>
        <v>5679</v>
      </c>
      <c r="R27" t="s">
        <v>138</v>
      </c>
      <c r="S27" t="s">
        <v>137</v>
      </c>
    </row>
    <row r="28" spans="1:20" x14ac:dyDescent="0.35">
      <c r="A28" t="s">
        <v>0</v>
      </c>
      <c r="B28" t="s">
        <v>5980</v>
      </c>
      <c r="C28" t="s">
        <v>24</v>
      </c>
      <c r="D28" t="s">
        <v>25</v>
      </c>
      <c r="E28">
        <v>5500</v>
      </c>
      <c r="F28" t="s">
        <v>88</v>
      </c>
      <c r="G28" s="19">
        <v>45649</v>
      </c>
      <c r="H28" t="s">
        <v>323</v>
      </c>
      <c r="I28" t="s">
        <v>6211</v>
      </c>
      <c r="Q28" s="3">
        <f t="shared" si="0"/>
        <v>5500</v>
      </c>
      <c r="R28" t="s">
        <v>138</v>
      </c>
      <c r="S28" t="s">
        <v>137</v>
      </c>
    </row>
    <row r="29" spans="1:20" x14ac:dyDescent="0.35">
      <c r="A29" t="s">
        <v>35</v>
      </c>
      <c r="B29" t="s">
        <v>5980</v>
      </c>
      <c r="C29" t="s">
        <v>24</v>
      </c>
      <c r="D29" t="s">
        <v>25</v>
      </c>
      <c r="E29">
        <v>5500</v>
      </c>
      <c r="F29" t="s">
        <v>88</v>
      </c>
      <c r="G29" s="19">
        <v>45649</v>
      </c>
      <c r="H29" t="s">
        <v>323</v>
      </c>
      <c r="I29" t="s">
        <v>6214</v>
      </c>
      <c r="Q29" s="3">
        <f t="shared" si="0"/>
        <v>5500</v>
      </c>
      <c r="R29" t="s">
        <v>138</v>
      </c>
      <c r="S29" t="s">
        <v>137</v>
      </c>
    </row>
    <row r="30" spans="1:20" x14ac:dyDescent="0.35">
      <c r="A30" t="s">
        <v>0</v>
      </c>
      <c r="B30" t="s">
        <v>756</v>
      </c>
      <c r="C30" t="s">
        <v>24</v>
      </c>
      <c r="D30" t="s">
        <v>25</v>
      </c>
      <c r="E30">
        <v>4712</v>
      </c>
      <c r="F30" t="s">
        <v>88</v>
      </c>
      <c r="G30" s="19">
        <v>45635</v>
      </c>
      <c r="H30" t="s">
        <v>318</v>
      </c>
      <c r="I30" t="s">
        <v>6203</v>
      </c>
      <c r="Q30" s="3">
        <f t="shared" si="0"/>
        <v>4712</v>
      </c>
      <c r="R30" t="s">
        <v>138</v>
      </c>
      <c r="S30" t="s">
        <v>137</v>
      </c>
    </row>
    <row r="31" spans="1:20" x14ac:dyDescent="0.35">
      <c r="A31" t="s">
        <v>35</v>
      </c>
      <c r="B31" t="s">
        <v>638</v>
      </c>
      <c r="C31" t="s">
        <v>24</v>
      </c>
      <c r="D31" t="s">
        <v>25</v>
      </c>
      <c r="E31">
        <v>-4622.800000000002</v>
      </c>
      <c r="F31" t="s">
        <v>88</v>
      </c>
      <c r="G31" s="19">
        <v>45463</v>
      </c>
      <c r="H31" t="s">
        <v>6084</v>
      </c>
      <c r="I31" t="s">
        <v>6085</v>
      </c>
      <c r="Q31" s="3">
        <f t="shared" si="0"/>
        <v>4622.800000000002</v>
      </c>
      <c r="R31" t="s">
        <v>138</v>
      </c>
      <c r="S31" t="s">
        <v>137</v>
      </c>
      <c r="T31" t="s">
        <v>65</v>
      </c>
    </row>
    <row r="32" spans="1:20" x14ac:dyDescent="0.35">
      <c r="A32" t="s">
        <v>0</v>
      </c>
      <c r="B32" t="s">
        <v>5980</v>
      </c>
      <c r="C32" t="s">
        <v>24</v>
      </c>
      <c r="D32" t="s">
        <v>25</v>
      </c>
      <c r="E32">
        <v>4446.88</v>
      </c>
      <c r="F32" t="s">
        <v>88</v>
      </c>
      <c r="G32" s="19">
        <v>45586</v>
      </c>
      <c r="H32" t="s">
        <v>6162</v>
      </c>
      <c r="I32" t="s">
        <v>6162</v>
      </c>
      <c r="Q32" s="3">
        <f t="shared" si="0"/>
        <v>4446.88</v>
      </c>
      <c r="R32" t="s">
        <v>138</v>
      </c>
      <c r="S32" t="s">
        <v>137</v>
      </c>
    </row>
    <row r="33" spans="1:20" x14ac:dyDescent="0.35">
      <c r="A33" t="s">
        <v>35</v>
      </c>
      <c r="B33" t="s">
        <v>638</v>
      </c>
      <c r="C33" t="s">
        <v>24</v>
      </c>
      <c r="D33" t="s">
        <v>25</v>
      </c>
      <c r="E33">
        <v>-3904.2799999999993</v>
      </c>
      <c r="F33" t="s">
        <v>88</v>
      </c>
      <c r="G33" s="19">
        <v>45402</v>
      </c>
      <c r="H33" t="s">
        <v>6025</v>
      </c>
      <c r="I33" t="s">
        <v>6028</v>
      </c>
      <c r="Q33" s="3">
        <f t="shared" si="0"/>
        <v>3904.2799999999993</v>
      </c>
      <c r="R33" t="s">
        <v>138</v>
      </c>
      <c r="S33" t="s">
        <v>137</v>
      </c>
      <c r="T33" t="s">
        <v>65</v>
      </c>
    </row>
    <row r="34" spans="1:20" x14ac:dyDescent="0.35">
      <c r="A34" t="s">
        <v>35</v>
      </c>
      <c r="B34" t="s">
        <v>5980</v>
      </c>
      <c r="C34" t="s">
        <v>24</v>
      </c>
      <c r="D34" t="s">
        <v>25</v>
      </c>
      <c r="E34">
        <v>3879.75</v>
      </c>
      <c r="F34" t="s">
        <v>88</v>
      </c>
      <c r="G34" s="19">
        <v>45432</v>
      </c>
      <c r="H34" t="s">
        <v>323</v>
      </c>
      <c r="I34" t="s">
        <v>6060</v>
      </c>
      <c r="Q34" s="3">
        <f t="shared" si="0"/>
        <v>3879.75</v>
      </c>
      <c r="R34" t="s">
        <v>138</v>
      </c>
      <c r="S34" t="s">
        <v>137</v>
      </c>
      <c r="T34" t="s">
        <v>65</v>
      </c>
    </row>
    <row r="35" spans="1:20" x14ac:dyDescent="0.35">
      <c r="A35" t="s">
        <v>35</v>
      </c>
      <c r="B35" t="s">
        <v>5980</v>
      </c>
      <c r="C35" t="s">
        <v>24</v>
      </c>
      <c r="D35" t="s">
        <v>25</v>
      </c>
      <c r="E35">
        <v>3674.26</v>
      </c>
      <c r="F35" t="s">
        <v>88</v>
      </c>
      <c r="G35" s="19">
        <v>45583</v>
      </c>
      <c r="H35" t="s">
        <v>6162</v>
      </c>
      <c r="I35" t="s">
        <v>6165</v>
      </c>
      <c r="Q35" s="3">
        <f t="shared" si="0"/>
        <v>3674.26</v>
      </c>
      <c r="R35" t="s">
        <v>138</v>
      </c>
      <c r="S35" t="s">
        <v>137</v>
      </c>
    </row>
    <row r="36" spans="1:20" x14ac:dyDescent="0.35">
      <c r="A36" t="s">
        <v>35</v>
      </c>
      <c r="B36" t="s">
        <v>638</v>
      </c>
      <c r="C36" t="s">
        <v>24</v>
      </c>
      <c r="D36" t="s">
        <v>25</v>
      </c>
      <c r="E36">
        <v>-3667.8200000000011</v>
      </c>
      <c r="F36" t="s">
        <v>88</v>
      </c>
      <c r="G36" s="19">
        <v>45402</v>
      </c>
      <c r="H36" t="s">
        <v>6025</v>
      </c>
      <c r="I36" t="s">
        <v>6031</v>
      </c>
      <c r="Q36" s="3">
        <f t="shared" si="0"/>
        <v>3667.8200000000011</v>
      </c>
      <c r="R36" t="s">
        <v>138</v>
      </c>
      <c r="S36" t="s">
        <v>137</v>
      </c>
      <c r="T36" t="s">
        <v>65</v>
      </c>
    </row>
    <row r="37" spans="1:20" x14ac:dyDescent="0.35">
      <c r="A37" t="s">
        <v>35</v>
      </c>
      <c r="B37" t="s">
        <v>5980</v>
      </c>
      <c r="C37" t="s">
        <v>24</v>
      </c>
      <c r="D37" t="s">
        <v>25</v>
      </c>
      <c r="E37">
        <v>3440.05</v>
      </c>
      <c r="F37" t="s">
        <v>88</v>
      </c>
      <c r="G37" s="19">
        <v>45646</v>
      </c>
      <c r="H37" t="s">
        <v>323</v>
      </c>
      <c r="I37" t="s">
        <v>6209</v>
      </c>
      <c r="Q37" s="3">
        <f t="shared" si="0"/>
        <v>3440.05</v>
      </c>
      <c r="R37" t="s">
        <v>138</v>
      </c>
      <c r="S37" t="s">
        <v>137</v>
      </c>
    </row>
    <row r="38" spans="1:20" x14ac:dyDescent="0.35">
      <c r="A38" t="s">
        <v>0</v>
      </c>
      <c r="B38" t="s">
        <v>5980</v>
      </c>
      <c r="C38" t="s">
        <v>24</v>
      </c>
      <c r="D38" t="s">
        <v>25</v>
      </c>
      <c r="E38">
        <v>3269.38</v>
      </c>
      <c r="F38" t="s">
        <v>88</v>
      </c>
      <c r="G38" s="19">
        <v>45559</v>
      </c>
      <c r="H38" t="s">
        <v>323</v>
      </c>
      <c r="I38" t="s">
        <v>6151</v>
      </c>
      <c r="Q38" s="3">
        <f t="shared" si="0"/>
        <v>3269.38</v>
      </c>
      <c r="R38" t="s">
        <v>138</v>
      </c>
      <c r="S38" t="s">
        <v>137</v>
      </c>
    </row>
    <row r="39" spans="1:20" x14ac:dyDescent="0.35">
      <c r="A39" t="s">
        <v>35</v>
      </c>
      <c r="B39" t="s">
        <v>5980</v>
      </c>
      <c r="C39" t="s">
        <v>24</v>
      </c>
      <c r="D39" t="s">
        <v>25</v>
      </c>
      <c r="E39">
        <v>3236.53</v>
      </c>
      <c r="F39" t="s">
        <v>88</v>
      </c>
      <c r="G39" s="19">
        <v>45614</v>
      </c>
      <c r="H39" t="s">
        <v>323</v>
      </c>
      <c r="I39" t="s">
        <v>6194</v>
      </c>
      <c r="Q39" s="3">
        <f t="shared" si="0"/>
        <v>3236.53</v>
      </c>
      <c r="R39" t="s">
        <v>138</v>
      </c>
      <c r="S39" t="s">
        <v>137</v>
      </c>
    </row>
    <row r="40" spans="1:20" x14ac:dyDescent="0.35">
      <c r="A40" t="s">
        <v>35</v>
      </c>
      <c r="B40" t="s">
        <v>638</v>
      </c>
      <c r="C40" t="s">
        <v>24</v>
      </c>
      <c r="D40" t="s">
        <v>25</v>
      </c>
      <c r="E40">
        <v>-3127.8900000000008</v>
      </c>
      <c r="F40" t="s">
        <v>88</v>
      </c>
      <c r="G40" s="19">
        <v>45402</v>
      </c>
      <c r="H40" t="s">
        <v>6025</v>
      </c>
      <c r="I40" t="s">
        <v>6032</v>
      </c>
      <c r="Q40" s="3">
        <f t="shared" si="0"/>
        <v>3127.8900000000008</v>
      </c>
      <c r="R40" t="s">
        <v>138</v>
      </c>
      <c r="S40" t="s">
        <v>137</v>
      </c>
      <c r="T40" t="s">
        <v>65</v>
      </c>
    </row>
    <row r="41" spans="1:20" x14ac:dyDescent="0.35">
      <c r="A41" t="s">
        <v>35</v>
      </c>
      <c r="B41" t="s">
        <v>5980</v>
      </c>
      <c r="C41" t="s">
        <v>24</v>
      </c>
      <c r="D41" t="s">
        <v>25</v>
      </c>
      <c r="E41">
        <v>3112.34</v>
      </c>
      <c r="F41" t="s">
        <v>88</v>
      </c>
      <c r="G41" s="19">
        <v>45553</v>
      </c>
      <c r="H41" t="s">
        <v>323</v>
      </c>
      <c r="I41" t="s">
        <v>6147</v>
      </c>
      <c r="Q41" s="3">
        <f t="shared" si="0"/>
        <v>3112.34</v>
      </c>
      <c r="R41" t="s">
        <v>138</v>
      </c>
      <c r="S41" t="s">
        <v>137</v>
      </c>
    </row>
    <row r="42" spans="1:20" x14ac:dyDescent="0.35">
      <c r="A42" t="s">
        <v>35</v>
      </c>
      <c r="B42" t="s">
        <v>5980</v>
      </c>
      <c r="C42" t="s">
        <v>24</v>
      </c>
      <c r="D42" t="s">
        <v>25</v>
      </c>
      <c r="E42">
        <v>3080.54</v>
      </c>
      <c r="F42" t="s">
        <v>88</v>
      </c>
      <c r="G42" s="19">
        <v>45461</v>
      </c>
      <c r="H42" t="s">
        <v>323</v>
      </c>
      <c r="I42" t="s">
        <v>6082</v>
      </c>
      <c r="Q42" s="3">
        <f t="shared" si="0"/>
        <v>3080.54</v>
      </c>
      <c r="R42" t="s">
        <v>138</v>
      </c>
      <c r="S42" t="s">
        <v>137</v>
      </c>
      <c r="T42" t="s">
        <v>65</v>
      </c>
    </row>
    <row r="43" spans="1:20" x14ac:dyDescent="0.35">
      <c r="A43" t="s">
        <v>35</v>
      </c>
      <c r="B43" t="s">
        <v>5980</v>
      </c>
      <c r="C43" t="s">
        <v>24</v>
      </c>
      <c r="D43" t="s">
        <v>25</v>
      </c>
      <c r="E43">
        <v>2971.47</v>
      </c>
      <c r="F43" t="s">
        <v>88</v>
      </c>
      <c r="G43" s="19">
        <v>45400</v>
      </c>
      <c r="H43" t="s">
        <v>323</v>
      </c>
      <c r="I43" t="s">
        <v>6023</v>
      </c>
      <c r="Q43" s="3">
        <f t="shared" si="0"/>
        <v>2971.47</v>
      </c>
      <c r="R43" t="s">
        <v>138</v>
      </c>
      <c r="S43" t="s">
        <v>137</v>
      </c>
      <c r="T43" t="s">
        <v>65</v>
      </c>
    </row>
    <row r="44" spans="1:20" x14ac:dyDescent="0.35">
      <c r="A44" t="s">
        <v>0</v>
      </c>
      <c r="B44" t="s">
        <v>5980</v>
      </c>
      <c r="C44" t="s">
        <v>24</v>
      </c>
      <c r="D44" t="s">
        <v>25</v>
      </c>
      <c r="E44">
        <v>2945.8</v>
      </c>
      <c r="F44" t="s">
        <v>88</v>
      </c>
      <c r="G44" s="19">
        <v>45649</v>
      </c>
      <c r="H44" t="s">
        <v>323</v>
      </c>
      <c r="I44" t="s">
        <v>6210</v>
      </c>
      <c r="Q44" s="3">
        <f t="shared" si="0"/>
        <v>2945.8</v>
      </c>
      <c r="R44" t="s">
        <v>138</v>
      </c>
      <c r="S44" t="s">
        <v>137</v>
      </c>
    </row>
    <row r="45" spans="1:20" x14ac:dyDescent="0.35">
      <c r="A45" t="s">
        <v>0</v>
      </c>
      <c r="B45" t="s">
        <v>5980</v>
      </c>
      <c r="C45" t="s">
        <v>24</v>
      </c>
      <c r="D45" t="s">
        <v>25</v>
      </c>
      <c r="E45">
        <v>2928.1</v>
      </c>
      <c r="F45" t="s">
        <v>88</v>
      </c>
      <c r="G45" s="19">
        <v>45586</v>
      </c>
      <c r="H45" t="s">
        <v>6162</v>
      </c>
      <c r="I45" t="s">
        <v>6166</v>
      </c>
      <c r="Q45" s="3">
        <f t="shared" si="0"/>
        <v>2928.1</v>
      </c>
      <c r="R45" t="s">
        <v>138</v>
      </c>
      <c r="S45" t="s">
        <v>137</v>
      </c>
    </row>
    <row r="46" spans="1:20" x14ac:dyDescent="0.35">
      <c r="A46" t="s">
        <v>35</v>
      </c>
      <c r="B46" t="s">
        <v>5980</v>
      </c>
      <c r="C46" t="s">
        <v>24</v>
      </c>
      <c r="D46" t="s">
        <v>25</v>
      </c>
      <c r="E46">
        <v>2897.98</v>
      </c>
      <c r="F46" t="s">
        <v>88</v>
      </c>
      <c r="G46" s="19">
        <v>45491</v>
      </c>
      <c r="H46" t="s">
        <v>323</v>
      </c>
      <c r="I46" t="s">
        <v>6112</v>
      </c>
      <c r="Q46" s="3">
        <f t="shared" si="0"/>
        <v>2897.98</v>
      </c>
      <c r="R46" t="s">
        <v>138</v>
      </c>
      <c r="S46" t="s">
        <v>137</v>
      </c>
    </row>
    <row r="47" spans="1:20" x14ac:dyDescent="0.35">
      <c r="A47" t="s">
        <v>35</v>
      </c>
      <c r="B47" t="s">
        <v>5980</v>
      </c>
      <c r="C47" t="s">
        <v>24</v>
      </c>
      <c r="D47" t="s">
        <v>25</v>
      </c>
      <c r="E47">
        <v>2894.35</v>
      </c>
      <c r="F47" t="s">
        <v>88</v>
      </c>
      <c r="G47" s="19">
        <v>45466</v>
      </c>
      <c r="H47" t="s">
        <v>323</v>
      </c>
      <c r="I47" t="s">
        <v>6095</v>
      </c>
      <c r="Q47" s="3">
        <f t="shared" si="0"/>
        <v>2894.35</v>
      </c>
      <c r="R47" t="s">
        <v>138</v>
      </c>
      <c r="S47" t="s">
        <v>137</v>
      </c>
      <c r="T47" t="s">
        <v>65</v>
      </c>
    </row>
    <row r="48" spans="1:20" x14ac:dyDescent="0.35">
      <c r="A48" t="s">
        <v>0</v>
      </c>
      <c r="B48" t="s">
        <v>5980</v>
      </c>
      <c r="C48" t="s">
        <v>24</v>
      </c>
      <c r="D48" t="s">
        <v>25</v>
      </c>
      <c r="E48">
        <v>2882.8</v>
      </c>
      <c r="F48" t="s">
        <v>88</v>
      </c>
      <c r="G48" s="19">
        <v>45404</v>
      </c>
      <c r="H48" t="s">
        <v>323</v>
      </c>
      <c r="I48" t="s">
        <v>6033</v>
      </c>
      <c r="Q48" s="3">
        <f t="shared" si="0"/>
        <v>2882.8</v>
      </c>
      <c r="R48" t="s">
        <v>138</v>
      </c>
      <c r="S48" t="s">
        <v>137</v>
      </c>
      <c r="T48" t="s">
        <v>65</v>
      </c>
    </row>
    <row r="49" spans="1:20" x14ac:dyDescent="0.35">
      <c r="A49" t="s">
        <v>0</v>
      </c>
      <c r="B49" t="s">
        <v>5980</v>
      </c>
      <c r="C49" t="s">
        <v>24</v>
      </c>
      <c r="D49" t="s">
        <v>25</v>
      </c>
      <c r="E49">
        <v>2882.1</v>
      </c>
      <c r="F49" t="s">
        <v>88</v>
      </c>
      <c r="G49" s="19">
        <v>45617</v>
      </c>
      <c r="H49" t="s">
        <v>323</v>
      </c>
      <c r="I49" t="s">
        <v>6196</v>
      </c>
      <c r="Q49" s="3">
        <f t="shared" si="0"/>
        <v>2882.1</v>
      </c>
      <c r="R49" t="s">
        <v>138</v>
      </c>
      <c r="S49" t="s">
        <v>137</v>
      </c>
    </row>
    <row r="50" spans="1:20" x14ac:dyDescent="0.35">
      <c r="A50" t="s">
        <v>0</v>
      </c>
      <c r="B50" t="s">
        <v>5980</v>
      </c>
      <c r="C50" t="s">
        <v>24</v>
      </c>
      <c r="D50" t="s">
        <v>25</v>
      </c>
      <c r="E50">
        <v>2873.8</v>
      </c>
      <c r="F50" t="s">
        <v>88</v>
      </c>
      <c r="G50" s="19">
        <v>45525</v>
      </c>
      <c r="H50" t="s">
        <v>323</v>
      </c>
      <c r="I50" t="s">
        <v>6137</v>
      </c>
      <c r="Q50" s="3">
        <f t="shared" si="0"/>
        <v>2873.8</v>
      </c>
      <c r="R50" t="s">
        <v>138</v>
      </c>
      <c r="S50" t="s">
        <v>137</v>
      </c>
    </row>
    <row r="51" spans="1:20" x14ac:dyDescent="0.35">
      <c r="A51" t="s">
        <v>0</v>
      </c>
      <c r="B51" t="s">
        <v>5980</v>
      </c>
      <c r="C51" t="s">
        <v>24</v>
      </c>
      <c r="D51" t="s">
        <v>25</v>
      </c>
      <c r="E51">
        <v>2745.4</v>
      </c>
      <c r="F51" t="s">
        <v>88</v>
      </c>
      <c r="G51" s="19">
        <v>45466</v>
      </c>
      <c r="H51" t="s">
        <v>323</v>
      </c>
      <c r="I51" t="s">
        <v>6093</v>
      </c>
      <c r="Q51" s="3">
        <f t="shared" si="0"/>
        <v>2745.4</v>
      </c>
      <c r="R51" t="s">
        <v>138</v>
      </c>
      <c r="S51" t="s">
        <v>137</v>
      </c>
      <c r="T51" t="s">
        <v>65</v>
      </c>
    </row>
    <row r="52" spans="1:20" x14ac:dyDescent="0.35">
      <c r="A52" t="s">
        <v>0</v>
      </c>
      <c r="B52" t="s">
        <v>5980</v>
      </c>
      <c r="C52" t="s">
        <v>24</v>
      </c>
      <c r="D52" t="s">
        <v>25</v>
      </c>
      <c r="E52">
        <v>2725.5</v>
      </c>
      <c r="F52" t="s">
        <v>88</v>
      </c>
      <c r="G52" s="19">
        <v>45495</v>
      </c>
      <c r="H52" t="s">
        <v>323</v>
      </c>
      <c r="I52" t="s">
        <v>6116</v>
      </c>
      <c r="Q52" s="3">
        <f t="shared" si="0"/>
        <v>2725.5</v>
      </c>
      <c r="R52" t="s">
        <v>138</v>
      </c>
      <c r="S52" t="s">
        <v>137</v>
      </c>
    </row>
    <row r="53" spans="1:20" x14ac:dyDescent="0.35">
      <c r="A53" t="s">
        <v>0</v>
      </c>
      <c r="B53" t="s">
        <v>5980</v>
      </c>
      <c r="C53" t="s">
        <v>24</v>
      </c>
      <c r="D53" t="s">
        <v>25</v>
      </c>
      <c r="E53">
        <v>2721.6</v>
      </c>
      <c r="F53" t="s">
        <v>88</v>
      </c>
      <c r="G53" s="19">
        <v>45558</v>
      </c>
      <c r="H53" t="s">
        <v>323</v>
      </c>
      <c r="I53" t="s">
        <v>6148</v>
      </c>
      <c r="Q53" s="3">
        <f t="shared" si="0"/>
        <v>2721.6</v>
      </c>
      <c r="R53" t="s">
        <v>138</v>
      </c>
      <c r="S53" t="s">
        <v>137</v>
      </c>
    </row>
    <row r="54" spans="1:20" x14ac:dyDescent="0.35">
      <c r="A54" t="s">
        <v>0</v>
      </c>
      <c r="B54" t="s">
        <v>6045</v>
      </c>
      <c r="C54" t="s">
        <v>24</v>
      </c>
      <c r="D54" t="s">
        <v>25</v>
      </c>
      <c r="E54">
        <v>2714.91</v>
      </c>
      <c r="F54" t="s">
        <v>88</v>
      </c>
      <c r="G54" s="19">
        <v>45566</v>
      </c>
      <c r="H54" t="s">
        <v>318</v>
      </c>
      <c r="I54" t="s">
        <v>6157</v>
      </c>
      <c r="Q54" s="3">
        <f t="shared" si="0"/>
        <v>2714.91</v>
      </c>
      <c r="R54" t="s">
        <v>138</v>
      </c>
      <c r="S54" t="s">
        <v>137</v>
      </c>
    </row>
    <row r="55" spans="1:20" x14ac:dyDescent="0.35">
      <c r="A55" t="s">
        <v>35</v>
      </c>
      <c r="B55" t="s">
        <v>5980</v>
      </c>
      <c r="C55" t="s">
        <v>24</v>
      </c>
      <c r="D55" t="s">
        <v>25</v>
      </c>
      <c r="E55">
        <v>-2610.2800000000002</v>
      </c>
      <c r="F55" t="s">
        <v>88</v>
      </c>
      <c r="G55" s="19">
        <v>45657</v>
      </c>
      <c r="H55" t="s">
        <v>6183</v>
      </c>
      <c r="I55" t="s">
        <v>6183</v>
      </c>
      <c r="Q55" s="3">
        <f t="shared" si="0"/>
        <v>2610.2800000000002</v>
      </c>
      <c r="R55" t="s">
        <v>138</v>
      </c>
      <c r="S55" t="s">
        <v>137</v>
      </c>
    </row>
    <row r="56" spans="1:20" x14ac:dyDescent="0.35">
      <c r="A56" t="s">
        <v>35</v>
      </c>
      <c r="B56" t="s">
        <v>5980</v>
      </c>
      <c r="C56" t="s">
        <v>24</v>
      </c>
      <c r="D56" t="s">
        <v>25</v>
      </c>
      <c r="E56">
        <v>2610.2800000000002</v>
      </c>
      <c r="F56" t="s">
        <v>88</v>
      </c>
      <c r="G56" s="19">
        <v>45657</v>
      </c>
      <c r="H56" t="s">
        <v>6183</v>
      </c>
      <c r="I56" t="s">
        <v>6185</v>
      </c>
      <c r="Q56" s="3">
        <f t="shared" si="0"/>
        <v>2610.2800000000002</v>
      </c>
      <c r="R56" t="s">
        <v>138</v>
      </c>
      <c r="S56" t="s">
        <v>137</v>
      </c>
    </row>
    <row r="57" spans="1:20" x14ac:dyDescent="0.35">
      <c r="A57" t="s">
        <v>0</v>
      </c>
      <c r="B57" t="s">
        <v>5980</v>
      </c>
      <c r="C57" t="s">
        <v>24</v>
      </c>
      <c r="D57" t="s">
        <v>25</v>
      </c>
      <c r="E57">
        <v>2593.5</v>
      </c>
      <c r="F57" t="s">
        <v>88</v>
      </c>
      <c r="G57" s="19">
        <v>45433</v>
      </c>
      <c r="H57" t="s">
        <v>323</v>
      </c>
      <c r="I57" t="s">
        <v>6061</v>
      </c>
      <c r="Q57" s="3">
        <f t="shared" si="0"/>
        <v>2593.5</v>
      </c>
      <c r="R57" t="s">
        <v>138</v>
      </c>
      <c r="S57" t="s">
        <v>137</v>
      </c>
      <c r="T57" t="s">
        <v>65</v>
      </c>
    </row>
    <row r="58" spans="1:20" x14ac:dyDescent="0.35">
      <c r="A58" t="s">
        <v>35</v>
      </c>
      <c r="B58" t="s">
        <v>638</v>
      </c>
      <c r="C58" t="s">
        <v>24</v>
      </c>
      <c r="D58" t="s">
        <v>25</v>
      </c>
      <c r="E58">
        <v>-2433.0500000000002</v>
      </c>
      <c r="F58" t="s">
        <v>88</v>
      </c>
      <c r="G58" s="19">
        <v>45402</v>
      </c>
      <c r="H58" t="s">
        <v>6025</v>
      </c>
      <c r="I58" t="s">
        <v>6029</v>
      </c>
      <c r="Q58" s="3">
        <f t="shared" si="0"/>
        <v>2433.0500000000002</v>
      </c>
      <c r="R58" t="s">
        <v>138</v>
      </c>
      <c r="S58" t="s">
        <v>137</v>
      </c>
      <c r="T58" t="s">
        <v>65</v>
      </c>
    </row>
    <row r="59" spans="1:20" x14ac:dyDescent="0.35">
      <c r="A59" t="s">
        <v>35</v>
      </c>
      <c r="B59" t="s">
        <v>5980</v>
      </c>
      <c r="C59" t="s">
        <v>24</v>
      </c>
      <c r="D59" t="s">
        <v>25</v>
      </c>
      <c r="E59">
        <v>2350.16</v>
      </c>
      <c r="F59" t="s">
        <v>88</v>
      </c>
      <c r="G59" s="19">
        <v>45586</v>
      </c>
      <c r="H59" t="s">
        <v>6162</v>
      </c>
      <c r="I59" t="s">
        <v>6168</v>
      </c>
      <c r="Q59" s="3">
        <f t="shared" si="0"/>
        <v>2350.16</v>
      </c>
      <c r="R59" t="s">
        <v>138</v>
      </c>
      <c r="S59" t="s">
        <v>137</v>
      </c>
    </row>
    <row r="60" spans="1:20" x14ac:dyDescent="0.35">
      <c r="A60" t="s">
        <v>0</v>
      </c>
      <c r="B60" t="s">
        <v>2543</v>
      </c>
      <c r="C60" t="s">
        <v>24</v>
      </c>
      <c r="D60" t="s">
        <v>25</v>
      </c>
      <c r="E60">
        <v>2291.4499999999998</v>
      </c>
      <c r="F60" t="s">
        <v>88</v>
      </c>
      <c r="G60" s="19">
        <v>45412</v>
      </c>
      <c r="H60" t="s">
        <v>318</v>
      </c>
      <c r="I60" t="s">
        <v>6048</v>
      </c>
      <c r="Q60" s="3">
        <f t="shared" si="0"/>
        <v>2291.4499999999998</v>
      </c>
      <c r="R60" t="s">
        <v>138</v>
      </c>
      <c r="S60" t="s">
        <v>137</v>
      </c>
      <c r="T60" t="s">
        <v>65</v>
      </c>
    </row>
    <row r="61" spans="1:20" x14ac:dyDescent="0.35">
      <c r="A61" t="s">
        <v>0</v>
      </c>
      <c r="B61" t="s">
        <v>2543</v>
      </c>
      <c r="C61" t="s">
        <v>24</v>
      </c>
      <c r="D61" t="s">
        <v>25</v>
      </c>
      <c r="E61">
        <v>2270.08</v>
      </c>
      <c r="F61" t="s">
        <v>88</v>
      </c>
      <c r="G61" s="19">
        <v>45594</v>
      </c>
      <c r="H61" t="s">
        <v>318</v>
      </c>
      <c r="I61" t="s">
        <v>6180</v>
      </c>
      <c r="Q61" s="3">
        <f t="shared" si="0"/>
        <v>2270.08</v>
      </c>
      <c r="R61" t="s">
        <v>138</v>
      </c>
      <c r="S61" t="s">
        <v>137</v>
      </c>
    </row>
    <row r="62" spans="1:20" x14ac:dyDescent="0.35">
      <c r="A62" t="s">
        <v>35</v>
      </c>
      <c r="B62" t="s">
        <v>5980</v>
      </c>
      <c r="C62" t="s">
        <v>24</v>
      </c>
      <c r="D62" t="s">
        <v>25</v>
      </c>
      <c r="E62">
        <v>2267.77</v>
      </c>
      <c r="F62" t="s">
        <v>88</v>
      </c>
      <c r="G62" s="19">
        <v>45525</v>
      </c>
      <c r="H62" t="s">
        <v>323</v>
      </c>
      <c r="I62" t="s">
        <v>6140</v>
      </c>
      <c r="Q62" s="3">
        <f t="shared" si="0"/>
        <v>2267.77</v>
      </c>
      <c r="R62" t="s">
        <v>138</v>
      </c>
      <c r="S62" t="s">
        <v>137</v>
      </c>
    </row>
    <row r="63" spans="1:20" x14ac:dyDescent="0.35">
      <c r="A63" t="s">
        <v>35</v>
      </c>
      <c r="B63" t="s">
        <v>5980</v>
      </c>
      <c r="C63" t="s">
        <v>24</v>
      </c>
      <c r="D63" t="s">
        <v>25</v>
      </c>
      <c r="E63">
        <v>2145.7399999999998</v>
      </c>
      <c r="F63" t="s">
        <v>88</v>
      </c>
      <c r="G63" s="19">
        <v>45558</v>
      </c>
      <c r="H63" t="s">
        <v>323</v>
      </c>
      <c r="I63" t="s">
        <v>6150</v>
      </c>
      <c r="Q63" s="3">
        <f t="shared" si="0"/>
        <v>2145.7399999999998</v>
      </c>
      <c r="R63" t="s">
        <v>138</v>
      </c>
      <c r="S63" t="s">
        <v>137</v>
      </c>
    </row>
    <row r="64" spans="1:20" x14ac:dyDescent="0.35">
      <c r="A64" t="s">
        <v>35</v>
      </c>
      <c r="B64" t="s">
        <v>5980</v>
      </c>
      <c r="C64" t="s">
        <v>24</v>
      </c>
      <c r="D64" t="s">
        <v>25</v>
      </c>
      <c r="E64">
        <v>2110.21</v>
      </c>
      <c r="F64" t="s">
        <v>88</v>
      </c>
      <c r="G64" s="19">
        <v>45617</v>
      </c>
      <c r="H64" t="s">
        <v>323</v>
      </c>
      <c r="I64" t="s">
        <v>6198</v>
      </c>
      <c r="Q64" s="3">
        <f t="shared" si="0"/>
        <v>2110.21</v>
      </c>
      <c r="R64" t="s">
        <v>138</v>
      </c>
      <c r="S64" t="s">
        <v>137</v>
      </c>
    </row>
    <row r="65" spans="1:20" x14ac:dyDescent="0.35">
      <c r="A65" t="s">
        <v>35</v>
      </c>
      <c r="B65" t="s">
        <v>5980</v>
      </c>
      <c r="C65" t="s">
        <v>24</v>
      </c>
      <c r="D65" t="s">
        <v>25</v>
      </c>
      <c r="E65">
        <v>1949.61</v>
      </c>
      <c r="F65" t="s">
        <v>88</v>
      </c>
      <c r="G65" s="19">
        <v>45649</v>
      </c>
      <c r="H65" t="s">
        <v>323</v>
      </c>
      <c r="I65" t="s">
        <v>6216</v>
      </c>
      <c r="Q65" s="3">
        <f t="shared" si="0"/>
        <v>1949.61</v>
      </c>
      <c r="R65" t="s">
        <v>138</v>
      </c>
      <c r="S65" t="s">
        <v>137</v>
      </c>
    </row>
    <row r="66" spans="1:20" x14ac:dyDescent="0.35">
      <c r="A66" t="s">
        <v>0</v>
      </c>
      <c r="B66" t="s">
        <v>1627</v>
      </c>
      <c r="C66" t="s">
        <v>24</v>
      </c>
      <c r="D66" t="s">
        <v>25</v>
      </c>
      <c r="E66">
        <v>1834.52</v>
      </c>
      <c r="F66" t="s">
        <v>88</v>
      </c>
      <c r="G66" s="19">
        <v>45657</v>
      </c>
      <c r="H66" t="s">
        <v>6220</v>
      </c>
      <c r="I66" t="s">
        <v>6220</v>
      </c>
      <c r="Q66" s="3">
        <f t="shared" si="0"/>
        <v>1834.52</v>
      </c>
      <c r="R66" t="s">
        <v>138</v>
      </c>
      <c r="S66" t="s">
        <v>137</v>
      </c>
    </row>
    <row r="67" spans="1:20" x14ac:dyDescent="0.35">
      <c r="A67" t="s">
        <v>35</v>
      </c>
      <c r="B67" t="s">
        <v>5980</v>
      </c>
      <c r="C67" t="s">
        <v>24</v>
      </c>
      <c r="D67" t="s">
        <v>25</v>
      </c>
      <c r="E67">
        <v>1813.05</v>
      </c>
      <c r="F67" t="s">
        <v>88</v>
      </c>
      <c r="G67" s="19">
        <v>45495</v>
      </c>
      <c r="H67" t="s">
        <v>323</v>
      </c>
      <c r="I67" t="s">
        <v>6119</v>
      </c>
      <c r="Q67" s="3">
        <f t="shared" si="0"/>
        <v>1813.05</v>
      </c>
      <c r="R67" t="s">
        <v>138</v>
      </c>
      <c r="S67" t="s">
        <v>137</v>
      </c>
    </row>
    <row r="68" spans="1:20" x14ac:dyDescent="0.35">
      <c r="A68" t="s">
        <v>35</v>
      </c>
      <c r="B68" t="s">
        <v>5980</v>
      </c>
      <c r="C68" t="s">
        <v>24</v>
      </c>
      <c r="D68" t="s">
        <v>25</v>
      </c>
      <c r="E68">
        <v>1743.35</v>
      </c>
      <c r="F68" t="s">
        <v>88</v>
      </c>
      <c r="G68" s="19">
        <v>45404</v>
      </c>
      <c r="H68" t="s">
        <v>323</v>
      </c>
      <c r="I68" t="s">
        <v>6036</v>
      </c>
      <c r="Q68" s="3">
        <f t="shared" si="0"/>
        <v>1743.35</v>
      </c>
      <c r="R68" t="s">
        <v>138</v>
      </c>
      <c r="S68" t="s">
        <v>137</v>
      </c>
      <c r="T68" t="s">
        <v>65</v>
      </c>
    </row>
    <row r="69" spans="1:20" x14ac:dyDescent="0.35">
      <c r="A69" t="s">
        <v>35</v>
      </c>
      <c r="B69" t="s">
        <v>5980</v>
      </c>
      <c r="C69" t="s">
        <v>24</v>
      </c>
      <c r="D69" t="s">
        <v>25</v>
      </c>
      <c r="E69">
        <v>1739.9</v>
      </c>
      <c r="F69" t="s">
        <v>88</v>
      </c>
      <c r="G69" s="19">
        <v>45433</v>
      </c>
      <c r="H69" t="s">
        <v>323</v>
      </c>
      <c r="I69" t="s">
        <v>6064</v>
      </c>
      <c r="Q69" s="3">
        <f t="shared" si="0"/>
        <v>1739.9</v>
      </c>
      <c r="R69" t="s">
        <v>138</v>
      </c>
      <c r="S69" t="s">
        <v>137</v>
      </c>
      <c r="T69" t="s">
        <v>65</v>
      </c>
    </row>
    <row r="70" spans="1:20" x14ac:dyDescent="0.35">
      <c r="A70" t="s">
        <v>0</v>
      </c>
      <c r="B70" t="s">
        <v>893</v>
      </c>
      <c r="C70" t="s">
        <v>24</v>
      </c>
      <c r="D70" t="s">
        <v>25</v>
      </c>
      <c r="E70">
        <v>1700</v>
      </c>
      <c r="F70" t="s">
        <v>88</v>
      </c>
      <c r="G70" s="19">
        <v>45421</v>
      </c>
      <c r="H70" t="s">
        <v>318</v>
      </c>
      <c r="I70" t="s">
        <v>6056</v>
      </c>
      <c r="Q70" s="3">
        <f t="shared" si="0"/>
        <v>1700</v>
      </c>
      <c r="R70" t="s">
        <v>138</v>
      </c>
      <c r="S70" t="s">
        <v>137</v>
      </c>
      <c r="T70" t="s">
        <v>65</v>
      </c>
    </row>
    <row r="71" spans="1:20" x14ac:dyDescent="0.35">
      <c r="A71" t="s">
        <v>0</v>
      </c>
      <c r="B71" t="s">
        <v>5980</v>
      </c>
      <c r="C71" t="s">
        <v>24</v>
      </c>
      <c r="D71" t="s">
        <v>25</v>
      </c>
      <c r="E71">
        <v>1060.06</v>
      </c>
      <c r="F71" t="s">
        <v>88</v>
      </c>
      <c r="G71" s="19">
        <v>45491</v>
      </c>
      <c r="H71" t="s">
        <v>323</v>
      </c>
      <c r="I71" t="s">
        <v>6111</v>
      </c>
      <c r="Q71" s="3">
        <f t="shared" si="0"/>
        <v>1060.06</v>
      </c>
      <c r="R71" t="s">
        <v>138</v>
      </c>
      <c r="S71" t="s">
        <v>137</v>
      </c>
    </row>
    <row r="72" spans="1:20" x14ac:dyDescent="0.35">
      <c r="A72" t="s">
        <v>0</v>
      </c>
      <c r="B72" t="s">
        <v>5980</v>
      </c>
      <c r="C72" t="s">
        <v>24</v>
      </c>
      <c r="D72" t="s">
        <v>25</v>
      </c>
      <c r="E72">
        <v>1037.05</v>
      </c>
      <c r="F72" t="s">
        <v>88</v>
      </c>
      <c r="G72" s="19">
        <v>45646</v>
      </c>
      <c r="H72" t="s">
        <v>323</v>
      </c>
      <c r="I72" t="s">
        <v>6208</v>
      </c>
      <c r="Q72" s="3">
        <f t="shared" ref="Q72:Q135" si="1">ABS(E72)</f>
        <v>1037.05</v>
      </c>
      <c r="R72" t="s">
        <v>138</v>
      </c>
      <c r="S72" t="s">
        <v>137</v>
      </c>
    </row>
    <row r="73" spans="1:20" x14ac:dyDescent="0.35">
      <c r="A73" t="s">
        <v>35</v>
      </c>
      <c r="B73" t="s">
        <v>656</v>
      </c>
      <c r="C73" t="s">
        <v>24</v>
      </c>
      <c r="D73" t="s">
        <v>25</v>
      </c>
      <c r="E73">
        <v>1035.78</v>
      </c>
      <c r="F73" t="s">
        <v>88</v>
      </c>
      <c r="G73" s="19">
        <v>45504</v>
      </c>
      <c r="H73" t="s">
        <v>108</v>
      </c>
      <c r="I73" t="s">
        <v>108</v>
      </c>
      <c r="Q73" s="3">
        <f t="shared" si="1"/>
        <v>1035.78</v>
      </c>
      <c r="R73" t="s">
        <v>138</v>
      </c>
      <c r="S73" t="s">
        <v>137</v>
      </c>
    </row>
    <row r="74" spans="1:20" x14ac:dyDescent="0.35">
      <c r="A74" t="s">
        <v>35</v>
      </c>
      <c r="B74" t="s">
        <v>610</v>
      </c>
      <c r="C74" t="s">
        <v>24</v>
      </c>
      <c r="D74" t="s">
        <v>25</v>
      </c>
      <c r="E74">
        <v>-1035.78</v>
      </c>
      <c r="F74" t="s">
        <v>88</v>
      </c>
      <c r="G74" s="19">
        <v>45504</v>
      </c>
      <c r="H74" t="s">
        <v>108</v>
      </c>
      <c r="I74" t="s">
        <v>108</v>
      </c>
      <c r="Q74" s="3">
        <f t="shared" si="1"/>
        <v>1035.78</v>
      </c>
      <c r="R74" t="s">
        <v>138</v>
      </c>
      <c r="S74" t="s">
        <v>137</v>
      </c>
    </row>
    <row r="75" spans="1:20" x14ac:dyDescent="0.35">
      <c r="A75" t="s">
        <v>35</v>
      </c>
      <c r="B75" t="s">
        <v>5980</v>
      </c>
      <c r="C75" t="s">
        <v>24</v>
      </c>
      <c r="D75" t="s">
        <v>25</v>
      </c>
      <c r="E75">
        <v>1030</v>
      </c>
      <c r="F75" t="s">
        <v>88</v>
      </c>
      <c r="G75" s="19">
        <v>45525</v>
      </c>
      <c r="H75" t="s">
        <v>323</v>
      </c>
      <c r="I75" t="s">
        <v>6139</v>
      </c>
      <c r="Q75" s="3">
        <f t="shared" si="1"/>
        <v>1030</v>
      </c>
      <c r="R75" t="s">
        <v>138</v>
      </c>
      <c r="S75" t="s">
        <v>137</v>
      </c>
    </row>
    <row r="76" spans="1:20" x14ac:dyDescent="0.35">
      <c r="A76" t="s">
        <v>35</v>
      </c>
      <c r="B76" t="s">
        <v>5980</v>
      </c>
      <c r="C76" t="s">
        <v>24</v>
      </c>
      <c r="D76" t="s">
        <v>25</v>
      </c>
      <c r="E76">
        <v>1030</v>
      </c>
      <c r="F76" t="s">
        <v>88</v>
      </c>
      <c r="G76" s="19">
        <v>45558</v>
      </c>
      <c r="H76" t="s">
        <v>323</v>
      </c>
      <c r="I76" t="s">
        <v>6149</v>
      </c>
      <c r="Q76" s="3">
        <f t="shared" si="1"/>
        <v>1030</v>
      </c>
      <c r="R76" t="s">
        <v>138</v>
      </c>
      <c r="S76" t="s">
        <v>137</v>
      </c>
    </row>
    <row r="77" spans="1:20" x14ac:dyDescent="0.35">
      <c r="A77" t="s">
        <v>35</v>
      </c>
      <c r="B77" t="s">
        <v>5980</v>
      </c>
      <c r="C77" t="s">
        <v>24</v>
      </c>
      <c r="D77" t="s">
        <v>25</v>
      </c>
      <c r="E77">
        <v>1030</v>
      </c>
      <c r="F77" t="s">
        <v>88</v>
      </c>
      <c r="G77" s="19">
        <v>45586</v>
      </c>
      <c r="H77" t="s">
        <v>6162</v>
      </c>
      <c r="I77" t="s">
        <v>6167</v>
      </c>
      <c r="Q77" s="3">
        <f t="shared" si="1"/>
        <v>1030</v>
      </c>
      <c r="R77" t="s">
        <v>138</v>
      </c>
      <c r="S77" t="s">
        <v>137</v>
      </c>
    </row>
    <row r="78" spans="1:20" x14ac:dyDescent="0.35">
      <c r="A78" t="s">
        <v>35</v>
      </c>
      <c r="B78" t="s">
        <v>5980</v>
      </c>
      <c r="C78" t="s">
        <v>24</v>
      </c>
      <c r="D78" t="s">
        <v>25</v>
      </c>
      <c r="E78">
        <v>1030</v>
      </c>
      <c r="F78" t="s">
        <v>88</v>
      </c>
      <c r="G78" s="19">
        <v>45617</v>
      </c>
      <c r="H78" t="s">
        <v>323</v>
      </c>
      <c r="I78" t="s">
        <v>6197</v>
      </c>
      <c r="Q78" s="3">
        <f t="shared" si="1"/>
        <v>1030</v>
      </c>
      <c r="R78" t="s">
        <v>138</v>
      </c>
      <c r="S78" t="s">
        <v>137</v>
      </c>
    </row>
    <row r="79" spans="1:20" x14ac:dyDescent="0.35">
      <c r="A79" t="s">
        <v>35</v>
      </c>
      <c r="B79" t="s">
        <v>5980</v>
      </c>
      <c r="C79" t="s">
        <v>24</v>
      </c>
      <c r="D79" t="s">
        <v>25</v>
      </c>
      <c r="E79">
        <v>1030</v>
      </c>
      <c r="F79" t="s">
        <v>88</v>
      </c>
      <c r="G79" s="19">
        <v>45649</v>
      </c>
      <c r="H79" t="s">
        <v>323</v>
      </c>
      <c r="I79" t="s">
        <v>6215</v>
      </c>
      <c r="Q79" s="3">
        <f t="shared" si="1"/>
        <v>1030</v>
      </c>
      <c r="R79" t="s">
        <v>138</v>
      </c>
      <c r="S79" t="s">
        <v>137</v>
      </c>
    </row>
    <row r="80" spans="1:20" x14ac:dyDescent="0.35">
      <c r="A80" t="s">
        <v>0</v>
      </c>
      <c r="B80" t="s">
        <v>5980</v>
      </c>
      <c r="C80" t="s">
        <v>24</v>
      </c>
      <c r="D80" t="s">
        <v>25</v>
      </c>
      <c r="E80">
        <v>1026.27</v>
      </c>
      <c r="F80" t="s">
        <v>88</v>
      </c>
      <c r="G80" s="19">
        <v>45583</v>
      </c>
      <c r="H80" t="s">
        <v>6162</v>
      </c>
      <c r="I80" t="s">
        <v>6163</v>
      </c>
      <c r="Q80" s="3">
        <f t="shared" si="1"/>
        <v>1026.27</v>
      </c>
      <c r="R80" t="s">
        <v>138</v>
      </c>
      <c r="S80" t="s">
        <v>137</v>
      </c>
    </row>
    <row r="81" spans="1:20" x14ac:dyDescent="0.35">
      <c r="A81" t="s">
        <v>35</v>
      </c>
      <c r="B81" t="s">
        <v>5980</v>
      </c>
      <c r="C81" t="s">
        <v>24</v>
      </c>
      <c r="D81" t="s">
        <v>25</v>
      </c>
      <c r="E81">
        <v>1019.3</v>
      </c>
      <c r="F81" t="s">
        <v>88</v>
      </c>
      <c r="G81" s="19">
        <v>45433</v>
      </c>
      <c r="H81" t="s">
        <v>323</v>
      </c>
      <c r="I81" t="s">
        <v>6063</v>
      </c>
      <c r="Q81" s="3">
        <f t="shared" si="1"/>
        <v>1019.3</v>
      </c>
      <c r="R81" t="s">
        <v>138</v>
      </c>
      <c r="S81" t="s">
        <v>137</v>
      </c>
      <c r="T81" t="s">
        <v>65</v>
      </c>
    </row>
    <row r="82" spans="1:20" x14ac:dyDescent="0.35">
      <c r="A82" t="s">
        <v>35</v>
      </c>
      <c r="B82" t="s">
        <v>5980</v>
      </c>
      <c r="C82" t="s">
        <v>24</v>
      </c>
      <c r="D82" t="s">
        <v>25</v>
      </c>
      <c r="E82">
        <v>1018</v>
      </c>
      <c r="F82" t="s">
        <v>88</v>
      </c>
      <c r="G82" s="19">
        <v>45404</v>
      </c>
      <c r="H82" t="s">
        <v>323</v>
      </c>
      <c r="I82" t="s">
        <v>6035</v>
      </c>
      <c r="Q82" s="3">
        <f t="shared" si="1"/>
        <v>1018</v>
      </c>
      <c r="R82" t="s">
        <v>138</v>
      </c>
      <c r="S82" t="s">
        <v>137</v>
      </c>
      <c r="T82" t="s">
        <v>65</v>
      </c>
    </row>
    <row r="83" spans="1:20" x14ac:dyDescent="0.35">
      <c r="A83" t="s">
        <v>35</v>
      </c>
      <c r="B83" t="s">
        <v>5980</v>
      </c>
      <c r="C83" t="s">
        <v>24</v>
      </c>
      <c r="D83" t="s">
        <v>25</v>
      </c>
      <c r="E83">
        <v>1018</v>
      </c>
      <c r="F83" t="s">
        <v>88</v>
      </c>
      <c r="G83" s="19">
        <v>45466</v>
      </c>
      <c r="H83" t="s">
        <v>323</v>
      </c>
      <c r="I83" t="s">
        <v>6094</v>
      </c>
      <c r="Q83" s="3">
        <f t="shared" si="1"/>
        <v>1018</v>
      </c>
      <c r="R83" t="s">
        <v>138</v>
      </c>
      <c r="S83" t="s">
        <v>137</v>
      </c>
      <c r="T83" t="s">
        <v>65</v>
      </c>
    </row>
    <row r="84" spans="1:20" x14ac:dyDescent="0.35">
      <c r="A84" t="s">
        <v>35</v>
      </c>
      <c r="B84" t="s">
        <v>5980</v>
      </c>
      <c r="C84" t="s">
        <v>24</v>
      </c>
      <c r="D84" t="s">
        <v>25</v>
      </c>
      <c r="E84">
        <v>1018</v>
      </c>
      <c r="F84" t="s">
        <v>88</v>
      </c>
      <c r="G84" s="19">
        <v>45495</v>
      </c>
      <c r="H84" t="s">
        <v>323</v>
      </c>
      <c r="I84" t="s">
        <v>6118</v>
      </c>
      <c r="Q84" s="3">
        <f t="shared" si="1"/>
        <v>1018</v>
      </c>
      <c r="R84" t="s">
        <v>138</v>
      </c>
      <c r="S84" t="s">
        <v>137</v>
      </c>
    </row>
    <row r="85" spans="1:20" x14ac:dyDescent="0.35">
      <c r="A85" t="s">
        <v>35</v>
      </c>
      <c r="B85" t="s">
        <v>638</v>
      </c>
      <c r="C85" t="s">
        <v>24</v>
      </c>
      <c r="D85" t="s">
        <v>25</v>
      </c>
      <c r="E85">
        <v>-1001.6299999999998</v>
      </c>
      <c r="F85" t="s">
        <v>88</v>
      </c>
      <c r="G85" s="19">
        <v>45586</v>
      </c>
      <c r="H85" t="s">
        <v>6169</v>
      </c>
      <c r="I85" t="s">
        <v>6170</v>
      </c>
      <c r="Q85" s="3">
        <f t="shared" si="1"/>
        <v>1001.6299999999998</v>
      </c>
      <c r="R85" t="s">
        <v>138</v>
      </c>
      <c r="S85" t="s">
        <v>137</v>
      </c>
    </row>
    <row r="86" spans="1:20" x14ac:dyDescent="0.35">
      <c r="A86" t="s">
        <v>0</v>
      </c>
      <c r="B86" t="s">
        <v>615</v>
      </c>
      <c r="C86" t="s">
        <v>24</v>
      </c>
      <c r="D86" t="s">
        <v>25</v>
      </c>
      <c r="E86">
        <v>975.65</v>
      </c>
      <c r="F86" t="s">
        <v>88</v>
      </c>
      <c r="G86" s="19">
        <v>45433</v>
      </c>
      <c r="H86" t="s">
        <v>318</v>
      </c>
      <c r="I86" t="s">
        <v>6062</v>
      </c>
      <c r="Q86" s="3">
        <f t="shared" si="1"/>
        <v>975.65</v>
      </c>
      <c r="R86" t="s">
        <v>138</v>
      </c>
      <c r="S86" t="s">
        <v>137</v>
      </c>
      <c r="T86" t="s">
        <v>65</v>
      </c>
    </row>
    <row r="87" spans="1:20" x14ac:dyDescent="0.35">
      <c r="A87" t="s">
        <v>0</v>
      </c>
      <c r="B87" t="s">
        <v>5980</v>
      </c>
      <c r="C87" t="s">
        <v>24</v>
      </c>
      <c r="D87" t="s">
        <v>25</v>
      </c>
      <c r="E87">
        <v>913.78</v>
      </c>
      <c r="F87" t="s">
        <v>88</v>
      </c>
      <c r="G87" s="19">
        <v>45461</v>
      </c>
      <c r="H87" t="s">
        <v>323</v>
      </c>
      <c r="I87" t="s">
        <v>6080</v>
      </c>
      <c r="Q87" s="3">
        <f t="shared" si="1"/>
        <v>913.78</v>
      </c>
      <c r="R87" t="s">
        <v>138</v>
      </c>
      <c r="S87" t="s">
        <v>137</v>
      </c>
      <c r="T87" t="s">
        <v>65</v>
      </c>
    </row>
    <row r="88" spans="1:20" x14ac:dyDescent="0.35">
      <c r="A88" t="s">
        <v>0</v>
      </c>
      <c r="B88" t="s">
        <v>5980</v>
      </c>
      <c r="C88" t="s">
        <v>24</v>
      </c>
      <c r="D88" t="s">
        <v>25</v>
      </c>
      <c r="E88">
        <v>853.35</v>
      </c>
      <c r="F88" t="s">
        <v>88</v>
      </c>
      <c r="G88" s="19">
        <v>45400</v>
      </c>
      <c r="H88" t="s">
        <v>323</v>
      </c>
      <c r="I88" t="s">
        <v>6022</v>
      </c>
      <c r="Q88" s="3">
        <f t="shared" si="1"/>
        <v>853.35</v>
      </c>
      <c r="R88" t="s">
        <v>138</v>
      </c>
      <c r="S88" t="s">
        <v>137</v>
      </c>
      <c r="T88" t="s">
        <v>65</v>
      </c>
    </row>
    <row r="89" spans="1:20" x14ac:dyDescent="0.35">
      <c r="A89" t="s">
        <v>35</v>
      </c>
      <c r="B89" t="s">
        <v>5980</v>
      </c>
      <c r="C89" t="s">
        <v>24</v>
      </c>
      <c r="D89" t="s">
        <v>25</v>
      </c>
      <c r="E89">
        <v>845</v>
      </c>
      <c r="F89" t="s">
        <v>88</v>
      </c>
      <c r="G89" s="19">
        <v>45649</v>
      </c>
      <c r="H89" t="s">
        <v>323</v>
      </c>
      <c r="I89" t="s">
        <v>6217</v>
      </c>
      <c r="Q89" s="3">
        <f t="shared" si="1"/>
        <v>845</v>
      </c>
      <c r="R89" t="s">
        <v>138</v>
      </c>
      <c r="S89" t="s">
        <v>137</v>
      </c>
    </row>
    <row r="90" spans="1:20" x14ac:dyDescent="0.35">
      <c r="A90" t="s">
        <v>0</v>
      </c>
      <c r="B90" t="s">
        <v>1043</v>
      </c>
      <c r="C90" t="s">
        <v>24</v>
      </c>
      <c r="D90" t="s">
        <v>25</v>
      </c>
      <c r="E90">
        <v>791.95</v>
      </c>
      <c r="F90" t="s">
        <v>88</v>
      </c>
      <c r="G90" s="19">
        <v>45513</v>
      </c>
      <c r="H90" t="s">
        <v>318</v>
      </c>
      <c r="I90" t="s">
        <v>319</v>
      </c>
      <c r="Q90" s="3">
        <f t="shared" si="1"/>
        <v>791.95</v>
      </c>
      <c r="R90" t="s">
        <v>138</v>
      </c>
      <c r="S90" t="s">
        <v>137</v>
      </c>
    </row>
    <row r="91" spans="1:20" x14ac:dyDescent="0.35">
      <c r="A91" t="s">
        <v>0</v>
      </c>
      <c r="B91" t="s">
        <v>5980</v>
      </c>
      <c r="C91" t="s">
        <v>24</v>
      </c>
      <c r="D91" t="s">
        <v>25</v>
      </c>
      <c r="E91">
        <v>784.83</v>
      </c>
      <c r="F91" t="s">
        <v>88</v>
      </c>
      <c r="G91" s="19">
        <v>45614</v>
      </c>
      <c r="H91" t="s">
        <v>323</v>
      </c>
      <c r="I91" t="s">
        <v>6193</v>
      </c>
      <c r="Q91" s="3">
        <f t="shared" si="1"/>
        <v>784.83</v>
      </c>
      <c r="R91" t="s">
        <v>138</v>
      </c>
      <c r="S91" t="s">
        <v>137</v>
      </c>
    </row>
    <row r="92" spans="1:20" x14ac:dyDescent="0.35">
      <c r="A92" t="s">
        <v>0</v>
      </c>
      <c r="B92" t="s">
        <v>909</v>
      </c>
      <c r="C92" t="s">
        <v>24</v>
      </c>
      <c r="D92" t="s">
        <v>25</v>
      </c>
      <c r="E92">
        <v>753.77</v>
      </c>
      <c r="F92" t="s">
        <v>88</v>
      </c>
      <c r="G92" s="19">
        <v>45492</v>
      </c>
      <c r="H92" t="s">
        <v>318</v>
      </c>
      <c r="I92" t="s">
        <v>6115</v>
      </c>
      <c r="Q92" s="3">
        <f t="shared" si="1"/>
        <v>753.77</v>
      </c>
      <c r="R92" t="s">
        <v>138</v>
      </c>
      <c r="S92" t="s">
        <v>137</v>
      </c>
    </row>
    <row r="93" spans="1:20" x14ac:dyDescent="0.35">
      <c r="A93" t="s">
        <v>35</v>
      </c>
      <c r="B93" t="s">
        <v>656</v>
      </c>
      <c r="C93" t="s">
        <v>24</v>
      </c>
      <c r="D93" t="s">
        <v>25</v>
      </c>
      <c r="E93">
        <v>744.35</v>
      </c>
      <c r="F93" t="s">
        <v>88</v>
      </c>
      <c r="G93" s="19">
        <v>45657</v>
      </c>
      <c r="H93" t="s">
        <v>108</v>
      </c>
      <c r="I93" t="s">
        <v>6155</v>
      </c>
      <c r="Q93" s="3">
        <f t="shared" si="1"/>
        <v>744.35</v>
      </c>
      <c r="R93" t="s">
        <v>138</v>
      </c>
      <c r="S93" t="s">
        <v>137</v>
      </c>
    </row>
    <row r="94" spans="1:20" x14ac:dyDescent="0.35">
      <c r="A94" t="s">
        <v>35</v>
      </c>
      <c r="B94" t="s">
        <v>610</v>
      </c>
      <c r="C94" t="s">
        <v>24</v>
      </c>
      <c r="D94" t="s">
        <v>25</v>
      </c>
      <c r="E94">
        <v>-744.35</v>
      </c>
      <c r="F94" t="s">
        <v>88</v>
      </c>
      <c r="G94" s="19">
        <v>45657</v>
      </c>
      <c r="H94" t="s">
        <v>108</v>
      </c>
      <c r="I94" t="s">
        <v>6155</v>
      </c>
      <c r="Q94" s="3">
        <f t="shared" si="1"/>
        <v>744.35</v>
      </c>
      <c r="R94" t="s">
        <v>138</v>
      </c>
      <c r="S94" t="s">
        <v>137</v>
      </c>
    </row>
    <row r="95" spans="1:20" x14ac:dyDescent="0.35">
      <c r="A95" t="s">
        <v>0</v>
      </c>
      <c r="B95" t="s">
        <v>5980</v>
      </c>
      <c r="C95" t="s">
        <v>24</v>
      </c>
      <c r="D95" t="s">
        <v>25</v>
      </c>
      <c r="E95">
        <v>737.67</v>
      </c>
      <c r="F95" t="s">
        <v>88</v>
      </c>
      <c r="G95" s="19">
        <v>45432</v>
      </c>
      <c r="H95" t="s">
        <v>323</v>
      </c>
      <c r="I95" t="s">
        <v>6059</v>
      </c>
      <c r="Q95" s="3">
        <f t="shared" si="1"/>
        <v>737.67</v>
      </c>
      <c r="R95" t="s">
        <v>138</v>
      </c>
      <c r="S95" t="s">
        <v>137</v>
      </c>
      <c r="T95" t="s">
        <v>65</v>
      </c>
    </row>
    <row r="96" spans="1:20" x14ac:dyDescent="0.35">
      <c r="A96" t="s">
        <v>0</v>
      </c>
      <c r="B96" t="s">
        <v>5980</v>
      </c>
      <c r="C96" t="s">
        <v>24</v>
      </c>
      <c r="D96" t="s">
        <v>25</v>
      </c>
      <c r="E96">
        <v>734.7</v>
      </c>
      <c r="F96" t="s">
        <v>88</v>
      </c>
      <c r="G96" s="19">
        <v>45553</v>
      </c>
      <c r="H96" t="s">
        <v>323</v>
      </c>
      <c r="I96" t="s">
        <v>6146</v>
      </c>
      <c r="Q96" s="3">
        <f t="shared" si="1"/>
        <v>734.7</v>
      </c>
      <c r="R96" t="s">
        <v>138</v>
      </c>
      <c r="S96" t="s">
        <v>137</v>
      </c>
    </row>
    <row r="97" spans="1:20" x14ac:dyDescent="0.35">
      <c r="A97" t="s">
        <v>0</v>
      </c>
      <c r="B97" t="s">
        <v>1053</v>
      </c>
      <c r="C97" t="s">
        <v>24</v>
      </c>
      <c r="D97" t="s">
        <v>25</v>
      </c>
      <c r="E97">
        <v>688.69</v>
      </c>
      <c r="F97" t="s">
        <v>88</v>
      </c>
      <c r="G97" s="19">
        <v>45569</v>
      </c>
      <c r="H97" t="s">
        <v>318</v>
      </c>
      <c r="I97" t="s">
        <v>6159</v>
      </c>
      <c r="Q97" s="3">
        <f t="shared" si="1"/>
        <v>688.69</v>
      </c>
      <c r="R97" t="s">
        <v>138</v>
      </c>
      <c r="S97" t="s">
        <v>137</v>
      </c>
    </row>
    <row r="98" spans="1:20" x14ac:dyDescent="0.35">
      <c r="A98" t="s">
        <v>0</v>
      </c>
      <c r="B98" t="s">
        <v>615</v>
      </c>
      <c r="C98" t="s">
        <v>24</v>
      </c>
      <c r="D98" t="s">
        <v>25</v>
      </c>
      <c r="E98">
        <v>643.79999999999995</v>
      </c>
      <c r="F98" t="s">
        <v>88</v>
      </c>
      <c r="G98" s="19">
        <v>45636</v>
      </c>
      <c r="H98" t="s">
        <v>318</v>
      </c>
      <c r="I98" t="s">
        <v>6204</v>
      </c>
      <c r="Q98" s="3">
        <f t="shared" si="1"/>
        <v>643.79999999999995</v>
      </c>
      <c r="R98" t="s">
        <v>138</v>
      </c>
      <c r="S98" t="s">
        <v>137</v>
      </c>
    </row>
    <row r="99" spans="1:20" x14ac:dyDescent="0.35">
      <c r="A99" t="s">
        <v>0</v>
      </c>
      <c r="B99" t="s">
        <v>1533</v>
      </c>
      <c r="C99" t="s">
        <v>24</v>
      </c>
      <c r="D99" t="s">
        <v>25</v>
      </c>
      <c r="E99">
        <v>640.54</v>
      </c>
      <c r="F99" t="s">
        <v>88</v>
      </c>
      <c r="G99" s="19">
        <v>45448</v>
      </c>
      <c r="H99" t="s">
        <v>318</v>
      </c>
      <c r="I99" t="s">
        <v>6077</v>
      </c>
      <c r="Q99" s="3">
        <f t="shared" si="1"/>
        <v>640.54</v>
      </c>
      <c r="R99" t="s">
        <v>138</v>
      </c>
      <c r="S99" t="s">
        <v>137</v>
      </c>
      <c r="T99" t="s">
        <v>65</v>
      </c>
    </row>
    <row r="100" spans="1:20" x14ac:dyDescent="0.35">
      <c r="A100" t="s">
        <v>0</v>
      </c>
      <c r="B100" t="s">
        <v>615</v>
      </c>
      <c r="C100" t="s">
        <v>24</v>
      </c>
      <c r="D100" t="s">
        <v>25</v>
      </c>
      <c r="E100">
        <v>631.77</v>
      </c>
      <c r="F100" t="s">
        <v>88</v>
      </c>
      <c r="G100" s="19">
        <v>45505</v>
      </c>
      <c r="H100" t="s">
        <v>318</v>
      </c>
      <c r="I100" t="s">
        <v>6127</v>
      </c>
      <c r="Q100" s="3">
        <f t="shared" si="1"/>
        <v>631.77</v>
      </c>
      <c r="R100" t="s">
        <v>138</v>
      </c>
      <c r="S100" t="s">
        <v>137</v>
      </c>
    </row>
    <row r="101" spans="1:20" x14ac:dyDescent="0.35">
      <c r="A101" t="s">
        <v>0</v>
      </c>
      <c r="B101" t="s">
        <v>909</v>
      </c>
      <c r="C101" t="s">
        <v>24</v>
      </c>
      <c r="D101" t="s">
        <v>25</v>
      </c>
      <c r="E101">
        <v>620.47</v>
      </c>
      <c r="F101" t="s">
        <v>88</v>
      </c>
      <c r="G101" s="19">
        <v>45406</v>
      </c>
      <c r="H101" t="s">
        <v>318</v>
      </c>
      <c r="I101" t="s">
        <v>6041</v>
      </c>
      <c r="Q101" s="3">
        <f t="shared" si="1"/>
        <v>620.47</v>
      </c>
      <c r="R101" t="s">
        <v>138</v>
      </c>
      <c r="S101" t="s">
        <v>137</v>
      </c>
      <c r="T101" t="s">
        <v>65</v>
      </c>
    </row>
    <row r="102" spans="1:20" x14ac:dyDescent="0.35">
      <c r="A102" t="s">
        <v>35</v>
      </c>
      <c r="B102" t="s">
        <v>638</v>
      </c>
      <c r="C102" t="s">
        <v>24</v>
      </c>
      <c r="D102" t="s">
        <v>25</v>
      </c>
      <c r="E102">
        <v>-606.76</v>
      </c>
      <c r="F102" t="s">
        <v>88</v>
      </c>
      <c r="G102" s="19">
        <v>45463</v>
      </c>
      <c r="H102" t="s">
        <v>6084</v>
      </c>
      <c r="I102" t="s">
        <v>6087</v>
      </c>
      <c r="Q102" s="3">
        <f t="shared" si="1"/>
        <v>606.76</v>
      </c>
      <c r="R102" t="s">
        <v>138</v>
      </c>
      <c r="S102" t="s">
        <v>137</v>
      </c>
      <c r="T102" t="s">
        <v>65</v>
      </c>
    </row>
    <row r="103" spans="1:20" x14ac:dyDescent="0.35">
      <c r="A103" t="s">
        <v>35</v>
      </c>
      <c r="B103" t="s">
        <v>638</v>
      </c>
      <c r="C103" t="s">
        <v>24</v>
      </c>
      <c r="D103" t="s">
        <v>25</v>
      </c>
      <c r="E103">
        <v>-589.47</v>
      </c>
      <c r="F103" t="s">
        <v>88</v>
      </c>
      <c r="G103" s="19">
        <v>45463</v>
      </c>
      <c r="H103" t="s">
        <v>6084</v>
      </c>
      <c r="I103" t="s">
        <v>6090</v>
      </c>
      <c r="Q103" s="3">
        <f t="shared" si="1"/>
        <v>589.47</v>
      </c>
      <c r="R103" t="s">
        <v>138</v>
      </c>
      <c r="S103" t="s">
        <v>137</v>
      </c>
      <c r="T103" t="s">
        <v>65</v>
      </c>
    </row>
    <row r="104" spans="1:20" x14ac:dyDescent="0.35">
      <c r="A104" t="s">
        <v>35</v>
      </c>
      <c r="B104" t="s">
        <v>638</v>
      </c>
      <c r="C104" t="s">
        <v>24</v>
      </c>
      <c r="D104" t="s">
        <v>25</v>
      </c>
      <c r="E104">
        <v>-562.28</v>
      </c>
      <c r="F104" t="s">
        <v>88</v>
      </c>
      <c r="G104" s="19">
        <v>45402</v>
      </c>
      <c r="H104" t="s">
        <v>6025</v>
      </c>
      <c r="I104" t="s">
        <v>6030</v>
      </c>
      <c r="Q104" s="3">
        <f t="shared" si="1"/>
        <v>562.28</v>
      </c>
      <c r="R104" t="s">
        <v>138</v>
      </c>
      <c r="S104" t="s">
        <v>137</v>
      </c>
      <c r="T104" t="s">
        <v>65</v>
      </c>
    </row>
    <row r="105" spans="1:20" x14ac:dyDescent="0.35">
      <c r="A105" t="s">
        <v>0</v>
      </c>
      <c r="B105" t="s">
        <v>5927</v>
      </c>
      <c r="C105" t="s">
        <v>24</v>
      </c>
      <c r="D105" t="s">
        <v>25</v>
      </c>
      <c r="E105">
        <v>515.21</v>
      </c>
      <c r="F105" t="s">
        <v>88</v>
      </c>
      <c r="G105" s="19">
        <v>45446</v>
      </c>
      <c r="H105" t="s">
        <v>318</v>
      </c>
      <c r="I105" t="s">
        <v>6075</v>
      </c>
      <c r="Q105" s="3">
        <f t="shared" si="1"/>
        <v>515.21</v>
      </c>
      <c r="R105" t="s">
        <v>138</v>
      </c>
      <c r="S105" t="s">
        <v>137</v>
      </c>
      <c r="T105" t="s">
        <v>65</v>
      </c>
    </row>
    <row r="106" spans="1:20" x14ac:dyDescent="0.35">
      <c r="A106" t="s">
        <v>0</v>
      </c>
      <c r="B106" t="s">
        <v>852</v>
      </c>
      <c r="C106" t="s">
        <v>24</v>
      </c>
      <c r="D106" t="s">
        <v>25</v>
      </c>
      <c r="E106">
        <v>500</v>
      </c>
      <c r="F106" t="s">
        <v>88</v>
      </c>
      <c r="G106" s="19">
        <v>45442</v>
      </c>
      <c r="H106" t="s">
        <v>318</v>
      </c>
      <c r="I106" t="s">
        <v>6070</v>
      </c>
      <c r="Q106" s="3">
        <f t="shared" si="1"/>
        <v>500</v>
      </c>
      <c r="R106" t="s">
        <v>138</v>
      </c>
      <c r="S106" t="s">
        <v>137</v>
      </c>
      <c r="T106" t="s">
        <v>65</v>
      </c>
    </row>
    <row r="107" spans="1:20" x14ac:dyDescent="0.35">
      <c r="A107" t="s">
        <v>0</v>
      </c>
      <c r="B107" t="s">
        <v>1627</v>
      </c>
      <c r="C107" t="s">
        <v>24</v>
      </c>
      <c r="D107" t="s">
        <v>25</v>
      </c>
      <c r="E107">
        <v>500</v>
      </c>
      <c r="F107" t="s">
        <v>88</v>
      </c>
      <c r="G107" s="19">
        <v>45467</v>
      </c>
      <c r="H107" t="s">
        <v>321</v>
      </c>
      <c r="I107" t="s">
        <v>321</v>
      </c>
      <c r="Q107" s="3">
        <f t="shared" si="1"/>
        <v>500</v>
      </c>
      <c r="R107" t="s">
        <v>138</v>
      </c>
      <c r="S107" t="s">
        <v>137</v>
      </c>
      <c r="T107" t="s">
        <v>65</v>
      </c>
    </row>
    <row r="108" spans="1:20" x14ac:dyDescent="0.35">
      <c r="A108" t="s">
        <v>0</v>
      </c>
      <c r="B108" t="s">
        <v>5980</v>
      </c>
      <c r="C108" t="s">
        <v>24</v>
      </c>
      <c r="D108" t="s">
        <v>25</v>
      </c>
      <c r="E108">
        <v>479.48</v>
      </c>
      <c r="F108" t="s">
        <v>88</v>
      </c>
      <c r="G108" s="19">
        <v>45495</v>
      </c>
      <c r="H108" t="s">
        <v>323</v>
      </c>
      <c r="I108" t="s">
        <v>6117</v>
      </c>
      <c r="Q108" s="3">
        <f t="shared" si="1"/>
        <v>479.48</v>
      </c>
      <c r="R108" t="s">
        <v>138</v>
      </c>
      <c r="S108" t="s">
        <v>137</v>
      </c>
    </row>
    <row r="109" spans="1:20" x14ac:dyDescent="0.35">
      <c r="A109" t="s">
        <v>35</v>
      </c>
      <c r="B109" t="s">
        <v>638</v>
      </c>
      <c r="C109" t="s">
        <v>24</v>
      </c>
      <c r="D109" t="s">
        <v>25</v>
      </c>
      <c r="E109">
        <v>-472.93999999999988</v>
      </c>
      <c r="F109" t="s">
        <v>88</v>
      </c>
      <c r="G109" s="19">
        <v>45463</v>
      </c>
      <c r="H109" t="s">
        <v>6084</v>
      </c>
      <c r="I109" t="s">
        <v>6091</v>
      </c>
      <c r="Q109" s="3">
        <f t="shared" si="1"/>
        <v>472.93999999999988</v>
      </c>
      <c r="R109" t="s">
        <v>138</v>
      </c>
      <c r="S109" t="s">
        <v>137</v>
      </c>
      <c r="T109" t="s">
        <v>65</v>
      </c>
    </row>
    <row r="110" spans="1:20" x14ac:dyDescent="0.35">
      <c r="A110" t="s">
        <v>0</v>
      </c>
      <c r="B110" t="s">
        <v>1244</v>
      </c>
      <c r="C110" t="s">
        <v>24</v>
      </c>
      <c r="D110" t="s">
        <v>25</v>
      </c>
      <c r="E110">
        <v>450.26</v>
      </c>
      <c r="F110" t="s">
        <v>88</v>
      </c>
      <c r="G110" s="19">
        <v>45434</v>
      </c>
      <c r="H110" t="s">
        <v>318</v>
      </c>
      <c r="I110" t="s">
        <v>6065</v>
      </c>
      <c r="Q110" s="3">
        <f t="shared" si="1"/>
        <v>450.26</v>
      </c>
      <c r="R110" t="s">
        <v>138</v>
      </c>
      <c r="S110" t="s">
        <v>137</v>
      </c>
      <c r="T110" t="s">
        <v>65</v>
      </c>
    </row>
    <row r="111" spans="1:20" x14ac:dyDescent="0.35">
      <c r="A111" t="s">
        <v>0</v>
      </c>
      <c r="B111" t="s">
        <v>2208</v>
      </c>
      <c r="C111" t="s">
        <v>24</v>
      </c>
      <c r="D111" t="s">
        <v>25</v>
      </c>
      <c r="E111">
        <v>450</v>
      </c>
      <c r="F111" t="s">
        <v>88</v>
      </c>
      <c r="G111" s="19">
        <v>45476</v>
      </c>
      <c r="H111" t="s">
        <v>318</v>
      </c>
      <c r="I111" t="s">
        <v>6107</v>
      </c>
      <c r="Q111" s="3">
        <f t="shared" si="1"/>
        <v>450</v>
      </c>
      <c r="R111" t="s">
        <v>138</v>
      </c>
      <c r="S111" t="s">
        <v>137</v>
      </c>
    </row>
    <row r="112" spans="1:20" x14ac:dyDescent="0.35">
      <c r="A112" t="s">
        <v>35</v>
      </c>
      <c r="B112" t="s">
        <v>656</v>
      </c>
      <c r="C112" t="s">
        <v>24</v>
      </c>
      <c r="D112" t="s">
        <v>25</v>
      </c>
      <c r="E112">
        <v>439.17</v>
      </c>
      <c r="F112" t="s">
        <v>88</v>
      </c>
      <c r="G112" s="19">
        <v>45473</v>
      </c>
      <c r="H112" t="s">
        <v>108</v>
      </c>
      <c r="I112" t="s">
        <v>108</v>
      </c>
      <c r="Q112" s="3">
        <f t="shared" si="1"/>
        <v>439.17</v>
      </c>
      <c r="R112" t="s">
        <v>138</v>
      </c>
      <c r="S112" t="s">
        <v>137</v>
      </c>
    </row>
    <row r="113" spans="1:20" x14ac:dyDescent="0.35">
      <c r="A113" t="s">
        <v>35</v>
      </c>
      <c r="B113" t="s">
        <v>610</v>
      </c>
      <c r="C113" t="s">
        <v>24</v>
      </c>
      <c r="D113" t="s">
        <v>25</v>
      </c>
      <c r="E113">
        <v>-439.17</v>
      </c>
      <c r="F113" t="s">
        <v>88</v>
      </c>
      <c r="G113" s="19">
        <v>45473</v>
      </c>
      <c r="H113" t="s">
        <v>108</v>
      </c>
      <c r="I113" t="s">
        <v>108</v>
      </c>
      <c r="Q113" s="3">
        <f t="shared" si="1"/>
        <v>439.17</v>
      </c>
      <c r="R113" t="s">
        <v>138</v>
      </c>
      <c r="S113" t="s">
        <v>137</v>
      </c>
    </row>
    <row r="114" spans="1:20" x14ac:dyDescent="0.35">
      <c r="A114" t="s">
        <v>35</v>
      </c>
      <c r="B114" t="s">
        <v>638</v>
      </c>
      <c r="C114" t="s">
        <v>24</v>
      </c>
      <c r="D114" t="s">
        <v>25</v>
      </c>
      <c r="E114">
        <v>-383.92999999999989</v>
      </c>
      <c r="F114" t="s">
        <v>88</v>
      </c>
      <c r="G114" s="19">
        <v>45463</v>
      </c>
      <c r="H114" t="s">
        <v>6084</v>
      </c>
      <c r="I114" t="s">
        <v>6088</v>
      </c>
      <c r="Q114" s="3">
        <f t="shared" si="1"/>
        <v>383.92999999999989</v>
      </c>
      <c r="R114" t="s">
        <v>138</v>
      </c>
      <c r="S114" t="s">
        <v>137</v>
      </c>
      <c r="T114" t="s">
        <v>65</v>
      </c>
    </row>
    <row r="115" spans="1:20" x14ac:dyDescent="0.35">
      <c r="A115" t="s">
        <v>0</v>
      </c>
      <c r="B115" t="s">
        <v>1043</v>
      </c>
      <c r="C115" t="s">
        <v>24</v>
      </c>
      <c r="D115" t="s">
        <v>25</v>
      </c>
      <c r="E115">
        <v>364.54</v>
      </c>
      <c r="F115" t="s">
        <v>88</v>
      </c>
      <c r="G115" s="19">
        <v>45601</v>
      </c>
      <c r="H115" t="s">
        <v>318</v>
      </c>
      <c r="I115" t="s">
        <v>319</v>
      </c>
      <c r="Q115" s="3">
        <f t="shared" si="1"/>
        <v>364.54</v>
      </c>
      <c r="R115" t="s">
        <v>138</v>
      </c>
      <c r="S115" t="s">
        <v>137</v>
      </c>
    </row>
    <row r="116" spans="1:20" x14ac:dyDescent="0.35">
      <c r="A116" t="s">
        <v>0</v>
      </c>
      <c r="B116" t="s">
        <v>1043</v>
      </c>
      <c r="C116" t="s">
        <v>24</v>
      </c>
      <c r="D116" t="s">
        <v>25</v>
      </c>
      <c r="E116">
        <v>364.54</v>
      </c>
      <c r="F116" t="s">
        <v>88</v>
      </c>
      <c r="G116" s="19">
        <v>45614</v>
      </c>
      <c r="H116" t="s">
        <v>318</v>
      </c>
      <c r="I116" t="s">
        <v>319</v>
      </c>
      <c r="Q116" s="3">
        <f t="shared" si="1"/>
        <v>364.54</v>
      </c>
      <c r="R116" t="s">
        <v>138</v>
      </c>
      <c r="S116" t="s">
        <v>137</v>
      </c>
    </row>
    <row r="117" spans="1:20" x14ac:dyDescent="0.35">
      <c r="A117" t="s">
        <v>0</v>
      </c>
      <c r="B117" t="s">
        <v>615</v>
      </c>
      <c r="C117" t="s">
        <v>24</v>
      </c>
      <c r="D117" t="s">
        <v>25</v>
      </c>
      <c r="E117">
        <v>300</v>
      </c>
      <c r="F117" t="s">
        <v>88</v>
      </c>
      <c r="G117" s="19">
        <v>45455</v>
      </c>
      <c r="H117" t="s">
        <v>318</v>
      </c>
      <c r="I117" t="s">
        <v>6078</v>
      </c>
      <c r="Q117" s="3">
        <f t="shared" si="1"/>
        <v>300</v>
      </c>
      <c r="R117" t="s">
        <v>138</v>
      </c>
      <c r="S117" t="s">
        <v>137</v>
      </c>
      <c r="T117" t="s">
        <v>65</v>
      </c>
    </row>
    <row r="118" spans="1:20" x14ac:dyDescent="0.35">
      <c r="A118" t="s">
        <v>0</v>
      </c>
      <c r="B118" t="s">
        <v>3466</v>
      </c>
      <c r="C118" t="s">
        <v>24</v>
      </c>
      <c r="D118" t="s">
        <v>25</v>
      </c>
      <c r="E118">
        <v>300</v>
      </c>
      <c r="F118" t="s">
        <v>88</v>
      </c>
      <c r="G118" s="19">
        <v>45478</v>
      </c>
      <c r="H118" t="s">
        <v>318</v>
      </c>
      <c r="I118" t="s">
        <v>6108</v>
      </c>
      <c r="Q118" s="3">
        <f t="shared" si="1"/>
        <v>300</v>
      </c>
      <c r="R118" t="s">
        <v>138</v>
      </c>
      <c r="S118" t="s">
        <v>137</v>
      </c>
    </row>
    <row r="119" spans="1:20" x14ac:dyDescent="0.35">
      <c r="A119" t="s">
        <v>0</v>
      </c>
      <c r="B119" t="s">
        <v>868</v>
      </c>
      <c r="C119" t="s">
        <v>24</v>
      </c>
      <c r="D119" t="s">
        <v>25</v>
      </c>
      <c r="E119">
        <v>286.66000000000003</v>
      </c>
      <c r="F119" t="s">
        <v>88</v>
      </c>
      <c r="G119" s="19">
        <v>45653</v>
      </c>
      <c r="H119" t="s">
        <v>318</v>
      </c>
      <c r="I119" t="s">
        <v>6219</v>
      </c>
      <c r="Q119" s="3">
        <f t="shared" si="1"/>
        <v>286.66000000000003</v>
      </c>
      <c r="R119" t="s">
        <v>138</v>
      </c>
      <c r="S119" t="s">
        <v>137</v>
      </c>
    </row>
    <row r="120" spans="1:20" x14ac:dyDescent="0.35">
      <c r="A120" t="s">
        <v>0</v>
      </c>
      <c r="B120" t="s">
        <v>1043</v>
      </c>
      <c r="C120" t="s">
        <v>24</v>
      </c>
      <c r="D120" t="s">
        <v>25</v>
      </c>
      <c r="E120">
        <v>279.82</v>
      </c>
      <c r="F120" t="s">
        <v>88</v>
      </c>
      <c r="G120" s="19">
        <v>45446</v>
      </c>
      <c r="H120" t="s">
        <v>318</v>
      </c>
      <c r="I120" t="s">
        <v>319</v>
      </c>
      <c r="Q120" s="3">
        <f t="shared" si="1"/>
        <v>279.82</v>
      </c>
      <c r="R120" t="s">
        <v>138</v>
      </c>
      <c r="S120" t="s">
        <v>137</v>
      </c>
      <c r="T120" t="s">
        <v>65</v>
      </c>
    </row>
    <row r="121" spans="1:20" x14ac:dyDescent="0.35">
      <c r="A121" t="s">
        <v>0</v>
      </c>
      <c r="B121" t="s">
        <v>1411</v>
      </c>
      <c r="C121" t="s">
        <v>24</v>
      </c>
      <c r="D121" t="s">
        <v>25</v>
      </c>
      <c r="E121">
        <v>272.52</v>
      </c>
      <c r="F121" t="s">
        <v>88</v>
      </c>
      <c r="G121" s="19">
        <v>45470</v>
      </c>
      <c r="H121" t="s">
        <v>318</v>
      </c>
      <c r="I121" t="s">
        <v>6104</v>
      </c>
      <c r="Q121" s="3">
        <f t="shared" si="1"/>
        <v>272.52</v>
      </c>
      <c r="R121" t="s">
        <v>138</v>
      </c>
      <c r="S121" t="s">
        <v>137</v>
      </c>
    </row>
    <row r="122" spans="1:20" x14ac:dyDescent="0.35">
      <c r="A122" t="s">
        <v>0</v>
      </c>
      <c r="B122" t="s">
        <v>1123</v>
      </c>
      <c r="C122" t="s">
        <v>24</v>
      </c>
      <c r="D122" t="s">
        <v>25</v>
      </c>
      <c r="E122">
        <v>250.98</v>
      </c>
      <c r="F122" t="s">
        <v>88</v>
      </c>
      <c r="G122" s="19">
        <v>45436</v>
      </c>
      <c r="H122" t="s">
        <v>318</v>
      </c>
      <c r="I122" t="s">
        <v>6067</v>
      </c>
      <c r="Q122" s="3">
        <f t="shared" si="1"/>
        <v>250.98</v>
      </c>
      <c r="R122" t="s">
        <v>138</v>
      </c>
      <c r="S122" t="s">
        <v>137</v>
      </c>
      <c r="T122" t="s">
        <v>65</v>
      </c>
    </row>
    <row r="123" spans="1:20" x14ac:dyDescent="0.35">
      <c r="A123" t="s">
        <v>0</v>
      </c>
      <c r="B123" t="s">
        <v>599</v>
      </c>
      <c r="C123" t="s">
        <v>24</v>
      </c>
      <c r="D123" t="s">
        <v>25</v>
      </c>
      <c r="E123">
        <v>244.75</v>
      </c>
      <c r="F123" t="s">
        <v>88</v>
      </c>
      <c r="G123" s="19">
        <v>45418</v>
      </c>
      <c r="H123" t="s">
        <v>318</v>
      </c>
      <c r="I123" t="s">
        <v>6054</v>
      </c>
      <c r="Q123" s="3">
        <f t="shared" si="1"/>
        <v>244.75</v>
      </c>
      <c r="R123" t="s">
        <v>138</v>
      </c>
      <c r="S123" t="s">
        <v>137</v>
      </c>
      <c r="T123" t="s">
        <v>65</v>
      </c>
    </row>
    <row r="124" spans="1:20" x14ac:dyDescent="0.35">
      <c r="A124" t="s">
        <v>0</v>
      </c>
      <c r="B124" t="s">
        <v>1123</v>
      </c>
      <c r="C124" t="s">
        <v>24</v>
      </c>
      <c r="D124" t="s">
        <v>25</v>
      </c>
      <c r="E124">
        <v>231.73</v>
      </c>
      <c r="F124" t="s">
        <v>88</v>
      </c>
      <c r="G124" s="19">
        <v>45436</v>
      </c>
      <c r="H124" t="s">
        <v>318</v>
      </c>
      <c r="I124" t="s">
        <v>6066</v>
      </c>
      <c r="Q124" s="3">
        <f t="shared" si="1"/>
        <v>231.73</v>
      </c>
      <c r="R124" t="s">
        <v>138</v>
      </c>
      <c r="S124" t="s">
        <v>137</v>
      </c>
      <c r="T124" t="s">
        <v>65</v>
      </c>
    </row>
    <row r="125" spans="1:20" x14ac:dyDescent="0.35">
      <c r="A125" t="s">
        <v>0</v>
      </c>
      <c r="B125" t="s">
        <v>1627</v>
      </c>
      <c r="C125" t="s">
        <v>24</v>
      </c>
      <c r="D125" t="s">
        <v>25</v>
      </c>
      <c r="E125">
        <v>217.33</v>
      </c>
      <c r="F125" t="s">
        <v>88</v>
      </c>
      <c r="G125" s="19">
        <v>45412</v>
      </c>
      <c r="H125" t="s">
        <v>321</v>
      </c>
      <c r="I125" t="s">
        <v>321</v>
      </c>
      <c r="Q125" s="3">
        <f t="shared" si="1"/>
        <v>217.33</v>
      </c>
      <c r="R125" t="s">
        <v>138</v>
      </c>
      <c r="S125" t="s">
        <v>137</v>
      </c>
      <c r="T125" t="s">
        <v>65</v>
      </c>
    </row>
    <row r="126" spans="1:20" x14ac:dyDescent="0.35">
      <c r="A126" t="s">
        <v>0</v>
      </c>
      <c r="B126" t="s">
        <v>2208</v>
      </c>
      <c r="C126" t="s">
        <v>24</v>
      </c>
      <c r="D126" t="s">
        <v>25</v>
      </c>
      <c r="E126">
        <v>217.29</v>
      </c>
      <c r="F126" t="s">
        <v>88</v>
      </c>
      <c r="G126" s="19">
        <v>45607</v>
      </c>
      <c r="H126" t="s">
        <v>318</v>
      </c>
      <c r="I126" t="s">
        <v>6188</v>
      </c>
      <c r="Q126" s="3">
        <f t="shared" si="1"/>
        <v>217.29</v>
      </c>
      <c r="R126" t="s">
        <v>138</v>
      </c>
      <c r="S126" t="s">
        <v>137</v>
      </c>
    </row>
    <row r="127" spans="1:20" x14ac:dyDescent="0.35">
      <c r="A127" t="s">
        <v>35</v>
      </c>
      <c r="B127" t="s">
        <v>1884</v>
      </c>
      <c r="C127" t="s">
        <v>24</v>
      </c>
      <c r="D127" t="s">
        <v>25</v>
      </c>
      <c r="E127">
        <v>216</v>
      </c>
      <c r="F127" t="s">
        <v>88</v>
      </c>
      <c r="G127" s="19">
        <v>45593</v>
      </c>
      <c r="H127" t="s">
        <v>6100</v>
      </c>
      <c r="I127" t="s">
        <v>6178</v>
      </c>
      <c r="Q127" s="3">
        <f t="shared" si="1"/>
        <v>216</v>
      </c>
      <c r="R127" t="s">
        <v>138</v>
      </c>
      <c r="S127" t="s">
        <v>137</v>
      </c>
    </row>
    <row r="128" spans="1:20" x14ac:dyDescent="0.35">
      <c r="A128" t="s">
        <v>35</v>
      </c>
      <c r="B128" t="s">
        <v>610</v>
      </c>
      <c r="C128" t="s">
        <v>24</v>
      </c>
      <c r="D128" t="s">
        <v>25</v>
      </c>
      <c r="E128">
        <v>-216</v>
      </c>
      <c r="F128" t="s">
        <v>88</v>
      </c>
      <c r="G128" s="19">
        <v>45593</v>
      </c>
      <c r="H128" t="s">
        <v>6100</v>
      </c>
      <c r="I128" t="s">
        <v>6178</v>
      </c>
      <c r="Q128" s="3">
        <f t="shared" si="1"/>
        <v>216</v>
      </c>
      <c r="R128" t="s">
        <v>138</v>
      </c>
      <c r="S128" t="s">
        <v>137</v>
      </c>
    </row>
    <row r="129" spans="1:20" x14ac:dyDescent="0.35">
      <c r="A129" t="s">
        <v>0</v>
      </c>
      <c r="B129" t="s">
        <v>1123</v>
      </c>
      <c r="C129" t="s">
        <v>24</v>
      </c>
      <c r="D129" t="s">
        <v>25</v>
      </c>
      <c r="E129">
        <v>200</v>
      </c>
      <c r="F129" t="s">
        <v>88</v>
      </c>
      <c r="G129" s="19">
        <v>45392</v>
      </c>
      <c r="H129" t="s">
        <v>318</v>
      </c>
      <c r="I129" t="s">
        <v>6019</v>
      </c>
      <c r="Q129" s="3">
        <f t="shared" si="1"/>
        <v>200</v>
      </c>
      <c r="R129" t="s">
        <v>138</v>
      </c>
      <c r="S129" t="s">
        <v>137</v>
      </c>
      <c r="T129" t="s">
        <v>65</v>
      </c>
    </row>
    <row r="130" spans="1:20" x14ac:dyDescent="0.35">
      <c r="A130" t="s">
        <v>0</v>
      </c>
      <c r="B130" t="s">
        <v>1123</v>
      </c>
      <c r="C130" t="s">
        <v>24</v>
      </c>
      <c r="D130" t="s">
        <v>25</v>
      </c>
      <c r="E130">
        <v>200</v>
      </c>
      <c r="F130" t="s">
        <v>88</v>
      </c>
      <c r="G130" s="19">
        <v>45413</v>
      </c>
      <c r="H130" t="s">
        <v>318</v>
      </c>
      <c r="I130" t="s">
        <v>6051</v>
      </c>
      <c r="Q130" s="3">
        <f t="shared" si="1"/>
        <v>200</v>
      </c>
      <c r="R130" t="s">
        <v>138</v>
      </c>
      <c r="S130" t="s">
        <v>137</v>
      </c>
      <c r="T130" t="s">
        <v>65</v>
      </c>
    </row>
    <row r="131" spans="1:20" x14ac:dyDescent="0.35">
      <c r="A131" t="s">
        <v>0</v>
      </c>
      <c r="B131" t="s">
        <v>6047</v>
      </c>
      <c r="C131" t="s">
        <v>24</v>
      </c>
      <c r="D131" t="s">
        <v>25</v>
      </c>
      <c r="E131">
        <v>185.41</v>
      </c>
      <c r="F131" t="s">
        <v>88</v>
      </c>
      <c r="G131" s="19">
        <v>45463</v>
      </c>
      <c r="H131" t="s">
        <v>318</v>
      </c>
      <c r="I131" t="s">
        <v>6083</v>
      </c>
      <c r="Q131" s="3">
        <f t="shared" si="1"/>
        <v>185.41</v>
      </c>
      <c r="R131" t="s">
        <v>138</v>
      </c>
      <c r="S131" t="s">
        <v>137</v>
      </c>
      <c r="T131" t="s">
        <v>65</v>
      </c>
    </row>
    <row r="132" spans="1:20" x14ac:dyDescent="0.35">
      <c r="A132" t="s">
        <v>0</v>
      </c>
      <c r="B132" t="s">
        <v>1043</v>
      </c>
      <c r="C132" t="s">
        <v>24</v>
      </c>
      <c r="D132" t="s">
        <v>25</v>
      </c>
      <c r="E132">
        <v>182.27</v>
      </c>
      <c r="F132" t="s">
        <v>88</v>
      </c>
      <c r="G132" s="19">
        <v>45642</v>
      </c>
      <c r="H132" t="s">
        <v>318</v>
      </c>
      <c r="I132" t="s">
        <v>319</v>
      </c>
      <c r="Q132" s="3">
        <f t="shared" si="1"/>
        <v>182.27</v>
      </c>
      <c r="R132" t="s">
        <v>138</v>
      </c>
      <c r="S132" t="s">
        <v>137</v>
      </c>
    </row>
    <row r="133" spans="1:20" x14ac:dyDescent="0.35">
      <c r="A133" t="s">
        <v>0</v>
      </c>
      <c r="B133" t="s">
        <v>909</v>
      </c>
      <c r="C133" t="s">
        <v>24</v>
      </c>
      <c r="D133" t="s">
        <v>25</v>
      </c>
      <c r="E133">
        <v>181.59</v>
      </c>
      <c r="F133" t="s">
        <v>88</v>
      </c>
      <c r="G133" s="19">
        <v>45419</v>
      </c>
      <c r="H133" t="s">
        <v>318</v>
      </c>
      <c r="I133" t="s">
        <v>6055</v>
      </c>
      <c r="Q133" s="3">
        <f t="shared" si="1"/>
        <v>181.59</v>
      </c>
      <c r="R133" t="s">
        <v>138</v>
      </c>
      <c r="S133" t="s">
        <v>137</v>
      </c>
      <c r="T133" t="s">
        <v>65</v>
      </c>
    </row>
    <row r="134" spans="1:20" x14ac:dyDescent="0.35">
      <c r="A134" t="s">
        <v>0</v>
      </c>
      <c r="B134" t="s">
        <v>3466</v>
      </c>
      <c r="C134" t="s">
        <v>24</v>
      </c>
      <c r="D134" t="s">
        <v>25</v>
      </c>
      <c r="E134">
        <v>178.48</v>
      </c>
      <c r="F134" t="s">
        <v>88</v>
      </c>
      <c r="G134" s="19">
        <v>45401</v>
      </c>
      <c r="H134" t="s">
        <v>318</v>
      </c>
      <c r="I134" t="s">
        <v>6024</v>
      </c>
      <c r="Q134" s="3">
        <f t="shared" si="1"/>
        <v>178.48</v>
      </c>
      <c r="R134" t="s">
        <v>138</v>
      </c>
      <c r="S134" t="s">
        <v>137</v>
      </c>
      <c r="T134" t="s">
        <v>65</v>
      </c>
    </row>
    <row r="135" spans="1:20" x14ac:dyDescent="0.35">
      <c r="A135" t="s">
        <v>0</v>
      </c>
      <c r="B135" t="s">
        <v>788</v>
      </c>
      <c r="C135" t="s">
        <v>24</v>
      </c>
      <c r="D135" t="s">
        <v>25</v>
      </c>
      <c r="E135">
        <v>146.22999999999999</v>
      </c>
      <c r="F135" t="s">
        <v>88</v>
      </c>
      <c r="G135" s="19">
        <v>45637</v>
      </c>
      <c r="H135" t="s">
        <v>318</v>
      </c>
      <c r="I135" t="s">
        <v>6205</v>
      </c>
      <c r="Q135" s="3">
        <f t="shared" si="1"/>
        <v>146.22999999999999</v>
      </c>
      <c r="R135" t="s">
        <v>138</v>
      </c>
      <c r="S135" t="s">
        <v>137</v>
      </c>
    </row>
    <row r="136" spans="1:20" x14ac:dyDescent="0.35">
      <c r="A136" t="s">
        <v>0</v>
      </c>
      <c r="B136" t="s">
        <v>599</v>
      </c>
      <c r="C136" t="s">
        <v>24</v>
      </c>
      <c r="D136" t="s">
        <v>25</v>
      </c>
      <c r="E136">
        <v>145.27000000000001</v>
      </c>
      <c r="F136" t="s">
        <v>88</v>
      </c>
      <c r="G136" s="19">
        <v>45412</v>
      </c>
      <c r="H136" t="s">
        <v>318</v>
      </c>
      <c r="I136" t="s">
        <v>6049</v>
      </c>
      <c r="Q136" s="3">
        <f t="shared" ref="Q136:Q199" si="2">ABS(E136)</f>
        <v>145.27000000000001</v>
      </c>
      <c r="R136" t="s">
        <v>138</v>
      </c>
      <c r="S136" t="s">
        <v>137</v>
      </c>
      <c r="T136" t="s">
        <v>65</v>
      </c>
    </row>
    <row r="137" spans="1:20" x14ac:dyDescent="0.35">
      <c r="A137" t="s">
        <v>35</v>
      </c>
      <c r="B137" t="s">
        <v>638</v>
      </c>
      <c r="C137" t="s">
        <v>24</v>
      </c>
      <c r="D137" t="s">
        <v>25</v>
      </c>
      <c r="E137">
        <v>-138.80000000000001</v>
      </c>
      <c r="F137" t="s">
        <v>88</v>
      </c>
      <c r="G137" s="19">
        <v>45586</v>
      </c>
      <c r="H137" t="s">
        <v>6169</v>
      </c>
      <c r="I137" t="s">
        <v>6172</v>
      </c>
      <c r="Q137" s="3">
        <f t="shared" si="2"/>
        <v>138.80000000000001</v>
      </c>
      <c r="R137" t="s">
        <v>138</v>
      </c>
      <c r="S137" t="s">
        <v>137</v>
      </c>
    </row>
    <row r="138" spans="1:20" x14ac:dyDescent="0.35">
      <c r="A138" t="s">
        <v>0</v>
      </c>
      <c r="B138" t="s">
        <v>1533</v>
      </c>
      <c r="C138" t="s">
        <v>24</v>
      </c>
      <c r="D138" t="s">
        <v>25</v>
      </c>
      <c r="E138">
        <v>136.63999999999999</v>
      </c>
      <c r="F138" t="s">
        <v>88</v>
      </c>
      <c r="G138" s="19">
        <v>45573</v>
      </c>
      <c r="H138" t="s">
        <v>318</v>
      </c>
      <c r="I138" t="s">
        <v>6160</v>
      </c>
      <c r="Q138" s="3">
        <f t="shared" si="2"/>
        <v>136.63999999999999</v>
      </c>
      <c r="R138" t="s">
        <v>138</v>
      </c>
      <c r="S138" t="s">
        <v>137</v>
      </c>
    </row>
    <row r="139" spans="1:20" x14ac:dyDescent="0.35">
      <c r="A139" t="s">
        <v>35</v>
      </c>
      <c r="B139" t="s">
        <v>656</v>
      </c>
      <c r="C139" t="s">
        <v>24</v>
      </c>
      <c r="D139" t="s">
        <v>25</v>
      </c>
      <c r="E139">
        <v>-127.83</v>
      </c>
      <c r="F139" t="s">
        <v>88</v>
      </c>
      <c r="G139" s="19">
        <v>45565</v>
      </c>
      <c r="H139" t="s">
        <v>108</v>
      </c>
      <c r="I139" t="s">
        <v>108</v>
      </c>
      <c r="Q139" s="3">
        <f t="shared" si="2"/>
        <v>127.83</v>
      </c>
      <c r="R139" t="s">
        <v>138</v>
      </c>
      <c r="S139" t="s">
        <v>137</v>
      </c>
    </row>
    <row r="140" spans="1:20" x14ac:dyDescent="0.35">
      <c r="A140" t="s">
        <v>35</v>
      </c>
      <c r="B140" t="s">
        <v>610</v>
      </c>
      <c r="C140" t="s">
        <v>24</v>
      </c>
      <c r="D140" t="s">
        <v>25</v>
      </c>
      <c r="E140">
        <v>127.83</v>
      </c>
      <c r="F140" t="s">
        <v>88</v>
      </c>
      <c r="G140" s="19">
        <v>45565</v>
      </c>
      <c r="H140" t="s">
        <v>108</v>
      </c>
      <c r="I140" t="s">
        <v>108</v>
      </c>
      <c r="Q140" s="3">
        <f t="shared" si="2"/>
        <v>127.83</v>
      </c>
      <c r="R140" t="s">
        <v>138</v>
      </c>
      <c r="S140" t="s">
        <v>137</v>
      </c>
    </row>
    <row r="141" spans="1:20" x14ac:dyDescent="0.35">
      <c r="A141" t="s">
        <v>35</v>
      </c>
      <c r="B141" t="s">
        <v>638</v>
      </c>
      <c r="C141" t="s">
        <v>24</v>
      </c>
      <c r="D141" t="s">
        <v>25</v>
      </c>
      <c r="E141">
        <v>-126.52000000000002</v>
      </c>
      <c r="F141" t="s">
        <v>88</v>
      </c>
      <c r="G141" s="19">
        <v>45586</v>
      </c>
      <c r="H141" t="s">
        <v>6169</v>
      </c>
      <c r="I141" t="s">
        <v>6175</v>
      </c>
      <c r="Q141" s="3">
        <f t="shared" si="2"/>
        <v>126.52000000000002</v>
      </c>
      <c r="R141" t="s">
        <v>138</v>
      </c>
      <c r="S141" t="s">
        <v>137</v>
      </c>
    </row>
    <row r="142" spans="1:20" x14ac:dyDescent="0.35">
      <c r="A142" t="s">
        <v>0</v>
      </c>
      <c r="B142" t="s">
        <v>1533</v>
      </c>
      <c r="C142" t="s">
        <v>24</v>
      </c>
      <c r="D142" t="s">
        <v>25</v>
      </c>
      <c r="E142">
        <v>116.33</v>
      </c>
      <c r="F142" t="s">
        <v>88</v>
      </c>
      <c r="G142" s="19">
        <v>45520</v>
      </c>
      <c r="H142" t="s">
        <v>318</v>
      </c>
      <c r="I142" t="s">
        <v>6133</v>
      </c>
      <c r="Q142" s="3">
        <f t="shared" si="2"/>
        <v>116.33</v>
      </c>
      <c r="R142" t="s">
        <v>138</v>
      </c>
      <c r="S142" t="s">
        <v>137</v>
      </c>
    </row>
    <row r="143" spans="1:20" x14ac:dyDescent="0.35">
      <c r="A143" t="s">
        <v>0</v>
      </c>
      <c r="B143" t="s">
        <v>633</v>
      </c>
      <c r="C143" t="s">
        <v>24</v>
      </c>
      <c r="D143" t="s">
        <v>25</v>
      </c>
      <c r="E143">
        <v>113.32</v>
      </c>
      <c r="F143" t="s">
        <v>88</v>
      </c>
      <c r="G143" s="19">
        <v>45511</v>
      </c>
      <c r="H143" t="s">
        <v>318</v>
      </c>
      <c r="I143" t="s">
        <v>6128</v>
      </c>
      <c r="Q143" s="3">
        <f t="shared" si="2"/>
        <v>113.32</v>
      </c>
      <c r="R143" t="s">
        <v>138</v>
      </c>
      <c r="S143" t="s">
        <v>137</v>
      </c>
    </row>
    <row r="144" spans="1:20" x14ac:dyDescent="0.35">
      <c r="A144" t="s">
        <v>35</v>
      </c>
      <c r="B144" t="s">
        <v>638</v>
      </c>
      <c r="C144" t="s">
        <v>24</v>
      </c>
      <c r="D144" t="s">
        <v>25</v>
      </c>
      <c r="E144">
        <v>-106.41999999999997</v>
      </c>
      <c r="F144" t="s">
        <v>88</v>
      </c>
      <c r="G144" s="19">
        <v>45586</v>
      </c>
      <c r="H144" t="s">
        <v>6169</v>
      </c>
      <c r="I144" t="s">
        <v>6176</v>
      </c>
      <c r="Q144" s="3">
        <f t="shared" si="2"/>
        <v>106.41999999999997</v>
      </c>
      <c r="R144" t="s">
        <v>138</v>
      </c>
      <c r="S144" t="s">
        <v>137</v>
      </c>
    </row>
    <row r="145" spans="1:20" x14ac:dyDescent="0.35">
      <c r="A145" t="s">
        <v>0</v>
      </c>
      <c r="B145" t="s">
        <v>2208</v>
      </c>
      <c r="C145" t="s">
        <v>24</v>
      </c>
      <c r="D145" t="s">
        <v>25</v>
      </c>
      <c r="E145">
        <v>100</v>
      </c>
      <c r="F145" t="s">
        <v>88</v>
      </c>
      <c r="G145" s="19">
        <v>45496</v>
      </c>
      <c r="H145" t="s">
        <v>318</v>
      </c>
      <c r="I145" t="s">
        <v>6121</v>
      </c>
      <c r="Q145" s="3">
        <f t="shared" si="2"/>
        <v>100</v>
      </c>
      <c r="R145" t="s">
        <v>138</v>
      </c>
      <c r="S145" t="s">
        <v>137</v>
      </c>
    </row>
    <row r="146" spans="1:20" x14ac:dyDescent="0.35">
      <c r="A146" t="s">
        <v>0</v>
      </c>
      <c r="B146" t="s">
        <v>1627</v>
      </c>
      <c r="C146" t="s">
        <v>24</v>
      </c>
      <c r="D146" t="s">
        <v>25</v>
      </c>
      <c r="E146">
        <v>100</v>
      </c>
      <c r="F146" t="s">
        <v>88</v>
      </c>
      <c r="G146" s="19">
        <v>45499</v>
      </c>
      <c r="H146" t="s">
        <v>321</v>
      </c>
      <c r="I146" t="s">
        <v>321</v>
      </c>
      <c r="Q146" s="3">
        <f t="shared" si="2"/>
        <v>100</v>
      </c>
      <c r="R146" t="s">
        <v>138</v>
      </c>
      <c r="S146" t="s">
        <v>137</v>
      </c>
    </row>
    <row r="147" spans="1:20" x14ac:dyDescent="0.35">
      <c r="A147" t="s">
        <v>0</v>
      </c>
      <c r="B147" t="s">
        <v>1627</v>
      </c>
      <c r="C147" t="s">
        <v>24</v>
      </c>
      <c r="D147" t="s">
        <v>25</v>
      </c>
      <c r="E147">
        <v>100</v>
      </c>
      <c r="F147" t="s">
        <v>88</v>
      </c>
      <c r="G147" s="19">
        <v>45575</v>
      </c>
      <c r="H147" t="s">
        <v>321</v>
      </c>
      <c r="I147" t="s">
        <v>321</v>
      </c>
      <c r="Q147" s="3">
        <f t="shared" si="2"/>
        <v>100</v>
      </c>
      <c r="R147" t="s">
        <v>138</v>
      </c>
      <c r="S147" t="s">
        <v>137</v>
      </c>
    </row>
    <row r="148" spans="1:20" x14ac:dyDescent="0.35">
      <c r="A148" t="s">
        <v>0</v>
      </c>
      <c r="B148" t="s">
        <v>789</v>
      </c>
      <c r="C148" t="s">
        <v>24</v>
      </c>
      <c r="D148" t="s">
        <v>25</v>
      </c>
      <c r="E148">
        <v>96.13</v>
      </c>
      <c r="F148" t="s">
        <v>88</v>
      </c>
      <c r="G148" s="19">
        <v>45644</v>
      </c>
      <c r="H148" t="s">
        <v>318</v>
      </c>
      <c r="I148" t="s">
        <v>6207</v>
      </c>
      <c r="Q148" s="3">
        <f t="shared" si="2"/>
        <v>96.13</v>
      </c>
      <c r="R148" t="s">
        <v>138</v>
      </c>
      <c r="S148" t="s">
        <v>137</v>
      </c>
    </row>
    <row r="149" spans="1:20" x14ac:dyDescent="0.35">
      <c r="A149" t="s">
        <v>35</v>
      </c>
      <c r="B149" t="s">
        <v>638</v>
      </c>
      <c r="C149" t="s">
        <v>24</v>
      </c>
      <c r="D149" t="s">
        <v>25</v>
      </c>
      <c r="E149">
        <v>-79.63</v>
      </c>
      <c r="F149" t="s">
        <v>88</v>
      </c>
      <c r="G149" s="19">
        <v>45586</v>
      </c>
      <c r="H149" t="s">
        <v>6169</v>
      </c>
      <c r="I149" t="s">
        <v>6173</v>
      </c>
      <c r="Q149" s="3">
        <f t="shared" si="2"/>
        <v>79.63</v>
      </c>
      <c r="R149" t="s">
        <v>138</v>
      </c>
      <c r="S149" t="s">
        <v>137</v>
      </c>
    </row>
    <row r="150" spans="1:20" x14ac:dyDescent="0.35">
      <c r="A150" t="s">
        <v>35</v>
      </c>
      <c r="B150" t="s">
        <v>656</v>
      </c>
      <c r="C150" t="s">
        <v>24</v>
      </c>
      <c r="D150" t="s">
        <v>25</v>
      </c>
      <c r="E150">
        <v>75.92</v>
      </c>
      <c r="F150" t="s">
        <v>88</v>
      </c>
      <c r="G150" s="19">
        <v>45443</v>
      </c>
      <c r="H150" t="s">
        <v>108</v>
      </c>
      <c r="I150" t="s">
        <v>108</v>
      </c>
      <c r="Q150" s="3">
        <f t="shared" si="2"/>
        <v>75.92</v>
      </c>
      <c r="R150" t="s">
        <v>138</v>
      </c>
      <c r="S150" t="s">
        <v>137</v>
      </c>
      <c r="T150" t="s">
        <v>65</v>
      </c>
    </row>
    <row r="151" spans="1:20" x14ac:dyDescent="0.35">
      <c r="A151" t="s">
        <v>35</v>
      </c>
      <c r="B151" t="s">
        <v>610</v>
      </c>
      <c r="C151" t="s">
        <v>24</v>
      </c>
      <c r="D151" t="s">
        <v>25</v>
      </c>
      <c r="E151">
        <v>-75.92</v>
      </c>
      <c r="F151" t="s">
        <v>88</v>
      </c>
      <c r="G151" s="19">
        <v>45443</v>
      </c>
      <c r="H151" t="s">
        <v>108</v>
      </c>
      <c r="I151" t="s">
        <v>108</v>
      </c>
      <c r="Q151" s="3">
        <f t="shared" si="2"/>
        <v>75.92</v>
      </c>
      <c r="R151" t="s">
        <v>138</v>
      </c>
      <c r="S151" t="s">
        <v>137</v>
      </c>
      <c r="T151" t="s">
        <v>65</v>
      </c>
    </row>
    <row r="152" spans="1:20" x14ac:dyDescent="0.35">
      <c r="A152" t="s">
        <v>35</v>
      </c>
      <c r="B152" t="s">
        <v>638</v>
      </c>
      <c r="C152" t="s">
        <v>24</v>
      </c>
      <c r="D152" t="s">
        <v>25</v>
      </c>
      <c r="E152">
        <v>-75.599999999999994</v>
      </c>
      <c r="F152" t="s">
        <v>88</v>
      </c>
      <c r="G152" s="19">
        <v>45463</v>
      </c>
      <c r="H152" t="s">
        <v>6084</v>
      </c>
      <c r="I152" t="s">
        <v>6089</v>
      </c>
      <c r="Q152" s="3">
        <f t="shared" si="2"/>
        <v>75.599999999999994</v>
      </c>
      <c r="R152" t="s">
        <v>138</v>
      </c>
      <c r="S152" t="s">
        <v>137</v>
      </c>
      <c r="T152" t="s">
        <v>65</v>
      </c>
    </row>
    <row r="153" spans="1:20" x14ac:dyDescent="0.35">
      <c r="A153" t="s">
        <v>0</v>
      </c>
      <c r="B153" t="s">
        <v>2226</v>
      </c>
      <c r="C153" t="s">
        <v>24</v>
      </c>
      <c r="D153" t="s">
        <v>25</v>
      </c>
      <c r="E153">
        <v>71.55</v>
      </c>
      <c r="F153" t="s">
        <v>88</v>
      </c>
      <c r="G153" s="19">
        <v>45603</v>
      </c>
      <c r="H153" t="s">
        <v>318</v>
      </c>
      <c r="I153" t="s">
        <v>6187</v>
      </c>
      <c r="Q153" s="3">
        <f t="shared" si="2"/>
        <v>71.55</v>
      </c>
      <c r="R153" t="s">
        <v>138</v>
      </c>
      <c r="S153" t="s">
        <v>137</v>
      </c>
    </row>
    <row r="154" spans="1:20" x14ac:dyDescent="0.35">
      <c r="A154" t="s">
        <v>0</v>
      </c>
      <c r="B154" t="s">
        <v>756</v>
      </c>
      <c r="C154" t="s">
        <v>24</v>
      </c>
      <c r="D154" t="s">
        <v>25</v>
      </c>
      <c r="E154">
        <v>69.48</v>
      </c>
      <c r="F154" t="s">
        <v>88</v>
      </c>
      <c r="G154" s="19">
        <v>45638</v>
      </c>
      <c r="H154" t="s">
        <v>318</v>
      </c>
      <c r="I154" t="s">
        <v>6203</v>
      </c>
      <c r="Q154" s="3">
        <f t="shared" si="2"/>
        <v>69.48</v>
      </c>
      <c r="R154" t="s">
        <v>138</v>
      </c>
      <c r="S154" t="s">
        <v>137</v>
      </c>
    </row>
    <row r="155" spans="1:20" x14ac:dyDescent="0.35">
      <c r="A155" t="s">
        <v>35</v>
      </c>
      <c r="B155" t="s">
        <v>656</v>
      </c>
      <c r="C155" t="s">
        <v>24</v>
      </c>
      <c r="D155" t="s">
        <v>25</v>
      </c>
      <c r="E155">
        <v>-63.28</v>
      </c>
      <c r="F155" t="s">
        <v>88</v>
      </c>
      <c r="G155" s="19">
        <v>45625</v>
      </c>
      <c r="H155" t="s">
        <v>108</v>
      </c>
      <c r="I155" t="s">
        <v>108</v>
      </c>
      <c r="Q155" s="3">
        <f t="shared" si="2"/>
        <v>63.28</v>
      </c>
      <c r="R155" t="s">
        <v>138</v>
      </c>
      <c r="S155" t="s">
        <v>137</v>
      </c>
    </row>
    <row r="156" spans="1:20" x14ac:dyDescent="0.35">
      <c r="A156" t="s">
        <v>35</v>
      </c>
      <c r="B156" t="s">
        <v>610</v>
      </c>
      <c r="C156" t="s">
        <v>24</v>
      </c>
      <c r="D156" t="s">
        <v>25</v>
      </c>
      <c r="E156">
        <v>63.28</v>
      </c>
      <c r="F156" t="s">
        <v>88</v>
      </c>
      <c r="G156" s="19">
        <v>45625</v>
      </c>
      <c r="H156" t="s">
        <v>108</v>
      </c>
      <c r="I156" t="s">
        <v>108</v>
      </c>
      <c r="Q156" s="3">
        <f t="shared" si="2"/>
        <v>63.28</v>
      </c>
      <c r="R156" t="s">
        <v>138</v>
      </c>
      <c r="S156" t="s">
        <v>137</v>
      </c>
    </row>
    <row r="157" spans="1:20" x14ac:dyDescent="0.35">
      <c r="A157" t="s">
        <v>0</v>
      </c>
      <c r="B157" t="s">
        <v>1627</v>
      </c>
      <c r="C157" t="s">
        <v>24</v>
      </c>
      <c r="D157" t="s">
        <v>25</v>
      </c>
      <c r="E157">
        <v>59.27</v>
      </c>
      <c r="F157" t="s">
        <v>88</v>
      </c>
      <c r="G157" s="19">
        <v>45643</v>
      </c>
      <c r="H157" t="s">
        <v>6206</v>
      </c>
      <c r="I157" t="s">
        <v>6206</v>
      </c>
      <c r="Q157" s="3">
        <f t="shared" si="2"/>
        <v>59.27</v>
      </c>
      <c r="R157" t="s">
        <v>138</v>
      </c>
      <c r="S157" t="s">
        <v>137</v>
      </c>
    </row>
    <row r="158" spans="1:20" x14ac:dyDescent="0.35">
      <c r="A158" t="s">
        <v>35</v>
      </c>
      <c r="B158" t="s">
        <v>656</v>
      </c>
      <c r="C158" t="s">
        <v>24</v>
      </c>
      <c r="D158" t="s">
        <v>25</v>
      </c>
      <c r="E158">
        <v>57.52</v>
      </c>
      <c r="F158" t="s">
        <v>88</v>
      </c>
      <c r="G158" s="19">
        <v>45535</v>
      </c>
      <c r="H158" t="s">
        <v>108</v>
      </c>
      <c r="I158" t="s">
        <v>108</v>
      </c>
      <c r="Q158" s="3">
        <f t="shared" si="2"/>
        <v>57.52</v>
      </c>
      <c r="R158" t="s">
        <v>138</v>
      </c>
      <c r="S158" t="s">
        <v>137</v>
      </c>
    </row>
    <row r="159" spans="1:20" x14ac:dyDescent="0.35">
      <c r="A159" t="s">
        <v>35</v>
      </c>
      <c r="B159" t="s">
        <v>610</v>
      </c>
      <c r="C159" t="s">
        <v>24</v>
      </c>
      <c r="D159" t="s">
        <v>25</v>
      </c>
      <c r="E159">
        <v>-57.52</v>
      </c>
      <c r="F159" t="s">
        <v>88</v>
      </c>
      <c r="G159" s="19">
        <v>45535</v>
      </c>
      <c r="H159" t="s">
        <v>108</v>
      </c>
      <c r="I159" t="s">
        <v>108</v>
      </c>
      <c r="Q159" s="3">
        <f t="shared" si="2"/>
        <v>57.52</v>
      </c>
      <c r="R159" t="s">
        <v>138</v>
      </c>
      <c r="S159" t="s">
        <v>137</v>
      </c>
    </row>
    <row r="160" spans="1:20" x14ac:dyDescent="0.35">
      <c r="A160" t="s">
        <v>0</v>
      </c>
      <c r="B160" t="s">
        <v>909</v>
      </c>
      <c r="C160" t="s">
        <v>24</v>
      </c>
      <c r="D160" t="s">
        <v>25</v>
      </c>
      <c r="E160">
        <v>55.6</v>
      </c>
      <c r="F160" t="s">
        <v>88</v>
      </c>
      <c r="G160" s="19">
        <v>45439</v>
      </c>
      <c r="H160" t="s">
        <v>318</v>
      </c>
      <c r="I160" t="s">
        <v>6069</v>
      </c>
      <c r="Q160" s="3">
        <f t="shared" si="2"/>
        <v>55.6</v>
      </c>
      <c r="R160" t="s">
        <v>138</v>
      </c>
      <c r="S160" t="s">
        <v>137</v>
      </c>
      <c r="T160" t="s">
        <v>65</v>
      </c>
    </row>
    <row r="161" spans="1:20" x14ac:dyDescent="0.35">
      <c r="A161" t="s">
        <v>35</v>
      </c>
      <c r="B161" t="s">
        <v>656</v>
      </c>
      <c r="C161" t="s">
        <v>24</v>
      </c>
      <c r="D161" t="s">
        <v>25</v>
      </c>
      <c r="E161">
        <v>-53.47</v>
      </c>
      <c r="F161" t="s">
        <v>88</v>
      </c>
      <c r="G161" s="19">
        <v>45596</v>
      </c>
      <c r="H161" t="s">
        <v>108</v>
      </c>
      <c r="I161" t="s">
        <v>108</v>
      </c>
      <c r="Q161" s="3">
        <f t="shared" si="2"/>
        <v>53.47</v>
      </c>
      <c r="R161" t="s">
        <v>138</v>
      </c>
      <c r="S161" t="s">
        <v>137</v>
      </c>
    </row>
    <row r="162" spans="1:20" x14ac:dyDescent="0.35">
      <c r="A162" t="s">
        <v>35</v>
      </c>
      <c r="B162" t="s">
        <v>610</v>
      </c>
      <c r="C162" t="s">
        <v>24</v>
      </c>
      <c r="D162" t="s">
        <v>25</v>
      </c>
      <c r="E162">
        <v>53.47</v>
      </c>
      <c r="F162" t="s">
        <v>88</v>
      </c>
      <c r="G162" s="19">
        <v>45596</v>
      </c>
      <c r="H162" t="s">
        <v>108</v>
      </c>
      <c r="I162" t="s">
        <v>108</v>
      </c>
      <c r="Q162" s="3">
        <f t="shared" si="2"/>
        <v>53.47</v>
      </c>
      <c r="R162" t="s">
        <v>138</v>
      </c>
      <c r="S162" t="s">
        <v>137</v>
      </c>
    </row>
    <row r="163" spans="1:20" x14ac:dyDescent="0.35">
      <c r="A163" t="s">
        <v>0</v>
      </c>
      <c r="B163" t="s">
        <v>3466</v>
      </c>
      <c r="C163" t="s">
        <v>24</v>
      </c>
      <c r="D163" t="s">
        <v>25</v>
      </c>
      <c r="E163">
        <v>50</v>
      </c>
      <c r="F163" t="s">
        <v>88</v>
      </c>
      <c r="G163" s="19">
        <v>45406</v>
      </c>
      <c r="H163" t="s">
        <v>318</v>
      </c>
      <c r="I163" t="s">
        <v>6037</v>
      </c>
      <c r="Q163" s="3">
        <f t="shared" si="2"/>
        <v>50</v>
      </c>
      <c r="R163" t="s">
        <v>138</v>
      </c>
      <c r="S163" t="s">
        <v>137</v>
      </c>
      <c r="T163" t="s">
        <v>65</v>
      </c>
    </row>
    <row r="164" spans="1:20" x14ac:dyDescent="0.35">
      <c r="A164" t="s">
        <v>0</v>
      </c>
      <c r="B164" t="s">
        <v>1480</v>
      </c>
      <c r="C164" t="s">
        <v>24</v>
      </c>
      <c r="D164" t="s">
        <v>25</v>
      </c>
      <c r="E164">
        <v>50</v>
      </c>
      <c r="F164" t="s">
        <v>88</v>
      </c>
      <c r="G164" s="19">
        <v>45406</v>
      </c>
      <c r="H164" t="s">
        <v>318</v>
      </c>
      <c r="I164" t="s">
        <v>6038</v>
      </c>
      <c r="Q164" s="3">
        <f t="shared" si="2"/>
        <v>50</v>
      </c>
      <c r="R164" t="s">
        <v>138</v>
      </c>
      <c r="S164" t="s">
        <v>137</v>
      </c>
      <c r="T164" t="s">
        <v>65</v>
      </c>
    </row>
    <row r="165" spans="1:20" x14ac:dyDescent="0.35">
      <c r="A165" t="s">
        <v>0</v>
      </c>
      <c r="B165" t="s">
        <v>2208</v>
      </c>
      <c r="C165" t="s">
        <v>24</v>
      </c>
      <c r="D165" t="s">
        <v>25</v>
      </c>
      <c r="E165">
        <v>50</v>
      </c>
      <c r="F165" t="s">
        <v>88</v>
      </c>
      <c r="G165" s="19">
        <v>45406</v>
      </c>
      <c r="H165" t="s">
        <v>318</v>
      </c>
      <c r="I165" t="s">
        <v>6042</v>
      </c>
      <c r="Q165" s="3">
        <f t="shared" si="2"/>
        <v>50</v>
      </c>
      <c r="R165" t="s">
        <v>138</v>
      </c>
      <c r="S165" t="s">
        <v>137</v>
      </c>
      <c r="T165" t="s">
        <v>65</v>
      </c>
    </row>
    <row r="166" spans="1:20" x14ac:dyDescent="0.35">
      <c r="A166" t="s">
        <v>0</v>
      </c>
      <c r="B166" t="s">
        <v>4622</v>
      </c>
      <c r="C166" t="s">
        <v>24</v>
      </c>
      <c r="D166" t="s">
        <v>25</v>
      </c>
      <c r="E166">
        <v>49.43</v>
      </c>
      <c r="F166" t="s">
        <v>88</v>
      </c>
      <c r="G166" s="19">
        <v>45415</v>
      </c>
      <c r="H166" t="s">
        <v>318</v>
      </c>
      <c r="I166" t="s">
        <v>6052</v>
      </c>
      <c r="Q166" s="3">
        <f t="shared" si="2"/>
        <v>49.43</v>
      </c>
      <c r="R166" t="s">
        <v>138</v>
      </c>
      <c r="S166" t="s">
        <v>137</v>
      </c>
      <c r="T166" t="s">
        <v>65</v>
      </c>
    </row>
    <row r="167" spans="1:20" x14ac:dyDescent="0.35">
      <c r="A167" t="s">
        <v>35</v>
      </c>
      <c r="B167" t="s">
        <v>6098</v>
      </c>
      <c r="C167" t="s">
        <v>24</v>
      </c>
      <c r="D167" t="s">
        <v>25</v>
      </c>
      <c r="E167">
        <v>48.59</v>
      </c>
      <c r="F167" t="s">
        <v>88</v>
      </c>
      <c r="G167" s="19">
        <v>45565</v>
      </c>
      <c r="H167" t="s">
        <v>6153</v>
      </c>
      <c r="I167" t="s">
        <v>6154</v>
      </c>
      <c r="Q167" s="3">
        <f t="shared" si="2"/>
        <v>48.59</v>
      </c>
      <c r="R167" t="s">
        <v>138</v>
      </c>
      <c r="S167" t="s">
        <v>137</v>
      </c>
    </row>
    <row r="168" spans="1:20" x14ac:dyDescent="0.35">
      <c r="A168" t="s">
        <v>35</v>
      </c>
      <c r="B168" t="s">
        <v>618</v>
      </c>
      <c r="C168" t="s">
        <v>24</v>
      </c>
      <c r="D168" t="s">
        <v>25</v>
      </c>
      <c r="E168">
        <v>-48.59</v>
      </c>
      <c r="F168" t="s">
        <v>88</v>
      </c>
      <c r="G168" s="19">
        <v>45565</v>
      </c>
      <c r="H168" t="s">
        <v>6153</v>
      </c>
      <c r="I168" t="s">
        <v>6154</v>
      </c>
      <c r="Q168" s="3">
        <f t="shared" si="2"/>
        <v>48.59</v>
      </c>
      <c r="R168" t="s">
        <v>138</v>
      </c>
      <c r="S168" t="s">
        <v>137</v>
      </c>
    </row>
    <row r="169" spans="1:20" x14ac:dyDescent="0.35">
      <c r="A169" t="s">
        <v>35</v>
      </c>
      <c r="B169" t="s">
        <v>6098</v>
      </c>
      <c r="C169" t="s">
        <v>24</v>
      </c>
      <c r="D169" t="s">
        <v>25</v>
      </c>
      <c r="E169">
        <v>-48.59</v>
      </c>
      <c r="F169" t="s">
        <v>88</v>
      </c>
      <c r="G169" s="19">
        <v>45593</v>
      </c>
      <c r="H169" t="s">
        <v>6100</v>
      </c>
      <c r="I169" t="s">
        <v>6154</v>
      </c>
      <c r="Q169" s="3">
        <f t="shared" si="2"/>
        <v>48.59</v>
      </c>
      <c r="R169" t="s">
        <v>138</v>
      </c>
      <c r="S169" t="s">
        <v>137</v>
      </c>
    </row>
    <row r="170" spans="1:20" x14ac:dyDescent="0.35">
      <c r="A170" t="s">
        <v>35</v>
      </c>
      <c r="B170" t="s">
        <v>618</v>
      </c>
      <c r="C170" t="s">
        <v>24</v>
      </c>
      <c r="D170" t="s">
        <v>25</v>
      </c>
      <c r="E170">
        <v>48.59</v>
      </c>
      <c r="F170" t="s">
        <v>88</v>
      </c>
      <c r="G170" s="19">
        <v>45593</v>
      </c>
      <c r="H170" t="s">
        <v>6100</v>
      </c>
      <c r="I170" t="s">
        <v>6154</v>
      </c>
      <c r="Q170" s="3">
        <f t="shared" si="2"/>
        <v>48.59</v>
      </c>
      <c r="R170" t="s">
        <v>138</v>
      </c>
      <c r="S170" t="s">
        <v>137</v>
      </c>
    </row>
    <row r="171" spans="1:20" x14ac:dyDescent="0.35">
      <c r="A171" t="s">
        <v>0</v>
      </c>
      <c r="B171" t="s">
        <v>789</v>
      </c>
      <c r="C171" t="s">
        <v>24</v>
      </c>
      <c r="D171" t="s">
        <v>25</v>
      </c>
      <c r="E171">
        <v>47.95</v>
      </c>
      <c r="F171" t="s">
        <v>88</v>
      </c>
      <c r="G171" s="19">
        <v>45474</v>
      </c>
      <c r="H171" t="s">
        <v>318</v>
      </c>
      <c r="I171" t="s">
        <v>6106</v>
      </c>
      <c r="Q171" s="3">
        <f t="shared" si="2"/>
        <v>47.95</v>
      </c>
      <c r="R171" t="s">
        <v>138</v>
      </c>
      <c r="S171" t="s">
        <v>137</v>
      </c>
    </row>
    <row r="172" spans="1:20" x14ac:dyDescent="0.35">
      <c r="A172" t="s">
        <v>0</v>
      </c>
      <c r="B172" t="s">
        <v>1244</v>
      </c>
      <c r="C172" t="s">
        <v>24</v>
      </c>
      <c r="D172" t="s">
        <v>25</v>
      </c>
      <c r="E172">
        <v>44.61</v>
      </c>
      <c r="F172" t="s">
        <v>88</v>
      </c>
      <c r="G172" s="19">
        <v>45579</v>
      </c>
      <c r="H172" t="s">
        <v>318</v>
      </c>
      <c r="I172" t="s">
        <v>6161</v>
      </c>
      <c r="Q172" s="3">
        <f t="shared" si="2"/>
        <v>44.61</v>
      </c>
      <c r="R172" t="s">
        <v>138</v>
      </c>
      <c r="S172" t="s">
        <v>137</v>
      </c>
    </row>
    <row r="173" spans="1:20" x14ac:dyDescent="0.35">
      <c r="A173" t="s">
        <v>0</v>
      </c>
      <c r="B173" t="s">
        <v>768</v>
      </c>
      <c r="C173" t="s">
        <v>24</v>
      </c>
      <c r="D173" t="s">
        <v>25</v>
      </c>
      <c r="E173">
        <v>42.2</v>
      </c>
      <c r="F173" t="s">
        <v>88</v>
      </c>
      <c r="G173" s="19">
        <v>45477</v>
      </c>
      <c r="H173" t="s">
        <v>318</v>
      </c>
      <c r="I173" t="s">
        <v>319</v>
      </c>
      <c r="Q173" s="3">
        <f t="shared" si="2"/>
        <v>42.2</v>
      </c>
      <c r="R173" t="s">
        <v>138</v>
      </c>
      <c r="S173" t="s">
        <v>137</v>
      </c>
    </row>
    <row r="174" spans="1:20" x14ac:dyDescent="0.35">
      <c r="A174" t="s">
        <v>0</v>
      </c>
      <c r="B174" t="s">
        <v>868</v>
      </c>
      <c r="C174" t="s">
        <v>24</v>
      </c>
      <c r="D174" t="s">
        <v>25</v>
      </c>
      <c r="E174">
        <v>42.2</v>
      </c>
      <c r="F174" t="s">
        <v>88</v>
      </c>
      <c r="G174" s="19">
        <v>45589</v>
      </c>
      <c r="H174" t="s">
        <v>318</v>
      </c>
      <c r="I174" t="s">
        <v>319</v>
      </c>
      <c r="Q174" s="3">
        <f t="shared" si="2"/>
        <v>42.2</v>
      </c>
      <c r="R174" t="s">
        <v>138</v>
      </c>
      <c r="S174" t="s">
        <v>137</v>
      </c>
    </row>
    <row r="175" spans="1:20" x14ac:dyDescent="0.35">
      <c r="A175" t="s">
        <v>0</v>
      </c>
      <c r="B175" t="s">
        <v>1043</v>
      </c>
      <c r="C175" t="s">
        <v>24</v>
      </c>
      <c r="D175" t="s">
        <v>25</v>
      </c>
      <c r="E175">
        <v>40.680000000000007</v>
      </c>
      <c r="F175" t="s">
        <v>88</v>
      </c>
      <c r="G175" s="19">
        <v>45532</v>
      </c>
      <c r="H175" t="s">
        <v>318</v>
      </c>
      <c r="I175" t="s">
        <v>319</v>
      </c>
      <c r="Q175" s="3">
        <f t="shared" si="2"/>
        <v>40.680000000000007</v>
      </c>
      <c r="R175" t="s">
        <v>138</v>
      </c>
      <c r="S175" t="s">
        <v>137</v>
      </c>
    </row>
    <row r="176" spans="1:20" x14ac:dyDescent="0.35">
      <c r="A176" t="s">
        <v>35</v>
      </c>
      <c r="B176" t="s">
        <v>638</v>
      </c>
      <c r="C176" t="s">
        <v>24</v>
      </c>
      <c r="D176" t="s">
        <v>25</v>
      </c>
      <c r="E176">
        <v>-37.239999999999988</v>
      </c>
      <c r="F176" t="s">
        <v>88</v>
      </c>
      <c r="G176" s="19">
        <v>45402</v>
      </c>
      <c r="H176" t="s">
        <v>6025</v>
      </c>
      <c r="I176" t="s">
        <v>6027</v>
      </c>
      <c r="Q176" s="3">
        <f t="shared" si="2"/>
        <v>37.239999999999988</v>
      </c>
      <c r="R176" t="s">
        <v>138</v>
      </c>
      <c r="S176" t="s">
        <v>137</v>
      </c>
      <c r="T176" t="s">
        <v>65</v>
      </c>
    </row>
    <row r="177" spans="1:20" x14ac:dyDescent="0.35">
      <c r="A177" t="s">
        <v>0</v>
      </c>
      <c r="B177" t="s">
        <v>633</v>
      </c>
      <c r="C177" t="s">
        <v>24</v>
      </c>
      <c r="D177" t="s">
        <v>25</v>
      </c>
      <c r="E177">
        <v>33.69</v>
      </c>
      <c r="F177" t="s">
        <v>88</v>
      </c>
      <c r="G177" s="19">
        <v>45460</v>
      </c>
      <c r="H177" t="s">
        <v>318</v>
      </c>
      <c r="I177" t="s">
        <v>6079</v>
      </c>
      <c r="Q177" s="3">
        <f t="shared" si="2"/>
        <v>33.69</v>
      </c>
      <c r="R177" t="s">
        <v>138</v>
      </c>
      <c r="S177" t="s">
        <v>137</v>
      </c>
      <c r="T177" t="s">
        <v>65</v>
      </c>
    </row>
    <row r="178" spans="1:20" x14ac:dyDescent="0.35">
      <c r="A178" t="s">
        <v>0</v>
      </c>
      <c r="B178" t="s">
        <v>1627</v>
      </c>
      <c r="C178" t="s">
        <v>24</v>
      </c>
      <c r="D178" t="s">
        <v>25</v>
      </c>
      <c r="E178">
        <v>26.95</v>
      </c>
      <c r="F178" t="s">
        <v>88</v>
      </c>
      <c r="G178" s="19">
        <v>45504</v>
      </c>
      <c r="H178" t="s">
        <v>321</v>
      </c>
      <c r="I178" t="s">
        <v>321</v>
      </c>
      <c r="Q178" s="3">
        <f t="shared" si="2"/>
        <v>26.95</v>
      </c>
      <c r="R178" t="s">
        <v>138</v>
      </c>
      <c r="S178" t="s">
        <v>137</v>
      </c>
    </row>
    <row r="179" spans="1:20" x14ac:dyDescent="0.35">
      <c r="A179" t="s">
        <v>0</v>
      </c>
      <c r="B179" t="s">
        <v>606</v>
      </c>
      <c r="C179" t="s">
        <v>24</v>
      </c>
      <c r="D179" t="s">
        <v>25</v>
      </c>
      <c r="E179">
        <v>26.48</v>
      </c>
      <c r="F179" t="s">
        <v>88</v>
      </c>
      <c r="G179" s="19">
        <v>45502</v>
      </c>
      <c r="H179" t="s">
        <v>318</v>
      </c>
      <c r="I179" t="s">
        <v>6126</v>
      </c>
      <c r="Q179" s="3">
        <f t="shared" si="2"/>
        <v>26.48</v>
      </c>
      <c r="R179" t="s">
        <v>138</v>
      </c>
      <c r="S179" t="s">
        <v>137</v>
      </c>
    </row>
    <row r="180" spans="1:20" x14ac:dyDescent="0.35">
      <c r="A180" t="s">
        <v>35</v>
      </c>
      <c r="B180" t="s">
        <v>656</v>
      </c>
      <c r="C180" t="s">
        <v>24</v>
      </c>
      <c r="D180" t="s">
        <v>25</v>
      </c>
      <c r="E180">
        <v>-25.4</v>
      </c>
      <c r="F180" t="s">
        <v>88</v>
      </c>
      <c r="G180" s="19">
        <v>45412</v>
      </c>
      <c r="H180" t="s">
        <v>108</v>
      </c>
      <c r="I180" t="s">
        <v>108</v>
      </c>
      <c r="Q180" s="3">
        <f t="shared" si="2"/>
        <v>25.4</v>
      </c>
      <c r="R180" t="s">
        <v>138</v>
      </c>
      <c r="S180" t="s">
        <v>137</v>
      </c>
      <c r="T180" t="s">
        <v>65</v>
      </c>
    </row>
    <row r="181" spans="1:20" x14ac:dyDescent="0.35">
      <c r="A181" t="s">
        <v>35</v>
      </c>
      <c r="B181" t="s">
        <v>610</v>
      </c>
      <c r="C181" t="s">
        <v>24</v>
      </c>
      <c r="D181" t="s">
        <v>25</v>
      </c>
      <c r="E181">
        <v>25.4</v>
      </c>
      <c r="F181" t="s">
        <v>88</v>
      </c>
      <c r="G181" s="19">
        <v>45412</v>
      </c>
      <c r="H181" t="s">
        <v>108</v>
      </c>
      <c r="I181" t="s">
        <v>108</v>
      </c>
      <c r="Q181" s="3">
        <f t="shared" si="2"/>
        <v>25.4</v>
      </c>
      <c r="R181" t="s">
        <v>138</v>
      </c>
      <c r="S181" t="s">
        <v>137</v>
      </c>
      <c r="T181" t="s">
        <v>65</v>
      </c>
    </row>
    <row r="182" spans="1:20" x14ac:dyDescent="0.35">
      <c r="A182" t="s">
        <v>35</v>
      </c>
      <c r="B182" t="s">
        <v>6098</v>
      </c>
      <c r="C182" t="s">
        <v>24</v>
      </c>
      <c r="D182" t="s">
        <v>25</v>
      </c>
      <c r="E182">
        <v>23.69</v>
      </c>
      <c r="F182" t="s">
        <v>88</v>
      </c>
      <c r="G182" s="19">
        <v>45468</v>
      </c>
      <c r="H182" t="s">
        <v>6099</v>
      </c>
      <c r="I182" t="s">
        <v>6100</v>
      </c>
      <c r="Q182" s="3">
        <f t="shared" si="2"/>
        <v>23.69</v>
      </c>
      <c r="R182" t="s">
        <v>138</v>
      </c>
      <c r="S182" t="s">
        <v>137</v>
      </c>
      <c r="T182" t="s">
        <v>65</v>
      </c>
    </row>
    <row r="183" spans="1:20" x14ac:dyDescent="0.35">
      <c r="A183" t="s">
        <v>35</v>
      </c>
      <c r="B183" t="s">
        <v>618</v>
      </c>
      <c r="C183" t="s">
        <v>24</v>
      </c>
      <c r="D183" t="s">
        <v>25</v>
      </c>
      <c r="E183">
        <v>-23.69</v>
      </c>
      <c r="F183" t="s">
        <v>88</v>
      </c>
      <c r="G183" s="19">
        <v>45468</v>
      </c>
      <c r="H183" t="s">
        <v>6099</v>
      </c>
      <c r="I183" t="s">
        <v>6100</v>
      </c>
      <c r="Q183" s="3">
        <f t="shared" si="2"/>
        <v>23.69</v>
      </c>
      <c r="R183" t="s">
        <v>138</v>
      </c>
      <c r="S183" t="s">
        <v>137</v>
      </c>
      <c r="T183" t="s">
        <v>65</v>
      </c>
    </row>
    <row r="184" spans="1:20" x14ac:dyDescent="0.35">
      <c r="A184" t="s">
        <v>35</v>
      </c>
      <c r="B184" t="s">
        <v>6098</v>
      </c>
      <c r="C184" t="s">
        <v>24</v>
      </c>
      <c r="D184" t="s">
        <v>25</v>
      </c>
      <c r="E184">
        <v>-23.69</v>
      </c>
      <c r="F184" t="s">
        <v>88</v>
      </c>
      <c r="G184" s="19">
        <v>45593</v>
      </c>
      <c r="H184" t="s">
        <v>6100</v>
      </c>
      <c r="I184" t="s">
        <v>6100</v>
      </c>
      <c r="Q184" s="3">
        <f t="shared" si="2"/>
        <v>23.69</v>
      </c>
      <c r="R184" t="s">
        <v>138</v>
      </c>
      <c r="S184" t="s">
        <v>137</v>
      </c>
    </row>
    <row r="185" spans="1:20" x14ac:dyDescent="0.35">
      <c r="A185" t="s">
        <v>35</v>
      </c>
      <c r="B185" t="s">
        <v>618</v>
      </c>
      <c r="C185" t="s">
        <v>24</v>
      </c>
      <c r="D185" t="s">
        <v>25</v>
      </c>
      <c r="E185">
        <v>23.69</v>
      </c>
      <c r="F185" t="s">
        <v>88</v>
      </c>
      <c r="G185" s="19">
        <v>45593</v>
      </c>
      <c r="H185" t="s">
        <v>6100</v>
      </c>
      <c r="I185" t="s">
        <v>6100</v>
      </c>
      <c r="Q185" s="3">
        <f t="shared" si="2"/>
        <v>23.69</v>
      </c>
      <c r="R185" t="s">
        <v>138</v>
      </c>
      <c r="S185" t="s">
        <v>137</v>
      </c>
    </row>
    <row r="186" spans="1:20" x14ac:dyDescent="0.35">
      <c r="A186" t="s">
        <v>0</v>
      </c>
      <c r="B186" t="s">
        <v>1123</v>
      </c>
      <c r="C186" t="s">
        <v>24</v>
      </c>
      <c r="D186" t="s">
        <v>25</v>
      </c>
      <c r="E186">
        <v>21.1</v>
      </c>
      <c r="F186" t="s">
        <v>88</v>
      </c>
      <c r="G186" s="19">
        <v>45385</v>
      </c>
      <c r="H186" t="s">
        <v>318</v>
      </c>
      <c r="I186" t="s">
        <v>319</v>
      </c>
      <c r="Q186" s="3">
        <f t="shared" si="2"/>
        <v>21.1</v>
      </c>
      <c r="R186" t="s">
        <v>138</v>
      </c>
      <c r="S186" t="s">
        <v>137</v>
      </c>
      <c r="T186" t="s">
        <v>65</v>
      </c>
    </row>
    <row r="187" spans="1:20" x14ac:dyDescent="0.35">
      <c r="A187" t="s">
        <v>0</v>
      </c>
      <c r="B187" t="s">
        <v>838</v>
      </c>
      <c r="C187" t="s">
        <v>24</v>
      </c>
      <c r="D187" t="s">
        <v>25</v>
      </c>
      <c r="E187">
        <v>21.1</v>
      </c>
      <c r="F187" t="s">
        <v>88</v>
      </c>
      <c r="G187" s="19">
        <v>45391</v>
      </c>
      <c r="H187" t="s">
        <v>318</v>
      </c>
      <c r="I187" t="s">
        <v>319</v>
      </c>
      <c r="Q187" s="3">
        <f t="shared" si="2"/>
        <v>21.1</v>
      </c>
      <c r="R187" t="s">
        <v>138</v>
      </c>
      <c r="S187" t="s">
        <v>137</v>
      </c>
      <c r="T187" t="s">
        <v>65</v>
      </c>
    </row>
    <row r="188" spans="1:20" x14ac:dyDescent="0.35">
      <c r="A188" t="s">
        <v>0</v>
      </c>
      <c r="B188" t="s">
        <v>893</v>
      </c>
      <c r="C188" t="s">
        <v>24</v>
      </c>
      <c r="D188" t="s">
        <v>25</v>
      </c>
      <c r="E188">
        <v>21.1</v>
      </c>
      <c r="F188" t="s">
        <v>88</v>
      </c>
      <c r="G188" s="19">
        <v>45397</v>
      </c>
      <c r="H188" t="s">
        <v>318</v>
      </c>
      <c r="I188" t="s">
        <v>319</v>
      </c>
      <c r="Q188" s="3">
        <f t="shared" si="2"/>
        <v>21.1</v>
      </c>
      <c r="R188" t="s">
        <v>138</v>
      </c>
      <c r="S188" t="s">
        <v>137</v>
      </c>
      <c r="T188" t="s">
        <v>65</v>
      </c>
    </row>
    <row r="189" spans="1:20" x14ac:dyDescent="0.35">
      <c r="A189" t="s">
        <v>0</v>
      </c>
      <c r="B189" t="s">
        <v>2543</v>
      </c>
      <c r="C189" t="s">
        <v>24</v>
      </c>
      <c r="D189" t="s">
        <v>25</v>
      </c>
      <c r="E189">
        <v>21.1</v>
      </c>
      <c r="F189" t="s">
        <v>88</v>
      </c>
      <c r="G189" s="19">
        <v>45398</v>
      </c>
      <c r="H189" t="s">
        <v>318</v>
      </c>
      <c r="I189" t="s">
        <v>319</v>
      </c>
      <c r="Q189" s="3">
        <f t="shared" si="2"/>
        <v>21.1</v>
      </c>
      <c r="R189" t="s">
        <v>138</v>
      </c>
      <c r="S189" t="s">
        <v>137</v>
      </c>
      <c r="T189" t="s">
        <v>65</v>
      </c>
    </row>
    <row r="190" spans="1:20" x14ac:dyDescent="0.35">
      <c r="A190" t="s">
        <v>0</v>
      </c>
      <c r="B190" t="s">
        <v>3466</v>
      </c>
      <c r="C190" t="s">
        <v>24</v>
      </c>
      <c r="D190" t="s">
        <v>25</v>
      </c>
      <c r="E190">
        <v>21.1</v>
      </c>
      <c r="F190" t="s">
        <v>88</v>
      </c>
      <c r="G190" s="19">
        <v>45404</v>
      </c>
      <c r="H190" t="s">
        <v>318</v>
      </c>
      <c r="I190" t="s">
        <v>319</v>
      </c>
      <c r="Q190" s="3">
        <f t="shared" si="2"/>
        <v>21.1</v>
      </c>
      <c r="R190" t="s">
        <v>138</v>
      </c>
      <c r="S190" t="s">
        <v>137</v>
      </c>
      <c r="T190" t="s">
        <v>65</v>
      </c>
    </row>
    <row r="191" spans="1:20" x14ac:dyDescent="0.35">
      <c r="A191" t="s">
        <v>0</v>
      </c>
      <c r="B191" t="s">
        <v>2543</v>
      </c>
      <c r="C191" t="s">
        <v>24</v>
      </c>
      <c r="D191" t="s">
        <v>25</v>
      </c>
      <c r="E191">
        <v>21.1</v>
      </c>
      <c r="F191" t="s">
        <v>88</v>
      </c>
      <c r="G191" s="19">
        <v>45406</v>
      </c>
      <c r="H191" t="s">
        <v>318</v>
      </c>
      <c r="I191" t="s">
        <v>319</v>
      </c>
      <c r="Q191" s="3">
        <f t="shared" si="2"/>
        <v>21.1</v>
      </c>
      <c r="R191" t="s">
        <v>138</v>
      </c>
      <c r="S191" t="s">
        <v>137</v>
      </c>
      <c r="T191" t="s">
        <v>65</v>
      </c>
    </row>
    <row r="192" spans="1:20" x14ac:dyDescent="0.35">
      <c r="A192" t="s">
        <v>0</v>
      </c>
      <c r="B192" t="s">
        <v>601</v>
      </c>
      <c r="C192" t="s">
        <v>24</v>
      </c>
      <c r="D192" t="s">
        <v>25</v>
      </c>
      <c r="E192">
        <v>21.1</v>
      </c>
      <c r="F192" t="s">
        <v>88</v>
      </c>
      <c r="G192" s="19">
        <v>45411</v>
      </c>
      <c r="H192" t="s">
        <v>318</v>
      </c>
      <c r="I192" t="s">
        <v>319</v>
      </c>
      <c r="Q192" s="3">
        <f t="shared" si="2"/>
        <v>21.1</v>
      </c>
      <c r="R192" t="s">
        <v>138</v>
      </c>
      <c r="S192" t="s">
        <v>137</v>
      </c>
      <c r="T192" t="s">
        <v>65</v>
      </c>
    </row>
    <row r="193" spans="1:20" x14ac:dyDescent="0.35">
      <c r="A193" t="s">
        <v>0</v>
      </c>
      <c r="B193" t="s">
        <v>2226</v>
      </c>
      <c r="C193" t="s">
        <v>24</v>
      </c>
      <c r="D193" t="s">
        <v>25</v>
      </c>
      <c r="E193">
        <v>21.1</v>
      </c>
      <c r="F193" t="s">
        <v>88</v>
      </c>
      <c r="G193" s="19">
        <v>45418</v>
      </c>
      <c r="H193" t="s">
        <v>318</v>
      </c>
      <c r="I193" t="s">
        <v>319</v>
      </c>
      <c r="Q193" s="3">
        <f t="shared" si="2"/>
        <v>21.1</v>
      </c>
      <c r="R193" t="s">
        <v>138</v>
      </c>
      <c r="S193" t="s">
        <v>137</v>
      </c>
      <c r="T193" t="s">
        <v>65</v>
      </c>
    </row>
    <row r="194" spans="1:20" x14ac:dyDescent="0.35">
      <c r="A194" t="s">
        <v>0</v>
      </c>
      <c r="B194" t="s">
        <v>881</v>
      </c>
      <c r="C194" t="s">
        <v>24</v>
      </c>
      <c r="D194" t="s">
        <v>25</v>
      </c>
      <c r="E194">
        <v>21.1</v>
      </c>
      <c r="F194" t="s">
        <v>88</v>
      </c>
      <c r="G194" s="19">
        <v>45461</v>
      </c>
      <c r="H194" t="s">
        <v>318</v>
      </c>
      <c r="I194" t="s">
        <v>319</v>
      </c>
      <c r="Q194" s="3">
        <f t="shared" si="2"/>
        <v>21.1</v>
      </c>
      <c r="R194" t="s">
        <v>138</v>
      </c>
      <c r="S194" t="s">
        <v>137</v>
      </c>
      <c r="T194" t="s">
        <v>65</v>
      </c>
    </row>
    <row r="195" spans="1:20" x14ac:dyDescent="0.35">
      <c r="A195" t="s">
        <v>0</v>
      </c>
      <c r="B195" t="s">
        <v>615</v>
      </c>
      <c r="C195" t="s">
        <v>24</v>
      </c>
      <c r="D195" t="s">
        <v>25</v>
      </c>
      <c r="E195">
        <v>21.1</v>
      </c>
      <c r="F195" t="s">
        <v>88</v>
      </c>
      <c r="G195" s="19">
        <v>45468</v>
      </c>
      <c r="H195" t="s">
        <v>318</v>
      </c>
      <c r="I195" t="s">
        <v>319</v>
      </c>
      <c r="Q195" s="3">
        <f t="shared" si="2"/>
        <v>21.1</v>
      </c>
      <c r="R195" t="s">
        <v>138</v>
      </c>
      <c r="S195" t="s">
        <v>137</v>
      </c>
      <c r="T195" t="s">
        <v>65</v>
      </c>
    </row>
    <row r="196" spans="1:20" x14ac:dyDescent="0.35">
      <c r="A196" t="s">
        <v>0</v>
      </c>
      <c r="B196" t="s">
        <v>2543</v>
      </c>
      <c r="C196" t="s">
        <v>24</v>
      </c>
      <c r="D196" t="s">
        <v>25</v>
      </c>
      <c r="E196">
        <v>21.1</v>
      </c>
      <c r="F196" t="s">
        <v>88</v>
      </c>
      <c r="G196" s="19">
        <v>45469</v>
      </c>
      <c r="H196" t="s">
        <v>318</v>
      </c>
      <c r="I196" t="s">
        <v>319</v>
      </c>
      <c r="Q196" s="3">
        <f t="shared" si="2"/>
        <v>21.1</v>
      </c>
      <c r="R196" t="s">
        <v>138</v>
      </c>
      <c r="S196" t="s">
        <v>137</v>
      </c>
    </row>
    <row r="197" spans="1:20" x14ac:dyDescent="0.35">
      <c r="A197" t="s">
        <v>0</v>
      </c>
      <c r="B197" t="s">
        <v>2208</v>
      </c>
      <c r="C197" t="s">
        <v>24</v>
      </c>
      <c r="D197" t="s">
        <v>25</v>
      </c>
      <c r="E197">
        <v>21.1</v>
      </c>
      <c r="F197" t="s">
        <v>88</v>
      </c>
      <c r="G197" s="19">
        <v>45485</v>
      </c>
      <c r="H197" t="s">
        <v>318</v>
      </c>
      <c r="I197" t="s">
        <v>319</v>
      </c>
      <c r="Q197" s="3">
        <f t="shared" si="2"/>
        <v>21.1</v>
      </c>
      <c r="R197" t="s">
        <v>138</v>
      </c>
      <c r="S197" t="s">
        <v>137</v>
      </c>
    </row>
    <row r="198" spans="1:20" x14ac:dyDescent="0.35">
      <c r="A198" t="s">
        <v>0</v>
      </c>
      <c r="B198" t="s">
        <v>615</v>
      </c>
      <c r="C198" t="s">
        <v>24</v>
      </c>
      <c r="D198" t="s">
        <v>25</v>
      </c>
      <c r="E198">
        <v>21.1</v>
      </c>
      <c r="F198" t="s">
        <v>88</v>
      </c>
      <c r="G198" s="19">
        <v>45488</v>
      </c>
      <c r="H198" t="s">
        <v>318</v>
      </c>
      <c r="I198" t="s">
        <v>319</v>
      </c>
      <c r="Q198" s="3">
        <f t="shared" si="2"/>
        <v>21.1</v>
      </c>
      <c r="R198" t="s">
        <v>138</v>
      </c>
      <c r="S198" t="s">
        <v>137</v>
      </c>
    </row>
    <row r="199" spans="1:20" x14ac:dyDescent="0.35">
      <c r="A199" t="s">
        <v>0</v>
      </c>
      <c r="B199" t="s">
        <v>756</v>
      </c>
      <c r="C199" t="s">
        <v>24</v>
      </c>
      <c r="D199" t="s">
        <v>25</v>
      </c>
      <c r="E199">
        <v>21.1</v>
      </c>
      <c r="F199" t="s">
        <v>88</v>
      </c>
      <c r="G199" s="19">
        <v>45509</v>
      </c>
      <c r="H199" t="s">
        <v>318</v>
      </c>
      <c r="I199" t="s">
        <v>319</v>
      </c>
      <c r="Q199" s="3">
        <f t="shared" si="2"/>
        <v>21.1</v>
      </c>
      <c r="R199" t="s">
        <v>138</v>
      </c>
      <c r="S199" t="s">
        <v>137</v>
      </c>
    </row>
    <row r="200" spans="1:20" x14ac:dyDescent="0.35">
      <c r="A200" t="s">
        <v>0</v>
      </c>
      <c r="B200" t="s">
        <v>1533</v>
      </c>
      <c r="C200" t="s">
        <v>24</v>
      </c>
      <c r="D200" t="s">
        <v>25</v>
      </c>
      <c r="E200">
        <v>21.1</v>
      </c>
      <c r="F200" t="s">
        <v>88</v>
      </c>
      <c r="G200" s="19">
        <v>45516</v>
      </c>
      <c r="H200" t="s">
        <v>318</v>
      </c>
      <c r="I200" t="s">
        <v>319</v>
      </c>
      <c r="Q200" s="3">
        <f t="shared" ref="Q200:Q263" si="3">ABS(E200)</f>
        <v>21.1</v>
      </c>
      <c r="R200" t="s">
        <v>138</v>
      </c>
      <c r="S200" t="s">
        <v>137</v>
      </c>
    </row>
    <row r="201" spans="1:20" x14ac:dyDescent="0.35">
      <c r="A201" t="s">
        <v>0</v>
      </c>
      <c r="B201" t="s">
        <v>2208</v>
      </c>
      <c r="C201" t="s">
        <v>24</v>
      </c>
      <c r="D201" t="s">
        <v>25</v>
      </c>
      <c r="E201">
        <v>21.1</v>
      </c>
      <c r="F201" t="s">
        <v>88</v>
      </c>
      <c r="G201" s="19">
        <v>45531</v>
      </c>
      <c r="H201" t="s">
        <v>318</v>
      </c>
      <c r="I201" t="s">
        <v>319</v>
      </c>
      <c r="Q201" s="3">
        <f t="shared" si="3"/>
        <v>21.1</v>
      </c>
      <c r="R201" t="s">
        <v>138</v>
      </c>
      <c r="S201" t="s">
        <v>137</v>
      </c>
    </row>
    <row r="202" spans="1:20" x14ac:dyDescent="0.35">
      <c r="A202" t="s">
        <v>0</v>
      </c>
      <c r="B202" t="s">
        <v>1123</v>
      </c>
      <c r="C202" t="s">
        <v>24</v>
      </c>
      <c r="D202" t="s">
        <v>25</v>
      </c>
      <c r="E202">
        <v>21.1</v>
      </c>
      <c r="F202" t="s">
        <v>88</v>
      </c>
      <c r="G202" s="19">
        <v>45546</v>
      </c>
      <c r="H202" t="s">
        <v>318</v>
      </c>
      <c r="I202" t="s">
        <v>319</v>
      </c>
      <c r="Q202" s="3">
        <f t="shared" si="3"/>
        <v>21.1</v>
      </c>
      <c r="R202" t="s">
        <v>138</v>
      </c>
      <c r="S202" t="s">
        <v>137</v>
      </c>
    </row>
    <row r="203" spans="1:20" x14ac:dyDescent="0.35">
      <c r="A203" t="s">
        <v>0</v>
      </c>
      <c r="B203" t="s">
        <v>6057</v>
      </c>
      <c r="C203" t="s">
        <v>24</v>
      </c>
      <c r="D203" t="s">
        <v>25</v>
      </c>
      <c r="E203">
        <v>21.1</v>
      </c>
      <c r="F203" t="s">
        <v>88</v>
      </c>
      <c r="G203" s="19">
        <v>45547</v>
      </c>
      <c r="H203" t="s">
        <v>318</v>
      </c>
      <c r="I203" t="s">
        <v>319</v>
      </c>
      <c r="Q203" s="3">
        <f t="shared" si="3"/>
        <v>21.1</v>
      </c>
      <c r="R203" t="s">
        <v>138</v>
      </c>
      <c r="S203" t="s">
        <v>137</v>
      </c>
    </row>
    <row r="204" spans="1:20" x14ac:dyDescent="0.35">
      <c r="A204" t="s">
        <v>0</v>
      </c>
      <c r="B204" t="s">
        <v>6145</v>
      </c>
      <c r="C204" t="s">
        <v>24</v>
      </c>
      <c r="D204" t="s">
        <v>25</v>
      </c>
      <c r="E204">
        <v>21.1</v>
      </c>
      <c r="F204" t="s">
        <v>88</v>
      </c>
      <c r="G204" s="19">
        <v>45551</v>
      </c>
      <c r="H204" t="s">
        <v>318</v>
      </c>
      <c r="I204" t="s">
        <v>319</v>
      </c>
      <c r="Q204" s="3">
        <f t="shared" si="3"/>
        <v>21.1</v>
      </c>
      <c r="R204" t="s">
        <v>138</v>
      </c>
      <c r="S204" t="s">
        <v>137</v>
      </c>
    </row>
    <row r="205" spans="1:20" x14ac:dyDescent="0.35">
      <c r="A205" t="s">
        <v>0</v>
      </c>
      <c r="B205" t="s">
        <v>1053</v>
      </c>
      <c r="C205" t="s">
        <v>24</v>
      </c>
      <c r="D205" t="s">
        <v>25</v>
      </c>
      <c r="E205">
        <v>21.1</v>
      </c>
      <c r="F205" t="s">
        <v>88</v>
      </c>
      <c r="G205" s="19">
        <v>45569</v>
      </c>
      <c r="H205" t="s">
        <v>318</v>
      </c>
      <c r="I205" t="s">
        <v>319</v>
      </c>
      <c r="Q205" s="3">
        <f t="shared" si="3"/>
        <v>21.1</v>
      </c>
      <c r="R205" t="s">
        <v>138</v>
      </c>
      <c r="S205" t="s">
        <v>137</v>
      </c>
    </row>
    <row r="206" spans="1:20" x14ac:dyDescent="0.35">
      <c r="A206" t="s">
        <v>0</v>
      </c>
      <c r="B206" t="s">
        <v>2031</v>
      </c>
      <c r="C206" t="s">
        <v>24</v>
      </c>
      <c r="D206" t="s">
        <v>25</v>
      </c>
      <c r="E206">
        <v>21.1</v>
      </c>
      <c r="F206" t="s">
        <v>88</v>
      </c>
      <c r="G206" s="19">
        <v>45587</v>
      </c>
      <c r="H206" t="s">
        <v>318</v>
      </c>
      <c r="I206" t="s">
        <v>319</v>
      </c>
      <c r="Q206" s="3">
        <f t="shared" si="3"/>
        <v>21.1</v>
      </c>
      <c r="R206" t="s">
        <v>138</v>
      </c>
      <c r="S206" t="s">
        <v>137</v>
      </c>
    </row>
    <row r="207" spans="1:20" x14ac:dyDescent="0.35">
      <c r="A207" t="s">
        <v>0</v>
      </c>
      <c r="B207" t="s">
        <v>2226</v>
      </c>
      <c r="C207" t="s">
        <v>24</v>
      </c>
      <c r="D207" t="s">
        <v>25</v>
      </c>
      <c r="E207">
        <v>21.1</v>
      </c>
      <c r="F207" t="s">
        <v>88</v>
      </c>
      <c r="G207" s="19">
        <v>45618</v>
      </c>
      <c r="H207" t="s">
        <v>318</v>
      </c>
      <c r="I207" t="s">
        <v>319</v>
      </c>
      <c r="Q207" s="3">
        <f t="shared" si="3"/>
        <v>21.1</v>
      </c>
      <c r="R207" t="s">
        <v>138</v>
      </c>
      <c r="S207" t="s">
        <v>137</v>
      </c>
    </row>
    <row r="208" spans="1:20" x14ac:dyDescent="0.35">
      <c r="A208" t="s">
        <v>0</v>
      </c>
      <c r="B208" t="s">
        <v>1995</v>
      </c>
      <c r="C208" t="s">
        <v>24</v>
      </c>
      <c r="D208" t="s">
        <v>25</v>
      </c>
      <c r="E208">
        <v>21.1</v>
      </c>
      <c r="F208" t="s">
        <v>88</v>
      </c>
      <c r="G208" s="19">
        <v>45624</v>
      </c>
      <c r="H208" t="s">
        <v>318</v>
      </c>
      <c r="I208" t="s">
        <v>319</v>
      </c>
      <c r="Q208" s="3">
        <f t="shared" si="3"/>
        <v>21.1</v>
      </c>
      <c r="R208" t="s">
        <v>138</v>
      </c>
      <c r="S208" t="s">
        <v>137</v>
      </c>
    </row>
    <row r="209" spans="1:20" x14ac:dyDescent="0.35">
      <c r="A209" t="s">
        <v>35</v>
      </c>
      <c r="B209" t="s">
        <v>6098</v>
      </c>
      <c r="C209" t="s">
        <v>24</v>
      </c>
      <c r="D209" t="s">
        <v>25</v>
      </c>
      <c r="E209">
        <v>20.66</v>
      </c>
      <c r="F209" t="s">
        <v>88</v>
      </c>
      <c r="G209" s="19">
        <v>45468</v>
      </c>
      <c r="H209" t="s">
        <v>6099</v>
      </c>
      <c r="I209" t="s">
        <v>6101</v>
      </c>
      <c r="Q209" s="3">
        <f t="shared" si="3"/>
        <v>20.66</v>
      </c>
      <c r="R209" t="s">
        <v>138</v>
      </c>
      <c r="S209" t="s">
        <v>137</v>
      </c>
      <c r="T209" t="s">
        <v>65</v>
      </c>
    </row>
    <row r="210" spans="1:20" x14ac:dyDescent="0.35">
      <c r="A210" t="s">
        <v>35</v>
      </c>
      <c r="B210" t="s">
        <v>618</v>
      </c>
      <c r="C210" t="s">
        <v>24</v>
      </c>
      <c r="D210" t="s">
        <v>25</v>
      </c>
      <c r="E210">
        <v>-20.66</v>
      </c>
      <c r="F210" t="s">
        <v>88</v>
      </c>
      <c r="G210" s="19">
        <v>45468</v>
      </c>
      <c r="H210" t="s">
        <v>6099</v>
      </c>
      <c r="I210" t="s">
        <v>6101</v>
      </c>
      <c r="Q210" s="3">
        <f t="shared" si="3"/>
        <v>20.66</v>
      </c>
      <c r="R210" t="s">
        <v>138</v>
      </c>
      <c r="S210" t="s">
        <v>137</v>
      </c>
      <c r="T210" t="s">
        <v>65</v>
      </c>
    </row>
    <row r="211" spans="1:20" x14ac:dyDescent="0.35">
      <c r="A211" t="s">
        <v>35</v>
      </c>
      <c r="B211" t="s">
        <v>6098</v>
      </c>
      <c r="C211" t="s">
        <v>24</v>
      </c>
      <c r="D211" t="s">
        <v>25</v>
      </c>
      <c r="E211">
        <v>-20.66</v>
      </c>
      <c r="F211" t="s">
        <v>88</v>
      </c>
      <c r="G211" s="19">
        <v>45593</v>
      </c>
      <c r="H211" t="s">
        <v>6100</v>
      </c>
      <c r="I211" t="s">
        <v>6101</v>
      </c>
      <c r="Q211" s="3">
        <f t="shared" si="3"/>
        <v>20.66</v>
      </c>
      <c r="R211" t="s">
        <v>138</v>
      </c>
      <c r="S211" t="s">
        <v>137</v>
      </c>
    </row>
    <row r="212" spans="1:20" x14ac:dyDescent="0.35">
      <c r="A212" t="s">
        <v>35</v>
      </c>
      <c r="B212" t="s">
        <v>618</v>
      </c>
      <c r="C212" t="s">
        <v>24</v>
      </c>
      <c r="D212" t="s">
        <v>25</v>
      </c>
      <c r="E212">
        <v>20.66</v>
      </c>
      <c r="F212" t="s">
        <v>88</v>
      </c>
      <c r="G212" s="19">
        <v>45593</v>
      </c>
      <c r="H212" t="s">
        <v>6100</v>
      </c>
      <c r="I212" t="s">
        <v>6101</v>
      </c>
      <c r="Q212" s="3">
        <f t="shared" si="3"/>
        <v>20.66</v>
      </c>
      <c r="R212" t="s">
        <v>138</v>
      </c>
      <c r="S212" t="s">
        <v>137</v>
      </c>
    </row>
    <row r="213" spans="1:20" x14ac:dyDescent="0.35">
      <c r="A213" t="s">
        <v>35</v>
      </c>
      <c r="B213" t="s">
        <v>1884</v>
      </c>
      <c r="C213" t="s">
        <v>24</v>
      </c>
      <c r="D213" t="s">
        <v>25</v>
      </c>
      <c r="E213">
        <v>20</v>
      </c>
      <c r="F213" t="s">
        <v>88</v>
      </c>
      <c r="G213" s="19">
        <v>45593</v>
      </c>
      <c r="H213" t="s">
        <v>6100</v>
      </c>
      <c r="I213" t="s">
        <v>6177</v>
      </c>
      <c r="Q213" s="3">
        <f t="shared" si="3"/>
        <v>20</v>
      </c>
      <c r="R213" t="s">
        <v>138</v>
      </c>
      <c r="S213" t="s">
        <v>137</v>
      </c>
    </row>
    <row r="214" spans="1:20" x14ac:dyDescent="0.35">
      <c r="A214" t="s">
        <v>35</v>
      </c>
      <c r="B214" t="s">
        <v>6047</v>
      </c>
      <c r="C214" t="s">
        <v>24</v>
      </c>
      <c r="D214" t="s">
        <v>25</v>
      </c>
      <c r="E214">
        <v>-20</v>
      </c>
      <c r="F214" t="s">
        <v>88</v>
      </c>
      <c r="G214" s="19">
        <v>45593</v>
      </c>
      <c r="H214" t="s">
        <v>6100</v>
      </c>
      <c r="I214" t="s">
        <v>6177</v>
      </c>
      <c r="Q214" s="3">
        <f t="shared" si="3"/>
        <v>20</v>
      </c>
      <c r="R214" t="s">
        <v>138</v>
      </c>
      <c r="S214" t="s">
        <v>137</v>
      </c>
    </row>
    <row r="215" spans="1:20" x14ac:dyDescent="0.35">
      <c r="A215" t="s">
        <v>0</v>
      </c>
      <c r="B215" t="s">
        <v>6145</v>
      </c>
      <c r="C215" t="s">
        <v>24</v>
      </c>
      <c r="D215" t="s">
        <v>25</v>
      </c>
      <c r="E215">
        <v>-16.28</v>
      </c>
      <c r="F215" t="s">
        <v>88</v>
      </c>
      <c r="G215" s="19">
        <v>45596</v>
      </c>
      <c r="H215" t="s">
        <v>318</v>
      </c>
      <c r="I215" t="s">
        <v>6182</v>
      </c>
      <c r="Q215" s="3">
        <f t="shared" si="3"/>
        <v>16.28</v>
      </c>
      <c r="R215" t="s">
        <v>138</v>
      </c>
      <c r="S215" t="s">
        <v>137</v>
      </c>
    </row>
    <row r="216" spans="1:20" x14ac:dyDescent="0.35">
      <c r="A216" t="s">
        <v>0</v>
      </c>
      <c r="B216" t="s">
        <v>6057</v>
      </c>
      <c r="C216" t="s">
        <v>24</v>
      </c>
      <c r="D216" t="s">
        <v>25</v>
      </c>
      <c r="E216">
        <v>15.4</v>
      </c>
      <c r="F216" t="s">
        <v>88</v>
      </c>
      <c r="G216" s="19">
        <v>45569</v>
      </c>
      <c r="H216" t="s">
        <v>318</v>
      </c>
      <c r="I216" t="s">
        <v>6158</v>
      </c>
      <c r="Q216" s="3">
        <f t="shared" si="3"/>
        <v>15.4</v>
      </c>
      <c r="R216" t="s">
        <v>138</v>
      </c>
      <c r="S216" t="s">
        <v>137</v>
      </c>
    </row>
    <row r="217" spans="1:20" x14ac:dyDescent="0.35">
      <c r="A217" t="s">
        <v>0</v>
      </c>
      <c r="B217" t="s">
        <v>724</v>
      </c>
      <c r="C217" t="s">
        <v>24</v>
      </c>
      <c r="D217" t="s">
        <v>25</v>
      </c>
      <c r="E217">
        <v>14.5</v>
      </c>
      <c r="F217" t="s">
        <v>88</v>
      </c>
      <c r="G217" s="19">
        <v>45586</v>
      </c>
      <c r="H217" t="s">
        <v>318</v>
      </c>
      <c r="I217" t="s">
        <v>319</v>
      </c>
      <c r="Q217" s="3">
        <f t="shared" si="3"/>
        <v>14.5</v>
      </c>
      <c r="R217" t="s">
        <v>138</v>
      </c>
      <c r="S217" t="s">
        <v>137</v>
      </c>
    </row>
    <row r="218" spans="1:20" x14ac:dyDescent="0.35">
      <c r="A218" t="s">
        <v>0</v>
      </c>
      <c r="B218" t="s">
        <v>1053</v>
      </c>
      <c r="C218" t="s">
        <v>24</v>
      </c>
      <c r="D218" t="s">
        <v>25</v>
      </c>
      <c r="E218">
        <v>14.47</v>
      </c>
      <c r="F218" t="s">
        <v>88</v>
      </c>
      <c r="G218" s="19">
        <v>45408</v>
      </c>
      <c r="H218" t="s">
        <v>318</v>
      </c>
      <c r="I218" t="s">
        <v>101</v>
      </c>
      <c r="Q218" s="3">
        <f t="shared" si="3"/>
        <v>14.47</v>
      </c>
      <c r="R218" t="s">
        <v>138</v>
      </c>
      <c r="S218" t="s">
        <v>137</v>
      </c>
      <c r="T218" t="s">
        <v>65</v>
      </c>
    </row>
    <row r="219" spans="1:20" x14ac:dyDescent="0.35">
      <c r="A219" t="s">
        <v>0</v>
      </c>
      <c r="B219" t="s">
        <v>601</v>
      </c>
      <c r="C219" t="s">
        <v>24</v>
      </c>
      <c r="D219" t="s">
        <v>25</v>
      </c>
      <c r="E219">
        <v>14.47</v>
      </c>
      <c r="F219" t="s">
        <v>88</v>
      </c>
      <c r="G219" s="19">
        <v>45412</v>
      </c>
      <c r="H219" t="s">
        <v>318</v>
      </c>
      <c r="I219" t="s">
        <v>319</v>
      </c>
      <c r="Q219" s="3">
        <f t="shared" si="3"/>
        <v>14.47</v>
      </c>
      <c r="R219" t="s">
        <v>138</v>
      </c>
      <c r="S219" t="s">
        <v>137</v>
      </c>
      <c r="T219" t="s">
        <v>65</v>
      </c>
    </row>
    <row r="220" spans="1:20" x14ac:dyDescent="0.35">
      <c r="A220" t="s">
        <v>0</v>
      </c>
      <c r="B220" t="s">
        <v>2031</v>
      </c>
      <c r="C220" t="s">
        <v>24</v>
      </c>
      <c r="D220" t="s">
        <v>25</v>
      </c>
      <c r="E220">
        <v>14.47</v>
      </c>
      <c r="F220" t="s">
        <v>88</v>
      </c>
      <c r="G220" s="19">
        <v>45420</v>
      </c>
      <c r="H220" t="s">
        <v>318</v>
      </c>
      <c r="I220" t="s">
        <v>319</v>
      </c>
      <c r="Q220" s="3">
        <f t="shared" si="3"/>
        <v>14.47</v>
      </c>
      <c r="R220" t="s">
        <v>138</v>
      </c>
      <c r="S220" t="s">
        <v>137</v>
      </c>
      <c r="T220" t="s">
        <v>65</v>
      </c>
    </row>
    <row r="221" spans="1:20" x14ac:dyDescent="0.35">
      <c r="A221" t="s">
        <v>0</v>
      </c>
      <c r="B221" t="s">
        <v>6057</v>
      </c>
      <c r="C221" t="s">
        <v>24</v>
      </c>
      <c r="D221" t="s">
        <v>25</v>
      </c>
      <c r="E221">
        <v>14.47</v>
      </c>
      <c r="F221" t="s">
        <v>88</v>
      </c>
      <c r="G221" s="19">
        <v>45421</v>
      </c>
      <c r="H221" t="s">
        <v>318</v>
      </c>
      <c r="I221" t="s">
        <v>319</v>
      </c>
      <c r="Q221" s="3">
        <f t="shared" si="3"/>
        <v>14.47</v>
      </c>
      <c r="R221" t="s">
        <v>138</v>
      </c>
      <c r="S221" t="s">
        <v>137</v>
      </c>
      <c r="T221" t="s">
        <v>65</v>
      </c>
    </row>
    <row r="222" spans="1:20" x14ac:dyDescent="0.35">
      <c r="A222" t="s">
        <v>0</v>
      </c>
      <c r="B222" t="s">
        <v>2473</v>
      </c>
      <c r="C222" t="s">
        <v>24</v>
      </c>
      <c r="D222" t="s">
        <v>25</v>
      </c>
      <c r="E222">
        <v>14.47</v>
      </c>
      <c r="F222" t="s">
        <v>88</v>
      </c>
      <c r="G222" s="19">
        <v>45434</v>
      </c>
      <c r="H222" t="s">
        <v>318</v>
      </c>
      <c r="I222" t="s">
        <v>319</v>
      </c>
      <c r="Q222" s="3">
        <f t="shared" si="3"/>
        <v>14.47</v>
      </c>
      <c r="R222" t="s">
        <v>138</v>
      </c>
      <c r="S222" t="s">
        <v>137</v>
      </c>
      <c r="T222" t="s">
        <v>65</v>
      </c>
    </row>
    <row r="223" spans="1:20" x14ac:dyDescent="0.35">
      <c r="A223" t="s">
        <v>0</v>
      </c>
      <c r="B223" t="s">
        <v>724</v>
      </c>
      <c r="C223" t="s">
        <v>24</v>
      </c>
      <c r="D223" t="s">
        <v>25</v>
      </c>
      <c r="E223">
        <v>14.47</v>
      </c>
      <c r="F223" t="s">
        <v>88</v>
      </c>
      <c r="G223" s="19">
        <v>45468</v>
      </c>
      <c r="H223" t="s">
        <v>318</v>
      </c>
      <c r="I223" t="s">
        <v>319</v>
      </c>
      <c r="Q223" s="3">
        <f t="shared" si="3"/>
        <v>14.47</v>
      </c>
      <c r="R223" t="s">
        <v>138</v>
      </c>
      <c r="S223" t="s">
        <v>137</v>
      </c>
      <c r="T223" t="s">
        <v>65</v>
      </c>
    </row>
    <row r="224" spans="1:20" x14ac:dyDescent="0.35">
      <c r="A224" t="s">
        <v>0</v>
      </c>
      <c r="B224" t="s">
        <v>1075</v>
      </c>
      <c r="C224" t="s">
        <v>24</v>
      </c>
      <c r="D224" t="s">
        <v>25</v>
      </c>
      <c r="E224">
        <v>14.47</v>
      </c>
      <c r="F224" t="s">
        <v>88</v>
      </c>
      <c r="G224" s="19">
        <v>45471</v>
      </c>
      <c r="H224" t="s">
        <v>318</v>
      </c>
      <c r="I224" t="s">
        <v>101</v>
      </c>
      <c r="Q224" s="3">
        <f t="shared" si="3"/>
        <v>14.47</v>
      </c>
      <c r="R224" t="s">
        <v>138</v>
      </c>
      <c r="S224" t="s">
        <v>137</v>
      </c>
    </row>
    <row r="225" spans="1:20" x14ac:dyDescent="0.35">
      <c r="A225" t="s">
        <v>0</v>
      </c>
      <c r="B225" t="s">
        <v>698</v>
      </c>
      <c r="C225" t="s">
        <v>24</v>
      </c>
      <c r="D225" t="s">
        <v>25</v>
      </c>
      <c r="E225">
        <v>14.45</v>
      </c>
      <c r="F225" t="s">
        <v>88</v>
      </c>
      <c r="G225" s="19">
        <v>45505</v>
      </c>
      <c r="H225" t="s">
        <v>318</v>
      </c>
      <c r="I225" t="s">
        <v>101</v>
      </c>
      <c r="Q225" s="3">
        <f t="shared" si="3"/>
        <v>14.45</v>
      </c>
      <c r="R225" t="s">
        <v>138</v>
      </c>
      <c r="S225" t="s">
        <v>137</v>
      </c>
    </row>
    <row r="226" spans="1:20" x14ac:dyDescent="0.35">
      <c r="A226" t="s">
        <v>0</v>
      </c>
      <c r="B226" t="s">
        <v>2226</v>
      </c>
      <c r="C226" t="s">
        <v>24</v>
      </c>
      <c r="D226" t="s">
        <v>25</v>
      </c>
      <c r="E226">
        <v>14.45</v>
      </c>
      <c r="F226" t="s">
        <v>88</v>
      </c>
      <c r="G226" s="19">
        <v>45538</v>
      </c>
      <c r="H226" t="s">
        <v>318</v>
      </c>
      <c r="I226" t="s">
        <v>319</v>
      </c>
      <c r="Q226" s="3">
        <f t="shared" si="3"/>
        <v>14.45</v>
      </c>
      <c r="R226" t="s">
        <v>138</v>
      </c>
      <c r="S226" t="s">
        <v>137</v>
      </c>
    </row>
    <row r="227" spans="1:20" x14ac:dyDescent="0.35">
      <c r="A227" t="s">
        <v>0</v>
      </c>
      <c r="B227" t="s">
        <v>909</v>
      </c>
      <c r="C227" t="s">
        <v>24</v>
      </c>
      <c r="D227" t="s">
        <v>25</v>
      </c>
      <c r="E227">
        <v>14.45</v>
      </c>
      <c r="F227" t="s">
        <v>88</v>
      </c>
      <c r="G227" s="19">
        <v>45545</v>
      </c>
      <c r="H227" t="s">
        <v>318</v>
      </c>
      <c r="I227" t="s">
        <v>319</v>
      </c>
      <c r="Q227" s="3">
        <f t="shared" si="3"/>
        <v>14.45</v>
      </c>
      <c r="R227" t="s">
        <v>138</v>
      </c>
      <c r="S227" t="s">
        <v>137</v>
      </c>
    </row>
    <row r="228" spans="1:20" x14ac:dyDescent="0.35">
      <c r="A228" t="s">
        <v>0</v>
      </c>
      <c r="B228" t="s">
        <v>2473</v>
      </c>
      <c r="C228" t="s">
        <v>24</v>
      </c>
      <c r="D228" t="s">
        <v>25</v>
      </c>
      <c r="E228">
        <v>14.45</v>
      </c>
      <c r="F228" t="s">
        <v>88</v>
      </c>
      <c r="G228" s="19">
        <v>45572</v>
      </c>
      <c r="H228" t="s">
        <v>318</v>
      </c>
      <c r="I228" t="s">
        <v>101</v>
      </c>
      <c r="Q228" s="3">
        <f t="shared" si="3"/>
        <v>14.45</v>
      </c>
      <c r="R228" t="s">
        <v>138</v>
      </c>
      <c r="S228" t="s">
        <v>137</v>
      </c>
    </row>
    <row r="229" spans="1:20" x14ac:dyDescent="0.35">
      <c r="A229" t="s">
        <v>0</v>
      </c>
      <c r="B229" t="s">
        <v>1123</v>
      </c>
      <c r="C229" t="s">
        <v>24</v>
      </c>
      <c r="D229" t="s">
        <v>25</v>
      </c>
      <c r="E229">
        <v>14.45</v>
      </c>
      <c r="F229" t="s">
        <v>88</v>
      </c>
      <c r="G229" s="19">
        <v>45583</v>
      </c>
      <c r="H229" t="s">
        <v>318</v>
      </c>
      <c r="I229" t="s">
        <v>319</v>
      </c>
      <c r="Q229" s="3">
        <f t="shared" si="3"/>
        <v>14.45</v>
      </c>
      <c r="R229" t="s">
        <v>138</v>
      </c>
      <c r="S229" t="s">
        <v>137</v>
      </c>
    </row>
    <row r="230" spans="1:20" x14ac:dyDescent="0.35">
      <c r="A230" t="s">
        <v>0</v>
      </c>
      <c r="B230" t="s">
        <v>2561</v>
      </c>
      <c r="C230" t="s">
        <v>24</v>
      </c>
      <c r="D230" t="s">
        <v>25</v>
      </c>
      <c r="E230">
        <v>14.45</v>
      </c>
      <c r="F230" t="s">
        <v>88</v>
      </c>
      <c r="G230" s="19">
        <v>45623</v>
      </c>
      <c r="H230" t="s">
        <v>318</v>
      </c>
      <c r="I230" t="s">
        <v>101</v>
      </c>
      <c r="Q230" s="3">
        <f t="shared" si="3"/>
        <v>14.45</v>
      </c>
      <c r="R230" t="s">
        <v>138</v>
      </c>
      <c r="S230" t="s">
        <v>137</v>
      </c>
    </row>
    <row r="231" spans="1:20" x14ac:dyDescent="0.35">
      <c r="A231" t="s">
        <v>0</v>
      </c>
      <c r="B231" t="s">
        <v>915</v>
      </c>
      <c r="C231" t="s">
        <v>24</v>
      </c>
      <c r="D231" t="s">
        <v>25</v>
      </c>
      <c r="E231">
        <v>14.45</v>
      </c>
      <c r="F231" t="s">
        <v>88</v>
      </c>
      <c r="G231" s="19">
        <v>45632</v>
      </c>
      <c r="H231" t="s">
        <v>318</v>
      </c>
      <c r="I231" t="s">
        <v>101</v>
      </c>
      <c r="Q231" s="3">
        <f t="shared" si="3"/>
        <v>14.45</v>
      </c>
      <c r="R231" t="s">
        <v>138</v>
      </c>
      <c r="S231" t="s">
        <v>137</v>
      </c>
    </row>
    <row r="232" spans="1:20" x14ac:dyDescent="0.35">
      <c r="A232" t="s">
        <v>0</v>
      </c>
      <c r="B232" t="s">
        <v>764</v>
      </c>
      <c r="C232" t="s">
        <v>24</v>
      </c>
      <c r="D232" t="s">
        <v>25</v>
      </c>
      <c r="E232">
        <v>14.45</v>
      </c>
      <c r="F232" t="s">
        <v>88</v>
      </c>
      <c r="G232" s="19">
        <v>45656</v>
      </c>
      <c r="H232" t="s">
        <v>318</v>
      </c>
      <c r="I232" t="s">
        <v>101</v>
      </c>
      <c r="Q232" s="3">
        <f t="shared" si="3"/>
        <v>14.45</v>
      </c>
      <c r="R232" t="s">
        <v>138</v>
      </c>
      <c r="S232" t="s">
        <v>137</v>
      </c>
    </row>
    <row r="233" spans="1:20" x14ac:dyDescent="0.35">
      <c r="A233" t="s">
        <v>35</v>
      </c>
      <c r="B233" t="s">
        <v>638</v>
      </c>
      <c r="C233" t="s">
        <v>24</v>
      </c>
      <c r="D233" t="s">
        <v>25</v>
      </c>
      <c r="E233">
        <v>-14.32</v>
      </c>
      <c r="F233" t="s">
        <v>88</v>
      </c>
      <c r="G233" s="19">
        <v>45586</v>
      </c>
      <c r="H233" t="s">
        <v>6169</v>
      </c>
      <c r="I233" t="s">
        <v>6174</v>
      </c>
      <c r="Q233" s="3">
        <f t="shared" si="3"/>
        <v>14.32</v>
      </c>
      <c r="R233" t="s">
        <v>138</v>
      </c>
      <c r="S233" t="s">
        <v>137</v>
      </c>
    </row>
    <row r="234" spans="1:20" x14ac:dyDescent="0.35">
      <c r="A234" t="s">
        <v>0</v>
      </c>
      <c r="B234" t="s">
        <v>1627</v>
      </c>
      <c r="C234" t="s">
        <v>24</v>
      </c>
      <c r="D234" t="s">
        <v>25</v>
      </c>
      <c r="E234">
        <v>10.39</v>
      </c>
      <c r="F234" t="s">
        <v>88</v>
      </c>
      <c r="G234" s="19">
        <v>45617</v>
      </c>
      <c r="H234" t="s">
        <v>6195</v>
      </c>
      <c r="I234" t="s">
        <v>6195</v>
      </c>
      <c r="Q234" s="3">
        <f t="shared" si="3"/>
        <v>10.39</v>
      </c>
      <c r="R234" t="s">
        <v>138</v>
      </c>
      <c r="S234" t="s">
        <v>137</v>
      </c>
    </row>
    <row r="235" spans="1:20" x14ac:dyDescent="0.35">
      <c r="A235" t="s">
        <v>0</v>
      </c>
      <c r="B235" t="s">
        <v>3422</v>
      </c>
      <c r="C235" t="s">
        <v>24</v>
      </c>
      <c r="D235" t="s">
        <v>25</v>
      </c>
      <c r="E235">
        <v>10</v>
      </c>
      <c r="F235" t="s">
        <v>88</v>
      </c>
      <c r="G235" s="19">
        <v>45464</v>
      </c>
      <c r="H235" t="s">
        <v>318</v>
      </c>
      <c r="I235" t="s">
        <v>6092</v>
      </c>
      <c r="Q235" s="3">
        <f t="shared" si="3"/>
        <v>10</v>
      </c>
      <c r="R235" t="s">
        <v>138</v>
      </c>
      <c r="S235" t="s">
        <v>137</v>
      </c>
      <c r="T235" t="s">
        <v>65</v>
      </c>
    </row>
    <row r="236" spans="1:20" x14ac:dyDescent="0.35">
      <c r="A236" t="s">
        <v>35</v>
      </c>
      <c r="B236" t="s">
        <v>6098</v>
      </c>
      <c r="C236" t="s">
        <v>24</v>
      </c>
      <c r="D236" t="s">
        <v>25</v>
      </c>
      <c r="E236">
        <v>-9.51</v>
      </c>
      <c r="F236" t="s">
        <v>88</v>
      </c>
      <c r="G236" s="19">
        <v>45593</v>
      </c>
      <c r="H236" t="s">
        <v>6100</v>
      </c>
      <c r="I236" t="s">
        <v>6102</v>
      </c>
      <c r="Q236" s="3">
        <f t="shared" si="3"/>
        <v>9.51</v>
      </c>
      <c r="R236" t="s">
        <v>138</v>
      </c>
      <c r="S236" t="s">
        <v>137</v>
      </c>
    </row>
    <row r="237" spans="1:20" x14ac:dyDescent="0.35">
      <c r="A237" t="s">
        <v>35</v>
      </c>
      <c r="B237" t="s">
        <v>618</v>
      </c>
      <c r="C237" t="s">
        <v>24</v>
      </c>
      <c r="D237" t="s">
        <v>25</v>
      </c>
      <c r="E237">
        <v>9.51</v>
      </c>
      <c r="F237" t="s">
        <v>88</v>
      </c>
      <c r="G237" s="19">
        <v>45593</v>
      </c>
      <c r="H237" t="s">
        <v>6100</v>
      </c>
      <c r="I237" t="s">
        <v>6102</v>
      </c>
      <c r="Q237" s="3">
        <f t="shared" si="3"/>
        <v>9.51</v>
      </c>
      <c r="R237" t="s">
        <v>138</v>
      </c>
      <c r="S237" t="s">
        <v>137</v>
      </c>
    </row>
    <row r="238" spans="1:20" x14ac:dyDescent="0.35">
      <c r="A238" t="s">
        <v>0</v>
      </c>
      <c r="B238" t="s">
        <v>789</v>
      </c>
      <c r="C238" t="s">
        <v>24</v>
      </c>
      <c r="D238" t="s">
        <v>25</v>
      </c>
      <c r="E238">
        <v>9.11</v>
      </c>
      <c r="F238" t="s">
        <v>88</v>
      </c>
      <c r="G238" s="19">
        <v>45517</v>
      </c>
      <c r="H238" t="s">
        <v>318</v>
      </c>
      <c r="I238" t="s">
        <v>6132</v>
      </c>
      <c r="Q238" s="3">
        <f t="shared" si="3"/>
        <v>9.11</v>
      </c>
      <c r="R238" t="s">
        <v>138</v>
      </c>
      <c r="S238" t="s">
        <v>137</v>
      </c>
    </row>
    <row r="239" spans="1:20" x14ac:dyDescent="0.35">
      <c r="A239" t="s">
        <v>0</v>
      </c>
      <c r="B239" t="s">
        <v>2473</v>
      </c>
      <c r="C239" t="s">
        <v>24</v>
      </c>
      <c r="D239" t="s">
        <v>25</v>
      </c>
      <c r="E239">
        <v>9</v>
      </c>
      <c r="F239" t="s">
        <v>88</v>
      </c>
      <c r="G239" s="19">
        <v>45649</v>
      </c>
      <c r="H239" t="s">
        <v>318</v>
      </c>
      <c r="I239" t="s">
        <v>6213</v>
      </c>
      <c r="Q239" s="3">
        <f t="shared" si="3"/>
        <v>9</v>
      </c>
      <c r="R239" t="s">
        <v>138</v>
      </c>
      <c r="S239" t="s">
        <v>137</v>
      </c>
    </row>
    <row r="240" spans="1:20" x14ac:dyDescent="0.35">
      <c r="A240" t="s">
        <v>0</v>
      </c>
      <c r="B240" t="s">
        <v>1627</v>
      </c>
      <c r="C240" t="s">
        <v>24</v>
      </c>
      <c r="D240" t="s">
        <v>25</v>
      </c>
      <c r="E240">
        <v>6.990000000000002</v>
      </c>
      <c r="F240" t="s">
        <v>88</v>
      </c>
      <c r="G240" s="19">
        <v>45657</v>
      </c>
      <c r="H240" t="s">
        <v>320</v>
      </c>
      <c r="I240" t="s">
        <v>320</v>
      </c>
      <c r="Q240" s="3">
        <f t="shared" si="3"/>
        <v>6.990000000000002</v>
      </c>
      <c r="R240" t="s">
        <v>138</v>
      </c>
      <c r="S240" t="s">
        <v>137</v>
      </c>
    </row>
    <row r="241" spans="1:20" x14ac:dyDescent="0.35">
      <c r="A241" t="s">
        <v>0</v>
      </c>
      <c r="B241" t="s">
        <v>713</v>
      </c>
      <c r="C241" t="s">
        <v>24</v>
      </c>
      <c r="D241" t="s">
        <v>25</v>
      </c>
      <c r="E241">
        <v>6.92</v>
      </c>
      <c r="F241" t="s">
        <v>88</v>
      </c>
      <c r="G241" s="19">
        <v>45551</v>
      </c>
      <c r="H241" t="s">
        <v>318</v>
      </c>
      <c r="I241" t="s">
        <v>6144</v>
      </c>
      <c r="Q241" s="3">
        <f t="shared" si="3"/>
        <v>6.92</v>
      </c>
      <c r="R241" t="s">
        <v>138</v>
      </c>
      <c r="S241" t="s">
        <v>137</v>
      </c>
    </row>
    <row r="242" spans="1:20" x14ac:dyDescent="0.35">
      <c r="A242" t="s">
        <v>35</v>
      </c>
      <c r="B242" t="s">
        <v>6098</v>
      </c>
      <c r="C242" t="s">
        <v>24</v>
      </c>
      <c r="D242" t="s">
        <v>25</v>
      </c>
      <c r="E242">
        <v>6.8599999999999994</v>
      </c>
      <c r="F242" t="s">
        <v>88</v>
      </c>
      <c r="G242" s="19">
        <v>45468</v>
      </c>
      <c r="H242" t="s">
        <v>6099</v>
      </c>
      <c r="I242" t="s">
        <v>6102</v>
      </c>
      <c r="Q242" s="3">
        <f t="shared" si="3"/>
        <v>6.8599999999999994</v>
      </c>
      <c r="R242" t="s">
        <v>138</v>
      </c>
      <c r="S242" t="s">
        <v>137</v>
      </c>
      <c r="T242" t="s">
        <v>65</v>
      </c>
    </row>
    <row r="243" spans="1:20" x14ac:dyDescent="0.35">
      <c r="A243" t="s">
        <v>35</v>
      </c>
      <c r="B243" t="s">
        <v>618</v>
      </c>
      <c r="C243" t="s">
        <v>24</v>
      </c>
      <c r="D243" t="s">
        <v>25</v>
      </c>
      <c r="E243">
        <v>-6.8599999999999994</v>
      </c>
      <c r="F243" t="s">
        <v>88</v>
      </c>
      <c r="G243" s="19">
        <v>45468</v>
      </c>
      <c r="H243" t="s">
        <v>6099</v>
      </c>
      <c r="I243" t="s">
        <v>6102</v>
      </c>
      <c r="Q243" s="3">
        <f t="shared" si="3"/>
        <v>6.8599999999999994</v>
      </c>
      <c r="R243" t="s">
        <v>138</v>
      </c>
      <c r="S243" t="s">
        <v>137</v>
      </c>
    </row>
    <row r="244" spans="1:20" x14ac:dyDescent="0.35">
      <c r="A244" t="s">
        <v>0</v>
      </c>
      <c r="B244" t="s">
        <v>3466</v>
      </c>
      <c r="C244" t="s">
        <v>24</v>
      </c>
      <c r="D244" t="s">
        <v>25</v>
      </c>
      <c r="E244">
        <v>6.01</v>
      </c>
      <c r="F244" t="s">
        <v>88</v>
      </c>
      <c r="G244" s="19">
        <v>45520</v>
      </c>
      <c r="H244" t="s">
        <v>318</v>
      </c>
      <c r="I244" t="s">
        <v>6134</v>
      </c>
      <c r="Q244" s="3">
        <f t="shared" si="3"/>
        <v>6.01</v>
      </c>
      <c r="R244" t="s">
        <v>138</v>
      </c>
      <c r="S244" t="s">
        <v>137</v>
      </c>
    </row>
    <row r="245" spans="1:20" x14ac:dyDescent="0.35">
      <c r="A245" t="s">
        <v>0</v>
      </c>
      <c r="B245" t="s">
        <v>1627</v>
      </c>
      <c r="C245" t="s">
        <v>24</v>
      </c>
      <c r="D245" t="s">
        <v>25</v>
      </c>
      <c r="E245">
        <v>5.9</v>
      </c>
      <c r="F245" t="s">
        <v>88</v>
      </c>
      <c r="G245" s="19">
        <v>45565</v>
      </c>
      <c r="H245" t="s">
        <v>320</v>
      </c>
      <c r="I245" t="s">
        <v>320</v>
      </c>
      <c r="Q245" s="3">
        <f t="shared" si="3"/>
        <v>5.9</v>
      </c>
      <c r="R245" t="s">
        <v>138</v>
      </c>
      <c r="S245" t="s">
        <v>137</v>
      </c>
    </row>
    <row r="246" spans="1:20" x14ac:dyDescent="0.35">
      <c r="A246" t="s">
        <v>35</v>
      </c>
      <c r="B246" t="s">
        <v>638</v>
      </c>
      <c r="C246" t="s">
        <v>24</v>
      </c>
      <c r="D246" t="s">
        <v>25</v>
      </c>
      <c r="E246">
        <v>-5.68</v>
      </c>
      <c r="F246" t="s">
        <v>88</v>
      </c>
      <c r="G246" s="19">
        <v>45463</v>
      </c>
      <c r="H246" t="s">
        <v>6084</v>
      </c>
      <c r="I246" t="s">
        <v>6086</v>
      </c>
      <c r="Q246" s="3">
        <f t="shared" si="3"/>
        <v>5.68</v>
      </c>
      <c r="R246" t="s">
        <v>138</v>
      </c>
      <c r="S246" t="s">
        <v>137</v>
      </c>
      <c r="T246" t="s">
        <v>65</v>
      </c>
    </row>
    <row r="247" spans="1:20" x14ac:dyDescent="0.35">
      <c r="A247" t="s">
        <v>0</v>
      </c>
      <c r="B247" t="s">
        <v>724</v>
      </c>
      <c r="C247" t="s">
        <v>24</v>
      </c>
      <c r="D247" t="s">
        <v>25</v>
      </c>
      <c r="E247">
        <v>4.87</v>
      </c>
      <c r="F247" t="s">
        <v>88</v>
      </c>
      <c r="G247" s="19">
        <v>45446</v>
      </c>
      <c r="H247" t="s">
        <v>318</v>
      </c>
      <c r="I247" t="s">
        <v>6073</v>
      </c>
      <c r="Q247" s="3">
        <f t="shared" si="3"/>
        <v>4.87</v>
      </c>
      <c r="R247" t="s">
        <v>138</v>
      </c>
      <c r="S247" t="s">
        <v>137</v>
      </c>
      <c r="T247" t="s">
        <v>65</v>
      </c>
    </row>
    <row r="248" spans="1:20" x14ac:dyDescent="0.35">
      <c r="A248" t="s">
        <v>0</v>
      </c>
      <c r="B248" t="s">
        <v>1491</v>
      </c>
      <c r="C248" t="s">
        <v>24</v>
      </c>
      <c r="D248" t="s">
        <v>25</v>
      </c>
      <c r="E248">
        <v>-4.1100000000000003</v>
      </c>
      <c r="F248" t="s">
        <v>88</v>
      </c>
      <c r="G248" s="19">
        <v>45439</v>
      </c>
      <c r="H248" t="s">
        <v>318</v>
      </c>
      <c r="I248" t="s">
        <v>6068</v>
      </c>
      <c r="Q248" s="3">
        <f t="shared" si="3"/>
        <v>4.1100000000000003</v>
      </c>
      <c r="R248" t="s">
        <v>138</v>
      </c>
      <c r="S248" t="s">
        <v>137</v>
      </c>
      <c r="T248" t="s">
        <v>65</v>
      </c>
    </row>
    <row r="249" spans="1:20" x14ac:dyDescent="0.35">
      <c r="A249" t="s">
        <v>35</v>
      </c>
      <c r="B249" t="s">
        <v>6098</v>
      </c>
      <c r="C249" t="s">
        <v>24</v>
      </c>
      <c r="D249" t="s">
        <v>25</v>
      </c>
      <c r="E249">
        <v>3.9</v>
      </c>
      <c r="F249" t="s">
        <v>88</v>
      </c>
      <c r="G249" s="19">
        <v>45501</v>
      </c>
      <c r="H249" t="s">
        <v>6123</v>
      </c>
      <c r="I249" t="s">
        <v>6124</v>
      </c>
      <c r="Q249" s="3">
        <f t="shared" si="3"/>
        <v>3.9</v>
      </c>
      <c r="R249" t="s">
        <v>138</v>
      </c>
      <c r="S249" t="s">
        <v>137</v>
      </c>
    </row>
    <row r="250" spans="1:20" x14ac:dyDescent="0.35">
      <c r="A250" t="s">
        <v>35</v>
      </c>
      <c r="B250" t="s">
        <v>618</v>
      </c>
      <c r="C250" t="s">
        <v>24</v>
      </c>
      <c r="D250" t="s">
        <v>25</v>
      </c>
      <c r="E250">
        <v>-3.9</v>
      </c>
      <c r="F250" t="s">
        <v>88</v>
      </c>
      <c r="G250" s="19">
        <v>45501</v>
      </c>
      <c r="H250" t="s">
        <v>6123</v>
      </c>
      <c r="I250" t="s">
        <v>6124</v>
      </c>
      <c r="Q250" s="3">
        <f t="shared" si="3"/>
        <v>3.9</v>
      </c>
      <c r="R250" t="s">
        <v>138</v>
      </c>
      <c r="S250" t="s">
        <v>137</v>
      </c>
    </row>
    <row r="251" spans="1:20" x14ac:dyDescent="0.35">
      <c r="A251" t="s">
        <v>35</v>
      </c>
      <c r="B251" t="s">
        <v>6098</v>
      </c>
      <c r="C251" t="s">
        <v>24</v>
      </c>
      <c r="D251" t="s">
        <v>25</v>
      </c>
      <c r="E251">
        <v>-3.9</v>
      </c>
      <c r="F251" t="s">
        <v>88</v>
      </c>
      <c r="G251" s="19">
        <v>45593</v>
      </c>
      <c r="H251" t="s">
        <v>6100</v>
      </c>
      <c r="I251" t="s">
        <v>6124</v>
      </c>
      <c r="Q251" s="3">
        <f t="shared" si="3"/>
        <v>3.9</v>
      </c>
      <c r="R251" t="s">
        <v>138</v>
      </c>
      <c r="S251" t="s">
        <v>137</v>
      </c>
    </row>
    <row r="252" spans="1:20" x14ac:dyDescent="0.35">
      <c r="A252" t="s">
        <v>35</v>
      </c>
      <c r="B252" t="s">
        <v>618</v>
      </c>
      <c r="C252" t="s">
        <v>24</v>
      </c>
      <c r="D252" t="s">
        <v>25</v>
      </c>
      <c r="E252">
        <v>3.9</v>
      </c>
      <c r="F252" t="s">
        <v>88</v>
      </c>
      <c r="G252" s="19">
        <v>45593</v>
      </c>
      <c r="H252" t="s">
        <v>6100</v>
      </c>
      <c r="I252" t="s">
        <v>6124</v>
      </c>
      <c r="Q252" s="3">
        <f t="shared" si="3"/>
        <v>3.9</v>
      </c>
      <c r="R252" t="s">
        <v>138</v>
      </c>
      <c r="S252" t="s">
        <v>137</v>
      </c>
    </row>
    <row r="253" spans="1:20" x14ac:dyDescent="0.35">
      <c r="A253" t="s">
        <v>0</v>
      </c>
      <c r="B253" t="s">
        <v>1627</v>
      </c>
      <c r="C253" t="s">
        <v>24</v>
      </c>
      <c r="D253" t="s">
        <v>25</v>
      </c>
      <c r="E253">
        <v>3.2499999999999996</v>
      </c>
      <c r="F253" t="s">
        <v>88</v>
      </c>
      <c r="G253" s="19">
        <v>45473</v>
      </c>
      <c r="H253" t="s">
        <v>320</v>
      </c>
      <c r="I253" t="s">
        <v>320</v>
      </c>
      <c r="Q253" s="3">
        <f t="shared" si="3"/>
        <v>3.2499999999999996</v>
      </c>
      <c r="R253" t="s">
        <v>138</v>
      </c>
      <c r="S253" t="s">
        <v>137</v>
      </c>
    </row>
    <row r="254" spans="1:20" x14ac:dyDescent="0.35">
      <c r="A254" t="s">
        <v>0</v>
      </c>
      <c r="B254" t="s">
        <v>1053</v>
      </c>
      <c r="C254" t="s">
        <v>24</v>
      </c>
      <c r="D254" t="s">
        <v>25</v>
      </c>
      <c r="E254">
        <v>2.86</v>
      </c>
      <c r="F254" t="s">
        <v>88</v>
      </c>
      <c r="G254" s="19">
        <v>45439</v>
      </c>
      <c r="H254" t="s">
        <v>318</v>
      </c>
      <c r="I254" t="s">
        <v>6058</v>
      </c>
      <c r="Q254" s="3">
        <f t="shared" si="3"/>
        <v>2.86</v>
      </c>
      <c r="R254" t="s">
        <v>138</v>
      </c>
      <c r="S254" t="s">
        <v>137</v>
      </c>
      <c r="T254" t="s">
        <v>65</v>
      </c>
    </row>
    <row r="255" spans="1:20" x14ac:dyDescent="0.35">
      <c r="A255" t="s">
        <v>35</v>
      </c>
      <c r="B255" t="s">
        <v>6098</v>
      </c>
      <c r="C255" t="s">
        <v>24</v>
      </c>
      <c r="D255" t="s">
        <v>25</v>
      </c>
      <c r="E255">
        <v>2.65</v>
      </c>
      <c r="F255" t="s">
        <v>88</v>
      </c>
      <c r="G255" s="19">
        <v>45501</v>
      </c>
      <c r="H255" t="s">
        <v>6123</v>
      </c>
      <c r="I255" t="s">
        <v>6102</v>
      </c>
      <c r="Q255" s="3">
        <f t="shared" si="3"/>
        <v>2.65</v>
      </c>
      <c r="R255" t="s">
        <v>138</v>
      </c>
      <c r="S255" t="s">
        <v>137</v>
      </c>
    </row>
    <row r="256" spans="1:20" x14ac:dyDescent="0.35">
      <c r="A256" t="s">
        <v>35</v>
      </c>
      <c r="B256" t="s">
        <v>618</v>
      </c>
      <c r="C256" t="s">
        <v>24</v>
      </c>
      <c r="D256" t="s">
        <v>25</v>
      </c>
      <c r="E256">
        <v>-2.65</v>
      </c>
      <c r="F256" t="s">
        <v>88</v>
      </c>
      <c r="G256" s="19">
        <v>45501</v>
      </c>
      <c r="H256" t="s">
        <v>6123</v>
      </c>
      <c r="I256" t="s">
        <v>6102</v>
      </c>
      <c r="Q256" s="3">
        <f t="shared" si="3"/>
        <v>2.65</v>
      </c>
      <c r="R256" t="s">
        <v>138</v>
      </c>
      <c r="S256" t="s">
        <v>137</v>
      </c>
    </row>
    <row r="257" spans="1:20" x14ac:dyDescent="0.35">
      <c r="A257" t="s">
        <v>0</v>
      </c>
      <c r="B257" t="s">
        <v>2473</v>
      </c>
      <c r="C257" t="s">
        <v>24</v>
      </c>
      <c r="D257" t="s">
        <v>25</v>
      </c>
      <c r="E257">
        <v>2.4700000000000002</v>
      </c>
      <c r="F257" t="s">
        <v>88</v>
      </c>
      <c r="G257" s="19">
        <v>45540</v>
      </c>
      <c r="H257" t="s">
        <v>318</v>
      </c>
      <c r="I257" t="s">
        <v>6142</v>
      </c>
      <c r="Q257" s="3">
        <f t="shared" si="3"/>
        <v>2.4700000000000002</v>
      </c>
      <c r="R257" t="s">
        <v>138</v>
      </c>
      <c r="S257" t="s">
        <v>137</v>
      </c>
    </row>
    <row r="258" spans="1:20" x14ac:dyDescent="0.35">
      <c r="A258" t="s">
        <v>0</v>
      </c>
      <c r="B258" t="s">
        <v>1053</v>
      </c>
      <c r="C258" t="s">
        <v>24</v>
      </c>
      <c r="D258" t="s">
        <v>25</v>
      </c>
      <c r="E258">
        <v>2.35</v>
      </c>
      <c r="F258" t="s">
        <v>88</v>
      </c>
      <c r="G258" s="19">
        <v>45461</v>
      </c>
      <c r="H258" t="s">
        <v>318</v>
      </c>
      <c r="I258" t="s">
        <v>6081</v>
      </c>
      <c r="Q258" s="3">
        <f t="shared" si="3"/>
        <v>2.35</v>
      </c>
      <c r="R258" t="s">
        <v>138</v>
      </c>
      <c r="S258" t="s">
        <v>137</v>
      </c>
      <c r="T258" t="s">
        <v>65</v>
      </c>
    </row>
    <row r="259" spans="1:20" x14ac:dyDescent="0.35">
      <c r="A259" t="s">
        <v>0</v>
      </c>
      <c r="B259" t="s">
        <v>656</v>
      </c>
      <c r="C259" t="s">
        <v>24</v>
      </c>
      <c r="D259" t="s">
        <v>25</v>
      </c>
      <c r="E259">
        <v>2.2999999999999998</v>
      </c>
      <c r="F259" t="s">
        <v>88</v>
      </c>
      <c r="G259" s="19">
        <v>45498</v>
      </c>
      <c r="H259" t="s">
        <v>181</v>
      </c>
      <c r="I259" t="s">
        <v>182</v>
      </c>
      <c r="Q259" s="3">
        <f t="shared" si="3"/>
        <v>2.2999999999999998</v>
      </c>
      <c r="R259" t="s">
        <v>138</v>
      </c>
      <c r="S259" t="s">
        <v>137</v>
      </c>
    </row>
    <row r="260" spans="1:20" x14ac:dyDescent="0.35">
      <c r="A260" t="s">
        <v>0</v>
      </c>
      <c r="B260" t="s">
        <v>1627</v>
      </c>
      <c r="C260" t="s">
        <v>24</v>
      </c>
      <c r="D260" t="s">
        <v>25</v>
      </c>
      <c r="E260">
        <v>1.8</v>
      </c>
      <c r="F260" t="s">
        <v>88</v>
      </c>
      <c r="G260" s="19">
        <v>45412</v>
      </c>
      <c r="H260" t="s">
        <v>320</v>
      </c>
      <c r="I260" t="s">
        <v>320</v>
      </c>
      <c r="Q260" s="3">
        <f t="shared" si="3"/>
        <v>1.8</v>
      </c>
      <c r="R260" t="s">
        <v>138</v>
      </c>
      <c r="S260" t="s">
        <v>137</v>
      </c>
      <c r="T260" t="s">
        <v>65</v>
      </c>
    </row>
    <row r="261" spans="1:20" x14ac:dyDescent="0.35">
      <c r="A261" t="s">
        <v>0</v>
      </c>
      <c r="B261" t="s">
        <v>2473</v>
      </c>
      <c r="C261" t="s">
        <v>24</v>
      </c>
      <c r="D261" t="s">
        <v>25</v>
      </c>
      <c r="E261">
        <v>1.75</v>
      </c>
      <c r="F261" t="s">
        <v>88</v>
      </c>
      <c r="G261" s="19">
        <v>45608</v>
      </c>
      <c r="H261" t="s">
        <v>318</v>
      </c>
      <c r="I261" t="s">
        <v>6190</v>
      </c>
      <c r="Q261" s="3">
        <f t="shared" si="3"/>
        <v>1.75</v>
      </c>
      <c r="R261" t="s">
        <v>138</v>
      </c>
      <c r="S261" t="s">
        <v>137</v>
      </c>
    </row>
    <row r="262" spans="1:20" x14ac:dyDescent="0.35">
      <c r="A262" t="s">
        <v>0</v>
      </c>
      <c r="B262" t="s">
        <v>656</v>
      </c>
      <c r="C262" t="s">
        <v>24</v>
      </c>
      <c r="D262" t="s">
        <v>25</v>
      </c>
      <c r="E262">
        <v>1.72</v>
      </c>
      <c r="F262" t="s">
        <v>88</v>
      </c>
      <c r="G262" s="19">
        <v>45504</v>
      </c>
      <c r="H262" t="s">
        <v>181</v>
      </c>
      <c r="I262" t="s">
        <v>182</v>
      </c>
      <c r="Q262" s="3">
        <f t="shared" si="3"/>
        <v>1.72</v>
      </c>
      <c r="R262" t="s">
        <v>138</v>
      </c>
      <c r="S262" t="s">
        <v>137</v>
      </c>
    </row>
    <row r="263" spans="1:20" x14ac:dyDescent="0.35">
      <c r="A263" t="s">
        <v>0</v>
      </c>
      <c r="B263" t="s">
        <v>1244</v>
      </c>
      <c r="C263" t="s">
        <v>24</v>
      </c>
      <c r="D263" t="s">
        <v>25</v>
      </c>
      <c r="E263">
        <v>-1.7</v>
      </c>
      <c r="F263" t="s">
        <v>88</v>
      </c>
      <c r="G263" s="19">
        <v>45492</v>
      </c>
      <c r="H263" t="s">
        <v>318</v>
      </c>
      <c r="I263" t="s">
        <v>6113</v>
      </c>
      <c r="Q263" s="3">
        <f t="shared" si="3"/>
        <v>1.7</v>
      </c>
      <c r="R263" t="s">
        <v>138</v>
      </c>
      <c r="S263" t="s">
        <v>137</v>
      </c>
    </row>
    <row r="264" spans="1:20" x14ac:dyDescent="0.35">
      <c r="A264" t="s">
        <v>0</v>
      </c>
      <c r="B264" t="s">
        <v>656</v>
      </c>
      <c r="C264" t="s">
        <v>24</v>
      </c>
      <c r="D264" t="s">
        <v>25</v>
      </c>
      <c r="E264">
        <v>1.51</v>
      </c>
      <c r="F264" t="s">
        <v>88</v>
      </c>
      <c r="G264" s="19">
        <v>45489</v>
      </c>
      <c r="H264" t="s">
        <v>181</v>
      </c>
      <c r="I264" t="s">
        <v>182</v>
      </c>
      <c r="Q264" s="3">
        <f t="shared" ref="Q264:Q327" si="4">ABS(E264)</f>
        <v>1.51</v>
      </c>
      <c r="R264" t="s">
        <v>138</v>
      </c>
      <c r="S264" t="s">
        <v>137</v>
      </c>
    </row>
    <row r="265" spans="1:20" x14ac:dyDescent="0.35">
      <c r="A265" t="s">
        <v>0</v>
      </c>
      <c r="B265" t="s">
        <v>708</v>
      </c>
      <c r="C265" t="s">
        <v>24</v>
      </c>
      <c r="D265" t="s">
        <v>25</v>
      </c>
      <c r="E265">
        <v>1.32</v>
      </c>
      <c r="F265" t="s">
        <v>88</v>
      </c>
      <c r="G265" s="19">
        <v>45516</v>
      </c>
      <c r="H265" t="s">
        <v>318</v>
      </c>
      <c r="I265" t="s">
        <v>6130</v>
      </c>
      <c r="Q265" s="3">
        <f t="shared" si="4"/>
        <v>1.32</v>
      </c>
      <c r="R265" t="s">
        <v>138</v>
      </c>
      <c r="S265" t="s">
        <v>137</v>
      </c>
    </row>
    <row r="266" spans="1:20" x14ac:dyDescent="0.35">
      <c r="A266" t="s">
        <v>0</v>
      </c>
      <c r="B266" t="s">
        <v>656</v>
      </c>
      <c r="C266" t="s">
        <v>24</v>
      </c>
      <c r="D266" t="s">
        <v>25</v>
      </c>
      <c r="E266">
        <v>1.27</v>
      </c>
      <c r="F266" t="s">
        <v>88</v>
      </c>
      <c r="G266" s="19">
        <v>45495</v>
      </c>
      <c r="H266" t="s">
        <v>181</v>
      </c>
      <c r="I266" t="s">
        <v>182</v>
      </c>
      <c r="Q266" s="3">
        <f t="shared" si="4"/>
        <v>1.27</v>
      </c>
      <c r="R266" t="s">
        <v>138</v>
      </c>
      <c r="S266" t="s">
        <v>137</v>
      </c>
    </row>
    <row r="267" spans="1:20" x14ac:dyDescent="0.35">
      <c r="A267" t="s">
        <v>35</v>
      </c>
      <c r="B267" t="s">
        <v>638</v>
      </c>
      <c r="C267" t="s">
        <v>24</v>
      </c>
      <c r="D267" t="s">
        <v>25</v>
      </c>
      <c r="E267">
        <v>1.26</v>
      </c>
      <c r="F267" t="s">
        <v>88</v>
      </c>
      <c r="G267" s="19">
        <v>45565</v>
      </c>
      <c r="H267" t="s">
        <v>320</v>
      </c>
      <c r="I267" t="s">
        <v>320</v>
      </c>
      <c r="Q267" s="3">
        <f t="shared" si="4"/>
        <v>1.26</v>
      </c>
      <c r="R267" t="s">
        <v>138</v>
      </c>
      <c r="S267" t="s">
        <v>137</v>
      </c>
    </row>
    <row r="268" spans="1:20" x14ac:dyDescent="0.35">
      <c r="A268" t="s">
        <v>0</v>
      </c>
      <c r="B268" t="s">
        <v>1533</v>
      </c>
      <c r="C268" t="s">
        <v>24</v>
      </c>
      <c r="D268" t="s">
        <v>25</v>
      </c>
      <c r="E268">
        <v>1.25</v>
      </c>
      <c r="F268" t="s">
        <v>88</v>
      </c>
      <c r="G268" s="19">
        <v>45565</v>
      </c>
      <c r="H268" t="s">
        <v>320</v>
      </c>
      <c r="I268" t="s">
        <v>320</v>
      </c>
      <c r="Q268" s="3">
        <f t="shared" si="4"/>
        <v>1.25</v>
      </c>
      <c r="R268" t="s">
        <v>138</v>
      </c>
      <c r="S268" t="s">
        <v>137</v>
      </c>
    </row>
    <row r="269" spans="1:20" x14ac:dyDescent="0.35">
      <c r="A269" t="s">
        <v>35</v>
      </c>
      <c r="B269" t="s">
        <v>618</v>
      </c>
      <c r="C269" t="s">
        <v>24</v>
      </c>
      <c r="D269" t="s">
        <v>25</v>
      </c>
      <c r="E269">
        <v>1.2100000000000009</v>
      </c>
      <c r="F269" t="s">
        <v>88</v>
      </c>
      <c r="G269" s="19">
        <v>45593</v>
      </c>
      <c r="H269" t="s">
        <v>6100</v>
      </c>
      <c r="I269" t="s">
        <v>6125</v>
      </c>
      <c r="Q269" s="3">
        <f t="shared" si="4"/>
        <v>1.2100000000000009</v>
      </c>
      <c r="R269" t="s">
        <v>138</v>
      </c>
      <c r="S269" t="s">
        <v>137</v>
      </c>
    </row>
    <row r="270" spans="1:20" x14ac:dyDescent="0.35">
      <c r="A270" t="s">
        <v>35</v>
      </c>
      <c r="B270" t="s">
        <v>6098</v>
      </c>
      <c r="C270" t="s">
        <v>24</v>
      </c>
      <c r="D270" t="s">
        <v>25</v>
      </c>
      <c r="E270">
        <v>1.21</v>
      </c>
      <c r="F270" t="s">
        <v>88</v>
      </c>
      <c r="G270" s="19">
        <v>45501</v>
      </c>
      <c r="H270" t="s">
        <v>6123</v>
      </c>
      <c r="I270" t="s">
        <v>6125</v>
      </c>
      <c r="Q270" s="3">
        <f t="shared" si="4"/>
        <v>1.21</v>
      </c>
      <c r="R270" t="s">
        <v>138</v>
      </c>
      <c r="S270" t="s">
        <v>137</v>
      </c>
    </row>
    <row r="271" spans="1:20" x14ac:dyDescent="0.35">
      <c r="A271" t="s">
        <v>35</v>
      </c>
      <c r="B271" t="s">
        <v>618</v>
      </c>
      <c r="C271" t="s">
        <v>24</v>
      </c>
      <c r="D271" t="s">
        <v>25</v>
      </c>
      <c r="E271">
        <v>-1.21</v>
      </c>
      <c r="F271" t="s">
        <v>88</v>
      </c>
      <c r="G271" s="19">
        <v>45501</v>
      </c>
      <c r="H271" t="s">
        <v>6123</v>
      </c>
      <c r="I271" t="s">
        <v>6125</v>
      </c>
      <c r="Q271" s="3">
        <f t="shared" si="4"/>
        <v>1.21</v>
      </c>
      <c r="R271" t="s">
        <v>138</v>
      </c>
      <c r="S271" t="s">
        <v>137</v>
      </c>
    </row>
    <row r="272" spans="1:20" x14ac:dyDescent="0.35">
      <c r="A272" t="s">
        <v>35</v>
      </c>
      <c r="B272" t="s">
        <v>6098</v>
      </c>
      <c r="C272" t="s">
        <v>24</v>
      </c>
      <c r="D272" t="s">
        <v>25</v>
      </c>
      <c r="E272">
        <v>-1.21</v>
      </c>
      <c r="F272" t="s">
        <v>88</v>
      </c>
      <c r="G272" s="19">
        <v>45593</v>
      </c>
      <c r="H272" t="s">
        <v>6100</v>
      </c>
      <c r="I272" t="s">
        <v>6125</v>
      </c>
      <c r="Q272" s="3">
        <f t="shared" si="4"/>
        <v>1.21</v>
      </c>
      <c r="R272" t="s">
        <v>138</v>
      </c>
      <c r="S272" t="s">
        <v>137</v>
      </c>
    </row>
    <row r="273" spans="1:20" x14ac:dyDescent="0.35">
      <c r="A273" t="s">
        <v>35</v>
      </c>
      <c r="B273" t="s">
        <v>638</v>
      </c>
      <c r="C273" t="s">
        <v>24</v>
      </c>
      <c r="D273" t="s">
        <v>25</v>
      </c>
      <c r="E273">
        <v>-1.1800000000000004</v>
      </c>
      <c r="F273" t="s">
        <v>88</v>
      </c>
      <c r="G273" s="19">
        <v>45586</v>
      </c>
      <c r="H273" t="s">
        <v>6169</v>
      </c>
      <c r="I273" t="s">
        <v>6171</v>
      </c>
      <c r="Q273" s="3">
        <f t="shared" si="4"/>
        <v>1.1800000000000004</v>
      </c>
      <c r="R273" t="s">
        <v>138</v>
      </c>
      <c r="S273" t="s">
        <v>137</v>
      </c>
    </row>
    <row r="274" spans="1:20" x14ac:dyDescent="0.35">
      <c r="A274" t="s">
        <v>0</v>
      </c>
      <c r="B274" t="s">
        <v>1244</v>
      </c>
      <c r="C274" t="s">
        <v>24</v>
      </c>
      <c r="D274" t="s">
        <v>25</v>
      </c>
      <c r="E274">
        <v>1.1499999999999999</v>
      </c>
      <c r="F274" t="s">
        <v>88</v>
      </c>
      <c r="G274" s="19">
        <v>45450</v>
      </c>
      <c r="H274" t="s">
        <v>318</v>
      </c>
      <c r="I274" t="s">
        <v>6065</v>
      </c>
      <c r="Q274" s="3">
        <f t="shared" si="4"/>
        <v>1.1499999999999999</v>
      </c>
      <c r="R274" t="s">
        <v>138</v>
      </c>
      <c r="S274" t="s">
        <v>137</v>
      </c>
      <c r="T274" t="s">
        <v>65</v>
      </c>
    </row>
    <row r="275" spans="1:20" x14ac:dyDescent="0.35">
      <c r="A275" t="s">
        <v>34</v>
      </c>
      <c r="B275" t="s">
        <v>5391</v>
      </c>
      <c r="C275" t="s">
        <v>24</v>
      </c>
      <c r="D275" t="s">
        <v>25</v>
      </c>
      <c r="E275">
        <v>1.1000000000000005</v>
      </c>
      <c r="F275" t="s">
        <v>88</v>
      </c>
      <c r="G275" s="19">
        <v>45565</v>
      </c>
      <c r="H275" t="s">
        <v>320</v>
      </c>
      <c r="I275" t="s">
        <v>320</v>
      </c>
      <c r="Q275" s="3">
        <f t="shared" si="4"/>
        <v>1.1000000000000005</v>
      </c>
      <c r="R275" t="s">
        <v>138</v>
      </c>
      <c r="S275" t="s">
        <v>137</v>
      </c>
    </row>
    <row r="276" spans="1:20" x14ac:dyDescent="0.35">
      <c r="A276" t="s">
        <v>34</v>
      </c>
      <c r="B276" t="s">
        <v>5391</v>
      </c>
      <c r="C276" t="s">
        <v>24</v>
      </c>
      <c r="D276" t="s">
        <v>25</v>
      </c>
      <c r="E276">
        <v>0.98</v>
      </c>
      <c r="F276" t="s">
        <v>88</v>
      </c>
      <c r="G276" s="19">
        <v>45412</v>
      </c>
      <c r="H276" t="s">
        <v>320</v>
      </c>
      <c r="I276" t="s">
        <v>320</v>
      </c>
      <c r="Q276" s="3">
        <f t="shared" si="4"/>
        <v>0.98</v>
      </c>
      <c r="R276" t="s">
        <v>138</v>
      </c>
      <c r="S276" t="s">
        <v>137</v>
      </c>
      <c r="T276" t="s">
        <v>65</v>
      </c>
    </row>
    <row r="277" spans="1:20" x14ac:dyDescent="0.35">
      <c r="A277" t="s">
        <v>0</v>
      </c>
      <c r="B277" t="s">
        <v>656</v>
      </c>
      <c r="C277" t="s">
        <v>24</v>
      </c>
      <c r="D277" t="s">
        <v>25</v>
      </c>
      <c r="E277">
        <v>0.97</v>
      </c>
      <c r="F277" t="s">
        <v>88</v>
      </c>
      <c r="G277" s="19">
        <v>45496</v>
      </c>
      <c r="H277" t="s">
        <v>181</v>
      </c>
      <c r="I277" t="s">
        <v>182</v>
      </c>
      <c r="Q277" s="3">
        <f t="shared" si="4"/>
        <v>0.97</v>
      </c>
      <c r="R277" t="s">
        <v>138</v>
      </c>
      <c r="S277" t="s">
        <v>137</v>
      </c>
    </row>
    <row r="278" spans="1:20" x14ac:dyDescent="0.35">
      <c r="A278" t="s">
        <v>0</v>
      </c>
      <c r="B278" t="s">
        <v>6045</v>
      </c>
      <c r="C278" t="s">
        <v>24</v>
      </c>
      <c r="D278" t="s">
        <v>25</v>
      </c>
      <c r="E278">
        <v>-0.96</v>
      </c>
      <c r="F278" t="s">
        <v>88</v>
      </c>
      <c r="G278" s="19">
        <v>45496</v>
      </c>
      <c r="H278" t="s">
        <v>318</v>
      </c>
      <c r="I278" t="s">
        <v>6120</v>
      </c>
      <c r="Q278" s="3">
        <f t="shared" si="4"/>
        <v>0.96</v>
      </c>
      <c r="R278" t="s">
        <v>138</v>
      </c>
      <c r="S278" t="s">
        <v>137</v>
      </c>
    </row>
    <row r="279" spans="1:20" x14ac:dyDescent="0.35">
      <c r="A279" t="s">
        <v>0</v>
      </c>
      <c r="B279" t="s">
        <v>1043</v>
      </c>
      <c r="C279" t="s">
        <v>24</v>
      </c>
      <c r="D279" t="s">
        <v>25</v>
      </c>
      <c r="E279">
        <v>-0.94</v>
      </c>
      <c r="F279" t="s">
        <v>88</v>
      </c>
      <c r="G279" s="19">
        <v>45432</v>
      </c>
      <c r="H279" t="s">
        <v>318</v>
      </c>
      <c r="I279" t="s">
        <v>319</v>
      </c>
      <c r="Q279" s="3">
        <f t="shared" si="4"/>
        <v>0.94</v>
      </c>
      <c r="R279" t="s">
        <v>138</v>
      </c>
      <c r="S279" t="s">
        <v>137</v>
      </c>
      <c r="T279" t="s">
        <v>65</v>
      </c>
    </row>
    <row r="280" spans="1:20" x14ac:dyDescent="0.35">
      <c r="A280" t="s">
        <v>0</v>
      </c>
      <c r="B280" t="s">
        <v>2226</v>
      </c>
      <c r="C280" t="s">
        <v>24</v>
      </c>
      <c r="D280" t="s">
        <v>25</v>
      </c>
      <c r="E280">
        <v>0.9</v>
      </c>
      <c r="F280" t="s">
        <v>88</v>
      </c>
      <c r="G280" s="19">
        <v>45412</v>
      </c>
      <c r="H280" t="s">
        <v>320</v>
      </c>
      <c r="I280" t="s">
        <v>320</v>
      </c>
      <c r="Q280" s="3">
        <f t="shared" si="4"/>
        <v>0.9</v>
      </c>
      <c r="R280" t="s">
        <v>138</v>
      </c>
      <c r="S280" t="s">
        <v>137</v>
      </c>
      <c r="T280" t="s">
        <v>65</v>
      </c>
    </row>
    <row r="281" spans="1:20" x14ac:dyDescent="0.35">
      <c r="A281" t="s">
        <v>0</v>
      </c>
      <c r="B281" t="s">
        <v>825</v>
      </c>
      <c r="C281" t="s">
        <v>24</v>
      </c>
      <c r="D281" t="s">
        <v>25</v>
      </c>
      <c r="E281">
        <v>0.9</v>
      </c>
      <c r="F281" t="s">
        <v>88</v>
      </c>
      <c r="G281" s="19">
        <v>45412</v>
      </c>
      <c r="H281" t="s">
        <v>320</v>
      </c>
      <c r="I281" t="s">
        <v>320</v>
      </c>
      <c r="Q281" s="3">
        <f t="shared" si="4"/>
        <v>0.9</v>
      </c>
      <c r="R281" t="s">
        <v>138</v>
      </c>
      <c r="S281" t="s">
        <v>137</v>
      </c>
      <c r="T281" t="s">
        <v>65</v>
      </c>
    </row>
    <row r="282" spans="1:20" x14ac:dyDescent="0.35">
      <c r="A282" t="s">
        <v>34</v>
      </c>
      <c r="B282" t="s">
        <v>5391</v>
      </c>
      <c r="C282" t="s">
        <v>24</v>
      </c>
      <c r="D282" t="s">
        <v>25</v>
      </c>
      <c r="E282">
        <v>0.8400000000000003</v>
      </c>
      <c r="F282" t="s">
        <v>88</v>
      </c>
      <c r="G282" s="19">
        <v>45473</v>
      </c>
      <c r="H282" t="s">
        <v>320</v>
      </c>
      <c r="I282" t="s">
        <v>320</v>
      </c>
      <c r="Q282" s="3">
        <f t="shared" si="4"/>
        <v>0.8400000000000003</v>
      </c>
      <c r="R282" t="s">
        <v>138</v>
      </c>
      <c r="S282" t="s">
        <v>137</v>
      </c>
    </row>
    <row r="283" spans="1:20" x14ac:dyDescent="0.35">
      <c r="A283" t="s">
        <v>35</v>
      </c>
      <c r="B283" t="s">
        <v>6156</v>
      </c>
      <c r="C283" t="s">
        <v>24</v>
      </c>
      <c r="D283" t="s">
        <v>25</v>
      </c>
      <c r="E283">
        <v>0.82000000000000006</v>
      </c>
      <c r="F283" t="s">
        <v>88</v>
      </c>
      <c r="G283" s="19">
        <v>45565</v>
      </c>
      <c r="H283" t="s">
        <v>320</v>
      </c>
      <c r="I283" t="s">
        <v>320</v>
      </c>
      <c r="Q283" s="3">
        <f t="shared" si="4"/>
        <v>0.82000000000000006</v>
      </c>
      <c r="R283" t="s">
        <v>138</v>
      </c>
      <c r="S283" t="s">
        <v>137</v>
      </c>
    </row>
    <row r="284" spans="1:20" x14ac:dyDescent="0.35">
      <c r="A284" t="s">
        <v>0</v>
      </c>
      <c r="B284" t="s">
        <v>4583</v>
      </c>
      <c r="C284" t="s">
        <v>24</v>
      </c>
      <c r="D284" t="s">
        <v>25</v>
      </c>
      <c r="E284">
        <v>0.81</v>
      </c>
      <c r="F284" t="s">
        <v>88</v>
      </c>
      <c r="G284" s="19">
        <v>45565</v>
      </c>
      <c r="H284" t="s">
        <v>320</v>
      </c>
      <c r="I284" t="s">
        <v>320</v>
      </c>
      <c r="Q284" s="3">
        <f t="shared" si="4"/>
        <v>0.81</v>
      </c>
      <c r="R284" t="s">
        <v>138</v>
      </c>
      <c r="S284" t="s">
        <v>137</v>
      </c>
    </row>
    <row r="285" spans="1:20" x14ac:dyDescent="0.35">
      <c r="A285" t="s">
        <v>0</v>
      </c>
      <c r="B285" t="s">
        <v>1075</v>
      </c>
      <c r="C285" t="s">
        <v>24</v>
      </c>
      <c r="D285" t="s">
        <v>25</v>
      </c>
      <c r="E285">
        <v>0.8</v>
      </c>
      <c r="F285" t="s">
        <v>88</v>
      </c>
      <c r="G285" s="19">
        <v>45565</v>
      </c>
      <c r="H285" t="s">
        <v>320</v>
      </c>
      <c r="I285" t="s">
        <v>320</v>
      </c>
      <c r="Q285" s="3">
        <f t="shared" si="4"/>
        <v>0.8</v>
      </c>
      <c r="R285" t="s">
        <v>138</v>
      </c>
      <c r="S285" t="s">
        <v>137</v>
      </c>
    </row>
    <row r="286" spans="1:20" x14ac:dyDescent="0.35">
      <c r="A286" t="s">
        <v>0</v>
      </c>
      <c r="B286" t="s">
        <v>2031</v>
      </c>
      <c r="C286" t="s">
        <v>24</v>
      </c>
      <c r="D286" t="s">
        <v>25</v>
      </c>
      <c r="E286">
        <v>0.75</v>
      </c>
      <c r="F286" t="s">
        <v>88</v>
      </c>
      <c r="G286" s="19">
        <v>45657</v>
      </c>
      <c r="H286" t="s">
        <v>320</v>
      </c>
      <c r="I286" t="s">
        <v>320</v>
      </c>
      <c r="Q286" s="3">
        <f t="shared" si="4"/>
        <v>0.75</v>
      </c>
      <c r="R286" t="s">
        <v>138</v>
      </c>
      <c r="S286" t="s">
        <v>137</v>
      </c>
    </row>
    <row r="287" spans="1:20" x14ac:dyDescent="0.35">
      <c r="A287" t="s">
        <v>0</v>
      </c>
      <c r="B287" t="s">
        <v>656</v>
      </c>
      <c r="C287" t="s">
        <v>24</v>
      </c>
      <c r="D287" t="s">
        <v>25</v>
      </c>
      <c r="E287">
        <v>-0.66</v>
      </c>
      <c r="F287" t="s">
        <v>88</v>
      </c>
      <c r="G287" s="19">
        <v>45501</v>
      </c>
      <c r="H287" t="s">
        <v>181</v>
      </c>
      <c r="I287" t="s">
        <v>182</v>
      </c>
      <c r="Q287" s="3">
        <f t="shared" si="4"/>
        <v>0.66</v>
      </c>
      <c r="R287" t="s">
        <v>138</v>
      </c>
      <c r="S287" t="s">
        <v>137</v>
      </c>
    </row>
    <row r="288" spans="1:20" x14ac:dyDescent="0.35">
      <c r="A288" t="s">
        <v>0</v>
      </c>
      <c r="B288" t="s">
        <v>1053</v>
      </c>
      <c r="C288" t="s">
        <v>24</v>
      </c>
      <c r="D288" t="s">
        <v>25</v>
      </c>
      <c r="E288">
        <v>0.65</v>
      </c>
      <c r="F288" t="s">
        <v>88</v>
      </c>
      <c r="G288" s="19">
        <v>45446</v>
      </c>
      <c r="H288" t="s">
        <v>318</v>
      </c>
      <c r="I288" t="s">
        <v>6074</v>
      </c>
      <c r="Q288" s="3">
        <f t="shared" si="4"/>
        <v>0.65</v>
      </c>
      <c r="R288" t="s">
        <v>138</v>
      </c>
      <c r="S288" t="s">
        <v>137</v>
      </c>
      <c r="T288" t="s">
        <v>65</v>
      </c>
    </row>
    <row r="289" spans="1:20" x14ac:dyDescent="0.35">
      <c r="A289" t="s">
        <v>0</v>
      </c>
      <c r="B289" t="s">
        <v>708</v>
      </c>
      <c r="C289" t="s">
        <v>24</v>
      </c>
      <c r="D289" t="s">
        <v>25</v>
      </c>
      <c r="E289">
        <v>0.64</v>
      </c>
      <c r="F289" t="s">
        <v>88</v>
      </c>
      <c r="G289" s="19">
        <v>45412</v>
      </c>
      <c r="H289" t="s">
        <v>6043</v>
      </c>
      <c r="I289" t="s">
        <v>6043</v>
      </c>
      <c r="Q289" s="3">
        <f t="shared" si="4"/>
        <v>0.64</v>
      </c>
      <c r="R289" t="s">
        <v>138</v>
      </c>
      <c r="S289" t="s">
        <v>137</v>
      </c>
      <c r="T289" t="s">
        <v>65</v>
      </c>
    </row>
    <row r="290" spans="1:20" x14ac:dyDescent="0.35">
      <c r="A290" t="s">
        <v>0</v>
      </c>
      <c r="B290" t="s">
        <v>764</v>
      </c>
      <c r="C290" t="s">
        <v>24</v>
      </c>
      <c r="D290" t="s">
        <v>25</v>
      </c>
      <c r="E290">
        <v>0.61</v>
      </c>
      <c r="F290" t="s">
        <v>88</v>
      </c>
      <c r="G290" s="19">
        <v>45565</v>
      </c>
      <c r="H290" t="s">
        <v>320</v>
      </c>
      <c r="I290" t="s">
        <v>320</v>
      </c>
      <c r="Q290" s="3">
        <f t="shared" si="4"/>
        <v>0.61</v>
      </c>
      <c r="R290" t="s">
        <v>138</v>
      </c>
      <c r="S290" t="s">
        <v>137</v>
      </c>
    </row>
    <row r="291" spans="1:20" x14ac:dyDescent="0.35">
      <c r="A291" t="s">
        <v>0</v>
      </c>
      <c r="B291" t="s">
        <v>1123</v>
      </c>
      <c r="C291" t="s">
        <v>24</v>
      </c>
      <c r="D291" t="s">
        <v>25</v>
      </c>
      <c r="E291">
        <v>0.61</v>
      </c>
      <c r="F291" t="s">
        <v>88</v>
      </c>
      <c r="G291" s="19">
        <v>45650</v>
      </c>
      <c r="H291" t="s">
        <v>318</v>
      </c>
      <c r="I291" t="s">
        <v>6218</v>
      </c>
      <c r="Q291" s="3">
        <f t="shared" si="4"/>
        <v>0.61</v>
      </c>
      <c r="R291" t="s">
        <v>138</v>
      </c>
      <c r="S291" t="s">
        <v>137</v>
      </c>
    </row>
    <row r="292" spans="1:20" x14ac:dyDescent="0.35">
      <c r="A292" t="s">
        <v>0</v>
      </c>
      <c r="B292" t="s">
        <v>1053</v>
      </c>
      <c r="C292" t="s">
        <v>24</v>
      </c>
      <c r="D292" t="s">
        <v>25</v>
      </c>
      <c r="E292">
        <v>0.6</v>
      </c>
      <c r="F292" t="s">
        <v>88</v>
      </c>
      <c r="G292" s="19">
        <v>45426</v>
      </c>
      <c r="H292" t="s">
        <v>318</v>
      </c>
      <c r="I292" t="s">
        <v>6058</v>
      </c>
      <c r="Q292" s="3">
        <f t="shared" si="4"/>
        <v>0.6</v>
      </c>
      <c r="R292" t="s">
        <v>138</v>
      </c>
      <c r="S292" t="s">
        <v>137</v>
      </c>
      <c r="T292" t="s">
        <v>65</v>
      </c>
    </row>
    <row r="293" spans="1:20" x14ac:dyDescent="0.35">
      <c r="A293" t="s">
        <v>0</v>
      </c>
      <c r="B293" t="s">
        <v>3466</v>
      </c>
      <c r="C293" t="s">
        <v>24</v>
      </c>
      <c r="D293" t="s">
        <v>25</v>
      </c>
      <c r="E293">
        <v>0.6</v>
      </c>
      <c r="F293" t="s">
        <v>88</v>
      </c>
      <c r="G293" s="19">
        <v>45469</v>
      </c>
      <c r="H293" t="s">
        <v>318</v>
      </c>
      <c r="I293" t="s">
        <v>6103</v>
      </c>
      <c r="Q293" s="3">
        <f t="shared" si="4"/>
        <v>0.6</v>
      </c>
      <c r="R293" t="s">
        <v>138</v>
      </c>
      <c r="S293" t="s">
        <v>137</v>
      </c>
    </row>
    <row r="294" spans="1:20" x14ac:dyDescent="0.35">
      <c r="A294" t="s">
        <v>35</v>
      </c>
      <c r="B294" t="s">
        <v>952</v>
      </c>
      <c r="C294" t="s">
        <v>24</v>
      </c>
      <c r="D294" t="s">
        <v>25</v>
      </c>
      <c r="E294">
        <v>-0.6</v>
      </c>
      <c r="F294" t="s">
        <v>88</v>
      </c>
      <c r="G294" s="19">
        <v>45596</v>
      </c>
      <c r="H294" t="s">
        <v>6183</v>
      </c>
      <c r="I294" t="s">
        <v>6183</v>
      </c>
      <c r="Q294" s="3">
        <f t="shared" si="4"/>
        <v>0.6</v>
      </c>
      <c r="R294" t="s">
        <v>138</v>
      </c>
      <c r="S294" t="s">
        <v>137</v>
      </c>
    </row>
    <row r="295" spans="1:20" x14ac:dyDescent="0.35">
      <c r="A295" t="s">
        <v>35</v>
      </c>
      <c r="B295" t="s">
        <v>952</v>
      </c>
      <c r="C295" t="s">
        <v>24</v>
      </c>
      <c r="D295" t="s">
        <v>25</v>
      </c>
      <c r="E295">
        <v>0.6</v>
      </c>
      <c r="F295" t="s">
        <v>88</v>
      </c>
      <c r="G295" s="19">
        <v>45596</v>
      </c>
      <c r="H295" t="s">
        <v>6183</v>
      </c>
      <c r="I295" t="s">
        <v>6184</v>
      </c>
      <c r="Q295" s="3">
        <f t="shared" si="4"/>
        <v>0.6</v>
      </c>
      <c r="R295" t="s">
        <v>138</v>
      </c>
      <c r="S295" t="s">
        <v>137</v>
      </c>
    </row>
    <row r="296" spans="1:20" x14ac:dyDescent="0.35">
      <c r="A296" t="s">
        <v>0</v>
      </c>
      <c r="B296" t="s">
        <v>656</v>
      </c>
      <c r="C296" t="s">
        <v>24</v>
      </c>
      <c r="D296" t="s">
        <v>25</v>
      </c>
      <c r="E296">
        <v>-0.59</v>
      </c>
      <c r="F296" t="s">
        <v>88</v>
      </c>
      <c r="G296" s="19">
        <v>45503</v>
      </c>
      <c r="H296" t="s">
        <v>181</v>
      </c>
      <c r="I296" t="s">
        <v>182</v>
      </c>
      <c r="Q296" s="3">
        <f t="shared" si="4"/>
        <v>0.59</v>
      </c>
      <c r="R296" t="s">
        <v>138</v>
      </c>
      <c r="S296" t="s">
        <v>137</v>
      </c>
    </row>
    <row r="297" spans="1:20" x14ac:dyDescent="0.35">
      <c r="A297" t="s">
        <v>0</v>
      </c>
      <c r="B297" t="s">
        <v>633</v>
      </c>
      <c r="C297" t="s">
        <v>24</v>
      </c>
      <c r="D297" t="s">
        <v>25</v>
      </c>
      <c r="E297">
        <v>0.56999999999999995</v>
      </c>
      <c r="F297" t="s">
        <v>88</v>
      </c>
      <c r="G297" s="19">
        <v>45412</v>
      </c>
      <c r="H297" t="s">
        <v>320</v>
      </c>
      <c r="I297" t="s">
        <v>320</v>
      </c>
      <c r="Q297" s="3">
        <f t="shared" si="4"/>
        <v>0.56999999999999995</v>
      </c>
      <c r="R297" t="s">
        <v>138</v>
      </c>
      <c r="S297" t="s">
        <v>137</v>
      </c>
      <c r="T297" t="s">
        <v>65</v>
      </c>
    </row>
    <row r="298" spans="1:20" x14ac:dyDescent="0.35">
      <c r="A298" t="s">
        <v>0</v>
      </c>
      <c r="B298" t="s">
        <v>3466</v>
      </c>
      <c r="C298" t="s">
        <v>24</v>
      </c>
      <c r="D298" t="s">
        <v>25</v>
      </c>
      <c r="E298">
        <v>0.56999999999999995</v>
      </c>
      <c r="F298" t="s">
        <v>88</v>
      </c>
      <c r="G298" s="19">
        <v>45565</v>
      </c>
      <c r="H298" t="s">
        <v>320</v>
      </c>
      <c r="I298" t="s">
        <v>320</v>
      </c>
      <c r="Q298" s="3">
        <f t="shared" si="4"/>
        <v>0.56999999999999995</v>
      </c>
      <c r="R298" t="s">
        <v>138</v>
      </c>
      <c r="S298" t="s">
        <v>137</v>
      </c>
    </row>
    <row r="299" spans="1:20" x14ac:dyDescent="0.35">
      <c r="A299" t="s">
        <v>0</v>
      </c>
      <c r="B299" t="s">
        <v>1491</v>
      </c>
      <c r="C299" t="s">
        <v>24</v>
      </c>
      <c r="D299" t="s">
        <v>25</v>
      </c>
      <c r="E299">
        <v>0.44</v>
      </c>
      <c r="F299" t="s">
        <v>88</v>
      </c>
      <c r="G299" s="19">
        <v>45546</v>
      </c>
      <c r="H299" t="s">
        <v>318</v>
      </c>
      <c r="I299" t="s">
        <v>6143</v>
      </c>
      <c r="Q299" s="3">
        <f t="shared" si="4"/>
        <v>0.44</v>
      </c>
      <c r="R299" t="s">
        <v>138</v>
      </c>
      <c r="S299" t="s">
        <v>137</v>
      </c>
    </row>
    <row r="300" spans="1:20" x14ac:dyDescent="0.35">
      <c r="A300" t="s">
        <v>35</v>
      </c>
      <c r="B300" t="s">
        <v>1431</v>
      </c>
      <c r="C300" t="s">
        <v>24</v>
      </c>
      <c r="D300" t="s">
        <v>25</v>
      </c>
      <c r="E300">
        <v>0.43</v>
      </c>
      <c r="F300" t="s">
        <v>88</v>
      </c>
      <c r="G300" s="19">
        <v>45565</v>
      </c>
      <c r="H300" t="s">
        <v>320</v>
      </c>
      <c r="I300" t="s">
        <v>320</v>
      </c>
      <c r="Q300" s="3">
        <f t="shared" si="4"/>
        <v>0.43</v>
      </c>
      <c r="R300" t="s">
        <v>138</v>
      </c>
      <c r="S300" t="s">
        <v>137</v>
      </c>
    </row>
    <row r="301" spans="1:20" x14ac:dyDescent="0.35">
      <c r="A301" t="s">
        <v>35</v>
      </c>
      <c r="B301" t="s">
        <v>1431</v>
      </c>
      <c r="C301" t="s">
        <v>24</v>
      </c>
      <c r="D301" t="s">
        <v>25</v>
      </c>
      <c r="E301">
        <v>0.42</v>
      </c>
      <c r="F301" t="s">
        <v>88</v>
      </c>
      <c r="G301" s="19">
        <v>45473</v>
      </c>
      <c r="H301" t="s">
        <v>320</v>
      </c>
      <c r="I301" t="s">
        <v>320</v>
      </c>
      <c r="Q301" s="3">
        <f t="shared" si="4"/>
        <v>0.42</v>
      </c>
      <c r="R301" t="s">
        <v>138</v>
      </c>
      <c r="S301" t="s">
        <v>137</v>
      </c>
    </row>
    <row r="302" spans="1:20" x14ac:dyDescent="0.35">
      <c r="A302" t="s">
        <v>35</v>
      </c>
      <c r="B302" t="s">
        <v>638</v>
      </c>
      <c r="C302" t="s">
        <v>24</v>
      </c>
      <c r="D302" t="s">
        <v>25</v>
      </c>
      <c r="E302">
        <v>0.4</v>
      </c>
      <c r="F302" t="s">
        <v>88</v>
      </c>
      <c r="G302" s="19">
        <v>45657</v>
      </c>
      <c r="H302" t="s">
        <v>320</v>
      </c>
      <c r="I302" t="s">
        <v>320</v>
      </c>
      <c r="Q302" s="3">
        <f t="shared" si="4"/>
        <v>0.4</v>
      </c>
      <c r="R302" t="s">
        <v>138</v>
      </c>
      <c r="S302" t="s">
        <v>137</v>
      </c>
    </row>
    <row r="303" spans="1:20" x14ac:dyDescent="0.35">
      <c r="A303" t="s">
        <v>0</v>
      </c>
      <c r="B303" t="s">
        <v>656</v>
      </c>
      <c r="C303" t="s">
        <v>24</v>
      </c>
      <c r="D303" t="s">
        <v>25</v>
      </c>
      <c r="E303">
        <v>0.37</v>
      </c>
      <c r="F303" t="s">
        <v>88</v>
      </c>
      <c r="G303" s="19">
        <v>45490</v>
      </c>
      <c r="H303" t="s">
        <v>181</v>
      </c>
      <c r="I303" t="s">
        <v>182</v>
      </c>
      <c r="Q303" s="3">
        <f t="shared" si="4"/>
        <v>0.37</v>
      </c>
      <c r="R303" t="s">
        <v>138</v>
      </c>
      <c r="S303" t="s">
        <v>137</v>
      </c>
    </row>
    <row r="304" spans="1:20" x14ac:dyDescent="0.35">
      <c r="A304" t="s">
        <v>0</v>
      </c>
      <c r="B304" t="s">
        <v>708</v>
      </c>
      <c r="C304" t="s">
        <v>24</v>
      </c>
      <c r="D304" t="s">
        <v>25</v>
      </c>
      <c r="E304">
        <v>0.32</v>
      </c>
      <c r="F304" t="s">
        <v>88</v>
      </c>
      <c r="G304" s="19">
        <v>45412</v>
      </c>
      <c r="H304" t="s">
        <v>320</v>
      </c>
      <c r="I304" t="s">
        <v>320</v>
      </c>
      <c r="Q304" s="3">
        <f t="shared" si="4"/>
        <v>0.32</v>
      </c>
      <c r="R304" t="s">
        <v>138</v>
      </c>
      <c r="S304" t="s">
        <v>137</v>
      </c>
      <c r="T304" t="s">
        <v>65</v>
      </c>
    </row>
    <row r="305" spans="1:20" x14ac:dyDescent="0.35">
      <c r="A305" t="s">
        <v>35</v>
      </c>
      <c r="B305" t="s">
        <v>1279</v>
      </c>
      <c r="C305" t="s">
        <v>24</v>
      </c>
      <c r="D305" t="s">
        <v>25</v>
      </c>
      <c r="E305">
        <v>0.32</v>
      </c>
      <c r="F305" t="s">
        <v>88</v>
      </c>
      <c r="G305" s="19">
        <v>45473</v>
      </c>
      <c r="H305" t="s">
        <v>320</v>
      </c>
      <c r="I305" t="s">
        <v>320</v>
      </c>
      <c r="Q305" s="3">
        <f t="shared" si="4"/>
        <v>0.32</v>
      </c>
      <c r="R305" t="s">
        <v>138</v>
      </c>
      <c r="S305" t="s">
        <v>137</v>
      </c>
    </row>
    <row r="306" spans="1:20" x14ac:dyDescent="0.35">
      <c r="A306" t="s">
        <v>0</v>
      </c>
      <c r="B306" t="s">
        <v>656</v>
      </c>
      <c r="C306" t="s">
        <v>24</v>
      </c>
      <c r="D306" t="s">
        <v>25</v>
      </c>
      <c r="E306">
        <v>0.32</v>
      </c>
      <c r="F306" t="s">
        <v>88</v>
      </c>
      <c r="G306" s="19">
        <v>45487</v>
      </c>
      <c r="H306" t="s">
        <v>181</v>
      </c>
      <c r="I306" t="s">
        <v>182</v>
      </c>
      <c r="Q306" s="3">
        <f t="shared" si="4"/>
        <v>0.32</v>
      </c>
      <c r="R306" t="s">
        <v>138</v>
      </c>
      <c r="S306" t="s">
        <v>137</v>
      </c>
    </row>
    <row r="307" spans="1:20" x14ac:dyDescent="0.35">
      <c r="A307" t="s">
        <v>0</v>
      </c>
      <c r="B307" t="s">
        <v>656</v>
      </c>
      <c r="C307" t="s">
        <v>24</v>
      </c>
      <c r="D307" t="s">
        <v>25</v>
      </c>
      <c r="E307">
        <v>0.32</v>
      </c>
      <c r="F307" t="s">
        <v>88</v>
      </c>
      <c r="G307" s="19">
        <v>45491</v>
      </c>
      <c r="H307" t="s">
        <v>181</v>
      </c>
      <c r="I307" t="s">
        <v>182</v>
      </c>
      <c r="Q307" s="3">
        <f t="shared" si="4"/>
        <v>0.32</v>
      </c>
      <c r="R307" t="s">
        <v>138</v>
      </c>
      <c r="S307" t="s">
        <v>137</v>
      </c>
    </row>
    <row r="308" spans="1:20" x14ac:dyDescent="0.35">
      <c r="A308" t="s">
        <v>35</v>
      </c>
      <c r="B308" t="s">
        <v>624</v>
      </c>
      <c r="C308" t="s">
        <v>24</v>
      </c>
      <c r="D308" t="s">
        <v>25</v>
      </c>
      <c r="E308">
        <v>0.32</v>
      </c>
      <c r="F308" t="s">
        <v>88</v>
      </c>
      <c r="G308" s="19">
        <v>45565</v>
      </c>
      <c r="H308" t="s">
        <v>320</v>
      </c>
      <c r="I308" t="s">
        <v>320</v>
      </c>
      <c r="Q308" s="3">
        <f t="shared" si="4"/>
        <v>0.32</v>
      </c>
      <c r="R308" t="s">
        <v>138</v>
      </c>
      <c r="S308" t="s">
        <v>137</v>
      </c>
    </row>
    <row r="309" spans="1:20" x14ac:dyDescent="0.35">
      <c r="A309" t="s">
        <v>35</v>
      </c>
      <c r="B309" t="s">
        <v>642</v>
      </c>
      <c r="C309" t="s">
        <v>24</v>
      </c>
      <c r="D309" t="s">
        <v>25</v>
      </c>
      <c r="E309">
        <v>0.3</v>
      </c>
      <c r="F309" t="s">
        <v>88</v>
      </c>
      <c r="G309" s="19">
        <v>45565</v>
      </c>
      <c r="H309" t="s">
        <v>320</v>
      </c>
      <c r="I309" t="s">
        <v>320</v>
      </c>
      <c r="Q309" s="3">
        <f t="shared" si="4"/>
        <v>0.3</v>
      </c>
      <c r="R309" t="s">
        <v>138</v>
      </c>
      <c r="S309" t="s">
        <v>137</v>
      </c>
    </row>
    <row r="310" spans="1:20" x14ac:dyDescent="0.35">
      <c r="A310" t="s">
        <v>0</v>
      </c>
      <c r="B310" t="s">
        <v>656</v>
      </c>
      <c r="C310" t="s">
        <v>24</v>
      </c>
      <c r="D310" t="s">
        <v>25</v>
      </c>
      <c r="E310">
        <v>0.28999999999999998</v>
      </c>
      <c r="F310" t="s">
        <v>88</v>
      </c>
      <c r="G310" s="19">
        <v>45494</v>
      </c>
      <c r="H310" t="s">
        <v>181</v>
      </c>
      <c r="I310" t="s">
        <v>182</v>
      </c>
      <c r="Q310" s="3">
        <f t="shared" si="4"/>
        <v>0.28999999999999998</v>
      </c>
      <c r="R310" t="s">
        <v>138</v>
      </c>
      <c r="S310" t="s">
        <v>137</v>
      </c>
    </row>
    <row r="311" spans="1:20" x14ac:dyDescent="0.35">
      <c r="A311" t="s">
        <v>0</v>
      </c>
      <c r="B311" t="s">
        <v>6044</v>
      </c>
      <c r="C311" t="s">
        <v>24</v>
      </c>
      <c r="D311" t="s">
        <v>25</v>
      </c>
      <c r="E311">
        <v>0.24</v>
      </c>
      <c r="F311" t="s">
        <v>88</v>
      </c>
      <c r="G311" s="19">
        <v>45657</v>
      </c>
      <c r="H311" t="s">
        <v>320</v>
      </c>
      <c r="I311" t="s">
        <v>320</v>
      </c>
      <c r="Q311" s="3">
        <f t="shared" si="4"/>
        <v>0.24</v>
      </c>
      <c r="R311" t="s">
        <v>138</v>
      </c>
      <c r="S311" t="s">
        <v>137</v>
      </c>
    </row>
    <row r="312" spans="1:20" x14ac:dyDescent="0.35">
      <c r="A312" t="s">
        <v>0</v>
      </c>
      <c r="B312" t="s">
        <v>656</v>
      </c>
      <c r="C312" t="s">
        <v>24</v>
      </c>
      <c r="D312" t="s">
        <v>25</v>
      </c>
      <c r="E312">
        <v>0.22</v>
      </c>
      <c r="F312" t="s">
        <v>88</v>
      </c>
      <c r="G312" s="19">
        <v>45502</v>
      </c>
      <c r="H312" t="s">
        <v>181</v>
      </c>
      <c r="I312" t="s">
        <v>182</v>
      </c>
      <c r="Q312" s="3">
        <f t="shared" si="4"/>
        <v>0.22</v>
      </c>
      <c r="R312" t="s">
        <v>138</v>
      </c>
      <c r="S312" t="s">
        <v>137</v>
      </c>
    </row>
    <row r="313" spans="1:20" x14ac:dyDescent="0.35">
      <c r="A313" t="s">
        <v>0</v>
      </c>
      <c r="B313" t="s">
        <v>1123</v>
      </c>
      <c r="C313" t="s">
        <v>24</v>
      </c>
      <c r="D313" t="s">
        <v>25</v>
      </c>
      <c r="E313">
        <v>0.2</v>
      </c>
      <c r="F313" t="s">
        <v>88</v>
      </c>
      <c r="G313" s="19">
        <v>45471</v>
      </c>
      <c r="H313" t="s">
        <v>318</v>
      </c>
      <c r="I313" t="s">
        <v>6105</v>
      </c>
      <c r="Q313" s="3">
        <f t="shared" si="4"/>
        <v>0.2</v>
      </c>
      <c r="R313" t="s">
        <v>138</v>
      </c>
      <c r="S313" t="s">
        <v>137</v>
      </c>
    </row>
    <row r="314" spans="1:20" x14ac:dyDescent="0.35">
      <c r="A314" t="s">
        <v>34</v>
      </c>
      <c r="B314" t="s">
        <v>5391</v>
      </c>
      <c r="C314" t="s">
        <v>24</v>
      </c>
      <c r="D314" t="s">
        <v>25</v>
      </c>
      <c r="E314">
        <v>0.19</v>
      </c>
      <c r="F314" t="s">
        <v>88</v>
      </c>
      <c r="G314" s="19">
        <v>45657</v>
      </c>
      <c r="H314" t="s">
        <v>320</v>
      </c>
      <c r="I314" t="s">
        <v>320</v>
      </c>
      <c r="Q314" s="3">
        <f t="shared" si="4"/>
        <v>0.19</v>
      </c>
      <c r="R314" t="s">
        <v>138</v>
      </c>
      <c r="S314" t="s">
        <v>137</v>
      </c>
    </row>
    <row r="315" spans="1:20" x14ac:dyDescent="0.35">
      <c r="A315" t="s">
        <v>0</v>
      </c>
      <c r="B315" t="s">
        <v>915</v>
      </c>
      <c r="C315" t="s">
        <v>24</v>
      </c>
      <c r="D315" t="s">
        <v>25</v>
      </c>
      <c r="E315">
        <v>0.18</v>
      </c>
      <c r="F315" t="s">
        <v>88</v>
      </c>
      <c r="G315" s="19">
        <v>45412</v>
      </c>
      <c r="H315" t="s">
        <v>6043</v>
      </c>
      <c r="I315" t="s">
        <v>6043</v>
      </c>
      <c r="Q315" s="3">
        <f t="shared" si="4"/>
        <v>0.18</v>
      </c>
      <c r="R315" t="s">
        <v>138</v>
      </c>
      <c r="S315" t="s">
        <v>137</v>
      </c>
      <c r="T315" t="s">
        <v>65</v>
      </c>
    </row>
    <row r="316" spans="1:20" x14ac:dyDescent="0.35">
      <c r="A316" t="s">
        <v>35</v>
      </c>
      <c r="B316" t="s">
        <v>642</v>
      </c>
      <c r="C316" t="s">
        <v>24</v>
      </c>
      <c r="D316" t="s">
        <v>25</v>
      </c>
      <c r="E316">
        <v>0.18</v>
      </c>
      <c r="F316" t="s">
        <v>88</v>
      </c>
      <c r="G316" s="19">
        <v>45412</v>
      </c>
      <c r="H316" t="s">
        <v>320</v>
      </c>
      <c r="I316" t="s">
        <v>320</v>
      </c>
      <c r="Q316" s="3">
        <f t="shared" si="4"/>
        <v>0.18</v>
      </c>
      <c r="R316" t="s">
        <v>138</v>
      </c>
      <c r="S316" t="s">
        <v>137</v>
      </c>
      <c r="T316" t="s">
        <v>65</v>
      </c>
    </row>
    <row r="317" spans="1:20" x14ac:dyDescent="0.35">
      <c r="A317" t="s">
        <v>0</v>
      </c>
      <c r="B317" t="s">
        <v>601</v>
      </c>
      <c r="C317" t="s">
        <v>24</v>
      </c>
      <c r="D317" t="s">
        <v>25</v>
      </c>
      <c r="E317">
        <v>0.17</v>
      </c>
      <c r="F317" t="s">
        <v>88</v>
      </c>
      <c r="G317" s="19">
        <v>45406</v>
      </c>
      <c r="H317" t="s">
        <v>318</v>
      </c>
      <c r="I317" t="s">
        <v>6040</v>
      </c>
      <c r="Q317" s="3">
        <f t="shared" si="4"/>
        <v>0.17</v>
      </c>
      <c r="R317" t="s">
        <v>138</v>
      </c>
      <c r="S317" t="s">
        <v>137</v>
      </c>
      <c r="T317" t="s">
        <v>65</v>
      </c>
    </row>
    <row r="318" spans="1:20" x14ac:dyDescent="0.35">
      <c r="A318" t="s">
        <v>0</v>
      </c>
      <c r="B318" t="s">
        <v>656</v>
      </c>
      <c r="C318" t="s">
        <v>24</v>
      </c>
      <c r="D318" t="s">
        <v>25</v>
      </c>
      <c r="E318">
        <v>0.16</v>
      </c>
      <c r="F318" t="s">
        <v>88</v>
      </c>
      <c r="G318" s="19">
        <v>45497</v>
      </c>
      <c r="H318" t="s">
        <v>181</v>
      </c>
      <c r="I318" t="s">
        <v>182</v>
      </c>
      <c r="Q318" s="3">
        <f t="shared" si="4"/>
        <v>0.16</v>
      </c>
      <c r="R318" t="s">
        <v>138</v>
      </c>
      <c r="S318" t="s">
        <v>137</v>
      </c>
    </row>
    <row r="319" spans="1:20" x14ac:dyDescent="0.35">
      <c r="A319" t="s">
        <v>0</v>
      </c>
      <c r="B319" t="s">
        <v>6047</v>
      </c>
      <c r="C319" t="s">
        <v>24</v>
      </c>
      <c r="D319" t="s">
        <v>25</v>
      </c>
      <c r="E319">
        <v>0.14000000000000001</v>
      </c>
      <c r="F319" t="s">
        <v>88</v>
      </c>
      <c r="G319" s="19">
        <v>45412</v>
      </c>
      <c r="H319" t="s">
        <v>320</v>
      </c>
      <c r="I319" t="s">
        <v>320</v>
      </c>
      <c r="Q319" s="3">
        <f t="shared" si="4"/>
        <v>0.14000000000000001</v>
      </c>
      <c r="R319" t="s">
        <v>138</v>
      </c>
      <c r="S319" t="s">
        <v>137</v>
      </c>
      <c r="T319" t="s">
        <v>65</v>
      </c>
    </row>
    <row r="320" spans="1:20" x14ac:dyDescent="0.35">
      <c r="A320" t="s">
        <v>0</v>
      </c>
      <c r="B320" t="s">
        <v>6047</v>
      </c>
      <c r="C320" t="s">
        <v>24</v>
      </c>
      <c r="D320" t="s">
        <v>25</v>
      </c>
      <c r="E320">
        <v>0.14000000000000001</v>
      </c>
      <c r="F320" t="s">
        <v>88</v>
      </c>
      <c r="G320" s="19">
        <v>45657</v>
      </c>
      <c r="H320" t="s">
        <v>320</v>
      </c>
      <c r="I320" t="s">
        <v>320</v>
      </c>
      <c r="Q320" s="3">
        <f t="shared" si="4"/>
        <v>0.14000000000000001</v>
      </c>
      <c r="R320" t="s">
        <v>138</v>
      </c>
      <c r="S320" t="s">
        <v>137</v>
      </c>
    </row>
    <row r="321" spans="1:20" x14ac:dyDescent="0.35">
      <c r="A321" t="s">
        <v>0</v>
      </c>
      <c r="B321" t="s">
        <v>1123</v>
      </c>
      <c r="C321" t="s">
        <v>24</v>
      </c>
      <c r="D321" t="s">
        <v>25</v>
      </c>
      <c r="E321">
        <v>0.12</v>
      </c>
      <c r="F321" t="s">
        <v>88</v>
      </c>
      <c r="G321" s="19">
        <v>45467</v>
      </c>
      <c r="H321" t="s">
        <v>318</v>
      </c>
      <c r="I321" t="s">
        <v>6097</v>
      </c>
      <c r="Q321" s="3">
        <f t="shared" si="4"/>
        <v>0.12</v>
      </c>
      <c r="R321" t="s">
        <v>138</v>
      </c>
      <c r="S321" t="s">
        <v>137</v>
      </c>
      <c r="T321" t="s">
        <v>65</v>
      </c>
    </row>
    <row r="322" spans="1:20" x14ac:dyDescent="0.35">
      <c r="A322" t="s">
        <v>35</v>
      </c>
      <c r="B322" t="s">
        <v>642</v>
      </c>
      <c r="C322" t="s">
        <v>24</v>
      </c>
      <c r="D322" t="s">
        <v>25</v>
      </c>
      <c r="E322">
        <v>0.12</v>
      </c>
      <c r="F322" t="s">
        <v>88</v>
      </c>
      <c r="G322" s="19">
        <v>45473</v>
      </c>
      <c r="H322" t="s">
        <v>320</v>
      </c>
      <c r="I322" t="s">
        <v>320</v>
      </c>
      <c r="Q322" s="3">
        <f t="shared" si="4"/>
        <v>0.12</v>
      </c>
      <c r="R322" t="s">
        <v>138</v>
      </c>
      <c r="S322" t="s">
        <v>137</v>
      </c>
    </row>
    <row r="323" spans="1:20" x14ac:dyDescent="0.35">
      <c r="A323" t="s">
        <v>35</v>
      </c>
      <c r="B323" t="s">
        <v>642</v>
      </c>
      <c r="C323" t="s">
        <v>24</v>
      </c>
      <c r="D323" t="s">
        <v>25</v>
      </c>
      <c r="E323">
        <v>0.11</v>
      </c>
      <c r="F323" t="s">
        <v>88</v>
      </c>
      <c r="G323" s="19">
        <v>45657</v>
      </c>
      <c r="H323" t="s">
        <v>320</v>
      </c>
      <c r="I323" t="s">
        <v>320</v>
      </c>
      <c r="Q323" s="3">
        <f t="shared" si="4"/>
        <v>0.11</v>
      </c>
      <c r="R323" t="s">
        <v>138</v>
      </c>
      <c r="S323" t="s">
        <v>137</v>
      </c>
    </row>
    <row r="324" spans="1:20" x14ac:dyDescent="0.35">
      <c r="A324" t="s">
        <v>0</v>
      </c>
      <c r="B324" t="s">
        <v>2328</v>
      </c>
      <c r="C324" t="s">
        <v>24</v>
      </c>
      <c r="D324" t="s">
        <v>25</v>
      </c>
      <c r="E324">
        <v>0.1</v>
      </c>
      <c r="F324" t="s">
        <v>88</v>
      </c>
      <c r="G324" s="19">
        <v>45412</v>
      </c>
      <c r="H324" t="s">
        <v>6043</v>
      </c>
      <c r="I324" t="s">
        <v>6043</v>
      </c>
      <c r="Q324" s="3">
        <f t="shared" si="4"/>
        <v>0.1</v>
      </c>
      <c r="R324" t="s">
        <v>138</v>
      </c>
      <c r="S324" t="s">
        <v>137</v>
      </c>
      <c r="T324" t="s">
        <v>65</v>
      </c>
    </row>
    <row r="325" spans="1:20" x14ac:dyDescent="0.35">
      <c r="A325" t="s">
        <v>0</v>
      </c>
      <c r="B325" t="s">
        <v>4583</v>
      </c>
      <c r="C325" t="s">
        <v>24</v>
      </c>
      <c r="D325" t="s">
        <v>25</v>
      </c>
      <c r="E325">
        <v>0.1</v>
      </c>
      <c r="F325" t="s">
        <v>88</v>
      </c>
      <c r="G325" s="19">
        <v>45609</v>
      </c>
      <c r="H325" t="s">
        <v>318</v>
      </c>
      <c r="I325" t="s">
        <v>6191</v>
      </c>
      <c r="Q325" s="3">
        <f t="shared" si="4"/>
        <v>0.1</v>
      </c>
      <c r="R325" t="s">
        <v>138</v>
      </c>
      <c r="S325" t="s">
        <v>137</v>
      </c>
    </row>
    <row r="326" spans="1:20" x14ac:dyDescent="0.35">
      <c r="A326" t="s">
        <v>0</v>
      </c>
      <c r="B326" t="s">
        <v>615</v>
      </c>
      <c r="C326" t="s">
        <v>24</v>
      </c>
      <c r="D326" t="s">
        <v>25</v>
      </c>
      <c r="E326">
        <v>0.08</v>
      </c>
      <c r="F326" t="s">
        <v>88</v>
      </c>
      <c r="G326" s="19">
        <v>45412</v>
      </c>
      <c r="H326" t="s">
        <v>6043</v>
      </c>
      <c r="I326" t="s">
        <v>6043</v>
      </c>
      <c r="Q326" s="3">
        <f t="shared" si="4"/>
        <v>0.08</v>
      </c>
      <c r="R326" t="s">
        <v>138</v>
      </c>
      <c r="S326" t="s">
        <v>137</v>
      </c>
      <c r="T326" t="s">
        <v>65</v>
      </c>
    </row>
    <row r="327" spans="1:20" x14ac:dyDescent="0.35">
      <c r="A327" t="s">
        <v>0</v>
      </c>
      <c r="B327" t="s">
        <v>1043</v>
      </c>
      <c r="C327" t="s">
        <v>24</v>
      </c>
      <c r="D327" t="s">
        <v>25</v>
      </c>
      <c r="E327">
        <v>-0.08</v>
      </c>
      <c r="F327" t="s">
        <v>88</v>
      </c>
      <c r="G327" s="19">
        <v>45517</v>
      </c>
      <c r="H327" t="s">
        <v>318</v>
      </c>
      <c r="I327" t="s">
        <v>319</v>
      </c>
      <c r="Q327" s="3">
        <f t="shared" si="4"/>
        <v>0.08</v>
      </c>
      <c r="R327" t="s">
        <v>138</v>
      </c>
      <c r="S327" t="s">
        <v>137</v>
      </c>
    </row>
    <row r="328" spans="1:20" x14ac:dyDescent="0.35">
      <c r="A328" t="s">
        <v>0</v>
      </c>
      <c r="B328" t="s">
        <v>599</v>
      </c>
      <c r="C328" t="s">
        <v>24</v>
      </c>
      <c r="D328" t="s">
        <v>25</v>
      </c>
      <c r="E328">
        <v>0.06</v>
      </c>
      <c r="F328" t="s">
        <v>88</v>
      </c>
      <c r="G328" s="19">
        <v>45412</v>
      </c>
      <c r="H328" t="s">
        <v>6043</v>
      </c>
      <c r="I328" t="s">
        <v>6043</v>
      </c>
      <c r="Q328" s="3">
        <f t="shared" ref="Q328:Q384" si="5">ABS(E328)</f>
        <v>0.06</v>
      </c>
      <c r="R328" t="s">
        <v>138</v>
      </c>
      <c r="S328" t="s">
        <v>137</v>
      </c>
      <c r="T328" t="s">
        <v>65</v>
      </c>
    </row>
    <row r="329" spans="1:20" x14ac:dyDescent="0.35">
      <c r="A329" t="s">
        <v>0</v>
      </c>
      <c r="B329" t="s">
        <v>4622</v>
      </c>
      <c r="C329" t="s">
        <v>24</v>
      </c>
      <c r="D329" t="s">
        <v>25</v>
      </c>
      <c r="E329">
        <v>0.06</v>
      </c>
      <c r="F329" t="s">
        <v>88</v>
      </c>
      <c r="G329" s="19">
        <v>45412</v>
      </c>
      <c r="H329" t="s">
        <v>6043</v>
      </c>
      <c r="I329" t="s">
        <v>6043</v>
      </c>
      <c r="Q329" s="3">
        <f t="shared" si="5"/>
        <v>0.06</v>
      </c>
      <c r="R329" t="s">
        <v>138</v>
      </c>
      <c r="S329" t="s">
        <v>137</v>
      </c>
      <c r="T329" t="s">
        <v>65</v>
      </c>
    </row>
    <row r="330" spans="1:20" x14ac:dyDescent="0.35">
      <c r="A330" t="s">
        <v>0</v>
      </c>
      <c r="B330" t="s">
        <v>6044</v>
      </c>
      <c r="C330" t="s">
        <v>24</v>
      </c>
      <c r="D330" t="s">
        <v>25</v>
      </c>
      <c r="E330">
        <v>0.06</v>
      </c>
      <c r="F330" t="s">
        <v>88</v>
      </c>
      <c r="G330" s="19">
        <v>45412</v>
      </c>
      <c r="H330" t="s">
        <v>6043</v>
      </c>
      <c r="I330" t="s">
        <v>6043</v>
      </c>
      <c r="Q330" s="3">
        <f t="shared" si="5"/>
        <v>0.06</v>
      </c>
      <c r="R330" t="s">
        <v>138</v>
      </c>
      <c r="S330" t="s">
        <v>137</v>
      </c>
      <c r="T330" t="s">
        <v>65</v>
      </c>
    </row>
    <row r="331" spans="1:20" x14ac:dyDescent="0.35">
      <c r="A331" t="s">
        <v>0</v>
      </c>
      <c r="B331" t="s">
        <v>2208</v>
      </c>
      <c r="C331" t="s">
        <v>24</v>
      </c>
      <c r="D331" t="s">
        <v>25</v>
      </c>
      <c r="E331">
        <v>0.06</v>
      </c>
      <c r="F331" t="s">
        <v>88</v>
      </c>
      <c r="G331" s="19">
        <v>45412</v>
      </c>
      <c r="H331" t="s">
        <v>6043</v>
      </c>
      <c r="I331" t="s">
        <v>6043</v>
      </c>
      <c r="Q331" s="3">
        <f t="shared" si="5"/>
        <v>0.06</v>
      </c>
      <c r="R331" t="s">
        <v>138</v>
      </c>
      <c r="S331" t="s">
        <v>137</v>
      </c>
      <c r="T331" t="s">
        <v>65</v>
      </c>
    </row>
    <row r="332" spans="1:20" x14ac:dyDescent="0.35">
      <c r="A332" t="s">
        <v>0</v>
      </c>
      <c r="B332" t="s">
        <v>1069</v>
      </c>
      <c r="C332" t="s">
        <v>24</v>
      </c>
      <c r="D332" t="s">
        <v>25</v>
      </c>
      <c r="E332">
        <v>0.06</v>
      </c>
      <c r="F332" t="s">
        <v>88</v>
      </c>
      <c r="G332" s="19">
        <v>45624</v>
      </c>
      <c r="H332" t="s">
        <v>318</v>
      </c>
      <c r="I332" t="s">
        <v>6201</v>
      </c>
      <c r="Q332" s="3">
        <f t="shared" si="5"/>
        <v>0.06</v>
      </c>
      <c r="R332" t="s">
        <v>138</v>
      </c>
      <c r="S332" t="s">
        <v>137</v>
      </c>
    </row>
    <row r="333" spans="1:20" x14ac:dyDescent="0.35">
      <c r="A333" t="s">
        <v>0</v>
      </c>
      <c r="B333" t="s">
        <v>1069</v>
      </c>
      <c r="C333" t="s">
        <v>24</v>
      </c>
      <c r="D333" t="s">
        <v>25</v>
      </c>
      <c r="E333">
        <v>0.05</v>
      </c>
      <c r="F333" t="s">
        <v>88</v>
      </c>
      <c r="G333" s="19">
        <v>45516</v>
      </c>
      <c r="H333" t="s">
        <v>318</v>
      </c>
      <c r="I333" t="s">
        <v>6129</v>
      </c>
      <c r="Q333" s="3">
        <f t="shared" si="5"/>
        <v>0.05</v>
      </c>
      <c r="R333" t="s">
        <v>138</v>
      </c>
      <c r="S333" t="s">
        <v>137</v>
      </c>
    </row>
    <row r="334" spans="1:20" x14ac:dyDescent="0.35">
      <c r="A334" t="s">
        <v>0</v>
      </c>
      <c r="B334" t="s">
        <v>1627</v>
      </c>
      <c r="C334" t="s">
        <v>24</v>
      </c>
      <c r="D334" t="s">
        <v>25</v>
      </c>
      <c r="E334">
        <v>0.05</v>
      </c>
      <c r="F334" t="s">
        <v>88</v>
      </c>
      <c r="G334" s="19">
        <v>45565</v>
      </c>
      <c r="H334" t="s">
        <v>6141</v>
      </c>
      <c r="I334" t="s">
        <v>6141</v>
      </c>
      <c r="Q334" s="3">
        <f t="shared" si="5"/>
        <v>0.05</v>
      </c>
      <c r="R334" t="s">
        <v>138</v>
      </c>
      <c r="S334" t="s">
        <v>137</v>
      </c>
    </row>
    <row r="335" spans="1:20" x14ac:dyDescent="0.35">
      <c r="A335" t="s">
        <v>0</v>
      </c>
      <c r="B335" t="s">
        <v>764</v>
      </c>
      <c r="C335" t="s">
        <v>24</v>
      </c>
      <c r="D335" t="s">
        <v>25</v>
      </c>
      <c r="E335">
        <v>0.05</v>
      </c>
      <c r="F335" t="s">
        <v>88</v>
      </c>
      <c r="G335" s="19">
        <v>45630</v>
      </c>
      <c r="H335" t="s">
        <v>318</v>
      </c>
      <c r="I335" t="s">
        <v>6202</v>
      </c>
      <c r="Q335" s="3">
        <f t="shared" si="5"/>
        <v>0.05</v>
      </c>
      <c r="R335" t="s">
        <v>138</v>
      </c>
      <c r="S335" t="s">
        <v>137</v>
      </c>
    </row>
    <row r="336" spans="1:20" x14ac:dyDescent="0.35">
      <c r="A336" t="s">
        <v>0</v>
      </c>
      <c r="B336" t="s">
        <v>2543</v>
      </c>
      <c r="C336" t="s">
        <v>24</v>
      </c>
      <c r="D336" t="s">
        <v>25</v>
      </c>
      <c r="E336">
        <v>0.04</v>
      </c>
      <c r="F336" t="s">
        <v>88</v>
      </c>
      <c r="G336" s="19">
        <v>45412</v>
      </c>
      <c r="H336" t="s">
        <v>6043</v>
      </c>
      <c r="I336" t="s">
        <v>6043</v>
      </c>
      <c r="Q336" s="3">
        <f t="shared" si="5"/>
        <v>0.04</v>
      </c>
      <c r="R336" t="s">
        <v>138</v>
      </c>
      <c r="S336" t="s">
        <v>137</v>
      </c>
      <c r="T336" t="s">
        <v>65</v>
      </c>
    </row>
    <row r="337" spans="1:20" x14ac:dyDescent="0.35">
      <c r="A337" t="s">
        <v>0</v>
      </c>
      <c r="B337" t="s">
        <v>1075</v>
      </c>
      <c r="C337" t="s">
        <v>24</v>
      </c>
      <c r="D337" t="s">
        <v>25</v>
      </c>
      <c r="E337">
        <v>0.04</v>
      </c>
      <c r="F337" t="s">
        <v>88</v>
      </c>
      <c r="G337" s="19">
        <v>45443</v>
      </c>
      <c r="H337" t="s">
        <v>6071</v>
      </c>
      <c r="I337" t="s">
        <v>6072</v>
      </c>
      <c r="Q337" s="3">
        <f t="shared" si="5"/>
        <v>0.04</v>
      </c>
      <c r="R337" t="s">
        <v>138</v>
      </c>
      <c r="S337" t="s">
        <v>137</v>
      </c>
      <c r="T337" t="s">
        <v>65</v>
      </c>
    </row>
    <row r="338" spans="1:20" x14ac:dyDescent="0.35">
      <c r="A338" t="s">
        <v>0</v>
      </c>
      <c r="B338" t="s">
        <v>606</v>
      </c>
      <c r="C338" t="s">
        <v>24</v>
      </c>
      <c r="D338" t="s">
        <v>25</v>
      </c>
      <c r="E338">
        <v>0.04</v>
      </c>
      <c r="F338" t="s">
        <v>88</v>
      </c>
      <c r="G338" s="19">
        <v>45565</v>
      </c>
      <c r="H338" t="s">
        <v>320</v>
      </c>
      <c r="I338" t="s">
        <v>320</v>
      </c>
      <c r="Q338" s="3">
        <f t="shared" si="5"/>
        <v>0.04</v>
      </c>
      <c r="R338" t="s">
        <v>138</v>
      </c>
      <c r="S338" t="s">
        <v>137</v>
      </c>
    </row>
    <row r="339" spans="1:20" x14ac:dyDescent="0.35">
      <c r="A339" t="s">
        <v>0</v>
      </c>
      <c r="B339" t="s">
        <v>969</v>
      </c>
      <c r="C339" t="s">
        <v>24</v>
      </c>
      <c r="D339" t="s">
        <v>25</v>
      </c>
      <c r="E339">
        <v>0.04</v>
      </c>
      <c r="F339" t="s">
        <v>88</v>
      </c>
      <c r="G339" s="19">
        <v>45565</v>
      </c>
      <c r="H339" t="s">
        <v>320</v>
      </c>
      <c r="I339" t="s">
        <v>320</v>
      </c>
      <c r="Q339" s="3">
        <f t="shared" si="5"/>
        <v>0.04</v>
      </c>
      <c r="R339" t="s">
        <v>138</v>
      </c>
      <c r="S339" t="s">
        <v>137</v>
      </c>
    </row>
    <row r="340" spans="1:20" x14ac:dyDescent="0.35">
      <c r="A340" t="s">
        <v>0</v>
      </c>
      <c r="B340" t="s">
        <v>6156</v>
      </c>
      <c r="C340" t="s">
        <v>24</v>
      </c>
      <c r="D340" t="s">
        <v>25</v>
      </c>
      <c r="E340">
        <v>0.04</v>
      </c>
      <c r="F340" t="s">
        <v>88</v>
      </c>
      <c r="G340" s="19">
        <v>45600</v>
      </c>
      <c r="H340" t="s">
        <v>318</v>
      </c>
      <c r="I340" t="s">
        <v>6186</v>
      </c>
      <c r="Q340" s="3">
        <f t="shared" si="5"/>
        <v>0.04</v>
      </c>
      <c r="R340" t="s">
        <v>138</v>
      </c>
      <c r="S340" t="s">
        <v>137</v>
      </c>
    </row>
    <row r="341" spans="1:20" x14ac:dyDescent="0.35">
      <c r="A341" t="s">
        <v>0</v>
      </c>
      <c r="B341" t="s">
        <v>6045</v>
      </c>
      <c r="C341" t="s">
        <v>24</v>
      </c>
      <c r="D341" t="s">
        <v>25</v>
      </c>
      <c r="E341">
        <v>0.03</v>
      </c>
      <c r="F341" t="s">
        <v>88</v>
      </c>
      <c r="G341" s="19">
        <v>45412</v>
      </c>
      <c r="H341" t="s">
        <v>6043</v>
      </c>
      <c r="I341" t="s">
        <v>6043</v>
      </c>
      <c r="Q341" s="3">
        <f t="shared" si="5"/>
        <v>0.03</v>
      </c>
      <c r="R341" t="s">
        <v>138</v>
      </c>
      <c r="S341" t="s">
        <v>137</v>
      </c>
      <c r="T341" t="s">
        <v>65</v>
      </c>
    </row>
    <row r="342" spans="1:20" x14ac:dyDescent="0.35">
      <c r="A342" t="s">
        <v>0</v>
      </c>
      <c r="B342" t="s">
        <v>615</v>
      </c>
      <c r="C342" t="s">
        <v>24</v>
      </c>
      <c r="D342" t="s">
        <v>25</v>
      </c>
      <c r="E342">
        <v>0.03</v>
      </c>
      <c r="F342" t="s">
        <v>88</v>
      </c>
      <c r="G342" s="19">
        <v>45415</v>
      </c>
      <c r="H342" t="s">
        <v>318</v>
      </c>
      <c r="I342" t="s">
        <v>6053</v>
      </c>
      <c r="Q342" s="3">
        <f t="shared" si="5"/>
        <v>0.03</v>
      </c>
      <c r="R342" t="s">
        <v>138</v>
      </c>
      <c r="S342" t="s">
        <v>137</v>
      </c>
      <c r="T342" t="s">
        <v>65</v>
      </c>
    </row>
    <row r="343" spans="1:20" x14ac:dyDescent="0.35">
      <c r="A343" t="s">
        <v>0</v>
      </c>
      <c r="B343" t="s">
        <v>3466</v>
      </c>
      <c r="C343" t="s">
        <v>24</v>
      </c>
      <c r="D343" t="s">
        <v>25</v>
      </c>
      <c r="E343">
        <v>0.03</v>
      </c>
      <c r="F343" t="s">
        <v>88</v>
      </c>
      <c r="G343" s="19">
        <v>45473</v>
      </c>
      <c r="H343" t="s">
        <v>320</v>
      </c>
      <c r="I343" t="s">
        <v>320</v>
      </c>
      <c r="Q343" s="3">
        <f t="shared" si="5"/>
        <v>0.03</v>
      </c>
      <c r="R343" t="s">
        <v>138</v>
      </c>
      <c r="S343" t="s">
        <v>137</v>
      </c>
    </row>
    <row r="344" spans="1:20" x14ac:dyDescent="0.35">
      <c r="A344" t="s">
        <v>0</v>
      </c>
      <c r="B344" t="s">
        <v>1627</v>
      </c>
      <c r="C344" t="s">
        <v>24</v>
      </c>
      <c r="D344" t="s">
        <v>25</v>
      </c>
      <c r="E344">
        <v>0.03</v>
      </c>
      <c r="F344" t="s">
        <v>88</v>
      </c>
      <c r="G344" s="19">
        <v>45535</v>
      </c>
      <c r="H344" t="s">
        <v>6141</v>
      </c>
      <c r="I344" t="s">
        <v>6141</v>
      </c>
      <c r="Q344" s="3">
        <f t="shared" si="5"/>
        <v>0.03</v>
      </c>
      <c r="R344" t="s">
        <v>138</v>
      </c>
      <c r="S344" t="s">
        <v>137</v>
      </c>
    </row>
    <row r="345" spans="1:20" x14ac:dyDescent="0.35">
      <c r="A345" t="s">
        <v>0</v>
      </c>
      <c r="B345" t="s">
        <v>2543</v>
      </c>
      <c r="C345" t="s">
        <v>24</v>
      </c>
      <c r="D345" t="s">
        <v>25</v>
      </c>
      <c r="E345">
        <v>0.03</v>
      </c>
      <c r="F345" t="s">
        <v>88</v>
      </c>
      <c r="G345" s="19">
        <v>45565</v>
      </c>
      <c r="H345" t="s">
        <v>320</v>
      </c>
      <c r="I345" t="s">
        <v>320</v>
      </c>
      <c r="Q345" s="3">
        <f t="shared" si="5"/>
        <v>0.03</v>
      </c>
      <c r="R345" t="s">
        <v>138</v>
      </c>
      <c r="S345" t="s">
        <v>137</v>
      </c>
    </row>
    <row r="346" spans="1:20" x14ac:dyDescent="0.35">
      <c r="A346" t="s">
        <v>0</v>
      </c>
      <c r="B346" t="s">
        <v>1487</v>
      </c>
      <c r="C346" t="s">
        <v>24</v>
      </c>
      <c r="D346" t="s">
        <v>25</v>
      </c>
      <c r="E346">
        <v>0.03</v>
      </c>
      <c r="F346" t="s">
        <v>88</v>
      </c>
      <c r="G346" s="19">
        <v>45565</v>
      </c>
      <c r="H346" t="s">
        <v>320</v>
      </c>
      <c r="I346" t="s">
        <v>320</v>
      </c>
      <c r="Q346" s="3">
        <f t="shared" si="5"/>
        <v>0.03</v>
      </c>
      <c r="R346" t="s">
        <v>138</v>
      </c>
      <c r="S346" t="s">
        <v>137</v>
      </c>
    </row>
    <row r="347" spans="1:20" x14ac:dyDescent="0.35">
      <c r="A347" t="s">
        <v>35</v>
      </c>
      <c r="B347" t="s">
        <v>628</v>
      </c>
      <c r="C347" t="s">
        <v>24</v>
      </c>
      <c r="D347" t="s">
        <v>25</v>
      </c>
      <c r="E347">
        <v>-0.03</v>
      </c>
      <c r="F347" t="s">
        <v>88</v>
      </c>
      <c r="G347" s="19">
        <v>45623</v>
      </c>
      <c r="H347" t="s">
        <v>6199</v>
      </c>
      <c r="I347" t="s">
        <v>6200</v>
      </c>
      <c r="Q347" s="3">
        <f t="shared" si="5"/>
        <v>0.03</v>
      </c>
      <c r="R347" t="s">
        <v>138</v>
      </c>
      <c r="S347" t="s">
        <v>137</v>
      </c>
    </row>
    <row r="348" spans="1:20" x14ac:dyDescent="0.35">
      <c r="A348" t="s">
        <v>35</v>
      </c>
      <c r="B348" t="s">
        <v>6098</v>
      </c>
      <c r="C348" t="s">
        <v>24</v>
      </c>
      <c r="D348" t="s">
        <v>25</v>
      </c>
      <c r="E348">
        <v>0.03</v>
      </c>
      <c r="F348" t="s">
        <v>88</v>
      </c>
      <c r="G348" s="19">
        <v>45623</v>
      </c>
      <c r="H348" t="s">
        <v>6199</v>
      </c>
      <c r="I348" t="s">
        <v>6200</v>
      </c>
      <c r="Q348" s="3">
        <f t="shared" si="5"/>
        <v>0.03</v>
      </c>
      <c r="R348" t="s">
        <v>138</v>
      </c>
      <c r="S348" t="s">
        <v>137</v>
      </c>
    </row>
    <row r="349" spans="1:20" x14ac:dyDescent="0.35">
      <c r="A349" t="s">
        <v>0</v>
      </c>
      <c r="B349" t="s">
        <v>1491</v>
      </c>
      <c r="C349" t="s">
        <v>24</v>
      </c>
      <c r="D349" t="s">
        <v>25</v>
      </c>
      <c r="E349">
        <v>0.03</v>
      </c>
      <c r="F349" t="s">
        <v>88</v>
      </c>
      <c r="G349" s="19">
        <v>45657</v>
      </c>
      <c r="H349" t="s">
        <v>320</v>
      </c>
      <c r="I349" t="s">
        <v>320</v>
      </c>
      <c r="Q349" s="3">
        <f t="shared" si="5"/>
        <v>0.03</v>
      </c>
      <c r="R349" t="s">
        <v>138</v>
      </c>
      <c r="S349" t="s">
        <v>137</v>
      </c>
    </row>
    <row r="350" spans="1:20" x14ac:dyDescent="0.35">
      <c r="A350" t="s">
        <v>0</v>
      </c>
      <c r="B350" t="s">
        <v>1053</v>
      </c>
      <c r="C350" t="s">
        <v>24</v>
      </c>
      <c r="D350" t="s">
        <v>25</v>
      </c>
      <c r="E350">
        <v>0.02</v>
      </c>
      <c r="F350" t="s">
        <v>88</v>
      </c>
      <c r="G350" s="19">
        <v>45394</v>
      </c>
      <c r="H350" t="s">
        <v>318</v>
      </c>
      <c r="I350" t="s">
        <v>6021</v>
      </c>
      <c r="Q350" s="3">
        <f t="shared" si="5"/>
        <v>0.02</v>
      </c>
      <c r="R350" t="s">
        <v>138</v>
      </c>
      <c r="S350" t="s">
        <v>137</v>
      </c>
      <c r="T350" t="s">
        <v>65</v>
      </c>
    </row>
    <row r="351" spans="1:20" x14ac:dyDescent="0.35">
      <c r="A351" t="s">
        <v>0</v>
      </c>
      <c r="B351" t="s">
        <v>1069</v>
      </c>
      <c r="C351" t="s">
        <v>24</v>
      </c>
      <c r="D351" t="s">
        <v>25</v>
      </c>
      <c r="E351">
        <v>0.02</v>
      </c>
      <c r="F351" t="s">
        <v>88</v>
      </c>
      <c r="G351" s="19">
        <v>45412</v>
      </c>
      <c r="H351" t="s">
        <v>6043</v>
      </c>
      <c r="I351" t="s">
        <v>6043</v>
      </c>
      <c r="Q351" s="3">
        <f t="shared" si="5"/>
        <v>0.02</v>
      </c>
      <c r="R351" t="s">
        <v>138</v>
      </c>
      <c r="S351" t="s">
        <v>137</v>
      </c>
      <c r="T351" t="s">
        <v>65</v>
      </c>
    </row>
    <row r="352" spans="1:20" x14ac:dyDescent="0.35">
      <c r="A352" t="s">
        <v>0</v>
      </c>
      <c r="B352" t="s">
        <v>633</v>
      </c>
      <c r="C352" t="s">
        <v>24</v>
      </c>
      <c r="D352" t="s">
        <v>25</v>
      </c>
      <c r="E352">
        <v>0.02</v>
      </c>
      <c r="F352" t="s">
        <v>88</v>
      </c>
      <c r="G352" s="19">
        <v>45412</v>
      </c>
      <c r="H352" t="s">
        <v>6043</v>
      </c>
      <c r="I352" t="s">
        <v>6043</v>
      </c>
      <c r="Q352" s="3">
        <f t="shared" si="5"/>
        <v>0.02</v>
      </c>
      <c r="R352" t="s">
        <v>138</v>
      </c>
      <c r="S352" t="s">
        <v>137</v>
      </c>
      <c r="T352" t="s">
        <v>65</v>
      </c>
    </row>
    <row r="353" spans="1:20" x14ac:dyDescent="0.35">
      <c r="A353" t="s">
        <v>0</v>
      </c>
      <c r="B353" t="s">
        <v>825</v>
      </c>
      <c r="C353" t="s">
        <v>24</v>
      </c>
      <c r="D353" t="s">
        <v>25</v>
      </c>
      <c r="E353">
        <v>0.02</v>
      </c>
      <c r="F353" t="s">
        <v>88</v>
      </c>
      <c r="G353" s="19">
        <v>45412</v>
      </c>
      <c r="H353" t="s">
        <v>6043</v>
      </c>
      <c r="I353" t="s">
        <v>6043</v>
      </c>
      <c r="Q353" s="3">
        <f t="shared" si="5"/>
        <v>0.02</v>
      </c>
      <c r="R353" t="s">
        <v>138</v>
      </c>
      <c r="S353" t="s">
        <v>137</v>
      </c>
      <c r="T353" t="s">
        <v>65</v>
      </c>
    </row>
    <row r="354" spans="1:20" x14ac:dyDescent="0.35">
      <c r="A354" t="s">
        <v>0</v>
      </c>
      <c r="B354" t="s">
        <v>1416</v>
      </c>
      <c r="C354" t="s">
        <v>24</v>
      </c>
      <c r="D354" t="s">
        <v>25</v>
      </c>
      <c r="E354">
        <v>0.02</v>
      </c>
      <c r="F354" t="s">
        <v>88</v>
      </c>
      <c r="G354" s="19">
        <v>45485</v>
      </c>
      <c r="H354" t="s">
        <v>318</v>
      </c>
      <c r="I354" t="s">
        <v>6110</v>
      </c>
      <c r="Q354" s="3">
        <f t="shared" si="5"/>
        <v>0.02</v>
      </c>
      <c r="R354" t="s">
        <v>138</v>
      </c>
      <c r="S354" t="s">
        <v>137</v>
      </c>
    </row>
    <row r="355" spans="1:20" x14ac:dyDescent="0.35">
      <c r="A355" t="s">
        <v>0</v>
      </c>
      <c r="B355" t="s">
        <v>656</v>
      </c>
      <c r="C355" t="s">
        <v>24</v>
      </c>
      <c r="D355" t="s">
        <v>25</v>
      </c>
      <c r="E355">
        <v>-0.02</v>
      </c>
      <c r="F355" t="s">
        <v>88</v>
      </c>
      <c r="G355" s="19">
        <v>45488</v>
      </c>
      <c r="H355" t="s">
        <v>181</v>
      </c>
      <c r="I355" t="s">
        <v>182</v>
      </c>
      <c r="Q355" s="3">
        <f t="shared" si="5"/>
        <v>0.02</v>
      </c>
      <c r="R355" t="s">
        <v>138</v>
      </c>
      <c r="S355" t="s">
        <v>137</v>
      </c>
    </row>
    <row r="356" spans="1:20" x14ac:dyDescent="0.35">
      <c r="A356" t="s">
        <v>0</v>
      </c>
      <c r="B356" t="s">
        <v>1075</v>
      </c>
      <c r="C356" t="s">
        <v>24</v>
      </c>
      <c r="D356" t="s">
        <v>25</v>
      </c>
      <c r="E356">
        <v>-0.02</v>
      </c>
      <c r="F356" t="s">
        <v>88</v>
      </c>
      <c r="G356" s="19">
        <v>45499</v>
      </c>
      <c r="H356" t="s">
        <v>318</v>
      </c>
      <c r="I356" t="s">
        <v>6122</v>
      </c>
      <c r="Q356" s="3">
        <f t="shared" si="5"/>
        <v>0.02</v>
      </c>
      <c r="R356" t="s">
        <v>138</v>
      </c>
      <c r="S356" t="s">
        <v>137</v>
      </c>
    </row>
    <row r="357" spans="1:20" x14ac:dyDescent="0.35">
      <c r="A357" t="s">
        <v>0</v>
      </c>
      <c r="B357" t="s">
        <v>1043</v>
      </c>
      <c r="C357" t="s">
        <v>24</v>
      </c>
      <c r="D357" t="s">
        <v>25</v>
      </c>
      <c r="E357">
        <v>-0.02</v>
      </c>
      <c r="F357" t="s">
        <v>88</v>
      </c>
      <c r="G357" s="19">
        <v>45539</v>
      </c>
      <c r="H357" t="s">
        <v>318</v>
      </c>
      <c r="I357" t="s">
        <v>319</v>
      </c>
      <c r="Q357" s="3">
        <f t="shared" si="5"/>
        <v>0.02</v>
      </c>
      <c r="R357" t="s">
        <v>138</v>
      </c>
      <c r="S357" t="s">
        <v>137</v>
      </c>
    </row>
    <row r="358" spans="1:20" x14ac:dyDescent="0.35">
      <c r="A358" t="s">
        <v>35</v>
      </c>
      <c r="B358" t="s">
        <v>656</v>
      </c>
      <c r="C358" t="s">
        <v>24</v>
      </c>
      <c r="D358" t="s">
        <v>25</v>
      </c>
      <c r="E358">
        <v>0.02</v>
      </c>
      <c r="F358" t="s">
        <v>88</v>
      </c>
      <c r="G358" s="19">
        <v>45565</v>
      </c>
      <c r="H358" t="s">
        <v>108</v>
      </c>
      <c r="I358" t="s">
        <v>6155</v>
      </c>
      <c r="Q358" s="3">
        <f t="shared" si="5"/>
        <v>0.02</v>
      </c>
      <c r="R358" t="s">
        <v>138</v>
      </c>
      <c r="S358" t="s">
        <v>137</v>
      </c>
    </row>
    <row r="359" spans="1:20" x14ac:dyDescent="0.35">
      <c r="A359" t="s">
        <v>35</v>
      </c>
      <c r="B359" t="s">
        <v>610</v>
      </c>
      <c r="C359" t="s">
        <v>24</v>
      </c>
      <c r="D359" t="s">
        <v>25</v>
      </c>
      <c r="E359">
        <v>-0.02</v>
      </c>
      <c r="F359" t="s">
        <v>88</v>
      </c>
      <c r="G359" s="19">
        <v>45565</v>
      </c>
      <c r="H359" t="s">
        <v>108</v>
      </c>
      <c r="I359" t="s">
        <v>6155</v>
      </c>
      <c r="Q359" s="3">
        <f t="shared" si="5"/>
        <v>0.02</v>
      </c>
      <c r="R359" t="s">
        <v>138</v>
      </c>
      <c r="S359" t="s">
        <v>137</v>
      </c>
    </row>
    <row r="360" spans="1:20" x14ac:dyDescent="0.35">
      <c r="A360" t="s">
        <v>0</v>
      </c>
      <c r="B360" t="s">
        <v>756</v>
      </c>
      <c r="C360" t="s">
        <v>24</v>
      </c>
      <c r="D360" t="s">
        <v>25</v>
      </c>
      <c r="E360">
        <v>0.02</v>
      </c>
      <c r="F360" t="s">
        <v>88</v>
      </c>
      <c r="G360" s="19">
        <v>45583</v>
      </c>
      <c r="H360" t="s">
        <v>318</v>
      </c>
      <c r="I360" t="s">
        <v>6164</v>
      </c>
      <c r="Q360" s="3">
        <f t="shared" si="5"/>
        <v>0.02</v>
      </c>
      <c r="R360" t="s">
        <v>138</v>
      </c>
      <c r="S360" t="s">
        <v>137</v>
      </c>
    </row>
    <row r="361" spans="1:20" x14ac:dyDescent="0.35">
      <c r="A361" t="s">
        <v>0</v>
      </c>
      <c r="B361" t="s">
        <v>861</v>
      </c>
      <c r="C361" t="s">
        <v>24</v>
      </c>
      <c r="D361" t="s">
        <v>25</v>
      </c>
      <c r="E361">
        <v>0.02</v>
      </c>
      <c r="F361" t="s">
        <v>88</v>
      </c>
      <c r="G361" s="19">
        <v>45595</v>
      </c>
      <c r="H361" t="s">
        <v>6181</v>
      </c>
      <c r="I361" t="s">
        <v>6181</v>
      </c>
      <c r="Q361" s="3">
        <f t="shared" si="5"/>
        <v>0.02</v>
      </c>
      <c r="R361" t="s">
        <v>138</v>
      </c>
      <c r="S361" t="s">
        <v>137</v>
      </c>
    </row>
    <row r="362" spans="1:20" x14ac:dyDescent="0.35">
      <c r="A362" t="s">
        <v>0</v>
      </c>
      <c r="B362" t="s">
        <v>1627</v>
      </c>
      <c r="C362" t="s">
        <v>24</v>
      </c>
      <c r="D362" t="s">
        <v>25</v>
      </c>
      <c r="E362">
        <v>0.02</v>
      </c>
      <c r="F362" t="s">
        <v>88</v>
      </c>
      <c r="G362" s="19">
        <v>45596</v>
      </c>
      <c r="H362" t="s">
        <v>6141</v>
      </c>
      <c r="I362" t="s">
        <v>6141</v>
      </c>
      <c r="Q362" s="3">
        <f t="shared" si="5"/>
        <v>0.02</v>
      </c>
      <c r="R362" t="s">
        <v>138</v>
      </c>
      <c r="S362" t="s">
        <v>137</v>
      </c>
    </row>
    <row r="363" spans="1:20" x14ac:dyDescent="0.35">
      <c r="A363" t="s">
        <v>35</v>
      </c>
      <c r="B363" t="s">
        <v>5980</v>
      </c>
      <c r="C363" t="s">
        <v>24</v>
      </c>
      <c r="D363" t="s">
        <v>25</v>
      </c>
      <c r="E363">
        <v>0.02</v>
      </c>
      <c r="F363" t="s">
        <v>88</v>
      </c>
      <c r="G363" s="19">
        <v>45596</v>
      </c>
      <c r="H363" t="s">
        <v>6183</v>
      </c>
      <c r="I363" t="s">
        <v>6183</v>
      </c>
      <c r="Q363" s="3">
        <f t="shared" si="5"/>
        <v>0.02</v>
      </c>
      <c r="R363" t="s">
        <v>138</v>
      </c>
      <c r="S363" t="s">
        <v>137</v>
      </c>
    </row>
    <row r="364" spans="1:20" x14ac:dyDescent="0.35">
      <c r="A364" t="s">
        <v>35</v>
      </c>
      <c r="B364" t="s">
        <v>5980</v>
      </c>
      <c r="C364" t="s">
        <v>24</v>
      </c>
      <c r="D364" t="s">
        <v>25</v>
      </c>
      <c r="E364">
        <v>-0.02</v>
      </c>
      <c r="F364" t="s">
        <v>88</v>
      </c>
      <c r="G364" s="19">
        <v>45596</v>
      </c>
      <c r="H364" t="s">
        <v>6183</v>
      </c>
      <c r="I364" t="s">
        <v>6185</v>
      </c>
      <c r="Q364" s="3">
        <f t="shared" si="5"/>
        <v>0.02</v>
      </c>
      <c r="R364" t="s">
        <v>138</v>
      </c>
      <c r="S364" t="s">
        <v>137</v>
      </c>
    </row>
    <row r="365" spans="1:20" x14ac:dyDescent="0.35">
      <c r="A365" t="s">
        <v>0</v>
      </c>
      <c r="B365" t="s">
        <v>764</v>
      </c>
      <c r="C365" t="s">
        <v>24</v>
      </c>
      <c r="D365" t="s">
        <v>25</v>
      </c>
      <c r="E365">
        <v>0.02</v>
      </c>
      <c r="F365" t="s">
        <v>88</v>
      </c>
      <c r="G365" s="19">
        <v>45611</v>
      </c>
      <c r="H365" t="s">
        <v>318</v>
      </c>
      <c r="I365" t="s">
        <v>6192</v>
      </c>
      <c r="Q365" s="3">
        <f t="shared" si="5"/>
        <v>0.02</v>
      </c>
      <c r="R365" t="s">
        <v>138</v>
      </c>
      <c r="S365" t="s">
        <v>137</v>
      </c>
    </row>
    <row r="366" spans="1:20" x14ac:dyDescent="0.35">
      <c r="A366" t="s">
        <v>0</v>
      </c>
      <c r="B366" t="s">
        <v>915</v>
      </c>
      <c r="C366" t="s">
        <v>24</v>
      </c>
      <c r="D366" t="s">
        <v>25</v>
      </c>
      <c r="E366">
        <v>0.02</v>
      </c>
      <c r="F366" t="s">
        <v>88</v>
      </c>
      <c r="G366" s="19">
        <v>45657</v>
      </c>
      <c r="H366" t="s">
        <v>320</v>
      </c>
      <c r="I366" t="s">
        <v>320</v>
      </c>
      <c r="Q366" s="3">
        <f t="shared" si="5"/>
        <v>0.02</v>
      </c>
      <c r="R366" t="s">
        <v>138</v>
      </c>
      <c r="S366" t="s">
        <v>137</v>
      </c>
    </row>
    <row r="367" spans="1:20" x14ac:dyDescent="0.35">
      <c r="A367" t="s">
        <v>0</v>
      </c>
      <c r="B367" t="s">
        <v>1043</v>
      </c>
      <c r="C367" t="s">
        <v>24</v>
      </c>
      <c r="D367" t="s">
        <v>25</v>
      </c>
      <c r="E367">
        <v>-0.01</v>
      </c>
      <c r="F367" t="s">
        <v>88</v>
      </c>
      <c r="G367" s="19">
        <v>45385</v>
      </c>
      <c r="H367" t="s">
        <v>318</v>
      </c>
      <c r="I367" t="s">
        <v>319</v>
      </c>
      <c r="Q367" s="3">
        <f t="shared" si="5"/>
        <v>0.01</v>
      </c>
      <c r="R367" t="s">
        <v>138</v>
      </c>
      <c r="S367" t="s">
        <v>137</v>
      </c>
      <c r="T367" t="s">
        <v>65</v>
      </c>
    </row>
    <row r="368" spans="1:20" x14ac:dyDescent="0.35">
      <c r="A368" t="s">
        <v>0</v>
      </c>
      <c r="B368" t="s">
        <v>1423</v>
      </c>
      <c r="C368" t="s">
        <v>24</v>
      </c>
      <c r="D368" t="s">
        <v>25</v>
      </c>
      <c r="E368">
        <v>0.01</v>
      </c>
      <c r="F368" t="s">
        <v>88</v>
      </c>
      <c r="G368" s="19">
        <v>45406</v>
      </c>
      <c r="H368" t="s">
        <v>318</v>
      </c>
      <c r="I368" t="s">
        <v>6039</v>
      </c>
      <c r="Q368" s="3">
        <f t="shared" si="5"/>
        <v>0.01</v>
      </c>
      <c r="R368" t="s">
        <v>138</v>
      </c>
      <c r="S368" t="s">
        <v>137</v>
      </c>
      <c r="T368" t="s">
        <v>65</v>
      </c>
    </row>
    <row r="369" spans="1:20" x14ac:dyDescent="0.35">
      <c r="A369" t="s">
        <v>0</v>
      </c>
      <c r="B369" t="s">
        <v>868</v>
      </c>
      <c r="C369" t="s">
        <v>24</v>
      </c>
      <c r="D369" t="s">
        <v>25</v>
      </c>
      <c r="E369">
        <v>0.01</v>
      </c>
      <c r="F369" t="s">
        <v>88</v>
      </c>
      <c r="G369" s="19">
        <v>45412</v>
      </c>
      <c r="H369" t="s">
        <v>320</v>
      </c>
      <c r="I369" t="s">
        <v>320</v>
      </c>
      <c r="Q369" s="3">
        <f t="shared" si="5"/>
        <v>0.01</v>
      </c>
      <c r="R369" t="s">
        <v>138</v>
      </c>
      <c r="S369" t="s">
        <v>137</v>
      </c>
      <c r="T369" t="s">
        <v>65</v>
      </c>
    </row>
    <row r="370" spans="1:20" x14ac:dyDescent="0.35">
      <c r="A370" t="s">
        <v>0</v>
      </c>
      <c r="B370" t="s">
        <v>764</v>
      </c>
      <c r="C370" t="s">
        <v>24</v>
      </c>
      <c r="D370" t="s">
        <v>25</v>
      </c>
      <c r="E370">
        <v>0.01</v>
      </c>
      <c r="F370" t="s">
        <v>88</v>
      </c>
      <c r="G370" s="19">
        <v>45412</v>
      </c>
      <c r="H370" t="s">
        <v>320</v>
      </c>
      <c r="I370" t="s">
        <v>320</v>
      </c>
      <c r="Q370" s="3">
        <f t="shared" si="5"/>
        <v>0.01</v>
      </c>
      <c r="R370" t="s">
        <v>138</v>
      </c>
      <c r="S370" t="s">
        <v>137</v>
      </c>
      <c r="T370" t="s">
        <v>65</v>
      </c>
    </row>
    <row r="371" spans="1:20" x14ac:dyDescent="0.35">
      <c r="A371" t="s">
        <v>35</v>
      </c>
      <c r="B371" t="s">
        <v>728</v>
      </c>
      <c r="C371" t="s">
        <v>24</v>
      </c>
      <c r="D371" t="s">
        <v>25</v>
      </c>
      <c r="E371">
        <v>0.01</v>
      </c>
      <c r="F371" t="s">
        <v>88</v>
      </c>
      <c r="G371" s="19">
        <v>45412</v>
      </c>
      <c r="H371" t="s">
        <v>320</v>
      </c>
      <c r="I371" t="s">
        <v>320</v>
      </c>
      <c r="Q371" s="3">
        <f t="shared" si="5"/>
        <v>0.01</v>
      </c>
      <c r="R371" t="s">
        <v>138</v>
      </c>
      <c r="S371" t="s">
        <v>137</v>
      </c>
      <c r="T371" t="s">
        <v>65</v>
      </c>
    </row>
    <row r="372" spans="1:20" x14ac:dyDescent="0.35">
      <c r="A372" t="s">
        <v>0</v>
      </c>
      <c r="B372" t="s">
        <v>756</v>
      </c>
      <c r="C372" t="s">
        <v>24</v>
      </c>
      <c r="D372" t="s">
        <v>25</v>
      </c>
      <c r="E372">
        <v>0.01</v>
      </c>
      <c r="F372" t="s">
        <v>88</v>
      </c>
      <c r="G372" s="19">
        <v>45473</v>
      </c>
      <c r="H372" t="s">
        <v>320</v>
      </c>
      <c r="I372" t="s">
        <v>320</v>
      </c>
      <c r="Q372" s="3">
        <f t="shared" si="5"/>
        <v>0.01</v>
      </c>
      <c r="R372" t="s">
        <v>138</v>
      </c>
      <c r="S372" t="s">
        <v>137</v>
      </c>
    </row>
    <row r="373" spans="1:20" x14ac:dyDescent="0.35">
      <c r="A373" t="s">
        <v>0</v>
      </c>
      <c r="B373" t="s">
        <v>2543</v>
      </c>
      <c r="C373" t="s">
        <v>24</v>
      </c>
      <c r="D373" t="s">
        <v>25</v>
      </c>
      <c r="E373">
        <v>0.01</v>
      </c>
      <c r="F373" t="s">
        <v>88</v>
      </c>
      <c r="G373" s="19">
        <v>45473</v>
      </c>
      <c r="H373" t="s">
        <v>320</v>
      </c>
      <c r="I373" t="s">
        <v>320</v>
      </c>
      <c r="Q373" s="3">
        <f t="shared" si="5"/>
        <v>0.01</v>
      </c>
      <c r="R373" t="s">
        <v>138</v>
      </c>
      <c r="S373" t="s">
        <v>137</v>
      </c>
    </row>
    <row r="374" spans="1:20" x14ac:dyDescent="0.35">
      <c r="A374" t="s">
        <v>0</v>
      </c>
      <c r="B374" t="s">
        <v>2473</v>
      </c>
      <c r="C374" t="s">
        <v>24</v>
      </c>
      <c r="D374" t="s">
        <v>25</v>
      </c>
      <c r="E374">
        <v>0.01</v>
      </c>
      <c r="F374" t="s">
        <v>88</v>
      </c>
      <c r="G374" s="19">
        <v>45473</v>
      </c>
      <c r="H374" t="s">
        <v>320</v>
      </c>
      <c r="I374" t="s">
        <v>320</v>
      </c>
      <c r="Q374" s="3">
        <f t="shared" si="5"/>
        <v>0.01</v>
      </c>
      <c r="R374" t="s">
        <v>138</v>
      </c>
      <c r="S374" t="s">
        <v>137</v>
      </c>
    </row>
    <row r="375" spans="1:20" x14ac:dyDescent="0.35">
      <c r="A375" t="s">
        <v>0</v>
      </c>
      <c r="B375" t="s">
        <v>3422</v>
      </c>
      <c r="C375" t="s">
        <v>24</v>
      </c>
      <c r="D375" t="s">
        <v>25</v>
      </c>
      <c r="E375">
        <v>0.01</v>
      </c>
      <c r="F375" t="s">
        <v>88</v>
      </c>
      <c r="G375" s="19">
        <v>45473</v>
      </c>
      <c r="H375" t="s">
        <v>320</v>
      </c>
      <c r="I375" t="s">
        <v>320</v>
      </c>
      <c r="Q375" s="3">
        <f t="shared" si="5"/>
        <v>0.01</v>
      </c>
      <c r="R375" t="s">
        <v>138</v>
      </c>
      <c r="S375" t="s">
        <v>137</v>
      </c>
    </row>
    <row r="376" spans="1:20" x14ac:dyDescent="0.35">
      <c r="A376" t="s">
        <v>0</v>
      </c>
      <c r="B376" t="s">
        <v>819</v>
      </c>
      <c r="C376" t="s">
        <v>24</v>
      </c>
      <c r="D376" t="s">
        <v>25</v>
      </c>
      <c r="E376">
        <v>-0.01</v>
      </c>
      <c r="F376" t="s">
        <v>88</v>
      </c>
      <c r="G376" s="19">
        <v>45492</v>
      </c>
      <c r="H376" t="s">
        <v>318</v>
      </c>
      <c r="I376" t="s">
        <v>6114</v>
      </c>
      <c r="Q376" s="3">
        <f t="shared" si="5"/>
        <v>0.01</v>
      </c>
      <c r="R376" t="s">
        <v>138</v>
      </c>
      <c r="S376" t="s">
        <v>137</v>
      </c>
    </row>
    <row r="377" spans="1:20" x14ac:dyDescent="0.35">
      <c r="A377" t="s">
        <v>0</v>
      </c>
      <c r="B377" t="s">
        <v>1043</v>
      </c>
      <c r="C377" t="s">
        <v>24</v>
      </c>
      <c r="D377" t="s">
        <v>25</v>
      </c>
      <c r="E377">
        <v>-0.01</v>
      </c>
      <c r="F377" t="s">
        <v>88</v>
      </c>
      <c r="G377" s="19">
        <v>45512</v>
      </c>
      <c r="H377" t="s">
        <v>318</v>
      </c>
      <c r="I377" t="s">
        <v>319</v>
      </c>
      <c r="Q377" s="3">
        <f t="shared" si="5"/>
        <v>0.01</v>
      </c>
      <c r="R377" t="s">
        <v>138</v>
      </c>
      <c r="S377" t="s">
        <v>137</v>
      </c>
    </row>
    <row r="378" spans="1:20" x14ac:dyDescent="0.35">
      <c r="A378" t="s">
        <v>0</v>
      </c>
      <c r="B378" t="s">
        <v>756</v>
      </c>
      <c r="C378" t="s">
        <v>24</v>
      </c>
      <c r="D378" t="s">
        <v>25</v>
      </c>
      <c r="E378">
        <v>0.01</v>
      </c>
      <c r="F378" t="s">
        <v>88</v>
      </c>
      <c r="G378" s="19">
        <v>45517</v>
      </c>
      <c r="H378" t="s">
        <v>318</v>
      </c>
      <c r="I378" t="s">
        <v>6131</v>
      </c>
      <c r="Q378" s="3">
        <f t="shared" si="5"/>
        <v>0.01</v>
      </c>
      <c r="R378" t="s">
        <v>138</v>
      </c>
      <c r="S378" t="s">
        <v>137</v>
      </c>
    </row>
    <row r="379" spans="1:20" x14ac:dyDescent="0.35">
      <c r="A379" t="s">
        <v>0</v>
      </c>
      <c r="B379" t="s">
        <v>1043</v>
      </c>
      <c r="C379" t="s">
        <v>24</v>
      </c>
      <c r="D379" t="s">
        <v>25</v>
      </c>
      <c r="E379">
        <v>-0.01</v>
      </c>
      <c r="F379" t="s">
        <v>88</v>
      </c>
      <c r="G379" s="19">
        <v>45547</v>
      </c>
      <c r="H379" t="s">
        <v>318</v>
      </c>
      <c r="I379" t="s">
        <v>319</v>
      </c>
      <c r="Q379" s="3">
        <f t="shared" si="5"/>
        <v>0.01</v>
      </c>
      <c r="R379" t="s">
        <v>138</v>
      </c>
      <c r="S379" t="s">
        <v>137</v>
      </c>
    </row>
    <row r="380" spans="1:20" x14ac:dyDescent="0.35">
      <c r="A380" t="s">
        <v>0</v>
      </c>
      <c r="B380" t="s">
        <v>1043</v>
      </c>
      <c r="C380" t="s">
        <v>24</v>
      </c>
      <c r="D380" t="s">
        <v>25</v>
      </c>
      <c r="E380">
        <v>-0.01</v>
      </c>
      <c r="F380" t="s">
        <v>88</v>
      </c>
      <c r="G380" s="19">
        <v>45552</v>
      </c>
      <c r="H380" t="s">
        <v>318</v>
      </c>
      <c r="I380" t="s">
        <v>319</v>
      </c>
      <c r="Q380" s="3">
        <f t="shared" si="5"/>
        <v>0.01</v>
      </c>
      <c r="R380" t="s">
        <v>138</v>
      </c>
      <c r="S380" t="s">
        <v>137</v>
      </c>
    </row>
    <row r="381" spans="1:20" x14ac:dyDescent="0.35">
      <c r="A381" t="s">
        <v>0</v>
      </c>
      <c r="B381" t="s">
        <v>861</v>
      </c>
      <c r="C381" t="s">
        <v>24</v>
      </c>
      <c r="D381" t="s">
        <v>25</v>
      </c>
      <c r="E381">
        <v>0.01</v>
      </c>
      <c r="F381" t="s">
        <v>88</v>
      </c>
      <c r="G381" s="19">
        <v>45565</v>
      </c>
      <c r="H381" t="s">
        <v>320</v>
      </c>
      <c r="I381" t="s">
        <v>320</v>
      </c>
      <c r="Q381" s="3">
        <f t="shared" si="5"/>
        <v>0.01</v>
      </c>
      <c r="R381" t="s">
        <v>138</v>
      </c>
      <c r="S381" t="s">
        <v>137</v>
      </c>
    </row>
    <row r="382" spans="1:20" x14ac:dyDescent="0.35">
      <c r="A382" t="s">
        <v>0</v>
      </c>
      <c r="B382" t="s">
        <v>672</v>
      </c>
      <c r="C382" t="s">
        <v>24</v>
      </c>
      <c r="D382" t="s">
        <v>25</v>
      </c>
      <c r="E382">
        <v>0.01</v>
      </c>
      <c r="F382" t="s">
        <v>88</v>
      </c>
      <c r="G382" s="19">
        <v>45608</v>
      </c>
      <c r="H382" t="s">
        <v>318</v>
      </c>
      <c r="I382" t="s">
        <v>6189</v>
      </c>
      <c r="Q382" s="3">
        <f t="shared" si="5"/>
        <v>0.01</v>
      </c>
      <c r="R382" t="s">
        <v>138</v>
      </c>
      <c r="S382" t="s">
        <v>137</v>
      </c>
    </row>
    <row r="383" spans="1:20" x14ac:dyDescent="0.35">
      <c r="A383" t="s">
        <v>0</v>
      </c>
      <c r="B383" t="s">
        <v>599</v>
      </c>
      <c r="C383" t="s">
        <v>24</v>
      </c>
      <c r="D383" t="s">
        <v>25</v>
      </c>
      <c r="E383">
        <v>0.01</v>
      </c>
      <c r="F383" t="s">
        <v>88</v>
      </c>
      <c r="G383" s="19">
        <v>45657</v>
      </c>
      <c r="H383" t="s">
        <v>320</v>
      </c>
      <c r="I383" t="s">
        <v>320</v>
      </c>
      <c r="Q383" s="3">
        <f t="shared" si="5"/>
        <v>0.01</v>
      </c>
      <c r="R383" t="s">
        <v>138</v>
      </c>
      <c r="S383" t="s">
        <v>137</v>
      </c>
    </row>
    <row r="384" spans="1:20" x14ac:dyDescent="0.35">
      <c r="A384" t="s">
        <v>0</v>
      </c>
      <c r="B384" t="s">
        <v>1043</v>
      </c>
      <c r="C384" t="s">
        <v>24</v>
      </c>
      <c r="D384" t="s">
        <v>25</v>
      </c>
      <c r="E384">
        <v>-0.01</v>
      </c>
      <c r="F384" t="s">
        <v>88</v>
      </c>
      <c r="G384" s="19">
        <v>45657</v>
      </c>
      <c r="H384" t="s">
        <v>318</v>
      </c>
      <c r="I384" t="s">
        <v>319</v>
      </c>
      <c r="Q384" s="3">
        <f t="shared" si="5"/>
        <v>0.01</v>
      </c>
      <c r="R384" t="s">
        <v>138</v>
      </c>
      <c r="S384" t="s">
        <v>137</v>
      </c>
    </row>
  </sheetData>
  <autoFilter ref="A7:AE7" xr:uid="{A23565D3-B937-48EA-9CA3-02904BCDB346}">
    <sortState xmlns:xlrd2="http://schemas.microsoft.com/office/spreadsheetml/2017/richdata2" ref="A8:AE384">
      <sortCondition descending="1" ref="Q7"/>
    </sortState>
  </autoFilter>
  <sortState xmlns:xlrd2="http://schemas.microsoft.com/office/spreadsheetml/2017/richdata2" ref="A7:Q134">
    <sortCondition descending="1" ref="Q7:Q134"/>
  </sortState>
  <mergeCells count="1">
    <mergeCell ref="AC6:AD6"/>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1022F-7741-49D4-9739-916587299B14}">
  <sheetPr>
    <tabColor rgb="FF00B050"/>
  </sheetPr>
  <dimension ref="A1:AF36"/>
  <sheetViews>
    <sheetView workbookViewId="0">
      <selection activeCell="C3" sqref="C3"/>
    </sheetView>
  </sheetViews>
  <sheetFormatPr defaultRowHeight="14.5" x14ac:dyDescent="0.35"/>
  <cols>
    <col min="1" max="2" width="4.81640625" customWidth="1"/>
    <col min="3" max="3" width="11.1796875" customWidth="1"/>
    <col min="4" max="5" width="4.81640625" customWidth="1"/>
    <col min="6" max="7" width="4.81640625" style="19" customWidth="1"/>
    <col min="8" max="8" width="4.81640625" customWidth="1"/>
    <col min="9" max="9" width="30" bestFit="1" customWidth="1"/>
    <col min="10" max="10" width="19.1796875" customWidth="1"/>
    <col min="11" max="11" width="8.7265625" style="55"/>
    <col min="13" max="13" width="22.26953125" style="55" customWidth="1"/>
    <col min="14" max="14" width="8.7265625" style="55"/>
    <col min="16" max="16" width="2.54296875" style="5" customWidth="1"/>
    <col min="17" max="17" width="9.1796875" style="3" bestFit="1" customWidth="1"/>
    <col min="18" max="18" width="5.81640625" style="56" customWidth="1"/>
    <col min="19" max="19" width="13.453125" style="55" customWidth="1"/>
    <col min="23" max="28" width="1.54296875" customWidth="1"/>
  </cols>
  <sheetData>
    <row r="1" spans="1:32" x14ac:dyDescent="0.35">
      <c r="A1" t="s">
        <v>69</v>
      </c>
      <c r="C1" s="24">
        <f>Summary!A22</f>
        <v>5200999010</v>
      </c>
      <c r="D1" s="3"/>
    </row>
    <row r="2" spans="1:32" x14ac:dyDescent="0.35">
      <c r="A2" t="s">
        <v>70</v>
      </c>
      <c r="C2" s="24" t="str">
        <f>Summary!B22</f>
        <v>Sundry expenses</v>
      </c>
      <c r="D2" s="3"/>
      <c r="G2" s="19" t="s">
        <v>141</v>
      </c>
    </row>
    <row r="3" spans="1:32" x14ac:dyDescent="0.35">
      <c r="A3" t="s">
        <v>71</v>
      </c>
      <c r="C3" s="22">
        <v>12879.47</v>
      </c>
      <c r="D3" s="3"/>
      <c r="G3" s="19" t="s">
        <v>358</v>
      </c>
      <c r="AC3" t="s">
        <v>0</v>
      </c>
      <c r="AD3" s="3">
        <f>SUMIF($A$8:$A$20000,"AU001",AD8:AD20000)</f>
        <v>0</v>
      </c>
      <c r="AE3" s="3">
        <f>SUMIF($A$8:$A$20000,"AU001",AE8:AE20000)</f>
        <v>0</v>
      </c>
    </row>
    <row r="4" spans="1:32" x14ac:dyDescent="0.35">
      <c r="A4" t="s">
        <v>45</v>
      </c>
      <c r="C4" s="23">
        <f>SUM(E:E)</f>
        <v>12879.470000000001</v>
      </c>
      <c r="D4" s="3"/>
      <c r="T4" s="24" t="s">
        <v>0</v>
      </c>
      <c r="U4" s="24"/>
      <c r="V4" s="3">
        <f>SUMIF($A$10:$A$23974,"AU001",V9:V23973)</f>
        <v>0</v>
      </c>
      <c r="AC4" t="s">
        <v>35</v>
      </c>
      <c r="AD4" s="3">
        <f>SUMIF($A$8:$A$20000,"AU052",AD8:AD20000)</f>
        <v>0</v>
      </c>
      <c r="AE4" s="3">
        <f>SUMIF($A$8:$A$20000,"AU052",AE8:AE20000)</f>
        <v>0</v>
      </c>
    </row>
    <row r="5" spans="1:32" ht="15" thickBot="1" x14ac:dyDescent="0.4">
      <c r="A5" t="s">
        <v>72</v>
      </c>
      <c r="C5" s="3">
        <f>C3-C4</f>
        <v>0</v>
      </c>
      <c r="D5" s="3"/>
      <c r="Q5" s="30"/>
      <c r="R5" s="182"/>
      <c r="T5" s="24" t="s">
        <v>35</v>
      </c>
      <c r="U5" s="24"/>
      <c r="V5" s="3">
        <f>SUMIF($A$10:$A$23975,"AU052",V9:V23974)</f>
        <v>239.17</v>
      </c>
    </row>
    <row r="6" spans="1:32" ht="15" thickBot="1" x14ac:dyDescent="0.4">
      <c r="D6" s="3"/>
      <c r="AD6" s="191" t="s">
        <v>44</v>
      </c>
      <c r="AE6" s="192"/>
    </row>
    <row r="7" spans="1:32" ht="73.5" customHeight="1" thickBot="1" x14ac:dyDescent="0.4">
      <c r="A7" s="1" t="s">
        <v>74</v>
      </c>
      <c r="B7" s="2" t="s">
        <v>597</v>
      </c>
      <c r="C7" s="2" t="s">
        <v>75</v>
      </c>
      <c r="D7" s="2" t="s">
        <v>76</v>
      </c>
      <c r="E7" s="2" t="s">
        <v>77</v>
      </c>
      <c r="F7" s="2" t="s">
        <v>78</v>
      </c>
      <c r="G7" s="162" t="s">
        <v>79</v>
      </c>
      <c r="H7" s="2" t="s">
        <v>80</v>
      </c>
      <c r="I7" s="2" t="s">
        <v>81</v>
      </c>
      <c r="J7" s="2" t="s">
        <v>82</v>
      </c>
      <c r="K7" s="157" t="s">
        <v>83</v>
      </c>
      <c r="L7" s="2" t="s">
        <v>84</v>
      </c>
      <c r="M7" s="157" t="s">
        <v>85</v>
      </c>
      <c r="N7" s="157" t="s">
        <v>86</v>
      </c>
      <c r="O7" s="163" t="s">
        <v>585</v>
      </c>
      <c r="Q7" s="31" t="s">
        <v>136</v>
      </c>
      <c r="R7" s="183" t="s">
        <v>87</v>
      </c>
      <c r="S7" s="8" t="s">
        <v>46</v>
      </c>
      <c r="T7" s="7" t="s">
        <v>47</v>
      </c>
      <c r="U7" s="7" t="s">
        <v>1286</v>
      </c>
      <c r="V7" s="8" t="s">
        <v>48</v>
      </c>
      <c r="W7" s="9" t="s">
        <v>49</v>
      </c>
      <c r="X7" s="10" t="s">
        <v>50</v>
      </c>
      <c r="Y7" s="11" t="s">
        <v>51</v>
      </c>
      <c r="Z7" s="12" t="s">
        <v>52</v>
      </c>
      <c r="AA7" s="13" t="s">
        <v>53</v>
      </c>
      <c r="AB7" s="13" t="s">
        <v>54</v>
      </c>
      <c r="AC7" s="13" t="s">
        <v>55</v>
      </c>
      <c r="AD7" s="14" t="s">
        <v>56</v>
      </c>
      <c r="AE7" s="14" t="s">
        <v>57</v>
      </c>
      <c r="AF7" s="15" t="s">
        <v>58</v>
      </c>
    </row>
    <row r="8" spans="1:32" ht="29" x14ac:dyDescent="0.35">
      <c r="A8" t="s">
        <v>0</v>
      </c>
      <c r="B8" t="s">
        <v>864</v>
      </c>
      <c r="C8" t="s">
        <v>26</v>
      </c>
      <c r="D8" t="s">
        <v>27</v>
      </c>
      <c r="E8">
        <v>5356.77</v>
      </c>
      <c r="F8" t="s">
        <v>88</v>
      </c>
      <c r="G8" s="19">
        <v>45512</v>
      </c>
      <c r="H8" t="s">
        <v>89</v>
      </c>
      <c r="I8" t="s">
        <v>6235</v>
      </c>
      <c r="K8" s="55" t="s">
        <v>6236</v>
      </c>
      <c r="L8" t="s">
        <v>6237</v>
      </c>
      <c r="M8" s="55" t="s">
        <v>6238</v>
      </c>
      <c r="Q8" s="3">
        <f t="shared" ref="Q8:Q35" si="0">ABS(E8)</f>
        <v>5356.77</v>
      </c>
      <c r="R8" s="56" t="s">
        <v>138</v>
      </c>
      <c r="S8" s="55" t="s">
        <v>137</v>
      </c>
      <c r="T8" t="s">
        <v>65</v>
      </c>
    </row>
    <row r="9" spans="1:32" ht="43.5" x14ac:dyDescent="0.35">
      <c r="A9" t="s">
        <v>0</v>
      </c>
      <c r="B9" t="s">
        <v>864</v>
      </c>
      <c r="C9" t="s">
        <v>26</v>
      </c>
      <c r="D9" t="s">
        <v>27</v>
      </c>
      <c r="E9">
        <v>2720.32</v>
      </c>
      <c r="F9" t="s">
        <v>88</v>
      </c>
      <c r="G9" s="19">
        <v>45539</v>
      </c>
      <c r="H9" t="s">
        <v>89</v>
      </c>
      <c r="I9" t="s">
        <v>6245</v>
      </c>
      <c r="K9" s="55" t="s">
        <v>6246</v>
      </c>
      <c r="L9" t="s">
        <v>6247</v>
      </c>
      <c r="M9" s="55" t="s">
        <v>6248</v>
      </c>
      <c r="Q9" s="3">
        <f t="shared" si="0"/>
        <v>2720.32</v>
      </c>
      <c r="R9" s="56" t="s">
        <v>138</v>
      </c>
      <c r="S9" s="55" t="s">
        <v>137</v>
      </c>
      <c r="T9" t="s">
        <v>65</v>
      </c>
    </row>
    <row r="10" spans="1:32" ht="43.5" x14ac:dyDescent="0.35">
      <c r="A10" t="s">
        <v>0</v>
      </c>
      <c r="B10" t="s">
        <v>864</v>
      </c>
      <c r="C10" t="s">
        <v>26</v>
      </c>
      <c r="D10" t="s">
        <v>27</v>
      </c>
      <c r="E10">
        <v>2720.32</v>
      </c>
      <c r="F10" t="s">
        <v>88</v>
      </c>
      <c r="G10" s="19">
        <v>45597</v>
      </c>
      <c r="H10" t="s">
        <v>89</v>
      </c>
      <c r="I10" t="s">
        <v>6255</v>
      </c>
      <c r="K10" s="55" t="s">
        <v>6246</v>
      </c>
      <c r="L10" t="s">
        <v>6256</v>
      </c>
      <c r="M10" s="55" t="s">
        <v>6248</v>
      </c>
      <c r="Q10" s="3">
        <f t="shared" si="0"/>
        <v>2720.32</v>
      </c>
      <c r="R10" s="56" t="s">
        <v>138</v>
      </c>
      <c r="S10" s="55" t="s">
        <v>137</v>
      </c>
      <c r="T10" t="s">
        <v>65</v>
      </c>
    </row>
    <row r="11" spans="1:32" ht="29" x14ac:dyDescent="0.35">
      <c r="A11" t="s">
        <v>35</v>
      </c>
      <c r="B11" t="s">
        <v>724</v>
      </c>
      <c r="C11" t="s">
        <v>26</v>
      </c>
      <c r="D11" t="s">
        <v>27</v>
      </c>
      <c r="E11">
        <v>326.60000000000002</v>
      </c>
      <c r="F11" t="s">
        <v>88</v>
      </c>
      <c r="G11" s="19">
        <v>45432</v>
      </c>
      <c r="H11" t="s">
        <v>94</v>
      </c>
      <c r="I11" t="s">
        <v>2310</v>
      </c>
      <c r="J11" t="s">
        <v>6232</v>
      </c>
      <c r="M11" s="55" t="s">
        <v>543</v>
      </c>
      <c r="Q11" s="3">
        <f t="shared" si="0"/>
        <v>326.60000000000002</v>
      </c>
      <c r="R11" s="56" t="s">
        <v>138</v>
      </c>
      <c r="S11" s="55" t="s">
        <v>137</v>
      </c>
      <c r="T11" t="s">
        <v>65</v>
      </c>
    </row>
    <row r="12" spans="1:32" ht="29" x14ac:dyDescent="0.35">
      <c r="A12" t="s">
        <v>35</v>
      </c>
      <c r="B12" t="s">
        <v>724</v>
      </c>
      <c r="C12" t="s">
        <v>26</v>
      </c>
      <c r="D12" t="s">
        <v>27</v>
      </c>
      <c r="E12">
        <v>245</v>
      </c>
      <c r="F12" t="s">
        <v>88</v>
      </c>
      <c r="G12" s="19">
        <v>45516</v>
      </c>
      <c r="H12" t="s">
        <v>94</v>
      </c>
      <c r="I12" t="s">
        <v>350</v>
      </c>
      <c r="J12" t="s">
        <v>351</v>
      </c>
      <c r="M12" s="55" t="s">
        <v>5429</v>
      </c>
      <c r="Q12" s="3">
        <f t="shared" si="0"/>
        <v>245</v>
      </c>
      <c r="R12" s="56" t="s">
        <v>138</v>
      </c>
      <c r="S12" s="55" t="s">
        <v>137</v>
      </c>
      <c r="T12" t="s">
        <v>65</v>
      </c>
    </row>
    <row r="13" spans="1:32" ht="29" x14ac:dyDescent="0.35">
      <c r="A13" t="s">
        <v>35</v>
      </c>
      <c r="B13" t="s">
        <v>2328</v>
      </c>
      <c r="C13" t="s">
        <v>26</v>
      </c>
      <c r="D13" t="s">
        <v>27</v>
      </c>
      <c r="E13">
        <v>228.23</v>
      </c>
      <c r="F13" t="s">
        <v>88</v>
      </c>
      <c r="G13" s="19">
        <v>45534</v>
      </c>
      <c r="H13" t="s">
        <v>94</v>
      </c>
      <c r="I13" t="s">
        <v>6242</v>
      </c>
      <c r="J13" t="s">
        <v>6243</v>
      </c>
      <c r="M13" s="55" t="s">
        <v>6244</v>
      </c>
      <c r="Q13" s="3">
        <f t="shared" si="0"/>
        <v>228.23</v>
      </c>
      <c r="R13" s="56" t="s">
        <v>140</v>
      </c>
      <c r="S13" s="55" t="s">
        <v>139</v>
      </c>
      <c r="T13" t="s">
        <v>64</v>
      </c>
      <c r="U13" t="str">
        <f>B13</f>
        <v>AU030422</v>
      </c>
      <c r="V13">
        <f>E13</f>
        <v>228.23</v>
      </c>
    </row>
    <row r="14" spans="1:32" ht="29" x14ac:dyDescent="0.35">
      <c r="A14" t="s">
        <v>35</v>
      </c>
      <c r="B14" t="s">
        <v>1423</v>
      </c>
      <c r="C14" t="s">
        <v>26</v>
      </c>
      <c r="D14" t="s">
        <v>27</v>
      </c>
      <c r="E14">
        <v>219.28</v>
      </c>
      <c r="F14" t="s">
        <v>88</v>
      </c>
      <c r="G14" s="19">
        <v>45394</v>
      </c>
      <c r="H14" t="s">
        <v>89</v>
      </c>
      <c r="I14" t="s">
        <v>6226</v>
      </c>
      <c r="K14" s="55" t="s">
        <v>6227</v>
      </c>
      <c r="L14" t="s">
        <v>6228</v>
      </c>
      <c r="M14" s="55" t="s">
        <v>6229</v>
      </c>
      <c r="Q14" s="3">
        <f t="shared" si="0"/>
        <v>219.28</v>
      </c>
      <c r="R14" s="56" t="s">
        <v>138</v>
      </c>
      <c r="S14" s="55" t="s">
        <v>137</v>
      </c>
      <c r="T14" t="s">
        <v>65</v>
      </c>
    </row>
    <row r="15" spans="1:32" ht="29" x14ac:dyDescent="0.35">
      <c r="A15" t="s">
        <v>35</v>
      </c>
      <c r="B15" t="s">
        <v>724</v>
      </c>
      <c r="C15" t="s">
        <v>26</v>
      </c>
      <c r="D15" t="s">
        <v>27</v>
      </c>
      <c r="E15">
        <v>150</v>
      </c>
      <c r="F15" t="s">
        <v>88</v>
      </c>
      <c r="G15" s="19">
        <v>45587</v>
      </c>
      <c r="H15" t="s">
        <v>94</v>
      </c>
      <c r="I15" t="s">
        <v>350</v>
      </c>
      <c r="J15" t="s">
        <v>6252</v>
      </c>
      <c r="M15" s="55" t="s">
        <v>6253</v>
      </c>
      <c r="Q15" s="3">
        <f t="shared" si="0"/>
        <v>150</v>
      </c>
      <c r="R15" s="56" t="s">
        <v>138</v>
      </c>
      <c r="S15" s="55" t="s">
        <v>137</v>
      </c>
      <c r="T15" t="s">
        <v>65</v>
      </c>
    </row>
    <row r="16" spans="1:32" ht="29" x14ac:dyDescent="0.35">
      <c r="A16" t="s">
        <v>0</v>
      </c>
      <c r="B16" t="s">
        <v>952</v>
      </c>
      <c r="C16" t="s">
        <v>26</v>
      </c>
      <c r="D16" t="s">
        <v>27</v>
      </c>
      <c r="E16">
        <v>129.6</v>
      </c>
      <c r="F16" t="s">
        <v>88</v>
      </c>
      <c r="G16" s="19">
        <v>45605</v>
      </c>
      <c r="H16" t="s">
        <v>89</v>
      </c>
      <c r="I16" t="s">
        <v>6257</v>
      </c>
      <c r="J16" t="s">
        <v>6258</v>
      </c>
      <c r="L16" t="s">
        <v>6259</v>
      </c>
      <c r="M16" s="55" t="s">
        <v>6260</v>
      </c>
      <c r="Q16" s="3">
        <f t="shared" si="0"/>
        <v>129.6</v>
      </c>
      <c r="R16" s="56" t="s">
        <v>138</v>
      </c>
      <c r="S16" s="55" t="s">
        <v>137</v>
      </c>
      <c r="T16" t="s">
        <v>65</v>
      </c>
    </row>
    <row r="17" spans="1:32" ht="29" x14ac:dyDescent="0.35">
      <c r="A17" t="s">
        <v>0</v>
      </c>
      <c r="B17" t="s">
        <v>614</v>
      </c>
      <c r="C17" t="s">
        <v>26</v>
      </c>
      <c r="D17" t="s">
        <v>27</v>
      </c>
      <c r="E17">
        <v>110.4</v>
      </c>
      <c r="F17" t="s">
        <v>88</v>
      </c>
      <c r="G17" s="19">
        <v>45605</v>
      </c>
      <c r="H17" t="s">
        <v>89</v>
      </c>
      <c r="I17" t="s">
        <v>6257</v>
      </c>
      <c r="J17" t="s">
        <v>6258</v>
      </c>
      <c r="L17" t="s">
        <v>6259</v>
      </c>
      <c r="M17" s="55" t="s">
        <v>6260</v>
      </c>
      <c r="Q17" s="3">
        <f t="shared" si="0"/>
        <v>110.4</v>
      </c>
      <c r="R17" s="56" t="s">
        <v>138</v>
      </c>
      <c r="S17" s="55" t="s">
        <v>137</v>
      </c>
      <c r="T17" t="s">
        <v>65</v>
      </c>
    </row>
    <row r="18" spans="1:32" ht="29" x14ac:dyDescent="0.35">
      <c r="A18" t="s">
        <v>35</v>
      </c>
      <c r="B18" t="s">
        <v>638</v>
      </c>
      <c r="C18" t="s">
        <v>26</v>
      </c>
      <c r="D18" t="s">
        <v>27</v>
      </c>
      <c r="E18">
        <v>89</v>
      </c>
      <c r="F18" t="s">
        <v>88</v>
      </c>
      <c r="G18" s="19">
        <v>45520</v>
      </c>
      <c r="H18" t="s">
        <v>94</v>
      </c>
      <c r="I18" t="s">
        <v>6239</v>
      </c>
      <c r="J18" t="s">
        <v>6240</v>
      </c>
      <c r="M18" s="55" t="s">
        <v>6241</v>
      </c>
      <c r="Q18" s="3">
        <f t="shared" si="0"/>
        <v>89</v>
      </c>
      <c r="R18" s="56" t="s">
        <v>138</v>
      </c>
      <c r="S18" s="55" t="s">
        <v>137</v>
      </c>
      <c r="T18" t="s">
        <v>65</v>
      </c>
    </row>
    <row r="19" spans="1:32" ht="29" x14ac:dyDescent="0.35">
      <c r="A19" t="s">
        <v>35</v>
      </c>
      <c r="B19" t="s">
        <v>852</v>
      </c>
      <c r="C19" t="s">
        <v>26</v>
      </c>
      <c r="D19" t="s">
        <v>27</v>
      </c>
      <c r="E19">
        <v>83.64</v>
      </c>
      <c r="F19" t="s">
        <v>88</v>
      </c>
      <c r="G19" s="19">
        <v>45632</v>
      </c>
      <c r="H19" t="s">
        <v>94</v>
      </c>
      <c r="I19" t="s">
        <v>6261</v>
      </c>
      <c r="J19" t="s">
        <v>6262</v>
      </c>
      <c r="M19" s="55" t="s">
        <v>6263</v>
      </c>
      <c r="Q19" s="3">
        <f t="shared" si="0"/>
        <v>83.64</v>
      </c>
      <c r="R19" s="56" t="s">
        <v>6269</v>
      </c>
      <c r="S19" s="55" t="s">
        <v>137</v>
      </c>
      <c r="T19" t="s">
        <v>65</v>
      </c>
    </row>
    <row r="20" spans="1:32" ht="29" x14ac:dyDescent="0.35">
      <c r="A20" t="s">
        <v>35</v>
      </c>
      <c r="B20" t="s">
        <v>724</v>
      </c>
      <c r="C20" t="s">
        <v>26</v>
      </c>
      <c r="D20" t="s">
        <v>27</v>
      </c>
      <c r="E20">
        <v>70</v>
      </c>
      <c r="F20" t="s">
        <v>88</v>
      </c>
      <c r="G20" s="19">
        <v>45587</v>
      </c>
      <c r="H20" t="s">
        <v>94</v>
      </c>
      <c r="I20" t="s">
        <v>350</v>
      </c>
      <c r="J20" t="s">
        <v>6251</v>
      </c>
      <c r="M20" s="55" t="s">
        <v>5429</v>
      </c>
      <c r="Q20" s="3">
        <f t="shared" si="0"/>
        <v>70</v>
      </c>
      <c r="R20" s="56" t="s">
        <v>138</v>
      </c>
      <c r="S20" s="55" t="s">
        <v>137</v>
      </c>
      <c r="T20" t="s">
        <v>65</v>
      </c>
    </row>
    <row r="21" spans="1:32" ht="29" x14ac:dyDescent="0.35">
      <c r="A21" t="s">
        <v>35</v>
      </c>
      <c r="B21" t="s">
        <v>724</v>
      </c>
      <c r="C21" t="s">
        <v>26</v>
      </c>
      <c r="D21" t="s">
        <v>27</v>
      </c>
      <c r="E21">
        <v>63.64</v>
      </c>
      <c r="F21" t="s">
        <v>88</v>
      </c>
      <c r="G21" s="19">
        <v>45414</v>
      </c>
      <c r="H21" t="s">
        <v>94</v>
      </c>
      <c r="I21" t="s">
        <v>350</v>
      </c>
      <c r="J21" t="s">
        <v>351</v>
      </c>
      <c r="M21" s="55" t="s">
        <v>5429</v>
      </c>
      <c r="Q21" s="3">
        <f t="shared" si="0"/>
        <v>63.64</v>
      </c>
      <c r="R21" s="56" t="s">
        <v>138</v>
      </c>
      <c r="S21" s="55" t="s">
        <v>137</v>
      </c>
      <c r="T21" t="s">
        <v>65</v>
      </c>
    </row>
    <row r="22" spans="1:32" ht="29" x14ac:dyDescent="0.35">
      <c r="A22" t="s">
        <v>35</v>
      </c>
      <c r="B22" t="s">
        <v>852</v>
      </c>
      <c r="C22" t="s">
        <v>26</v>
      </c>
      <c r="D22" t="s">
        <v>27</v>
      </c>
      <c r="E22">
        <v>61.36</v>
      </c>
      <c r="F22" t="s">
        <v>88</v>
      </c>
      <c r="G22" s="19">
        <v>45587</v>
      </c>
      <c r="H22" t="s">
        <v>94</v>
      </c>
      <c r="I22" t="s">
        <v>6249</v>
      </c>
      <c r="J22" t="s">
        <v>6250</v>
      </c>
      <c r="M22" s="55" t="s">
        <v>348</v>
      </c>
      <c r="Q22" s="3">
        <f t="shared" si="0"/>
        <v>61.36</v>
      </c>
      <c r="R22" s="56" t="s">
        <v>6269</v>
      </c>
      <c r="S22" s="55" t="s">
        <v>137</v>
      </c>
      <c r="T22" t="s">
        <v>65</v>
      </c>
    </row>
    <row r="23" spans="1:32" ht="29" x14ac:dyDescent="0.35">
      <c r="A23" t="s">
        <v>35</v>
      </c>
      <c r="B23" t="s">
        <v>724</v>
      </c>
      <c r="C23" t="s">
        <v>26</v>
      </c>
      <c r="D23" t="s">
        <v>27</v>
      </c>
      <c r="E23">
        <v>35</v>
      </c>
      <c r="F23" t="s">
        <v>88</v>
      </c>
      <c r="G23" s="19">
        <v>45470</v>
      </c>
      <c r="H23" t="s">
        <v>33</v>
      </c>
      <c r="I23" t="s">
        <v>350</v>
      </c>
      <c r="Q23" s="3">
        <f t="shared" si="0"/>
        <v>35</v>
      </c>
      <c r="R23" s="56" t="s">
        <v>138</v>
      </c>
      <c r="S23" s="55" t="s">
        <v>137</v>
      </c>
      <c r="T23" t="s">
        <v>65</v>
      </c>
    </row>
    <row r="24" spans="1:32" ht="29" x14ac:dyDescent="0.35">
      <c r="A24" t="s">
        <v>35</v>
      </c>
      <c r="B24" t="s">
        <v>724</v>
      </c>
      <c r="C24" t="s">
        <v>26</v>
      </c>
      <c r="D24" t="s">
        <v>27</v>
      </c>
      <c r="E24">
        <v>35</v>
      </c>
      <c r="F24" t="s">
        <v>88</v>
      </c>
      <c r="G24" s="19">
        <v>45609</v>
      </c>
      <c r="H24" t="s">
        <v>94</v>
      </c>
      <c r="I24" t="s">
        <v>350</v>
      </c>
      <c r="J24" t="s">
        <v>351</v>
      </c>
      <c r="O24" t="s">
        <v>5429</v>
      </c>
      <c r="Q24" s="3">
        <f t="shared" si="0"/>
        <v>35</v>
      </c>
      <c r="R24" s="56" t="s">
        <v>138</v>
      </c>
      <c r="S24" s="55" t="s">
        <v>137</v>
      </c>
      <c r="T24" t="s">
        <v>65</v>
      </c>
    </row>
    <row r="25" spans="1:32" ht="29" x14ac:dyDescent="0.35">
      <c r="A25" s="88" t="s">
        <v>35</v>
      </c>
      <c r="B25" s="88" t="s">
        <v>724</v>
      </c>
      <c r="C25" s="88" t="s">
        <v>26</v>
      </c>
      <c r="D25" s="88" t="s">
        <v>27</v>
      </c>
      <c r="E25" s="88">
        <v>35</v>
      </c>
      <c r="F25" s="88" t="s">
        <v>88</v>
      </c>
      <c r="G25" s="97">
        <v>45644</v>
      </c>
      <c r="H25" s="88" t="s">
        <v>94</v>
      </c>
      <c r="I25" s="88" t="s">
        <v>350</v>
      </c>
      <c r="J25" s="88" t="s">
        <v>351</v>
      </c>
      <c r="K25" s="85"/>
      <c r="L25" s="88"/>
      <c r="M25" s="85"/>
      <c r="N25" s="85"/>
      <c r="O25" s="88" t="s">
        <v>5429</v>
      </c>
      <c r="P25" s="86"/>
      <c r="Q25" s="3">
        <f t="shared" si="0"/>
        <v>35</v>
      </c>
      <c r="R25" s="56" t="s">
        <v>138</v>
      </c>
      <c r="S25" s="55" t="s">
        <v>137</v>
      </c>
      <c r="T25" t="s">
        <v>65</v>
      </c>
      <c r="U25" s="88"/>
      <c r="V25" s="88"/>
      <c r="W25" s="88"/>
      <c r="X25" s="88"/>
      <c r="Y25" s="88"/>
      <c r="Z25" s="88"/>
      <c r="AA25" s="88"/>
      <c r="AB25" s="88"/>
      <c r="AC25" s="88"/>
      <c r="AD25" s="88"/>
      <c r="AE25" s="88"/>
      <c r="AF25" s="88"/>
    </row>
    <row r="26" spans="1:32" ht="29" x14ac:dyDescent="0.35">
      <c r="A26" s="88" t="s">
        <v>35</v>
      </c>
      <c r="B26" s="88" t="s">
        <v>6266</v>
      </c>
      <c r="C26" s="88" t="s">
        <v>26</v>
      </c>
      <c r="D26" s="88" t="s">
        <v>27</v>
      </c>
      <c r="E26" s="88">
        <v>31.81</v>
      </c>
      <c r="F26" s="88" t="s">
        <v>88</v>
      </c>
      <c r="G26" s="97">
        <v>45645</v>
      </c>
      <c r="H26" s="88" t="s">
        <v>94</v>
      </c>
      <c r="I26" s="88" t="s">
        <v>6267</v>
      </c>
      <c r="J26" s="88" t="s">
        <v>6268</v>
      </c>
      <c r="K26" s="85"/>
      <c r="L26" s="88"/>
      <c r="M26" s="85"/>
      <c r="N26" s="85"/>
      <c r="O26" s="88" t="s">
        <v>3490</v>
      </c>
      <c r="P26" s="86"/>
      <c r="Q26" s="3">
        <f t="shared" si="0"/>
        <v>31.81</v>
      </c>
      <c r="R26" s="56" t="s">
        <v>138</v>
      </c>
      <c r="S26" s="55" t="s">
        <v>137</v>
      </c>
      <c r="T26" t="s">
        <v>65</v>
      </c>
      <c r="U26" s="88"/>
      <c r="V26" s="88"/>
      <c r="W26" s="88"/>
      <c r="X26" s="88"/>
      <c r="Y26" s="88"/>
      <c r="Z26" s="88"/>
      <c r="AA26" s="88"/>
      <c r="AB26" s="88"/>
      <c r="AC26" s="88"/>
      <c r="AD26" s="88"/>
      <c r="AE26" s="88"/>
      <c r="AF26" s="88"/>
    </row>
    <row r="27" spans="1:32" ht="29" x14ac:dyDescent="0.35">
      <c r="A27" t="s">
        <v>35</v>
      </c>
      <c r="B27" t="s">
        <v>861</v>
      </c>
      <c r="C27" t="s">
        <v>26</v>
      </c>
      <c r="D27" t="s">
        <v>27</v>
      </c>
      <c r="E27">
        <v>28.73</v>
      </c>
      <c r="F27" t="s">
        <v>88</v>
      </c>
      <c r="G27" s="19">
        <v>45400</v>
      </c>
      <c r="H27" t="s">
        <v>94</v>
      </c>
      <c r="I27" t="s">
        <v>240</v>
      </c>
      <c r="J27" t="s">
        <v>485</v>
      </c>
      <c r="O27" t="s">
        <v>519</v>
      </c>
      <c r="Q27" s="3">
        <f t="shared" si="0"/>
        <v>28.73</v>
      </c>
      <c r="R27" s="56" t="s">
        <v>138</v>
      </c>
      <c r="S27" s="55" t="s">
        <v>137</v>
      </c>
      <c r="T27" t="s">
        <v>65</v>
      </c>
    </row>
    <row r="28" spans="1:32" ht="29" x14ac:dyDescent="0.35">
      <c r="A28" t="s">
        <v>35</v>
      </c>
      <c r="B28" t="s">
        <v>852</v>
      </c>
      <c r="C28" t="s">
        <v>26</v>
      </c>
      <c r="D28" t="s">
        <v>27</v>
      </c>
      <c r="E28">
        <v>27.68</v>
      </c>
      <c r="F28" t="s">
        <v>88</v>
      </c>
      <c r="G28" s="19">
        <v>45384</v>
      </c>
      <c r="H28" t="s">
        <v>89</v>
      </c>
      <c r="I28" t="s">
        <v>6223</v>
      </c>
      <c r="J28" s="55" t="s">
        <v>6224</v>
      </c>
      <c r="L28" t="s">
        <v>6225</v>
      </c>
      <c r="M28" s="55" t="s">
        <v>348</v>
      </c>
      <c r="Q28" s="3">
        <f t="shared" si="0"/>
        <v>27.68</v>
      </c>
      <c r="R28" s="56" t="s">
        <v>138</v>
      </c>
      <c r="S28" s="55" t="s">
        <v>137</v>
      </c>
      <c r="T28" t="s">
        <v>65</v>
      </c>
    </row>
    <row r="29" spans="1:32" ht="29" x14ac:dyDescent="0.35">
      <c r="A29" t="s">
        <v>35</v>
      </c>
      <c r="B29" t="s">
        <v>724</v>
      </c>
      <c r="C29" t="s">
        <v>26</v>
      </c>
      <c r="D29" t="s">
        <v>27</v>
      </c>
      <c r="E29">
        <v>22.939999999999998</v>
      </c>
      <c r="F29" t="s">
        <v>88</v>
      </c>
      <c r="G29" s="19">
        <v>45505</v>
      </c>
      <c r="H29" t="s">
        <v>6233</v>
      </c>
      <c r="I29" t="s">
        <v>356</v>
      </c>
      <c r="Q29" s="3">
        <f t="shared" si="0"/>
        <v>22.939999999999998</v>
      </c>
      <c r="R29" s="56" t="s">
        <v>138</v>
      </c>
      <c r="S29" s="55" t="s">
        <v>137</v>
      </c>
      <c r="T29" t="s">
        <v>65</v>
      </c>
    </row>
    <row r="30" spans="1:32" ht="29" x14ac:dyDescent="0.35">
      <c r="A30" t="s">
        <v>35</v>
      </c>
      <c r="B30" t="s">
        <v>724</v>
      </c>
      <c r="C30" t="s">
        <v>26</v>
      </c>
      <c r="D30" t="s">
        <v>27</v>
      </c>
      <c r="E30">
        <v>20.75</v>
      </c>
      <c r="F30" t="s">
        <v>88</v>
      </c>
      <c r="G30" s="19">
        <v>45587</v>
      </c>
      <c r="H30" t="s">
        <v>94</v>
      </c>
      <c r="I30" t="s">
        <v>356</v>
      </c>
      <c r="J30" t="s">
        <v>6254</v>
      </c>
      <c r="O30" t="s">
        <v>6234</v>
      </c>
      <c r="Q30" s="3">
        <f t="shared" si="0"/>
        <v>20.75</v>
      </c>
      <c r="R30" s="56" t="s">
        <v>138</v>
      </c>
      <c r="S30" s="55" t="s">
        <v>137</v>
      </c>
      <c r="T30" t="s">
        <v>65</v>
      </c>
    </row>
    <row r="31" spans="1:32" ht="29" x14ac:dyDescent="0.35">
      <c r="A31" t="s">
        <v>35</v>
      </c>
      <c r="B31" t="s">
        <v>724</v>
      </c>
      <c r="C31" t="s">
        <v>26</v>
      </c>
      <c r="D31" t="s">
        <v>27</v>
      </c>
      <c r="E31">
        <v>18.36</v>
      </c>
      <c r="F31" t="s">
        <v>88</v>
      </c>
      <c r="G31" s="19">
        <v>45432</v>
      </c>
      <c r="H31" t="s">
        <v>94</v>
      </c>
      <c r="I31" t="s">
        <v>350</v>
      </c>
      <c r="J31" t="s">
        <v>6230</v>
      </c>
      <c r="O31" t="s">
        <v>6231</v>
      </c>
      <c r="Q31" s="3">
        <f t="shared" si="0"/>
        <v>18.36</v>
      </c>
      <c r="R31" s="56" t="s">
        <v>138</v>
      </c>
      <c r="S31" s="55" t="s">
        <v>137</v>
      </c>
      <c r="T31" t="s">
        <v>65</v>
      </c>
    </row>
    <row r="32" spans="1:32" ht="29" x14ac:dyDescent="0.35">
      <c r="A32" t="s">
        <v>35</v>
      </c>
      <c r="B32" t="s">
        <v>934</v>
      </c>
      <c r="C32" t="s">
        <v>26</v>
      </c>
      <c r="D32" t="s">
        <v>27</v>
      </c>
      <c r="E32">
        <v>15.75</v>
      </c>
      <c r="F32" t="s">
        <v>88</v>
      </c>
      <c r="G32" s="19">
        <v>45506</v>
      </c>
      <c r="H32" t="s">
        <v>6233</v>
      </c>
      <c r="I32" t="s">
        <v>356</v>
      </c>
      <c r="Q32" s="3">
        <f t="shared" si="0"/>
        <v>15.75</v>
      </c>
      <c r="R32" s="56" t="s">
        <v>138</v>
      </c>
      <c r="S32" s="55" t="s">
        <v>137</v>
      </c>
      <c r="T32" t="s">
        <v>65</v>
      </c>
    </row>
    <row r="33" spans="1:32" s="88" customFormat="1" ht="29" x14ac:dyDescent="0.35">
      <c r="A33" t="s">
        <v>35</v>
      </c>
      <c r="B33" t="s">
        <v>724</v>
      </c>
      <c r="C33" t="s">
        <v>26</v>
      </c>
      <c r="D33" t="s">
        <v>27</v>
      </c>
      <c r="E33">
        <v>15.45</v>
      </c>
      <c r="F33" t="s">
        <v>88</v>
      </c>
      <c r="G33" s="19">
        <v>45470</v>
      </c>
      <c r="H33" t="s">
        <v>33</v>
      </c>
      <c r="I33" t="s">
        <v>356</v>
      </c>
      <c r="J33"/>
      <c r="K33" s="55"/>
      <c r="L33"/>
      <c r="M33" s="55"/>
      <c r="N33" s="55"/>
      <c r="O33"/>
      <c r="P33" s="5"/>
      <c r="Q33" s="3">
        <f t="shared" si="0"/>
        <v>15.45</v>
      </c>
      <c r="R33" s="56" t="s">
        <v>138</v>
      </c>
      <c r="S33" s="55" t="s">
        <v>137</v>
      </c>
      <c r="T33" t="s">
        <v>65</v>
      </c>
      <c r="U33"/>
      <c r="V33"/>
      <c r="W33"/>
      <c r="X33"/>
      <c r="Y33"/>
      <c r="Z33"/>
      <c r="AA33"/>
      <c r="AB33"/>
      <c r="AC33"/>
      <c r="AD33"/>
      <c r="AE33"/>
      <c r="AF33"/>
    </row>
    <row r="34" spans="1:32" s="88" customFormat="1" ht="29" x14ac:dyDescent="0.35">
      <c r="A34" s="88" t="s">
        <v>35</v>
      </c>
      <c r="B34" s="88" t="s">
        <v>909</v>
      </c>
      <c r="C34" s="88" t="s">
        <v>26</v>
      </c>
      <c r="D34" s="88" t="s">
        <v>27</v>
      </c>
      <c r="E34" s="88">
        <v>10.94</v>
      </c>
      <c r="F34" s="88" t="s">
        <v>88</v>
      </c>
      <c r="G34" s="97">
        <v>45637</v>
      </c>
      <c r="H34" s="88" t="s">
        <v>94</v>
      </c>
      <c r="I34" s="88" t="s">
        <v>503</v>
      </c>
      <c r="J34" s="88" t="s">
        <v>6264</v>
      </c>
      <c r="K34" s="85"/>
      <c r="M34" s="85"/>
      <c r="N34" s="85"/>
      <c r="O34" s="88" t="s">
        <v>6265</v>
      </c>
      <c r="P34" s="86"/>
      <c r="Q34" s="3">
        <f t="shared" si="0"/>
        <v>10.94</v>
      </c>
      <c r="R34" s="56" t="s">
        <v>140</v>
      </c>
      <c r="S34" s="55" t="s">
        <v>139</v>
      </c>
      <c r="T34" t="s">
        <v>64</v>
      </c>
      <c r="U34" t="str">
        <f>B34</f>
        <v>AU030513</v>
      </c>
      <c r="V34">
        <f>E34</f>
        <v>10.94</v>
      </c>
    </row>
    <row r="35" spans="1:32" s="88" customFormat="1" ht="29" x14ac:dyDescent="0.35">
      <c r="A35" t="s">
        <v>35</v>
      </c>
      <c r="B35" t="s">
        <v>724</v>
      </c>
      <c r="C35" t="s">
        <v>26</v>
      </c>
      <c r="D35" t="s">
        <v>27</v>
      </c>
      <c r="E35">
        <v>7.9</v>
      </c>
      <c r="F35" t="s">
        <v>88</v>
      </c>
      <c r="G35" s="19">
        <v>45509</v>
      </c>
      <c r="H35" t="s">
        <v>94</v>
      </c>
      <c r="I35" t="s">
        <v>356</v>
      </c>
      <c r="J35" t="s">
        <v>349</v>
      </c>
      <c r="K35" s="55"/>
      <c r="L35"/>
      <c r="M35" s="55"/>
      <c r="N35" s="55"/>
      <c r="O35" t="s">
        <v>6234</v>
      </c>
      <c r="P35" s="5"/>
      <c r="Q35" s="3">
        <f t="shared" si="0"/>
        <v>7.9</v>
      </c>
      <c r="R35" s="56" t="s">
        <v>138</v>
      </c>
      <c r="S35" s="55" t="s">
        <v>137</v>
      </c>
      <c r="T35" t="s">
        <v>65</v>
      </c>
      <c r="U35"/>
      <c r="V35"/>
      <c r="W35"/>
      <c r="X35"/>
      <c r="Y35"/>
      <c r="Z35"/>
      <c r="AA35"/>
      <c r="AB35"/>
      <c r="AC35"/>
      <c r="AD35"/>
      <c r="AE35"/>
      <c r="AF35"/>
    </row>
    <row r="36" spans="1:32" s="88" customFormat="1" x14ac:dyDescent="0.35">
      <c r="F36" s="97"/>
      <c r="G36" s="97"/>
      <c r="K36" s="85"/>
      <c r="M36" s="85"/>
      <c r="N36" s="85"/>
      <c r="P36" s="86"/>
      <c r="Q36" s="87"/>
      <c r="R36" s="151"/>
      <c r="S36" s="85"/>
    </row>
  </sheetData>
  <autoFilter ref="A7:AF35" xr:uid="{A121022F-7741-49D4-9739-916587299B14}">
    <sortState xmlns:xlrd2="http://schemas.microsoft.com/office/spreadsheetml/2017/richdata2" ref="A8:AF35">
      <sortCondition descending="1" ref="Q7"/>
    </sortState>
  </autoFilter>
  <sortState xmlns:xlrd2="http://schemas.microsoft.com/office/spreadsheetml/2017/richdata2" ref="A7:Q32">
    <sortCondition descending="1" ref="Q7:Q32"/>
  </sortState>
  <mergeCells count="1">
    <mergeCell ref="AD6:AE6"/>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DC647-633B-4CE4-9B03-90E0B59A94C4}">
  <sheetPr>
    <tabColor rgb="FF00B050"/>
  </sheetPr>
  <dimension ref="A1:AF1238"/>
  <sheetViews>
    <sheetView workbookViewId="0">
      <selection activeCell="C3" sqref="C3"/>
    </sheetView>
  </sheetViews>
  <sheetFormatPr defaultRowHeight="14.5" x14ac:dyDescent="0.35"/>
  <cols>
    <col min="1" max="2" width="4.81640625" customWidth="1"/>
    <col min="3" max="3" width="11" customWidth="1"/>
    <col min="4" max="5" width="4.81640625" customWidth="1"/>
    <col min="6" max="6" width="4.81640625" style="19" customWidth="1"/>
    <col min="7" max="7" width="4.81640625" customWidth="1"/>
    <col min="8" max="8" width="4.81640625" style="55" customWidth="1"/>
    <col min="9" max="10" width="19.54296875" style="55" customWidth="1"/>
    <col min="11" max="11" width="33.453125" bestFit="1" customWidth="1"/>
    <col min="16" max="16" width="3" style="5" customWidth="1"/>
    <col min="17" max="17" width="11.1796875" style="3" bestFit="1" customWidth="1"/>
    <col min="18" max="18" width="6.453125" style="55" customWidth="1"/>
    <col min="19" max="19" width="15.54296875" style="55" customWidth="1"/>
    <col min="22" max="22" width="9.1796875" style="3" bestFit="1" customWidth="1"/>
    <col min="23" max="23" width="2" customWidth="1"/>
    <col min="24" max="28" width="1.81640625" customWidth="1"/>
    <col min="30" max="30" width="9.1796875" bestFit="1" customWidth="1"/>
  </cols>
  <sheetData>
    <row r="1" spans="1:32" x14ac:dyDescent="0.35">
      <c r="A1" t="s">
        <v>69</v>
      </c>
      <c r="C1">
        <f>Summary!A23</f>
        <v>5200999020</v>
      </c>
      <c r="D1" s="3"/>
    </row>
    <row r="2" spans="1:32" x14ac:dyDescent="0.35">
      <c r="A2" t="s">
        <v>70</v>
      </c>
      <c r="C2" t="str">
        <f>Summary!B23</f>
        <v>Miscellaneous expenses (2) - Tours</v>
      </c>
      <c r="D2" s="3"/>
      <c r="G2" t="s">
        <v>141</v>
      </c>
    </row>
    <row r="3" spans="1:32" x14ac:dyDescent="0.35">
      <c r="A3" t="s">
        <v>71</v>
      </c>
      <c r="C3" s="22">
        <v>389684.50999999995</v>
      </c>
      <c r="D3" s="3"/>
      <c r="G3" s="201" t="s">
        <v>591</v>
      </c>
      <c r="H3" s="201"/>
      <c r="I3" s="201"/>
      <c r="J3" s="201"/>
      <c r="K3" s="201"/>
    </row>
    <row r="4" spans="1:32" x14ac:dyDescent="0.35">
      <c r="A4" t="s">
        <v>45</v>
      </c>
      <c r="C4" s="23">
        <f>SUM(E:E)</f>
        <v>389684.50999999855</v>
      </c>
      <c r="D4" s="3"/>
      <c r="G4" t="s">
        <v>592</v>
      </c>
      <c r="V4" s="64"/>
      <c r="AC4" t="s">
        <v>0</v>
      </c>
      <c r="AD4" s="3">
        <f>SUMIF($A$10:$A$20002,"AU001",AD10:AD20002)</f>
        <v>0</v>
      </c>
      <c r="AE4" s="3">
        <f>SUMIF($A$10:$A$20002,"AU001",AE10:AE20002)</f>
        <v>0</v>
      </c>
    </row>
    <row r="5" spans="1:32" x14ac:dyDescent="0.35">
      <c r="A5" t="s">
        <v>72</v>
      </c>
      <c r="C5" s="3">
        <f>C3-C4</f>
        <v>1.3969838619232178E-9</v>
      </c>
      <c r="D5" s="3"/>
      <c r="Q5" s="30"/>
      <c r="R5" s="57"/>
      <c r="AC5" t="s">
        <v>35</v>
      </c>
      <c r="AD5" s="3">
        <f>SUMIF($A$10:$A$20002,"AU052",AD10:AD20002)</f>
        <v>1248.3700000000001</v>
      </c>
      <c r="AE5" s="3">
        <f>SUMIF($A$10:$A$20002,"AU052",AE10:AE20002)</f>
        <v>275.56</v>
      </c>
    </row>
    <row r="6" spans="1:32" x14ac:dyDescent="0.35">
      <c r="C6" s="3"/>
      <c r="D6" s="3"/>
      <c r="Q6" s="30"/>
      <c r="R6" s="57"/>
      <c r="T6" s="24" t="s">
        <v>0</v>
      </c>
      <c r="U6" s="24"/>
      <c r="V6" s="3">
        <f>SUMIF($A$10:$A$23955,"AU001",V10:V23955)</f>
        <v>0</v>
      </c>
    </row>
    <row r="7" spans="1:32" ht="15" thickBot="1" x14ac:dyDescent="0.4">
      <c r="C7" s="3"/>
      <c r="D7" s="3"/>
      <c r="Q7" s="30"/>
      <c r="R7" s="57"/>
      <c r="T7" s="24" t="s">
        <v>35</v>
      </c>
      <c r="U7" s="24"/>
      <c r="V7" s="3">
        <f>SUMIF($A$10:$A$23956,"AU052",V10:V23956)</f>
        <v>0</v>
      </c>
    </row>
    <row r="8" spans="1:32" ht="15" thickBot="1" x14ac:dyDescent="0.4">
      <c r="D8" s="3"/>
      <c r="G8" s="19"/>
      <c r="V8" s="3">
        <f>V173</f>
        <v>0</v>
      </c>
      <c r="AD8" s="191" t="s">
        <v>44</v>
      </c>
      <c r="AE8" s="192"/>
    </row>
    <row r="9" spans="1:32" s="53" customFormat="1" ht="363" thickBot="1" x14ac:dyDescent="0.4">
      <c r="A9" s="1" t="s">
        <v>74</v>
      </c>
      <c r="B9" s="2" t="s">
        <v>597</v>
      </c>
      <c r="C9" s="2" t="s">
        <v>75</v>
      </c>
      <c r="D9" s="2" t="s">
        <v>76</v>
      </c>
      <c r="E9" s="2" t="s">
        <v>77</v>
      </c>
      <c r="F9" s="2" t="s">
        <v>78</v>
      </c>
      <c r="G9" s="162" t="s">
        <v>79</v>
      </c>
      <c r="H9" s="2" t="s">
        <v>80</v>
      </c>
      <c r="I9" s="2" t="s">
        <v>81</v>
      </c>
      <c r="J9" s="2" t="s">
        <v>82</v>
      </c>
      <c r="K9" s="2" t="s">
        <v>83</v>
      </c>
      <c r="L9" s="2" t="s">
        <v>84</v>
      </c>
      <c r="M9" s="2" t="s">
        <v>85</v>
      </c>
      <c r="N9" s="2" t="s">
        <v>86</v>
      </c>
      <c r="O9" s="163" t="s">
        <v>585</v>
      </c>
      <c r="P9" s="43"/>
      <c r="Q9" s="54" t="s">
        <v>136</v>
      </c>
      <c r="R9" s="44" t="s">
        <v>87</v>
      </c>
      <c r="S9" s="45" t="s">
        <v>46</v>
      </c>
      <c r="T9" s="45" t="s">
        <v>47</v>
      </c>
      <c r="U9" s="84" t="s">
        <v>1286</v>
      </c>
      <c r="V9" s="66" t="s">
        <v>48</v>
      </c>
      <c r="W9" s="46" t="s">
        <v>49</v>
      </c>
      <c r="X9" s="47" t="s">
        <v>50</v>
      </c>
      <c r="Y9" s="48" t="s">
        <v>51</v>
      </c>
      <c r="Z9" s="49" t="s">
        <v>52</v>
      </c>
      <c r="AA9" s="50" t="s">
        <v>53</v>
      </c>
      <c r="AB9" s="50" t="s">
        <v>54</v>
      </c>
      <c r="AC9" s="50" t="s">
        <v>55</v>
      </c>
      <c r="AD9" s="51" t="s">
        <v>56</v>
      </c>
      <c r="AE9" s="51" t="s">
        <v>57</v>
      </c>
      <c r="AF9" s="52" t="s">
        <v>58</v>
      </c>
    </row>
    <row r="10" spans="1:32" x14ac:dyDescent="0.35">
      <c r="A10" t="s">
        <v>35</v>
      </c>
      <c r="B10" t="s">
        <v>741</v>
      </c>
      <c r="C10" t="s">
        <v>28</v>
      </c>
      <c r="D10" t="s">
        <v>25</v>
      </c>
      <c r="E10">
        <v>259</v>
      </c>
      <c r="F10" t="s">
        <v>88</v>
      </c>
      <c r="G10" s="19">
        <v>45642</v>
      </c>
      <c r="H10" t="s">
        <v>94</v>
      </c>
      <c r="I10" t="s">
        <v>5334</v>
      </c>
      <c r="J10" t="s">
        <v>7499</v>
      </c>
      <c r="O10" t="s">
        <v>7500</v>
      </c>
      <c r="Q10" s="3">
        <f t="shared" ref="Q10:Q73" si="0">ABS(E10)</f>
        <v>259</v>
      </c>
      <c r="S10" s="55" t="s">
        <v>7516</v>
      </c>
      <c r="AD10">
        <f t="shared" ref="AD10:AD15" si="1">E10</f>
        <v>259</v>
      </c>
    </row>
    <row r="11" spans="1:32" x14ac:dyDescent="0.35">
      <c r="A11" t="s">
        <v>35</v>
      </c>
      <c r="B11" t="s">
        <v>756</v>
      </c>
      <c r="C11" t="s">
        <v>28</v>
      </c>
      <c r="D11" t="s">
        <v>25</v>
      </c>
      <c r="E11">
        <v>226.36</v>
      </c>
      <c r="F11" t="s">
        <v>88</v>
      </c>
      <c r="G11" s="19">
        <v>45474</v>
      </c>
      <c r="H11" t="s">
        <v>94</v>
      </c>
      <c r="I11" t="s">
        <v>6659</v>
      </c>
      <c r="J11" t="s">
        <v>6700</v>
      </c>
      <c r="O11" t="s">
        <v>6661</v>
      </c>
      <c r="Q11" s="3">
        <f t="shared" si="0"/>
        <v>226.36</v>
      </c>
      <c r="S11" s="55" t="s">
        <v>7516</v>
      </c>
      <c r="AD11">
        <f t="shared" si="1"/>
        <v>226.36</v>
      </c>
    </row>
    <row r="12" spans="1:32" x14ac:dyDescent="0.35">
      <c r="A12" t="s">
        <v>35</v>
      </c>
      <c r="B12" t="s">
        <v>6270</v>
      </c>
      <c r="C12" t="s">
        <v>28</v>
      </c>
      <c r="D12" t="s">
        <v>25</v>
      </c>
      <c r="E12">
        <v>206.71</v>
      </c>
      <c r="F12" t="s">
        <v>88</v>
      </c>
      <c r="G12" s="19">
        <v>45524</v>
      </c>
      <c r="H12" t="s">
        <v>94</v>
      </c>
      <c r="I12" t="s">
        <v>6683</v>
      </c>
      <c r="J12" t="s">
        <v>7001</v>
      </c>
      <c r="O12" t="s">
        <v>7002</v>
      </c>
      <c r="Q12" s="3">
        <f t="shared" si="0"/>
        <v>206.71</v>
      </c>
      <c r="S12" s="55" t="s">
        <v>7516</v>
      </c>
      <c r="AD12">
        <f t="shared" si="1"/>
        <v>206.71</v>
      </c>
    </row>
    <row r="13" spans="1:32" x14ac:dyDescent="0.35">
      <c r="A13" t="s">
        <v>35</v>
      </c>
      <c r="B13" t="s">
        <v>1423</v>
      </c>
      <c r="C13" t="s">
        <v>28</v>
      </c>
      <c r="D13" t="s">
        <v>25</v>
      </c>
      <c r="E13">
        <v>199.09</v>
      </c>
      <c r="F13" t="s">
        <v>88</v>
      </c>
      <c r="G13" s="19">
        <v>45406</v>
      </c>
      <c r="H13" t="s">
        <v>94</v>
      </c>
      <c r="I13" t="s">
        <v>6429</v>
      </c>
      <c r="J13" t="s">
        <v>6430</v>
      </c>
      <c r="O13" t="s">
        <v>555</v>
      </c>
      <c r="Q13" s="3">
        <f t="shared" si="0"/>
        <v>199.09</v>
      </c>
      <c r="S13" s="55" t="s">
        <v>7516</v>
      </c>
      <c r="AD13">
        <f t="shared" si="1"/>
        <v>199.09</v>
      </c>
    </row>
    <row r="14" spans="1:32" x14ac:dyDescent="0.35">
      <c r="A14" t="s">
        <v>35</v>
      </c>
      <c r="B14" t="s">
        <v>741</v>
      </c>
      <c r="C14" t="s">
        <v>28</v>
      </c>
      <c r="D14" t="s">
        <v>25</v>
      </c>
      <c r="E14">
        <v>180.39</v>
      </c>
      <c r="F14" t="s">
        <v>88</v>
      </c>
      <c r="G14" s="19">
        <v>45387</v>
      </c>
      <c r="H14" t="s">
        <v>89</v>
      </c>
      <c r="I14" t="s">
        <v>6281</v>
      </c>
      <c r="J14"/>
      <c r="K14" t="s">
        <v>6282</v>
      </c>
      <c r="L14" t="s">
        <v>6283</v>
      </c>
      <c r="M14" t="s">
        <v>6284</v>
      </c>
      <c r="Q14" s="3">
        <f t="shared" si="0"/>
        <v>180.39</v>
      </c>
      <c r="S14" s="55" t="s">
        <v>7516</v>
      </c>
      <c r="AD14">
        <f t="shared" si="1"/>
        <v>180.39</v>
      </c>
    </row>
    <row r="15" spans="1:32" x14ac:dyDescent="0.35">
      <c r="A15" t="s">
        <v>35</v>
      </c>
      <c r="B15" t="s">
        <v>1423</v>
      </c>
      <c r="C15" t="s">
        <v>28</v>
      </c>
      <c r="D15" t="s">
        <v>25</v>
      </c>
      <c r="E15">
        <v>176.82</v>
      </c>
      <c r="F15" t="s">
        <v>88</v>
      </c>
      <c r="G15" s="19">
        <v>45450</v>
      </c>
      <c r="H15" t="s">
        <v>94</v>
      </c>
      <c r="I15" t="s">
        <v>249</v>
      </c>
      <c r="J15" t="s">
        <v>6598</v>
      </c>
      <c r="O15" t="s">
        <v>6589</v>
      </c>
      <c r="Q15" s="3">
        <f t="shared" si="0"/>
        <v>176.82</v>
      </c>
      <c r="S15" s="55" t="s">
        <v>7516</v>
      </c>
      <c r="AD15">
        <f t="shared" si="1"/>
        <v>176.82</v>
      </c>
    </row>
    <row r="16" spans="1:32" x14ac:dyDescent="0.35">
      <c r="A16" t="s">
        <v>0</v>
      </c>
      <c r="B16" t="s">
        <v>744</v>
      </c>
      <c r="C16" t="s">
        <v>28</v>
      </c>
      <c r="D16" t="s">
        <v>25</v>
      </c>
      <c r="E16">
        <v>125246.03</v>
      </c>
      <c r="F16" t="s">
        <v>88</v>
      </c>
      <c r="G16" s="19">
        <v>45400</v>
      </c>
      <c r="H16" t="s">
        <v>89</v>
      </c>
      <c r="I16" t="s">
        <v>6375</v>
      </c>
      <c r="J16"/>
      <c r="K16" t="s">
        <v>6376</v>
      </c>
      <c r="L16" t="s">
        <v>6377</v>
      </c>
      <c r="M16" t="s">
        <v>369</v>
      </c>
      <c r="Q16" s="3">
        <f t="shared" si="0"/>
        <v>125246.03</v>
      </c>
    </row>
    <row r="17" spans="1:17" x14ac:dyDescent="0.35">
      <c r="A17" t="s">
        <v>0</v>
      </c>
      <c r="B17" t="s">
        <v>744</v>
      </c>
      <c r="C17" t="s">
        <v>28</v>
      </c>
      <c r="D17" t="s">
        <v>25</v>
      </c>
      <c r="E17">
        <v>-125246.03</v>
      </c>
      <c r="F17" t="s">
        <v>88</v>
      </c>
      <c r="G17" s="19">
        <v>45411</v>
      </c>
      <c r="H17" t="s">
        <v>89</v>
      </c>
      <c r="I17" t="s">
        <v>6375</v>
      </c>
      <c r="J17"/>
      <c r="K17" t="s">
        <v>6376</v>
      </c>
      <c r="L17" t="s">
        <v>6377</v>
      </c>
      <c r="M17" t="s">
        <v>369</v>
      </c>
      <c r="Q17" s="3">
        <f t="shared" si="0"/>
        <v>125246.03</v>
      </c>
    </row>
    <row r="18" spans="1:17" x14ac:dyDescent="0.35">
      <c r="A18" t="s">
        <v>0</v>
      </c>
      <c r="B18" t="s">
        <v>6270</v>
      </c>
      <c r="C18" t="s">
        <v>28</v>
      </c>
      <c r="D18" t="s">
        <v>25</v>
      </c>
      <c r="E18">
        <v>125246.03</v>
      </c>
      <c r="F18" t="s">
        <v>88</v>
      </c>
      <c r="G18" s="19">
        <v>45411</v>
      </c>
      <c r="H18" t="s">
        <v>6439</v>
      </c>
      <c r="I18" t="s">
        <v>6439</v>
      </c>
      <c r="J18"/>
      <c r="Q18" s="3">
        <f t="shared" si="0"/>
        <v>125246.03</v>
      </c>
    </row>
    <row r="19" spans="1:17" x14ac:dyDescent="0.35">
      <c r="A19" t="s">
        <v>0</v>
      </c>
      <c r="B19" t="s">
        <v>744</v>
      </c>
      <c r="C19" t="s">
        <v>28</v>
      </c>
      <c r="D19" t="s">
        <v>25</v>
      </c>
      <c r="E19">
        <v>-125246.03</v>
      </c>
      <c r="F19" t="s">
        <v>88</v>
      </c>
      <c r="G19" s="19">
        <v>45411</v>
      </c>
      <c r="H19" t="s">
        <v>6439</v>
      </c>
      <c r="I19" t="s">
        <v>6439</v>
      </c>
      <c r="J19"/>
      <c r="Q19" s="3">
        <f t="shared" si="0"/>
        <v>125246.03</v>
      </c>
    </row>
    <row r="20" spans="1:17" x14ac:dyDescent="0.35">
      <c r="A20" t="s">
        <v>0</v>
      </c>
      <c r="B20" t="s">
        <v>744</v>
      </c>
      <c r="C20" t="s">
        <v>28</v>
      </c>
      <c r="D20" t="s">
        <v>25</v>
      </c>
      <c r="E20">
        <v>125246.03</v>
      </c>
      <c r="F20" t="s">
        <v>88</v>
      </c>
      <c r="G20" s="19">
        <v>45413</v>
      </c>
      <c r="H20" t="s">
        <v>89</v>
      </c>
      <c r="I20" t="s">
        <v>6375</v>
      </c>
      <c r="J20"/>
      <c r="K20" t="s">
        <v>6376</v>
      </c>
      <c r="L20" t="s">
        <v>6377</v>
      </c>
      <c r="M20" t="s">
        <v>369</v>
      </c>
      <c r="Q20" s="3">
        <f t="shared" si="0"/>
        <v>125246.03</v>
      </c>
    </row>
    <row r="21" spans="1:17" x14ac:dyDescent="0.35">
      <c r="A21" t="s">
        <v>0</v>
      </c>
      <c r="B21" t="s">
        <v>1627</v>
      </c>
      <c r="C21" t="s">
        <v>28</v>
      </c>
      <c r="D21" t="s">
        <v>25</v>
      </c>
      <c r="E21">
        <v>-97477.3</v>
      </c>
      <c r="F21" t="s">
        <v>88</v>
      </c>
      <c r="G21" s="19">
        <v>45400</v>
      </c>
      <c r="H21" t="s">
        <v>368</v>
      </c>
      <c r="I21" t="s">
        <v>368</v>
      </c>
      <c r="J21"/>
      <c r="Q21" s="3">
        <f t="shared" si="0"/>
        <v>97477.3</v>
      </c>
    </row>
    <row r="22" spans="1:17" x14ac:dyDescent="0.35">
      <c r="A22" t="s">
        <v>35</v>
      </c>
      <c r="B22" t="s">
        <v>728</v>
      </c>
      <c r="C22" t="s">
        <v>28</v>
      </c>
      <c r="D22" t="s">
        <v>25</v>
      </c>
      <c r="E22">
        <v>95000</v>
      </c>
      <c r="F22" t="s">
        <v>88</v>
      </c>
      <c r="G22" s="19">
        <v>45657</v>
      </c>
      <c r="H22" t="s">
        <v>7514</v>
      </c>
      <c r="I22" t="s">
        <v>7514</v>
      </c>
      <c r="J22"/>
      <c r="Q22" s="3">
        <f t="shared" si="0"/>
        <v>95000</v>
      </c>
    </row>
    <row r="23" spans="1:17" x14ac:dyDescent="0.35">
      <c r="A23" t="s">
        <v>0</v>
      </c>
      <c r="B23" t="s">
        <v>6270</v>
      </c>
      <c r="C23" t="s">
        <v>28</v>
      </c>
      <c r="D23" t="s">
        <v>25</v>
      </c>
      <c r="E23">
        <v>70877</v>
      </c>
      <c r="F23" t="s">
        <v>88</v>
      </c>
      <c r="G23" s="19">
        <v>45544</v>
      </c>
      <c r="H23" t="s">
        <v>89</v>
      </c>
      <c r="I23" t="s">
        <v>7145</v>
      </c>
      <c r="J23"/>
      <c r="K23" t="s">
        <v>7146</v>
      </c>
      <c r="L23" t="s">
        <v>7147</v>
      </c>
      <c r="M23" t="s">
        <v>6916</v>
      </c>
      <c r="Q23" s="3">
        <f t="shared" si="0"/>
        <v>70877</v>
      </c>
    </row>
    <row r="24" spans="1:17" x14ac:dyDescent="0.35">
      <c r="A24" t="s">
        <v>0</v>
      </c>
      <c r="B24" t="s">
        <v>6270</v>
      </c>
      <c r="C24" t="s">
        <v>28</v>
      </c>
      <c r="D24" t="s">
        <v>25</v>
      </c>
      <c r="E24">
        <v>54057.7</v>
      </c>
      <c r="F24" t="s">
        <v>88</v>
      </c>
      <c r="G24" s="19">
        <v>45436</v>
      </c>
      <c r="H24" t="s">
        <v>89</v>
      </c>
      <c r="I24" t="s">
        <v>6518</v>
      </c>
      <c r="J24"/>
      <c r="K24" t="s">
        <v>101</v>
      </c>
      <c r="L24" t="s">
        <v>6519</v>
      </c>
      <c r="M24" t="s">
        <v>366</v>
      </c>
      <c r="Q24" s="3">
        <f t="shared" si="0"/>
        <v>54057.7</v>
      </c>
    </row>
    <row r="25" spans="1:17" x14ac:dyDescent="0.35">
      <c r="A25" t="s">
        <v>0</v>
      </c>
      <c r="B25" t="s">
        <v>6270</v>
      </c>
      <c r="C25" t="s">
        <v>28</v>
      </c>
      <c r="D25" t="s">
        <v>25</v>
      </c>
      <c r="E25">
        <v>52261</v>
      </c>
      <c r="F25" t="s">
        <v>88</v>
      </c>
      <c r="G25" s="19">
        <v>45511</v>
      </c>
      <c r="H25" t="s">
        <v>89</v>
      </c>
      <c r="I25" t="s">
        <v>6913</v>
      </c>
      <c r="J25"/>
      <c r="K25" t="s">
        <v>6914</v>
      </c>
      <c r="L25" t="s">
        <v>6915</v>
      </c>
      <c r="M25" t="s">
        <v>6916</v>
      </c>
      <c r="Q25" s="3">
        <f t="shared" si="0"/>
        <v>52261</v>
      </c>
    </row>
    <row r="26" spans="1:17" x14ac:dyDescent="0.35">
      <c r="A26" t="s">
        <v>0</v>
      </c>
      <c r="B26" t="s">
        <v>6270</v>
      </c>
      <c r="C26" t="s">
        <v>28</v>
      </c>
      <c r="D26" t="s">
        <v>25</v>
      </c>
      <c r="E26">
        <v>43800</v>
      </c>
      <c r="F26" t="s">
        <v>88</v>
      </c>
      <c r="G26" s="19">
        <v>45517</v>
      </c>
      <c r="H26" t="s">
        <v>89</v>
      </c>
      <c r="I26" t="s">
        <v>6950</v>
      </c>
      <c r="J26"/>
      <c r="K26" t="s">
        <v>6951</v>
      </c>
      <c r="L26" t="s">
        <v>6952</v>
      </c>
      <c r="M26" t="s">
        <v>6712</v>
      </c>
      <c r="Q26" s="3">
        <f t="shared" si="0"/>
        <v>43800</v>
      </c>
    </row>
    <row r="27" spans="1:17" x14ac:dyDescent="0.35">
      <c r="A27" t="s">
        <v>0</v>
      </c>
      <c r="B27" t="s">
        <v>6270</v>
      </c>
      <c r="C27" t="s">
        <v>28</v>
      </c>
      <c r="D27" t="s">
        <v>25</v>
      </c>
      <c r="E27">
        <v>39400</v>
      </c>
      <c r="F27" t="s">
        <v>88</v>
      </c>
      <c r="G27" s="19">
        <v>45551</v>
      </c>
      <c r="H27" t="s">
        <v>89</v>
      </c>
      <c r="I27" t="s">
        <v>7191</v>
      </c>
      <c r="J27"/>
      <c r="K27" t="s">
        <v>7192</v>
      </c>
      <c r="L27" t="s">
        <v>7193</v>
      </c>
      <c r="M27" t="s">
        <v>6712</v>
      </c>
      <c r="Q27" s="3">
        <f t="shared" si="0"/>
        <v>39400</v>
      </c>
    </row>
    <row r="28" spans="1:17" x14ac:dyDescent="0.35">
      <c r="A28" t="s">
        <v>0</v>
      </c>
      <c r="B28" t="s">
        <v>599</v>
      </c>
      <c r="C28" t="s">
        <v>28</v>
      </c>
      <c r="D28" t="s">
        <v>25</v>
      </c>
      <c r="E28">
        <v>27442</v>
      </c>
      <c r="F28" t="s">
        <v>88</v>
      </c>
      <c r="G28" s="19">
        <v>45462</v>
      </c>
      <c r="H28" t="s">
        <v>89</v>
      </c>
      <c r="I28" t="s">
        <v>6638</v>
      </c>
      <c r="J28"/>
      <c r="K28" t="s">
        <v>6639</v>
      </c>
      <c r="L28" t="s">
        <v>6640</v>
      </c>
      <c r="M28" t="s">
        <v>6641</v>
      </c>
      <c r="Q28" s="3">
        <f t="shared" si="0"/>
        <v>27442</v>
      </c>
    </row>
    <row r="29" spans="1:17" x14ac:dyDescent="0.35">
      <c r="A29" t="s">
        <v>0</v>
      </c>
      <c r="B29" t="s">
        <v>1627</v>
      </c>
      <c r="C29" t="s">
        <v>28</v>
      </c>
      <c r="D29" t="s">
        <v>25</v>
      </c>
      <c r="E29">
        <v>26250.31</v>
      </c>
      <c r="F29" t="s">
        <v>88</v>
      </c>
      <c r="G29" s="19">
        <v>45538</v>
      </c>
      <c r="H29" t="s">
        <v>89</v>
      </c>
      <c r="I29" t="s">
        <v>7106</v>
      </c>
      <c r="J29"/>
      <c r="K29" t="s">
        <v>7107</v>
      </c>
      <c r="L29" t="s">
        <v>7108</v>
      </c>
      <c r="M29" t="s">
        <v>367</v>
      </c>
      <c r="Q29" s="3">
        <f t="shared" si="0"/>
        <v>26250.31</v>
      </c>
    </row>
    <row r="30" spans="1:17" x14ac:dyDescent="0.35">
      <c r="A30" t="s">
        <v>0</v>
      </c>
      <c r="B30" t="s">
        <v>1627</v>
      </c>
      <c r="C30" t="s">
        <v>28</v>
      </c>
      <c r="D30" t="s">
        <v>25</v>
      </c>
      <c r="E30">
        <v>22913.62</v>
      </c>
      <c r="F30" t="s">
        <v>88</v>
      </c>
      <c r="G30" s="19">
        <v>45449</v>
      </c>
      <c r="H30" t="s">
        <v>89</v>
      </c>
      <c r="I30" t="s">
        <v>6574</v>
      </c>
      <c r="J30"/>
      <c r="K30" t="s">
        <v>6575</v>
      </c>
      <c r="L30" t="s">
        <v>6576</v>
      </c>
      <c r="M30" t="s">
        <v>367</v>
      </c>
      <c r="Q30" s="3">
        <f t="shared" si="0"/>
        <v>22913.62</v>
      </c>
    </row>
    <row r="31" spans="1:17" x14ac:dyDescent="0.35">
      <c r="A31" t="s">
        <v>0</v>
      </c>
      <c r="B31" t="s">
        <v>1627</v>
      </c>
      <c r="C31" t="s">
        <v>28</v>
      </c>
      <c r="D31" t="s">
        <v>25</v>
      </c>
      <c r="E31">
        <v>20894.63</v>
      </c>
      <c r="F31" t="s">
        <v>88</v>
      </c>
      <c r="G31" s="19">
        <v>45431</v>
      </c>
      <c r="H31" t="s">
        <v>89</v>
      </c>
      <c r="I31" t="s">
        <v>6481</v>
      </c>
      <c r="J31"/>
      <c r="K31" t="s">
        <v>6482</v>
      </c>
      <c r="L31" t="s">
        <v>6483</v>
      </c>
      <c r="M31" t="s">
        <v>367</v>
      </c>
      <c r="Q31" s="3">
        <f t="shared" si="0"/>
        <v>20894.63</v>
      </c>
    </row>
    <row r="32" spans="1:17" x14ac:dyDescent="0.35">
      <c r="A32" t="s">
        <v>0</v>
      </c>
      <c r="B32" t="s">
        <v>1627</v>
      </c>
      <c r="C32" t="s">
        <v>28</v>
      </c>
      <c r="D32" t="s">
        <v>25</v>
      </c>
      <c r="E32">
        <v>19753.21</v>
      </c>
      <c r="F32" t="s">
        <v>88</v>
      </c>
      <c r="G32" s="19">
        <v>45399</v>
      </c>
      <c r="H32" t="s">
        <v>89</v>
      </c>
      <c r="I32" t="s">
        <v>6359</v>
      </c>
      <c r="J32"/>
      <c r="K32" t="s">
        <v>6360</v>
      </c>
      <c r="L32" t="s">
        <v>6361</v>
      </c>
      <c r="M32" t="s">
        <v>367</v>
      </c>
      <c r="Q32" s="3">
        <f t="shared" si="0"/>
        <v>19753.21</v>
      </c>
    </row>
    <row r="33" spans="1:17" x14ac:dyDescent="0.35">
      <c r="A33" t="s">
        <v>0</v>
      </c>
      <c r="B33" t="s">
        <v>694</v>
      </c>
      <c r="C33" t="s">
        <v>28</v>
      </c>
      <c r="D33" t="s">
        <v>25</v>
      </c>
      <c r="E33">
        <v>19604.759999999998</v>
      </c>
      <c r="F33" t="s">
        <v>88</v>
      </c>
      <c r="G33" s="19">
        <v>45403</v>
      </c>
      <c r="H33" t="s">
        <v>637</v>
      </c>
      <c r="I33" t="s">
        <v>363</v>
      </c>
      <c r="J33"/>
      <c r="Q33" s="3">
        <f t="shared" si="0"/>
        <v>19604.759999999998</v>
      </c>
    </row>
    <row r="34" spans="1:17" x14ac:dyDescent="0.35">
      <c r="A34" t="s">
        <v>0</v>
      </c>
      <c r="B34" t="s">
        <v>6270</v>
      </c>
      <c r="C34" t="s">
        <v>28</v>
      </c>
      <c r="D34" t="s">
        <v>25</v>
      </c>
      <c r="E34">
        <v>19250.78</v>
      </c>
      <c r="F34" t="s">
        <v>88</v>
      </c>
      <c r="G34" s="19">
        <v>45477</v>
      </c>
      <c r="H34" t="s">
        <v>89</v>
      </c>
      <c r="I34" t="s">
        <v>6727</v>
      </c>
      <c r="J34"/>
      <c r="K34" t="s">
        <v>101</v>
      </c>
      <c r="L34" t="s">
        <v>6728</v>
      </c>
      <c r="M34" t="s">
        <v>6729</v>
      </c>
      <c r="Q34" s="3">
        <f t="shared" si="0"/>
        <v>19250.78</v>
      </c>
    </row>
    <row r="35" spans="1:17" x14ac:dyDescent="0.35">
      <c r="A35" t="s">
        <v>35</v>
      </c>
      <c r="B35" t="s">
        <v>744</v>
      </c>
      <c r="C35" t="s">
        <v>28</v>
      </c>
      <c r="D35" t="s">
        <v>25</v>
      </c>
      <c r="E35">
        <v>19031.25</v>
      </c>
      <c r="F35" t="s">
        <v>88</v>
      </c>
      <c r="G35" s="19">
        <v>45636</v>
      </c>
      <c r="H35" t="s">
        <v>94</v>
      </c>
      <c r="I35" t="s">
        <v>6326</v>
      </c>
      <c r="J35" t="s">
        <v>7455</v>
      </c>
      <c r="O35" t="s">
        <v>7456</v>
      </c>
      <c r="Q35" s="3">
        <f t="shared" si="0"/>
        <v>19031.25</v>
      </c>
    </row>
    <row r="36" spans="1:17" x14ac:dyDescent="0.35">
      <c r="A36" t="s">
        <v>0</v>
      </c>
      <c r="B36" t="s">
        <v>1627</v>
      </c>
      <c r="C36" t="s">
        <v>28</v>
      </c>
      <c r="D36" t="s">
        <v>25</v>
      </c>
      <c r="E36">
        <v>18985.98</v>
      </c>
      <c r="F36" t="s">
        <v>88</v>
      </c>
      <c r="G36" s="19">
        <v>45572</v>
      </c>
      <c r="H36" t="s">
        <v>89</v>
      </c>
      <c r="I36" t="s">
        <v>7289</v>
      </c>
      <c r="J36"/>
      <c r="K36" t="s">
        <v>7290</v>
      </c>
      <c r="L36" t="s">
        <v>7291</v>
      </c>
      <c r="M36" t="s">
        <v>367</v>
      </c>
      <c r="Q36" s="3">
        <f t="shared" si="0"/>
        <v>18985.98</v>
      </c>
    </row>
    <row r="37" spans="1:17" x14ac:dyDescent="0.35">
      <c r="A37" t="s">
        <v>0</v>
      </c>
      <c r="B37" t="s">
        <v>1627</v>
      </c>
      <c r="C37" t="s">
        <v>28</v>
      </c>
      <c r="D37" t="s">
        <v>25</v>
      </c>
      <c r="E37">
        <v>18977.23</v>
      </c>
      <c r="F37" t="s">
        <v>88</v>
      </c>
      <c r="G37" s="19">
        <v>45538</v>
      </c>
      <c r="H37" t="s">
        <v>89</v>
      </c>
      <c r="I37" t="s">
        <v>7109</v>
      </c>
      <c r="J37"/>
      <c r="K37" t="s">
        <v>7110</v>
      </c>
      <c r="L37" t="s">
        <v>7111</v>
      </c>
      <c r="M37" t="s">
        <v>367</v>
      </c>
      <c r="Q37" s="3">
        <f t="shared" si="0"/>
        <v>18977.23</v>
      </c>
    </row>
    <row r="38" spans="1:17" x14ac:dyDescent="0.35">
      <c r="A38" t="s">
        <v>0</v>
      </c>
      <c r="B38" t="s">
        <v>6270</v>
      </c>
      <c r="C38" t="s">
        <v>28</v>
      </c>
      <c r="D38" t="s">
        <v>25</v>
      </c>
      <c r="E38">
        <v>-18500</v>
      </c>
      <c r="F38" t="s">
        <v>88</v>
      </c>
      <c r="G38" s="19">
        <v>45635</v>
      </c>
      <c r="H38" t="s">
        <v>7426</v>
      </c>
      <c r="I38" t="s">
        <v>7448</v>
      </c>
      <c r="J38"/>
      <c r="Q38" s="3">
        <f t="shared" si="0"/>
        <v>18500</v>
      </c>
    </row>
    <row r="39" spans="1:17" x14ac:dyDescent="0.35">
      <c r="A39" t="s">
        <v>0</v>
      </c>
      <c r="B39" t="s">
        <v>6270</v>
      </c>
      <c r="C39" t="s">
        <v>28</v>
      </c>
      <c r="D39" t="s">
        <v>25</v>
      </c>
      <c r="E39">
        <v>16171.1</v>
      </c>
      <c r="F39" t="s">
        <v>88</v>
      </c>
      <c r="G39" s="19">
        <v>45538</v>
      </c>
      <c r="H39" t="s">
        <v>89</v>
      </c>
      <c r="I39" t="s">
        <v>7127</v>
      </c>
      <c r="J39"/>
      <c r="K39" t="s">
        <v>7128</v>
      </c>
      <c r="L39" t="s">
        <v>7129</v>
      </c>
      <c r="M39" t="s">
        <v>6909</v>
      </c>
      <c r="Q39" s="3">
        <f t="shared" si="0"/>
        <v>16171.1</v>
      </c>
    </row>
    <row r="40" spans="1:17" x14ac:dyDescent="0.35">
      <c r="A40" t="s">
        <v>0</v>
      </c>
      <c r="B40" t="s">
        <v>6270</v>
      </c>
      <c r="C40" t="s">
        <v>28</v>
      </c>
      <c r="D40" t="s">
        <v>25</v>
      </c>
      <c r="E40">
        <v>-15750</v>
      </c>
      <c r="F40" t="s">
        <v>88</v>
      </c>
      <c r="G40" s="19">
        <v>45608</v>
      </c>
      <c r="H40" t="s">
        <v>7374</v>
      </c>
      <c r="I40" t="s">
        <v>7374</v>
      </c>
      <c r="J40"/>
      <c r="Q40" s="3">
        <f t="shared" si="0"/>
        <v>15750</v>
      </c>
    </row>
    <row r="41" spans="1:17" x14ac:dyDescent="0.35">
      <c r="A41" t="s">
        <v>0</v>
      </c>
      <c r="B41" t="s">
        <v>6270</v>
      </c>
      <c r="C41" t="s">
        <v>28</v>
      </c>
      <c r="D41" t="s">
        <v>25</v>
      </c>
      <c r="E41">
        <v>-15750</v>
      </c>
      <c r="F41" t="s">
        <v>88</v>
      </c>
      <c r="G41" s="19">
        <v>45611</v>
      </c>
      <c r="H41" t="s">
        <v>7374</v>
      </c>
      <c r="I41" t="s">
        <v>7384</v>
      </c>
      <c r="J41"/>
      <c r="Q41" s="3">
        <f t="shared" si="0"/>
        <v>15750</v>
      </c>
    </row>
    <row r="42" spans="1:17" x14ac:dyDescent="0.35">
      <c r="A42" t="s">
        <v>0</v>
      </c>
      <c r="B42" t="s">
        <v>6270</v>
      </c>
      <c r="C42" t="s">
        <v>28</v>
      </c>
      <c r="D42" t="s">
        <v>25</v>
      </c>
      <c r="E42">
        <v>-15750</v>
      </c>
      <c r="F42" t="s">
        <v>88</v>
      </c>
      <c r="G42" s="19">
        <v>45615</v>
      </c>
      <c r="H42" t="s">
        <v>7374</v>
      </c>
      <c r="I42" t="s">
        <v>7390</v>
      </c>
      <c r="J42"/>
      <c r="Q42" s="3">
        <f t="shared" si="0"/>
        <v>15750</v>
      </c>
    </row>
    <row r="43" spans="1:17" x14ac:dyDescent="0.35">
      <c r="A43" t="s">
        <v>0</v>
      </c>
      <c r="B43" t="s">
        <v>6270</v>
      </c>
      <c r="C43" t="s">
        <v>28</v>
      </c>
      <c r="D43" t="s">
        <v>25</v>
      </c>
      <c r="E43">
        <v>-15750</v>
      </c>
      <c r="F43" t="s">
        <v>88</v>
      </c>
      <c r="G43" s="19">
        <v>45622</v>
      </c>
      <c r="H43" t="s">
        <v>7374</v>
      </c>
      <c r="I43" t="s">
        <v>7406</v>
      </c>
      <c r="J43"/>
      <c r="Q43" s="3">
        <f t="shared" si="0"/>
        <v>15750</v>
      </c>
    </row>
    <row r="44" spans="1:17" x14ac:dyDescent="0.35">
      <c r="A44" t="s">
        <v>0</v>
      </c>
      <c r="B44" t="s">
        <v>6270</v>
      </c>
      <c r="C44" t="s">
        <v>28</v>
      </c>
      <c r="D44" t="s">
        <v>25</v>
      </c>
      <c r="E44">
        <v>-15750</v>
      </c>
      <c r="F44" t="s">
        <v>88</v>
      </c>
      <c r="G44" s="19">
        <v>45639</v>
      </c>
      <c r="H44" t="s">
        <v>7426</v>
      </c>
      <c r="I44" t="s">
        <v>7481</v>
      </c>
      <c r="J44"/>
      <c r="Q44" s="3">
        <f t="shared" si="0"/>
        <v>15750</v>
      </c>
    </row>
    <row r="45" spans="1:17" x14ac:dyDescent="0.35">
      <c r="A45" t="s">
        <v>0</v>
      </c>
      <c r="B45" t="s">
        <v>1627</v>
      </c>
      <c r="C45" t="s">
        <v>28</v>
      </c>
      <c r="D45" t="s">
        <v>25</v>
      </c>
      <c r="E45">
        <v>14490.74</v>
      </c>
      <c r="F45" t="s">
        <v>88</v>
      </c>
      <c r="G45" s="19">
        <v>45602</v>
      </c>
      <c r="H45" t="s">
        <v>89</v>
      </c>
      <c r="I45" t="s">
        <v>7365</v>
      </c>
      <c r="J45"/>
      <c r="K45" t="s">
        <v>7366</v>
      </c>
      <c r="L45" t="s">
        <v>7367</v>
      </c>
      <c r="M45" t="s">
        <v>367</v>
      </c>
      <c r="Q45" s="3">
        <f t="shared" si="0"/>
        <v>14490.74</v>
      </c>
    </row>
    <row r="46" spans="1:17" x14ac:dyDescent="0.35">
      <c r="A46" t="s">
        <v>0</v>
      </c>
      <c r="B46" t="s">
        <v>599</v>
      </c>
      <c r="C46" t="s">
        <v>28</v>
      </c>
      <c r="D46" t="s">
        <v>25</v>
      </c>
      <c r="E46">
        <v>13316.35</v>
      </c>
      <c r="F46" t="s">
        <v>88</v>
      </c>
      <c r="G46" s="19">
        <v>45617</v>
      </c>
      <c r="H46" t="s">
        <v>89</v>
      </c>
      <c r="I46" t="s">
        <v>7396</v>
      </c>
      <c r="J46"/>
      <c r="K46" t="s">
        <v>7397</v>
      </c>
      <c r="L46" t="s">
        <v>7398</v>
      </c>
      <c r="M46" t="s">
        <v>361</v>
      </c>
      <c r="Q46" s="3">
        <f t="shared" si="0"/>
        <v>13316.35</v>
      </c>
    </row>
    <row r="47" spans="1:17" x14ac:dyDescent="0.35">
      <c r="A47" t="s">
        <v>0</v>
      </c>
      <c r="B47" t="s">
        <v>6270</v>
      </c>
      <c r="C47" t="s">
        <v>28</v>
      </c>
      <c r="D47" t="s">
        <v>25</v>
      </c>
      <c r="E47">
        <v>-12727.27</v>
      </c>
      <c r="F47" t="s">
        <v>88</v>
      </c>
      <c r="G47" s="19">
        <v>45414</v>
      </c>
      <c r="H47" t="s">
        <v>6441</v>
      </c>
      <c r="I47" t="s">
        <v>6453</v>
      </c>
      <c r="J47"/>
      <c r="Q47" s="3">
        <f t="shared" si="0"/>
        <v>12727.27</v>
      </c>
    </row>
    <row r="48" spans="1:17" x14ac:dyDescent="0.35">
      <c r="A48" t="s">
        <v>0</v>
      </c>
      <c r="B48" t="s">
        <v>6270</v>
      </c>
      <c r="C48" t="s">
        <v>28</v>
      </c>
      <c r="D48" t="s">
        <v>25</v>
      </c>
      <c r="E48">
        <v>12600</v>
      </c>
      <c r="F48" t="s">
        <v>88</v>
      </c>
      <c r="G48" s="19">
        <v>45434</v>
      </c>
      <c r="H48" t="s">
        <v>89</v>
      </c>
      <c r="I48" t="s">
        <v>6493</v>
      </c>
      <c r="J48"/>
      <c r="K48" t="s">
        <v>6494</v>
      </c>
      <c r="L48" t="s">
        <v>6495</v>
      </c>
      <c r="M48" t="s">
        <v>6496</v>
      </c>
      <c r="Q48" s="3">
        <f t="shared" si="0"/>
        <v>12600</v>
      </c>
    </row>
    <row r="49" spans="1:17" x14ac:dyDescent="0.35">
      <c r="A49" t="s">
        <v>0</v>
      </c>
      <c r="B49" t="s">
        <v>6270</v>
      </c>
      <c r="C49" t="s">
        <v>28</v>
      </c>
      <c r="D49" t="s">
        <v>25</v>
      </c>
      <c r="E49">
        <v>12600</v>
      </c>
      <c r="F49" t="s">
        <v>88</v>
      </c>
      <c r="G49" s="19">
        <v>45447</v>
      </c>
      <c r="H49" t="s">
        <v>89</v>
      </c>
      <c r="I49" t="s">
        <v>6561</v>
      </c>
      <c r="J49"/>
      <c r="K49" t="s">
        <v>6562</v>
      </c>
      <c r="L49" t="s">
        <v>6495</v>
      </c>
      <c r="M49" t="s">
        <v>6563</v>
      </c>
      <c r="Q49" s="3">
        <f t="shared" si="0"/>
        <v>12600</v>
      </c>
    </row>
    <row r="50" spans="1:17" x14ac:dyDescent="0.35">
      <c r="A50" t="s">
        <v>0</v>
      </c>
      <c r="B50" t="s">
        <v>6270</v>
      </c>
      <c r="C50" t="s">
        <v>28</v>
      </c>
      <c r="D50" t="s">
        <v>25</v>
      </c>
      <c r="E50">
        <v>12200</v>
      </c>
      <c r="F50" t="s">
        <v>88</v>
      </c>
      <c r="G50" s="19">
        <v>45461</v>
      </c>
      <c r="H50" t="s">
        <v>89</v>
      </c>
      <c r="I50" t="s">
        <v>6634</v>
      </c>
      <c r="J50"/>
      <c r="K50" t="s">
        <v>6635</v>
      </c>
      <c r="L50" t="s">
        <v>6636</v>
      </c>
      <c r="M50" t="s">
        <v>6637</v>
      </c>
      <c r="Q50" s="3">
        <f t="shared" si="0"/>
        <v>12200</v>
      </c>
    </row>
    <row r="51" spans="1:17" x14ac:dyDescent="0.35">
      <c r="A51" t="s">
        <v>0</v>
      </c>
      <c r="B51" t="s">
        <v>1627</v>
      </c>
      <c r="C51" t="s">
        <v>28</v>
      </c>
      <c r="D51" t="s">
        <v>25</v>
      </c>
      <c r="E51">
        <v>12108.64</v>
      </c>
      <c r="F51" t="s">
        <v>88</v>
      </c>
      <c r="G51" s="19">
        <v>45629</v>
      </c>
      <c r="H51" t="s">
        <v>89</v>
      </c>
      <c r="I51" t="s">
        <v>7415</v>
      </c>
      <c r="J51"/>
      <c r="K51" t="s">
        <v>7416</v>
      </c>
      <c r="L51" t="s">
        <v>7417</v>
      </c>
      <c r="M51" t="s">
        <v>367</v>
      </c>
      <c r="Q51" s="3">
        <f t="shared" si="0"/>
        <v>12108.64</v>
      </c>
    </row>
    <row r="52" spans="1:17" x14ac:dyDescent="0.35">
      <c r="A52" t="s">
        <v>0</v>
      </c>
      <c r="B52" t="s">
        <v>6270</v>
      </c>
      <c r="C52" t="s">
        <v>28</v>
      </c>
      <c r="D52" t="s">
        <v>25</v>
      </c>
      <c r="E52">
        <v>11556.65</v>
      </c>
      <c r="F52" t="s">
        <v>88</v>
      </c>
      <c r="G52" s="19">
        <v>45475</v>
      </c>
      <c r="H52" t="s">
        <v>89</v>
      </c>
      <c r="I52" t="s">
        <v>6707</v>
      </c>
      <c r="J52"/>
      <c r="K52" t="s">
        <v>101</v>
      </c>
      <c r="L52" t="s">
        <v>6708</v>
      </c>
      <c r="M52" t="s">
        <v>366</v>
      </c>
      <c r="Q52" s="3">
        <f t="shared" si="0"/>
        <v>11556.65</v>
      </c>
    </row>
    <row r="53" spans="1:17" x14ac:dyDescent="0.35">
      <c r="A53" t="s">
        <v>0</v>
      </c>
      <c r="B53" t="s">
        <v>6270</v>
      </c>
      <c r="C53" t="s">
        <v>28</v>
      </c>
      <c r="D53" t="s">
        <v>25</v>
      </c>
      <c r="E53">
        <v>-11454.56</v>
      </c>
      <c r="F53" t="s">
        <v>88</v>
      </c>
      <c r="G53" s="19">
        <v>45398</v>
      </c>
      <c r="H53" t="s">
        <v>6271</v>
      </c>
      <c r="I53" t="s">
        <v>6313</v>
      </c>
      <c r="J53"/>
      <c r="Q53" s="3">
        <f t="shared" si="0"/>
        <v>11454.56</v>
      </c>
    </row>
    <row r="54" spans="1:17" x14ac:dyDescent="0.35">
      <c r="A54" t="s">
        <v>0</v>
      </c>
      <c r="B54" t="s">
        <v>6270</v>
      </c>
      <c r="C54" t="s">
        <v>28</v>
      </c>
      <c r="D54" t="s">
        <v>25</v>
      </c>
      <c r="E54">
        <v>-11454.55</v>
      </c>
      <c r="F54" t="s">
        <v>88</v>
      </c>
      <c r="G54" s="19">
        <v>45397</v>
      </c>
      <c r="H54" t="s">
        <v>6271</v>
      </c>
      <c r="I54" t="s">
        <v>6302</v>
      </c>
      <c r="J54"/>
      <c r="Q54" s="3">
        <f t="shared" si="0"/>
        <v>11454.55</v>
      </c>
    </row>
    <row r="55" spans="1:17" x14ac:dyDescent="0.35">
      <c r="A55" t="s">
        <v>0</v>
      </c>
      <c r="B55" t="s">
        <v>6270</v>
      </c>
      <c r="C55" t="s">
        <v>28</v>
      </c>
      <c r="D55" t="s">
        <v>25</v>
      </c>
      <c r="E55">
        <v>-11454.55</v>
      </c>
      <c r="F55" t="s">
        <v>88</v>
      </c>
      <c r="G55" s="19">
        <v>45399</v>
      </c>
      <c r="H55" t="s">
        <v>6271</v>
      </c>
      <c r="I55" t="s">
        <v>6366</v>
      </c>
      <c r="J55"/>
      <c r="Q55" s="3">
        <f t="shared" si="0"/>
        <v>11454.55</v>
      </c>
    </row>
    <row r="56" spans="1:17" x14ac:dyDescent="0.35">
      <c r="A56" t="s">
        <v>0</v>
      </c>
      <c r="B56" t="s">
        <v>6270</v>
      </c>
      <c r="C56" t="s">
        <v>28</v>
      </c>
      <c r="D56" t="s">
        <v>25</v>
      </c>
      <c r="E56">
        <v>-11454.55</v>
      </c>
      <c r="F56" t="s">
        <v>88</v>
      </c>
      <c r="G56" s="19">
        <v>45399</v>
      </c>
      <c r="H56" t="s">
        <v>6271</v>
      </c>
      <c r="I56" t="s">
        <v>6371</v>
      </c>
      <c r="J56"/>
      <c r="Q56" s="3">
        <f t="shared" si="0"/>
        <v>11454.55</v>
      </c>
    </row>
    <row r="57" spans="1:17" x14ac:dyDescent="0.35">
      <c r="A57" t="s">
        <v>0</v>
      </c>
      <c r="B57" t="s">
        <v>6270</v>
      </c>
      <c r="C57" t="s">
        <v>28</v>
      </c>
      <c r="D57" t="s">
        <v>25</v>
      </c>
      <c r="E57">
        <v>-11454.55</v>
      </c>
      <c r="F57" t="s">
        <v>88</v>
      </c>
      <c r="G57" s="19">
        <v>45427</v>
      </c>
      <c r="H57" t="s">
        <v>6471</v>
      </c>
      <c r="I57" t="s">
        <v>6478</v>
      </c>
      <c r="J57"/>
      <c r="Q57" s="3">
        <f t="shared" si="0"/>
        <v>11454.55</v>
      </c>
    </row>
    <row r="58" spans="1:17" x14ac:dyDescent="0.35">
      <c r="A58" t="s">
        <v>0</v>
      </c>
      <c r="B58" t="s">
        <v>6270</v>
      </c>
      <c r="C58" t="s">
        <v>28</v>
      </c>
      <c r="D58" t="s">
        <v>25</v>
      </c>
      <c r="E58">
        <v>-11454.55</v>
      </c>
      <c r="F58" t="s">
        <v>88</v>
      </c>
      <c r="G58" s="19">
        <v>45435</v>
      </c>
      <c r="H58" t="s">
        <v>6471</v>
      </c>
      <c r="I58" t="s">
        <v>6513</v>
      </c>
      <c r="J58"/>
      <c r="Q58" s="3">
        <f t="shared" si="0"/>
        <v>11454.55</v>
      </c>
    </row>
    <row r="59" spans="1:17" x14ac:dyDescent="0.35">
      <c r="A59" t="s">
        <v>0</v>
      </c>
      <c r="B59" t="s">
        <v>6270</v>
      </c>
      <c r="C59" t="s">
        <v>28</v>
      </c>
      <c r="D59" t="s">
        <v>25</v>
      </c>
      <c r="E59">
        <v>-11454.55</v>
      </c>
      <c r="F59" t="s">
        <v>88</v>
      </c>
      <c r="G59" s="19">
        <v>45435</v>
      </c>
      <c r="H59" t="s">
        <v>6471</v>
      </c>
      <c r="I59" t="s">
        <v>6514</v>
      </c>
      <c r="J59"/>
      <c r="Q59" s="3">
        <f t="shared" si="0"/>
        <v>11454.55</v>
      </c>
    </row>
    <row r="60" spans="1:17" x14ac:dyDescent="0.35">
      <c r="A60" t="s">
        <v>0</v>
      </c>
      <c r="B60" t="s">
        <v>6270</v>
      </c>
      <c r="C60" t="s">
        <v>28</v>
      </c>
      <c r="D60" t="s">
        <v>25</v>
      </c>
      <c r="E60">
        <v>-11454.55</v>
      </c>
      <c r="F60" t="s">
        <v>88</v>
      </c>
      <c r="G60" s="19">
        <v>45446</v>
      </c>
      <c r="H60" t="s">
        <v>6536</v>
      </c>
      <c r="I60" t="s">
        <v>6542</v>
      </c>
      <c r="J60"/>
      <c r="Q60" s="3">
        <f t="shared" si="0"/>
        <v>11454.55</v>
      </c>
    </row>
    <row r="61" spans="1:17" x14ac:dyDescent="0.35">
      <c r="A61" t="s">
        <v>0</v>
      </c>
      <c r="B61" t="s">
        <v>6270</v>
      </c>
      <c r="C61" t="s">
        <v>28</v>
      </c>
      <c r="D61" t="s">
        <v>25</v>
      </c>
      <c r="E61">
        <v>-11090.91</v>
      </c>
      <c r="F61" t="s">
        <v>88</v>
      </c>
      <c r="G61" s="19">
        <v>45406</v>
      </c>
      <c r="H61" t="s">
        <v>6425</v>
      </c>
      <c r="I61" t="s">
        <v>6426</v>
      </c>
      <c r="J61"/>
      <c r="Q61" s="3">
        <f t="shared" si="0"/>
        <v>11090.91</v>
      </c>
    </row>
    <row r="62" spans="1:17" ht="43.5" x14ac:dyDescent="0.35">
      <c r="A62" t="s">
        <v>35</v>
      </c>
      <c r="B62" t="s">
        <v>672</v>
      </c>
      <c r="C62" t="s">
        <v>28</v>
      </c>
      <c r="D62" t="s">
        <v>25</v>
      </c>
      <c r="E62">
        <v>10675.57</v>
      </c>
      <c r="F62" t="s">
        <v>88</v>
      </c>
      <c r="G62" s="19">
        <v>45631</v>
      </c>
      <c r="H62" t="s">
        <v>94</v>
      </c>
      <c r="I62" t="s">
        <v>338</v>
      </c>
      <c r="K62" s="55" t="s">
        <v>7440</v>
      </c>
      <c r="O62" t="s">
        <v>6532</v>
      </c>
      <c r="Q62" s="3">
        <f t="shared" si="0"/>
        <v>10675.57</v>
      </c>
    </row>
    <row r="63" spans="1:17" x14ac:dyDescent="0.35">
      <c r="A63" t="s">
        <v>0</v>
      </c>
      <c r="B63" t="s">
        <v>6270</v>
      </c>
      <c r="C63" t="s">
        <v>28</v>
      </c>
      <c r="D63" t="s">
        <v>25</v>
      </c>
      <c r="E63">
        <v>10627.1</v>
      </c>
      <c r="F63" t="s">
        <v>88</v>
      </c>
      <c r="G63" s="19">
        <v>45510</v>
      </c>
      <c r="H63" t="s">
        <v>89</v>
      </c>
      <c r="I63" t="s">
        <v>6906</v>
      </c>
      <c r="J63"/>
      <c r="K63" t="s">
        <v>6907</v>
      </c>
      <c r="L63" t="s">
        <v>6908</v>
      </c>
      <c r="M63" t="s">
        <v>6909</v>
      </c>
      <c r="Q63" s="3">
        <f t="shared" si="0"/>
        <v>10627.1</v>
      </c>
    </row>
    <row r="64" spans="1:17" x14ac:dyDescent="0.35">
      <c r="A64" t="s">
        <v>0</v>
      </c>
      <c r="B64" t="s">
        <v>6270</v>
      </c>
      <c r="C64" t="s">
        <v>28</v>
      </c>
      <c r="D64" t="s">
        <v>25</v>
      </c>
      <c r="E64">
        <v>-10363.64</v>
      </c>
      <c r="F64" t="s">
        <v>88</v>
      </c>
      <c r="G64" s="19">
        <v>45445</v>
      </c>
      <c r="H64" t="s">
        <v>6536</v>
      </c>
      <c r="I64" t="s">
        <v>6538</v>
      </c>
      <c r="J64"/>
      <c r="Q64" s="3">
        <f t="shared" si="0"/>
        <v>10363.64</v>
      </c>
    </row>
    <row r="65" spans="1:17" x14ac:dyDescent="0.35">
      <c r="A65" t="s">
        <v>35</v>
      </c>
      <c r="B65" t="s">
        <v>2720</v>
      </c>
      <c r="C65" t="s">
        <v>28</v>
      </c>
      <c r="D65" t="s">
        <v>25</v>
      </c>
      <c r="E65">
        <v>10245.120000000001</v>
      </c>
      <c r="F65" t="s">
        <v>88</v>
      </c>
      <c r="G65" s="19">
        <v>45624</v>
      </c>
      <c r="H65" t="s">
        <v>94</v>
      </c>
      <c r="I65" t="s">
        <v>381</v>
      </c>
      <c r="K65" t="s">
        <v>7410</v>
      </c>
      <c r="O65" t="s">
        <v>7412</v>
      </c>
      <c r="Q65" s="3">
        <f t="shared" si="0"/>
        <v>10245.120000000001</v>
      </c>
    </row>
    <row r="66" spans="1:17" x14ac:dyDescent="0.35">
      <c r="A66" t="s">
        <v>0</v>
      </c>
      <c r="B66" t="s">
        <v>6270</v>
      </c>
      <c r="C66" t="s">
        <v>28</v>
      </c>
      <c r="D66" t="s">
        <v>25</v>
      </c>
      <c r="E66">
        <v>-9250</v>
      </c>
      <c r="F66" t="s">
        <v>88</v>
      </c>
      <c r="G66" s="19">
        <v>45631</v>
      </c>
      <c r="H66" t="s">
        <v>7426</v>
      </c>
      <c r="I66" t="s">
        <v>7426</v>
      </c>
      <c r="J66"/>
      <c r="Q66" s="3">
        <f t="shared" si="0"/>
        <v>9250</v>
      </c>
    </row>
    <row r="67" spans="1:17" x14ac:dyDescent="0.35">
      <c r="A67" t="s">
        <v>0</v>
      </c>
      <c r="B67" t="s">
        <v>6270</v>
      </c>
      <c r="C67" t="s">
        <v>28</v>
      </c>
      <c r="D67" t="s">
        <v>25</v>
      </c>
      <c r="E67">
        <v>-9000</v>
      </c>
      <c r="F67" t="s">
        <v>88</v>
      </c>
      <c r="G67" s="19">
        <v>45432</v>
      </c>
      <c r="H67" t="s">
        <v>6471</v>
      </c>
      <c r="I67" t="s">
        <v>6490</v>
      </c>
      <c r="J67"/>
      <c r="Q67" s="3">
        <f t="shared" si="0"/>
        <v>9000</v>
      </c>
    </row>
    <row r="68" spans="1:17" x14ac:dyDescent="0.35">
      <c r="A68" t="s">
        <v>0</v>
      </c>
      <c r="B68" t="s">
        <v>6270</v>
      </c>
      <c r="C68" t="s">
        <v>28</v>
      </c>
      <c r="D68" t="s">
        <v>25</v>
      </c>
      <c r="E68">
        <v>8800</v>
      </c>
      <c r="F68" t="s">
        <v>88</v>
      </c>
      <c r="G68" s="19">
        <v>45475</v>
      </c>
      <c r="H68" t="s">
        <v>89</v>
      </c>
      <c r="I68" t="s">
        <v>6709</v>
      </c>
      <c r="J68"/>
      <c r="K68" t="s">
        <v>6710</v>
      </c>
      <c r="L68" t="s">
        <v>6711</v>
      </c>
      <c r="M68" t="s">
        <v>6712</v>
      </c>
      <c r="Q68" s="3">
        <f t="shared" si="0"/>
        <v>8800</v>
      </c>
    </row>
    <row r="69" spans="1:17" x14ac:dyDescent="0.35">
      <c r="A69" t="s">
        <v>0</v>
      </c>
      <c r="B69" t="s">
        <v>6270</v>
      </c>
      <c r="C69" t="s">
        <v>28</v>
      </c>
      <c r="D69" t="s">
        <v>25</v>
      </c>
      <c r="E69">
        <v>8765</v>
      </c>
      <c r="F69" t="s">
        <v>88</v>
      </c>
      <c r="G69" s="19">
        <v>45474</v>
      </c>
      <c r="H69" t="s">
        <v>89</v>
      </c>
      <c r="I69" t="s">
        <v>6697</v>
      </c>
      <c r="J69"/>
      <c r="K69" t="s">
        <v>101</v>
      </c>
      <c r="L69" t="s">
        <v>6698</v>
      </c>
      <c r="M69" t="s">
        <v>6699</v>
      </c>
      <c r="Q69" s="3">
        <f t="shared" si="0"/>
        <v>8765</v>
      </c>
    </row>
    <row r="70" spans="1:17" x14ac:dyDescent="0.35">
      <c r="A70" t="s">
        <v>0</v>
      </c>
      <c r="B70" t="s">
        <v>6270</v>
      </c>
      <c r="C70" t="s">
        <v>28</v>
      </c>
      <c r="D70" t="s">
        <v>25</v>
      </c>
      <c r="E70">
        <v>8460.7999999999993</v>
      </c>
      <c r="F70" t="s">
        <v>88</v>
      </c>
      <c r="G70" s="19">
        <v>45475</v>
      </c>
      <c r="H70" t="s">
        <v>89</v>
      </c>
      <c r="I70" t="s">
        <v>6717</v>
      </c>
      <c r="J70"/>
      <c r="K70" t="s">
        <v>6718</v>
      </c>
      <c r="L70" t="s">
        <v>6719</v>
      </c>
      <c r="M70" t="s">
        <v>100</v>
      </c>
      <c r="Q70" s="3">
        <f t="shared" si="0"/>
        <v>8460.7999999999993</v>
      </c>
    </row>
    <row r="71" spans="1:17" x14ac:dyDescent="0.35">
      <c r="A71" t="s">
        <v>0</v>
      </c>
      <c r="B71" t="s">
        <v>1627</v>
      </c>
      <c r="C71" t="s">
        <v>28</v>
      </c>
      <c r="D71" t="s">
        <v>25</v>
      </c>
      <c r="E71">
        <v>8123.11</v>
      </c>
      <c r="F71" t="s">
        <v>88</v>
      </c>
      <c r="G71" s="19">
        <v>45403</v>
      </c>
      <c r="H71" t="s">
        <v>637</v>
      </c>
      <c r="I71" t="s">
        <v>368</v>
      </c>
      <c r="J71"/>
      <c r="Q71" s="3">
        <f t="shared" si="0"/>
        <v>8123.11</v>
      </c>
    </row>
    <row r="72" spans="1:17" x14ac:dyDescent="0.35">
      <c r="A72" t="s">
        <v>0</v>
      </c>
      <c r="B72" t="s">
        <v>6270</v>
      </c>
      <c r="C72" t="s">
        <v>28</v>
      </c>
      <c r="D72" t="s">
        <v>25</v>
      </c>
      <c r="E72">
        <v>7863.42</v>
      </c>
      <c r="F72" t="s">
        <v>88</v>
      </c>
      <c r="G72" s="19">
        <v>45505</v>
      </c>
      <c r="H72" t="s">
        <v>89</v>
      </c>
      <c r="I72" t="s">
        <v>6862</v>
      </c>
      <c r="J72"/>
      <c r="K72" t="s">
        <v>6863</v>
      </c>
      <c r="L72" t="s">
        <v>6864</v>
      </c>
      <c r="M72" t="s">
        <v>6729</v>
      </c>
      <c r="Q72" s="3">
        <f t="shared" si="0"/>
        <v>7863.42</v>
      </c>
    </row>
    <row r="73" spans="1:17" x14ac:dyDescent="0.35">
      <c r="A73" t="s">
        <v>0</v>
      </c>
      <c r="B73" t="s">
        <v>6270</v>
      </c>
      <c r="C73" t="s">
        <v>28</v>
      </c>
      <c r="D73" t="s">
        <v>25</v>
      </c>
      <c r="E73">
        <v>7761.76</v>
      </c>
      <c r="F73" t="s">
        <v>88</v>
      </c>
      <c r="G73" s="19">
        <v>45540</v>
      </c>
      <c r="H73" t="s">
        <v>89</v>
      </c>
      <c r="I73" t="s">
        <v>7136</v>
      </c>
      <c r="J73"/>
      <c r="K73" t="s">
        <v>7137</v>
      </c>
      <c r="L73" t="s">
        <v>7138</v>
      </c>
      <c r="M73" t="s">
        <v>7139</v>
      </c>
      <c r="Q73" s="3">
        <f t="shared" si="0"/>
        <v>7761.76</v>
      </c>
    </row>
    <row r="74" spans="1:17" ht="43.5" x14ac:dyDescent="0.35">
      <c r="A74" t="s">
        <v>35</v>
      </c>
      <c r="B74" t="s">
        <v>672</v>
      </c>
      <c r="C74" t="s">
        <v>28</v>
      </c>
      <c r="D74" t="s">
        <v>25</v>
      </c>
      <c r="E74">
        <v>7756.84</v>
      </c>
      <c r="F74" t="s">
        <v>88</v>
      </c>
      <c r="G74" s="19">
        <v>45442</v>
      </c>
      <c r="H74" t="s">
        <v>94</v>
      </c>
      <c r="I74" t="s">
        <v>6530</v>
      </c>
      <c r="K74" s="55" t="s">
        <v>6531</v>
      </c>
      <c r="M74" t="s">
        <v>6532</v>
      </c>
      <c r="Q74" s="3">
        <f t="shared" ref="Q74:Q137" si="2">ABS(E74)</f>
        <v>7756.84</v>
      </c>
    </row>
    <row r="75" spans="1:17" x14ac:dyDescent="0.35">
      <c r="A75" t="s">
        <v>0</v>
      </c>
      <c r="B75" t="s">
        <v>6270</v>
      </c>
      <c r="C75" t="s">
        <v>28</v>
      </c>
      <c r="D75" t="s">
        <v>25</v>
      </c>
      <c r="E75">
        <v>7650</v>
      </c>
      <c r="F75" t="s">
        <v>88</v>
      </c>
      <c r="G75" s="19">
        <v>45434</v>
      </c>
      <c r="H75" t="s">
        <v>89</v>
      </c>
      <c r="I75" t="s">
        <v>6497</v>
      </c>
      <c r="J75"/>
      <c r="K75" t="s">
        <v>6494</v>
      </c>
      <c r="L75" t="s">
        <v>6495</v>
      </c>
      <c r="M75" t="s">
        <v>6498</v>
      </c>
      <c r="Q75" s="3">
        <f t="shared" si="2"/>
        <v>7650</v>
      </c>
    </row>
    <row r="76" spans="1:17" x14ac:dyDescent="0.35">
      <c r="A76" t="s">
        <v>0</v>
      </c>
      <c r="B76" t="s">
        <v>6270</v>
      </c>
      <c r="C76" t="s">
        <v>28</v>
      </c>
      <c r="D76" t="s">
        <v>25</v>
      </c>
      <c r="E76">
        <v>-7500</v>
      </c>
      <c r="F76" t="s">
        <v>88</v>
      </c>
      <c r="G76" s="19">
        <v>45595</v>
      </c>
      <c r="H76" t="s">
        <v>1126</v>
      </c>
      <c r="I76" t="s">
        <v>1127</v>
      </c>
      <c r="J76"/>
      <c r="Q76" s="3">
        <f t="shared" si="2"/>
        <v>7500</v>
      </c>
    </row>
    <row r="77" spans="1:17" x14ac:dyDescent="0.35">
      <c r="A77" t="s">
        <v>0</v>
      </c>
      <c r="B77" t="s">
        <v>6270</v>
      </c>
      <c r="C77" t="s">
        <v>28</v>
      </c>
      <c r="D77" t="s">
        <v>25</v>
      </c>
      <c r="E77">
        <v>-7500</v>
      </c>
      <c r="F77" t="s">
        <v>88</v>
      </c>
      <c r="G77" s="19">
        <v>45595</v>
      </c>
      <c r="H77" t="s">
        <v>1126</v>
      </c>
      <c r="I77" t="s">
        <v>1128</v>
      </c>
      <c r="J77"/>
      <c r="Q77" s="3">
        <f t="shared" si="2"/>
        <v>7500</v>
      </c>
    </row>
    <row r="78" spans="1:17" x14ac:dyDescent="0.35">
      <c r="A78" t="s">
        <v>0</v>
      </c>
      <c r="B78" t="s">
        <v>6270</v>
      </c>
      <c r="C78" t="s">
        <v>28</v>
      </c>
      <c r="D78" t="s">
        <v>25</v>
      </c>
      <c r="E78">
        <v>-7491.62</v>
      </c>
      <c r="F78" t="s">
        <v>88</v>
      </c>
      <c r="G78" s="19">
        <v>45595</v>
      </c>
      <c r="H78" t="s">
        <v>1126</v>
      </c>
      <c r="I78" t="s">
        <v>1126</v>
      </c>
      <c r="J78"/>
      <c r="Q78" s="3">
        <f t="shared" si="2"/>
        <v>7491.62</v>
      </c>
    </row>
    <row r="79" spans="1:17" x14ac:dyDescent="0.35">
      <c r="A79" t="s">
        <v>0</v>
      </c>
      <c r="B79" t="s">
        <v>6270</v>
      </c>
      <c r="C79" t="s">
        <v>28</v>
      </c>
      <c r="D79" t="s">
        <v>25</v>
      </c>
      <c r="E79">
        <v>7475.92</v>
      </c>
      <c r="F79" t="s">
        <v>88</v>
      </c>
      <c r="G79" s="19">
        <v>45567</v>
      </c>
      <c r="H79" t="s">
        <v>89</v>
      </c>
      <c r="I79" t="s">
        <v>7279</v>
      </c>
      <c r="J79"/>
      <c r="K79" t="s">
        <v>7280</v>
      </c>
      <c r="L79" t="s">
        <v>7281</v>
      </c>
      <c r="M79" t="s">
        <v>7282</v>
      </c>
      <c r="Q79" s="3">
        <f t="shared" si="2"/>
        <v>7475.92</v>
      </c>
    </row>
    <row r="80" spans="1:17" x14ac:dyDescent="0.35">
      <c r="A80" t="s">
        <v>0</v>
      </c>
      <c r="B80" t="s">
        <v>6270</v>
      </c>
      <c r="C80" t="s">
        <v>28</v>
      </c>
      <c r="D80" t="s">
        <v>25</v>
      </c>
      <c r="E80">
        <v>-7272.73</v>
      </c>
      <c r="F80" t="s">
        <v>88</v>
      </c>
      <c r="G80" s="19">
        <v>45408</v>
      </c>
      <c r="H80" t="s">
        <v>6425</v>
      </c>
      <c r="I80" t="s">
        <v>6432</v>
      </c>
      <c r="J80"/>
      <c r="Q80" s="3">
        <f t="shared" si="2"/>
        <v>7272.73</v>
      </c>
    </row>
    <row r="81" spans="1:17" x14ac:dyDescent="0.35">
      <c r="A81" t="s">
        <v>0</v>
      </c>
      <c r="B81" t="s">
        <v>6270</v>
      </c>
      <c r="C81" t="s">
        <v>28</v>
      </c>
      <c r="D81" t="s">
        <v>25</v>
      </c>
      <c r="E81">
        <v>-7272.73</v>
      </c>
      <c r="F81" t="s">
        <v>88</v>
      </c>
      <c r="G81" s="19">
        <v>45439</v>
      </c>
      <c r="H81" t="s">
        <v>6471</v>
      </c>
      <c r="I81" t="s">
        <v>6525</v>
      </c>
      <c r="J81"/>
      <c r="Q81" s="3">
        <f t="shared" si="2"/>
        <v>7272.73</v>
      </c>
    </row>
    <row r="82" spans="1:17" x14ac:dyDescent="0.35">
      <c r="A82" t="s">
        <v>0</v>
      </c>
      <c r="B82" t="s">
        <v>6270</v>
      </c>
      <c r="C82" t="s">
        <v>28</v>
      </c>
      <c r="D82" t="s">
        <v>25</v>
      </c>
      <c r="E82">
        <v>-7272.73</v>
      </c>
      <c r="F82" t="s">
        <v>88</v>
      </c>
      <c r="G82" s="19">
        <v>45445</v>
      </c>
      <c r="H82" t="s">
        <v>6536</v>
      </c>
      <c r="I82" t="s">
        <v>6536</v>
      </c>
      <c r="J82"/>
      <c r="Q82" s="3">
        <f t="shared" si="2"/>
        <v>7272.73</v>
      </c>
    </row>
    <row r="83" spans="1:17" x14ac:dyDescent="0.35">
      <c r="A83" t="s">
        <v>0</v>
      </c>
      <c r="B83" t="s">
        <v>6270</v>
      </c>
      <c r="C83" t="s">
        <v>28</v>
      </c>
      <c r="D83" t="s">
        <v>25</v>
      </c>
      <c r="E83">
        <v>-6954.55</v>
      </c>
      <c r="F83" t="s">
        <v>88</v>
      </c>
      <c r="G83" s="19">
        <v>45384</v>
      </c>
      <c r="H83" t="s">
        <v>6271</v>
      </c>
      <c r="I83" t="s">
        <v>6271</v>
      </c>
      <c r="J83"/>
      <c r="Q83" s="3">
        <f t="shared" si="2"/>
        <v>6954.55</v>
      </c>
    </row>
    <row r="84" spans="1:17" x14ac:dyDescent="0.35">
      <c r="A84" t="s">
        <v>0</v>
      </c>
      <c r="B84" t="s">
        <v>6270</v>
      </c>
      <c r="C84" t="s">
        <v>28</v>
      </c>
      <c r="D84" t="s">
        <v>25</v>
      </c>
      <c r="E84">
        <v>-6954.55</v>
      </c>
      <c r="F84" t="s">
        <v>88</v>
      </c>
      <c r="G84" s="19">
        <v>45397</v>
      </c>
      <c r="H84" t="s">
        <v>6271</v>
      </c>
      <c r="I84" t="s">
        <v>6303</v>
      </c>
      <c r="J84"/>
      <c r="Q84" s="3">
        <f t="shared" si="2"/>
        <v>6954.55</v>
      </c>
    </row>
    <row r="85" spans="1:17" x14ac:dyDescent="0.35">
      <c r="A85" t="s">
        <v>0</v>
      </c>
      <c r="B85" t="s">
        <v>6270</v>
      </c>
      <c r="C85" t="s">
        <v>28</v>
      </c>
      <c r="D85" t="s">
        <v>25</v>
      </c>
      <c r="E85">
        <v>-6954.55</v>
      </c>
      <c r="F85" t="s">
        <v>88</v>
      </c>
      <c r="G85" s="19">
        <v>45404</v>
      </c>
      <c r="H85" t="s">
        <v>6271</v>
      </c>
      <c r="I85" t="s">
        <v>6412</v>
      </c>
      <c r="J85"/>
      <c r="Q85" s="3">
        <f t="shared" si="2"/>
        <v>6954.55</v>
      </c>
    </row>
    <row r="86" spans="1:17" x14ac:dyDescent="0.35">
      <c r="A86" t="s">
        <v>0</v>
      </c>
      <c r="B86" t="s">
        <v>6270</v>
      </c>
      <c r="C86" t="s">
        <v>28</v>
      </c>
      <c r="D86" t="s">
        <v>25</v>
      </c>
      <c r="E86">
        <v>-6954.55</v>
      </c>
      <c r="F86" t="s">
        <v>88</v>
      </c>
      <c r="G86" s="19">
        <v>45405</v>
      </c>
      <c r="H86" t="s">
        <v>6425</v>
      </c>
      <c r="I86" t="s">
        <v>6425</v>
      </c>
      <c r="J86"/>
      <c r="Q86" s="3">
        <f t="shared" si="2"/>
        <v>6954.55</v>
      </c>
    </row>
    <row r="87" spans="1:17" x14ac:dyDescent="0.35">
      <c r="A87" t="s">
        <v>0</v>
      </c>
      <c r="B87" t="s">
        <v>6270</v>
      </c>
      <c r="C87" t="s">
        <v>28</v>
      </c>
      <c r="D87" t="s">
        <v>25</v>
      </c>
      <c r="E87">
        <v>-6818.18</v>
      </c>
      <c r="F87" t="s">
        <v>88</v>
      </c>
      <c r="G87" s="19">
        <v>45398</v>
      </c>
      <c r="H87" t="s">
        <v>6271</v>
      </c>
      <c r="I87" t="s">
        <v>6314</v>
      </c>
      <c r="J87"/>
      <c r="Q87" s="3">
        <f t="shared" si="2"/>
        <v>6818.18</v>
      </c>
    </row>
    <row r="88" spans="1:17" x14ac:dyDescent="0.35">
      <c r="A88" t="s">
        <v>0</v>
      </c>
      <c r="B88" t="s">
        <v>6270</v>
      </c>
      <c r="C88" t="s">
        <v>28</v>
      </c>
      <c r="D88" t="s">
        <v>25</v>
      </c>
      <c r="E88">
        <v>-6818.18</v>
      </c>
      <c r="F88" t="s">
        <v>88</v>
      </c>
      <c r="G88" s="19">
        <v>45406</v>
      </c>
      <c r="H88" t="s">
        <v>6425</v>
      </c>
      <c r="I88" t="s">
        <v>6428</v>
      </c>
      <c r="J88"/>
      <c r="Q88" s="3">
        <f t="shared" si="2"/>
        <v>6818.18</v>
      </c>
    </row>
    <row r="89" spans="1:17" x14ac:dyDescent="0.35">
      <c r="A89" t="s">
        <v>0</v>
      </c>
      <c r="B89" t="s">
        <v>6270</v>
      </c>
      <c r="C89" t="s">
        <v>28</v>
      </c>
      <c r="D89" t="s">
        <v>25</v>
      </c>
      <c r="E89">
        <v>-6818.18</v>
      </c>
      <c r="F89" t="s">
        <v>88</v>
      </c>
      <c r="G89" s="19">
        <v>45413</v>
      </c>
      <c r="H89" t="s">
        <v>6441</v>
      </c>
      <c r="I89" t="s">
        <v>6445</v>
      </c>
      <c r="J89"/>
      <c r="Q89" s="3">
        <f t="shared" si="2"/>
        <v>6818.18</v>
      </c>
    </row>
    <row r="90" spans="1:17" x14ac:dyDescent="0.35">
      <c r="A90" t="s">
        <v>0</v>
      </c>
      <c r="B90" t="s">
        <v>6270</v>
      </c>
      <c r="C90" t="s">
        <v>28</v>
      </c>
      <c r="D90" t="s">
        <v>25</v>
      </c>
      <c r="E90">
        <v>-6818.18</v>
      </c>
      <c r="F90" t="s">
        <v>88</v>
      </c>
      <c r="G90" s="19">
        <v>45427</v>
      </c>
      <c r="H90" t="s">
        <v>6471</v>
      </c>
      <c r="I90" t="s">
        <v>6480</v>
      </c>
      <c r="J90"/>
      <c r="Q90" s="3">
        <f t="shared" si="2"/>
        <v>6818.18</v>
      </c>
    </row>
    <row r="91" spans="1:17" x14ac:dyDescent="0.35">
      <c r="A91" t="s">
        <v>0</v>
      </c>
      <c r="B91" t="s">
        <v>6270</v>
      </c>
      <c r="C91" t="s">
        <v>28</v>
      </c>
      <c r="D91" t="s">
        <v>25</v>
      </c>
      <c r="E91">
        <v>-6818.18</v>
      </c>
      <c r="F91" t="s">
        <v>88</v>
      </c>
      <c r="G91" s="19">
        <v>45439</v>
      </c>
      <c r="H91" t="s">
        <v>6471</v>
      </c>
      <c r="I91" t="s">
        <v>6526</v>
      </c>
      <c r="J91"/>
      <c r="Q91" s="3">
        <f t="shared" si="2"/>
        <v>6818.18</v>
      </c>
    </row>
    <row r="92" spans="1:17" x14ac:dyDescent="0.35">
      <c r="A92" t="s">
        <v>0</v>
      </c>
      <c r="B92" t="s">
        <v>6270</v>
      </c>
      <c r="C92" t="s">
        <v>28</v>
      </c>
      <c r="D92" t="s">
        <v>25</v>
      </c>
      <c r="E92">
        <v>-6818.18</v>
      </c>
      <c r="F92" t="s">
        <v>88</v>
      </c>
      <c r="G92" s="19">
        <v>45445</v>
      </c>
      <c r="H92" t="s">
        <v>6536</v>
      </c>
      <c r="I92" t="s">
        <v>6539</v>
      </c>
      <c r="J92"/>
      <c r="Q92" s="3">
        <f t="shared" si="2"/>
        <v>6818.18</v>
      </c>
    </row>
    <row r="93" spans="1:17" x14ac:dyDescent="0.35">
      <c r="A93" t="s">
        <v>0</v>
      </c>
      <c r="B93" t="s">
        <v>6270</v>
      </c>
      <c r="C93" t="s">
        <v>28</v>
      </c>
      <c r="D93" t="s">
        <v>25</v>
      </c>
      <c r="E93">
        <v>-6818.18</v>
      </c>
      <c r="F93" t="s">
        <v>88</v>
      </c>
      <c r="G93" s="19">
        <v>45445</v>
      </c>
      <c r="H93" t="s">
        <v>6536</v>
      </c>
      <c r="I93" t="s">
        <v>6540</v>
      </c>
      <c r="J93"/>
      <c r="Q93" s="3">
        <f t="shared" si="2"/>
        <v>6818.18</v>
      </c>
    </row>
    <row r="94" spans="1:17" x14ac:dyDescent="0.35">
      <c r="A94" t="s">
        <v>0</v>
      </c>
      <c r="B94" t="s">
        <v>6270</v>
      </c>
      <c r="C94" t="s">
        <v>28</v>
      </c>
      <c r="D94" t="s">
        <v>25</v>
      </c>
      <c r="E94">
        <v>-6818.18</v>
      </c>
      <c r="F94" t="s">
        <v>88</v>
      </c>
      <c r="G94" s="19">
        <v>45446</v>
      </c>
      <c r="H94" t="s">
        <v>6536</v>
      </c>
      <c r="I94" t="s">
        <v>6543</v>
      </c>
      <c r="J94"/>
      <c r="Q94" s="3">
        <f t="shared" si="2"/>
        <v>6818.18</v>
      </c>
    </row>
    <row r="95" spans="1:17" x14ac:dyDescent="0.35">
      <c r="A95" t="s">
        <v>0</v>
      </c>
      <c r="B95" t="s">
        <v>6270</v>
      </c>
      <c r="C95" t="s">
        <v>28</v>
      </c>
      <c r="D95" t="s">
        <v>25</v>
      </c>
      <c r="E95">
        <v>-6818.18</v>
      </c>
      <c r="F95" t="s">
        <v>88</v>
      </c>
      <c r="G95" s="19">
        <v>45489</v>
      </c>
      <c r="H95" t="s">
        <v>6798</v>
      </c>
      <c r="I95" t="s">
        <v>6798</v>
      </c>
      <c r="J95"/>
      <c r="Q95" s="3">
        <f t="shared" si="2"/>
        <v>6818.18</v>
      </c>
    </row>
    <row r="96" spans="1:17" x14ac:dyDescent="0.35">
      <c r="A96" t="s">
        <v>0</v>
      </c>
      <c r="B96" t="s">
        <v>6270</v>
      </c>
      <c r="C96" t="s">
        <v>28</v>
      </c>
      <c r="D96" t="s">
        <v>25</v>
      </c>
      <c r="E96">
        <v>-6818.18</v>
      </c>
      <c r="F96" t="s">
        <v>88</v>
      </c>
      <c r="G96" s="19">
        <v>45492</v>
      </c>
      <c r="H96" t="s">
        <v>6798</v>
      </c>
      <c r="I96" t="s">
        <v>6806</v>
      </c>
      <c r="J96"/>
      <c r="Q96" s="3">
        <f t="shared" si="2"/>
        <v>6818.18</v>
      </c>
    </row>
    <row r="97" spans="1:17" x14ac:dyDescent="0.35">
      <c r="A97" t="s">
        <v>0</v>
      </c>
      <c r="B97" t="s">
        <v>6270</v>
      </c>
      <c r="C97" t="s">
        <v>28</v>
      </c>
      <c r="D97" t="s">
        <v>25</v>
      </c>
      <c r="E97">
        <v>-6590.91</v>
      </c>
      <c r="F97" t="s">
        <v>88</v>
      </c>
      <c r="G97" s="19">
        <v>45413</v>
      </c>
      <c r="H97" t="s">
        <v>6441</v>
      </c>
      <c r="I97" t="s">
        <v>6444</v>
      </c>
      <c r="J97"/>
      <c r="Q97" s="3">
        <f t="shared" si="2"/>
        <v>6590.91</v>
      </c>
    </row>
    <row r="98" spans="1:17" x14ac:dyDescent="0.35">
      <c r="A98" t="s">
        <v>0</v>
      </c>
      <c r="B98" t="s">
        <v>6270</v>
      </c>
      <c r="C98" t="s">
        <v>28</v>
      </c>
      <c r="D98" t="s">
        <v>25</v>
      </c>
      <c r="E98">
        <v>-6590.91</v>
      </c>
      <c r="F98" t="s">
        <v>88</v>
      </c>
      <c r="G98" s="19">
        <v>45415</v>
      </c>
      <c r="H98" t="s">
        <v>6441</v>
      </c>
      <c r="I98" t="s">
        <v>6459</v>
      </c>
      <c r="J98"/>
      <c r="Q98" s="3">
        <f t="shared" si="2"/>
        <v>6590.91</v>
      </c>
    </row>
    <row r="99" spans="1:17" x14ac:dyDescent="0.35">
      <c r="A99" t="s">
        <v>0</v>
      </c>
      <c r="B99" t="s">
        <v>6270</v>
      </c>
      <c r="C99" t="s">
        <v>28</v>
      </c>
      <c r="D99" t="s">
        <v>25</v>
      </c>
      <c r="E99">
        <v>-6590.91</v>
      </c>
      <c r="F99" t="s">
        <v>88</v>
      </c>
      <c r="G99" s="19">
        <v>45447</v>
      </c>
      <c r="H99" t="s">
        <v>6536</v>
      </c>
      <c r="I99" t="s">
        <v>6564</v>
      </c>
      <c r="J99"/>
      <c r="Q99" s="3">
        <f t="shared" si="2"/>
        <v>6590.91</v>
      </c>
    </row>
    <row r="100" spans="1:17" x14ac:dyDescent="0.35">
      <c r="A100" t="s">
        <v>0</v>
      </c>
      <c r="B100" t="s">
        <v>6270</v>
      </c>
      <c r="C100" t="s">
        <v>28</v>
      </c>
      <c r="D100" t="s">
        <v>25</v>
      </c>
      <c r="E100">
        <v>-6590.91</v>
      </c>
      <c r="F100" t="s">
        <v>88</v>
      </c>
      <c r="G100" s="19">
        <v>45470</v>
      </c>
      <c r="H100" t="s">
        <v>6696</v>
      </c>
      <c r="I100" t="s">
        <v>6696</v>
      </c>
      <c r="J100"/>
      <c r="Q100" s="3">
        <f t="shared" si="2"/>
        <v>6590.91</v>
      </c>
    </row>
    <row r="101" spans="1:17" x14ac:dyDescent="0.35">
      <c r="A101" t="s">
        <v>0</v>
      </c>
      <c r="B101" t="s">
        <v>6270</v>
      </c>
      <c r="C101" t="s">
        <v>28</v>
      </c>
      <c r="D101" t="s">
        <v>25</v>
      </c>
      <c r="E101">
        <v>6500</v>
      </c>
      <c r="F101" t="s">
        <v>88</v>
      </c>
      <c r="G101" s="19">
        <v>45477</v>
      </c>
      <c r="H101" t="s">
        <v>89</v>
      </c>
      <c r="I101" t="s">
        <v>6734</v>
      </c>
      <c r="J101"/>
      <c r="K101" t="s">
        <v>6735</v>
      </c>
      <c r="L101" t="s">
        <v>6732</v>
      </c>
      <c r="M101" t="s">
        <v>6736</v>
      </c>
      <c r="Q101" s="3">
        <f t="shared" si="2"/>
        <v>6500</v>
      </c>
    </row>
    <row r="102" spans="1:17" x14ac:dyDescent="0.35">
      <c r="A102" t="s">
        <v>0</v>
      </c>
      <c r="B102" t="s">
        <v>6270</v>
      </c>
      <c r="C102" t="s">
        <v>28</v>
      </c>
      <c r="D102" t="s">
        <v>25</v>
      </c>
      <c r="E102">
        <v>-6500</v>
      </c>
      <c r="F102" t="s">
        <v>88</v>
      </c>
      <c r="G102" s="19">
        <v>45534</v>
      </c>
      <c r="H102" t="s">
        <v>974</v>
      </c>
      <c r="I102" t="s">
        <v>975</v>
      </c>
      <c r="J102"/>
      <c r="Q102" s="3">
        <f t="shared" si="2"/>
        <v>6500</v>
      </c>
    </row>
    <row r="103" spans="1:17" x14ac:dyDescent="0.35">
      <c r="A103" t="s">
        <v>0</v>
      </c>
      <c r="B103" t="s">
        <v>6270</v>
      </c>
      <c r="C103" t="s">
        <v>28</v>
      </c>
      <c r="D103" t="s">
        <v>25</v>
      </c>
      <c r="E103">
        <v>-6500</v>
      </c>
      <c r="F103" t="s">
        <v>88</v>
      </c>
      <c r="G103" s="19">
        <v>45534</v>
      </c>
      <c r="H103" t="s">
        <v>974</v>
      </c>
      <c r="I103" t="s">
        <v>976</v>
      </c>
      <c r="J103"/>
      <c r="Q103" s="3">
        <f t="shared" si="2"/>
        <v>6500</v>
      </c>
    </row>
    <row r="104" spans="1:17" x14ac:dyDescent="0.35">
      <c r="A104" t="s">
        <v>0</v>
      </c>
      <c r="B104" t="s">
        <v>6270</v>
      </c>
      <c r="C104" t="s">
        <v>28</v>
      </c>
      <c r="D104" t="s">
        <v>25</v>
      </c>
      <c r="E104">
        <v>-6500</v>
      </c>
      <c r="F104" t="s">
        <v>88</v>
      </c>
      <c r="G104" s="19">
        <v>45534</v>
      </c>
      <c r="H104" t="s">
        <v>974</v>
      </c>
      <c r="I104" t="s">
        <v>977</v>
      </c>
      <c r="J104"/>
      <c r="Q104" s="3">
        <f t="shared" si="2"/>
        <v>6500</v>
      </c>
    </row>
    <row r="105" spans="1:17" x14ac:dyDescent="0.35">
      <c r="A105" t="s">
        <v>0</v>
      </c>
      <c r="B105" t="s">
        <v>6270</v>
      </c>
      <c r="C105" t="s">
        <v>28</v>
      </c>
      <c r="D105" t="s">
        <v>25</v>
      </c>
      <c r="E105">
        <v>-6500</v>
      </c>
      <c r="F105" t="s">
        <v>88</v>
      </c>
      <c r="G105" s="19">
        <v>45534</v>
      </c>
      <c r="H105" t="s">
        <v>974</v>
      </c>
      <c r="I105" t="s">
        <v>974</v>
      </c>
      <c r="J105"/>
      <c r="Q105" s="3">
        <f t="shared" si="2"/>
        <v>6500</v>
      </c>
    </row>
    <row r="106" spans="1:17" x14ac:dyDescent="0.35">
      <c r="A106" t="s">
        <v>0</v>
      </c>
      <c r="B106" t="s">
        <v>6270</v>
      </c>
      <c r="C106" t="s">
        <v>28</v>
      </c>
      <c r="D106" t="s">
        <v>25</v>
      </c>
      <c r="E106">
        <v>-6492.74</v>
      </c>
      <c r="F106" t="s">
        <v>88</v>
      </c>
      <c r="G106" s="19">
        <v>45595</v>
      </c>
      <c r="H106" t="s">
        <v>1126</v>
      </c>
      <c r="I106" t="s">
        <v>7353</v>
      </c>
      <c r="J106"/>
      <c r="Q106" s="3">
        <f t="shared" si="2"/>
        <v>6492.74</v>
      </c>
    </row>
    <row r="107" spans="1:17" x14ac:dyDescent="0.35">
      <c r="A107" t="s">
        <v>0</v>
      </c>
      <c r="B107" t="s">
        <v>6270</v>
      </c>
      <c r="C107" t="s">
        <v>28</v>
      </c>
      <c r="D107" t="s">
        <v>25</v>
      </c>
      <c r="E107">
        <v>-6363.64</v>
      </c>
      <c r="F107" t="s">
        <v>88</v>
      </c>
      <c r="G107" s="19">
        <v>45398</v>
      </c>
      <c r="H107" t="s">
        <v>6271</v>
      </c>
      <c r="I107" t="s">
        <v>6315</v>
      </c>
      <c r="J107"/>
      <c r="Q107" s="3">
        <f t="shared" si="2"/>
        <v>6363.64</v>
      </c>
    </row>
    <row r="108" spans="1:17" x14ac:dyDescent="0.35">
      <c r="A108" t="s">
        <v>0</v>
      </c>
      <c r="B108" t="s">
        <v>6270</v>
      </c>
      <c r="C108" t="s">
        <v>28</v>
      </c>
      <c r="D108" t="s">
        <v>25</v>
      </c>
      <c r="E108">
        <v>6341.97</v>
      </c>
      <c r="F108" t="s">
        <v>88</v>
      </c>
      <c r="G108" s="19">
        <v>45546</v>
      </c>
      <c r="H108" t="s">
        <v>89</v>
      </c>
      <c r="I108" t="s">
        <v>7174</v>
      </c>
      <c r="J108"/>
      <c r="K108" t="s">
        <v>7175</v>
      </c>
      <c r="L108" t="s">
        <v>7176</v>
      </c>
      <c r="M108" t="s">
        <v>5865</v>
      </c>
      <c r="Q108" s="3">
        <f t="shared" si="2"/>
        <v>6341.97</v>
      </c>
    </row>
    <row r="109" spans="1:17" x14ac:dyDescent="0.35">
      <c r="A109" t="s">
        <v>0</v>
      </c>
      <c r="B109" t="s">
        <v>6270</v>
      </c>
      <c r="C109" t="s">
        <v>28</v>
      </c>
      <c r="D109" t="s">
        <v>25</v>
      </c>
      <c r="E109">
        <v>-6086.96</v>
      </c>
      <c r="F109" t="s">
        <v>88</v>
      </c>
      <c r="G109" s="19">
        <v>45401</v>
      </c>
      <c r="H109" t="s">
        <v>6271</v>
      </c>
      <c r="I109" t="s">
        <v>6380</v>
      </c>
      <c r="J109"/>
      <c r="Q109" s="3">
        <f t="shared" si="2"/>
        <v>6086.96</v>
      </c>
    </row>
    <row r="110" spans="1:17" x14ac:dyDescent="0.35">
      <c r="A110" t="s">
        <v>0</v>
      </c>
      <c r="B110" t="s">
        <v>6270</v>
      </c>
      <c r="C110" t="s">
        <v>28</v>
      </c>
      <c r="D110" t="s">
        <v>25</v>
      </c>
      <c r="E110">
        <v>-6086.96</v>
      </c>
      <c r="F110" t="s">
        <v>88</v>
      </c>
      <c r="G110" s="19">
        <v>45408</v>
      </c>
      <c r="H110" t="s">
        <v>6425</v>
      </c>
      <c r="I110" t="s">
        <v>6438</v>
      </c>
      <c r="J110"/>
      <c r="Q110" s="3">
        <f t="shared" si="2"/>
        <v>6086.96</v>
      </c>
    </row>
    <row r="111" spans="1:17" x14ac:dyDescent="0.35">
      <c r="A111" t="s">
        <v>0</v>
      </c>
      <c r="B111" t="s">
        <v>6270</v>
      </c>
      <c r="C111" t="s">
        <v>28</v>
      </c>
      <c r="D111" t="s">
        <v>25</v>
      </c>
      <c r="E111">
        <v>-6086.96</v>
      </c>
      <c r="F111" t="s">
        <v>88</v>
      </c>
      <c r="G111" s="19">
        <v>45413</v>
      </c>
      <c r="H111" t="s">
        <v>6441</v>
      </c>
      <c r="I111" t="s">
        <v>6441</v>
      </c>
      <c r="J111"/>
      <c r="Q111" s="3">
        <f t="shared" si="2"/>
        <v>6086.96</v>
      </c>
    </row>
    <row r="112" spans="1:17" x14ac:dyDescent="0.35">
      <c r="A112" t="s">
        <v>0</v>
      </c>
      <c r="B112" t="s">
        <v>6270</v>
      </c>
      <c r="C112" t="s">
        <v>28</v>
      </c>
      <c r="D112" t="s">
        <v>25</v>
      </c>
      <c r="E112">
        <v>-6086.96</v>
      </c>
      <c r="F112" t="s">
        <v>88</v>
      </c>
      <c r="G112" s="19">
        <v>45418</v>
      </c>
      <c r="H112" t="s">
        <v>6441</v>
      </c>
      <c r="I112" t="s">
        <v>6469</v>
      </c>
      <c r="J112"/>
      <c r="Q112" s="3">
        <f t="shared" si="2"/>
        <v>6086.96</v>
      </c>
    </row>
    <row r="113" spans="1:17" x14ac:dyDescent="0.35">
      <c r="A113" t="s">
        <v>0</v>
      </c>
      <c r="B113" t="s">
        <v>6270</v>
      </c>
      <c r="C113" t="s">
        <v>28</v>
      </c>
      <c r="D113" t="s">
        <v>25</v>
      </c>
      <c r="E113">
        <v>-6086.96</v>
      </c>
      <c r="F113" t="s">
        <v>88</v>
      </c>
      <c r="G113" s="19">
        <v>45426</v>
      </c>
      <c r="H113" t="s">
        <v>6471</v>
      </c>
      <c r="I113" t="s">
        <v>6477</v>
      </c>
      <c r="J113"/>
      <c r="Q113" s="3">
        <f t="shared" si="2"/>
        <v>6086.96</v>
      </c>
    </row>
    <row r="114" spans="1:17" x14ac:dyDescent="0.35">
      <c r="A114" t="s">
        <v>0</v>
      </c>
      <c r="B114" t="s">
        <v>6270</v>
      </c>
      <c r="C114" t="s">
        <v>28</v>
      </c>
      <c r="D114" t="s">
        <v>25</v>
      </c>
      <c r="E114">
        <v>-6086.96</v>
      </c>
      <c r="F114" t="s">
        <v>88</v>
      </c>
      <c r="G114" s="19">
        <v>45434</v>
      </c>
      <c r="H114" t="s">
        <v>6471</v>
      </c>
      <c r="I114" t="s">
        <v>6500</v>
      </c>
      <c r="J114"/>
      <c r="Q114" s="3">
        <f t="shared" si="2"/>
        <v>6086.96</v>
      </c>
    </row>
    <row r="115" spans="1:17" x14ac:dyDescent="0.35">
      <c r="A115" t="s">
        <v>0</v>
      </c>
      <c r="B115" t="s">
        <v>6270</v>
      </c>
      <c r="C115" t="s">
        <v>28</v>
      </c>
      <c r="D115" t="s">
        <v>25</v>
      </c>
      <c r="E115">
        <v>-6068.18</v>
      </c>
      <c r="F115" t="s">
        <v>88</v>
      </c>
      <c r="G115" s="19">
        <v>45408</v>
      </c>
      <c r="H115" t="s">
        <v>6425</v>
      </c>
      <c r="I115" t="s">
        <v>6435</v>
      </c>
      <c r="J115"/>
      <c r="Q115" s="3">
        <f t="shared" si="2"/>
        <v>6068.18</v>
      </c>
    </row>
    <row r="116" spans="1:17" x14ac:dyDescent="0.35">
      <c r="A116" t="s">
        <v>0</v>
      </c>
      <c r="B116" t="s">
        <v>6270</v>
      </c>
      <c r="C116" t="s">
        <v>28</v>
      </c>
      <c r="D116" t="s">
        <v>25</v>
      </c>
      <c r="E116">
        <v>5913.8</v>
      </c>
      <c r="F116" t="s">
        <v>88</v>
      </c>
      <c r="G116" s="19">
        <v>45538</v>
      </c>
      <c r="H116" t="s">
        <v>89</v>
      </c>
      <c r="I116" t="s">
        <v>7115</v>
      </c>
      <c r="J116"/>
      <c r="K116" t="s">
        <v>7116</v>
      </c>
      <c r="L116" t="s">
        <v>7117</v>
      </c>
      <c r="M116" t="s">
        <v>100</v>
      </c>
      <c r="Q116" s="3">
        <f t="shared" si="2"/>
        <v>5913.8</v>
      </c>
    </row>
    <row r="117" spans="1:17" x14ac:dyDescent="0.35">
      <c r="A117" t="s">
        <v>0</v>
      </c>
      <c r="B117" t="s">
        <v>6270</v>
      </c>
      <c r="C117" t="s">
        <v>28</v>
      </c>
      <c r="D117" t="s">
        <v>25</v>
      </c>
      <c r="E117">
        <v>-5909.09</v>
      </c>
      <c r="F117" t="s">
        <v>88</v>
      </c>
      <c r="G117" s="19">
        <v>45392</v>
      </c>
      <c r="H117" t="s">
        <v>6271</v>
      </c>
      <c r="I117" t="s">
        <v>6294</v>
      </c>
      <c r="J117"/>
      <c r="Q117" s="3">
        <f t="shared" si="2"/>
        <v>5909.09</v>
      </c>
    </row>
    <row r="118" spans="1:17" x14ac:dyDescent="0.35">
      <c r="A118" t="s">
        <v>0</v>
      </c>
      <c r="B118" t="s">
        <v>6270</v>
      </c>
      <c r="C118" t="s">
        <v>28</v>
      </c>
      <c r="D118" t="s">
        <v>25</v>
      </c>
      <c r="E118">
        <v>-5909.09</v>
      </c>
      <c r="F118" t="s">
        <v>88</v>
      </c>
      <c r="G118" s="19">
        <v>45404</v>
      </c>
      <c r="H118" t="s">
        <v>6271</v>
      </c>
      <c r="I118" t="s">
        <v>6415</v>
      </c>
      <c r="J118"/>
      <c r="Q118" s="3">
        <f t="shared" si="2"/>
        <v>5909.09</v>
      </c>
    </row>
    <row r="119" spans="1:17" x14ac:dyDescent="0.35">
      <c r="A119" t="s">
        <v>0</v>
      </c>
      <c r="B119" t="s">
        <v>6270</v>
      </c>
      <c r="C119" t="s">
        <v>28</v>
      </c>
      <c r="D119" t="s">
        <v>25</v>
      </c>
      <c r="E119">
        <v>-5909.09</v>
      </c>
      <c r="F119" t="s">
        <v>88</v>
      </c>
      <c r="G119" s="19">
        <v>45408</v>
      </c>
      <c r="H119" t="s">
        <v>6425</v>
      </c>
      <c r="I119" t="s">
        <v>6434</v>
      </c>
      <c r="J119"/>
      <c r="Q119" s="3">
        <f t="shared" si="2"/>
        <v>5909.09</v>
      </c>
    </row>
    <row r="120" spans="1:17" x14ac:dyDescent="0.35">
      <c r="A120" t="s">
        <v>0</v>
      </c>
      <c r="B120" t="s">
        <v>6270</v>
      </c>
      <c r="C120" t="s">
        <v>28</v>
      </c>
      <c r="D120" t="s">
        <v>25</v>
      </c>
      <c r="E120">
        <v>-5909.09</v>
      </c>
      <c r="F120" t="s">
        <v>88</v>
      </c>
      <c r="G120" s="19">
        <v>45408</v>
      </c>
      <c r="H120" t="s">
        <v>6425</v>
      </c>
      <c r="I120" t="s">
        <v>6436</v>
      </c>
      <c r="J120"/>
      <c r="Q120" s="3">
        <f t="shared" si="2"/>
        <v>5909.09</v>
      </c>
    </row>
    <row r="121" spans="1:17" x14ac:dyDescent="0.35">
      <c r="A121" t="s">
        <v>0</v>
      </c>
      <c r="B121" t="s">
        <v>6270</v>
      </c>
      <c r="C121" t="s">
        <v>28</v>
      </c>
      <c r="D121" t="s">
        <v>25</v>
      </c>
      <c r="E121">
        <v>-5909.09</v>
      </c>
      <c r="F121" t="s">
        <v>88</v>
      </c>
      <c r="G121" s="19">
        <v>45408</v>
      </c>
      <c r="H121" t="s">
        <v>6425</v>
      </c>
      <c r="I121" t="s">
        <v>6437</v>
      </c>
      <c r="J121"/>
      <c r="Q121" s="3">
        <f t="shared" si="2"/>
        <v>5909.09</v>
      </c>
    </row>
    <row r="122" spans="1:17" x14ac:dyDescent="0.35">
      <c r="A122" t="s">
        <v>0</v>
      </c>
      <c r="B122" t="s">
        <v>6270</v>
      </c>
      <c r="C122" t="s">
        <v>28</v>
      </c>
      <c r="D122" t="s">
        <v>25</v>
      </c>
      <c r="E122">
        <v>-5909.09</v>
      </c>
      <c r="F122" t="s">
        <v>88</v>
      </c>
      <c r="G122" s="19">
        <v>45413</v>
      </c>
      <c r="H122" t="s">
        <v>6441</v>
      </c>
      <c r="I122" t="s">
        <v>6446</v>
      </c>
      <c r="J122"/>
      <c r="Q122" s="3">
        <f t="shared" si="2"/>
        <v>5909.09</v>
      </c>
    </row>
    <row r="123" spans="1:17" x14ac:dyDescent="0.35">
      <c r="A123" t="s">
        <v>0</v>
      </c>
      <c r="B123" t="s">
        <v>6270</v>
      </c>
      <c r="C123" t="s">
        <v>28</v>
      </c>
      <c r="D123" t="s">
        <v>25</v>
      </c>
      <c r="E123">
        <v>-5909.09</v>
      </c>
      <c r="F123" t="s">
        <v>88</v>
      </c>
      <c r="G123" s="19">
        <v>45413</v>
      </c>
      <c r="H123" t="s">
        <v>6441</v>
      </c>
      <c r="I123" t="s">
        <v>6447</v>
      </c>
      <c r="J123"/>
      <c r="Q123" s="3">
        <f t="shared" si="2"/>
        <v>5909.09</v>
      </c>
    </row>
    <row r="124" spans="1:17" x14ac:dyDescent="0.35">
      <c r="A124" t="s">
        <v>0</v>
      </c>
      <c r="B124" t="s">
        <v>6270</v>
      </c>
      <c r="C124" t="s">
        <v>28</v>
      </c>
      <c r="D124" t="s">
        <v>25</v>
      </c>
      <c r="E124">
        <v>-5909.09</v>
      </c>
      <c r="F124" t="s">
        <v>88</v>
      </c>
      <c r="G124" s="19">
        <v>45413</v>
      </c>
      <c r="H124" t="s">
        <v>6441</v>
      </c>
      <c r="I124" t="s">
        <v>6448</v>
      </c>
      <c r="J124"/>
      <c r="Q124" s="3">
        <f t="shared" si="2"/>
        <v>5909.09</v>
      </c>
    </row>
    <row r="125" spans="1:17" x14ac:dyDescent="0.35">
      <c r="A125" t="s">
        <v>0</v>
      </c>
      <c r="B125" t="s">
        <v>6270</v>
      </c>
      <c r="C125" t="s">
        <v>28</v>
      </c>
      <c r="D125" t="s">
        <v>25</v>
      </c>
      <c r="E125">
        <v>-5909.09</v>
      </c>
      <c r="F125" t="s">
        <v>88</v>
      </c>
      <c r="G125" s="19">
        <v>45414</v>
      </c>
      <c r="H125" t="s">
        <v>6441</v>
      </c>
      <c r="I125" t="s">
        <v>6452</v>
      </c>
      <c r="J125"/>
      <c r="Q125" s="3">
        <f t="shared" si="2"/>
        <v>5909.09</v>
      </c>
    </row>
    <row r="126" spans="1:17" x14ac:dyDescent="0.35">
      <c r="A126" t="s">
        <v>0</v>
      </c>
      <c r="B126" t="s">
        <v>6270</v>
      </c>
      <c r="C126" t="s">
        <v>28</v>
      </c>
      <c r="D126" t="s">
        <v>25</v>
      </c>
      <c r="E126">
        <v>-5909.09</v>
      </c>
      <c r="F126" t="s">
        <v>88</v>
      </c>
      <c r="G126" s="19">
        <v>45414</v>
      </c>
      <c r="H126" t="s">
        <v>6441</v>
      </c>
      <c r="I126" t="s">
        <v>6454</v>
      </c>
      <c r="J126"/>
      <c r="Q126" s="3">
        <f t="shared" si="2"/>
        <v>5909.09</v>
      </c>
    </row>
    <row r="127" spans="1:17" x14ac:dyDescent="0.35">
      <c r="A127" t="s">
        <v>0</v>
      </c>
      <c r="B127" t="s">
        <v>6270</v>
      </c>
      <c r="C127" t="s">
        <v>28</v>
      </c>
      <c r="D127" t="s">
        <v>25</v>
      </c>
      <c r="E127">
        <v>-5909.09</v>
      </c>
      <c r="F127" t="s">
        <v>88</v>
      </c>
      <c r="G127" s="19">
        <v>45415</v>
      </c>
      <c r="H127" t="s">
        <v>6441</v>
      </c>
      <c r="I127" t="s">
        <v>6460</v>
      </c>
      <c r="J127"/>
      <c r="Q127" s="3">
        <f t="shared" si="2"/>
        <v>5909.09</v>
      </c>
    </row>
    <row r="128" spans="1:17" x14ac:dyDescent="0.35">
      <c r="A128" t="s">
        <v>0</v>
      </c>
      <c r="B128" t="s">
        <v>6270</v>
      </c>
      <c r="C128" t="s">
        <v>28</v>
      </c>
      <c r="D128" t="s">
        <v>25</v>
      </c>
      <c r="E128">
        <v>-5909.09</v>
      </c>
      <c r="F128" t="s">
        <v>88</v>
      </c>
      <c r="G128" s="19">
        <v>45415</v>
      </c>
      <c r="H128" t="s">
        <v>6441</v>
      </c>
      <c r="I128" t="s">
        <v>6461</v>
      </c>
      <c r="J128"/>
      <c r="Q128" s="3">
        <f t="shared" si="2"/>
        <v>5909.09</v>
      </c>
    </row>
    <row r="129" spans="1:19" x14ac:dyDescent="0.35">
      <c r="A129" t="s">
        <v>0</v>
      </c>
      <c r="B129" t="s">
        <v>6270</v>
      </c>
      <c r="C129" t="s">
        <v>28</v>
      </c>
      <c r="D129" t="s">
        <v>25</v>
      </c>
      <c r="E129">
        <v>-5909.09</v>
      </c>
      <c r="F129" t="s">
        <v>88</v>
      </c>
      <c r="G129" s="19">
        <v>45418</v>
      </c>
      <c r="H129" t="s">
        <v>6441</v>
      </c>
      <c r="I129" t="s">
        <v>6467</v>
      </c>
      <c r="J129"/>
      <c r="Q129" s="3">
        <f t="shared" si="2"/>
        <v>5909.09</v>
      </c>
    </row>
    <row r="130" spans="1:19" x14ac:dyDescent="0.35">
      <c r="A130" t="s">
        <v>0</v>
      </c>
      <c r="B130" t="s">
        <v>6270</v>
      </c>
      <c r="C130" t="s">
        <v>28</v>
      </c>
      <c r="D130" t="s">
        <v>25</v>
      </c>
      <c r="E130">
        <v>-5909.09</v>
      </c>
      <c r="F130" t="s">
        <v>88</v>
      </c>
      <c r="G130" s="19">
        <v>45418</v>
      </c>
      <c r="H130" t="s">
        <v>6441</v>
      </c>
      <c r="I130" t="s">
        <v>6468</v>
      </c>
      <c r="J130"/>
      <c r="Q130" s="3">
        <f t="shared" si="2"/>
        <v>5909.09</v>
      </c>
    </row>
    <row r="131" spans="1:19" x14ac:dyDescent="0.35">
      <c r="A131" t="s">
        <v>0</v>
      </c>
      <c r="B131" t="s">
        <v>6270</v>
      </c>
      <c r="C131" t="s">
        <v>28</v>
      </c>
      <c r="D131" t="s">
        <v>25</v>
      </c>
      <c r="E131">
        <v>-5909.09</v>
      </c>
      <c r="F131" t="s">
        <v>88</v>
      </c>
      <c r="G131" s="19">
        <v>45420</v>
      </c>
      <c r="H131" t="s">
        <v>6441</v>
      </c>
      <c r="I131" t="s">
        <v>6470</v>
      </c>
      <c r="J131"/>
      <c r="Q131" s="3">
        <f t="shared" si="2"/>
        <v>5909.09</v>
      </c>
    </row>
    <row r="132" spans="1:19" x14ac:dyDescent="0.35">
      <c r="A132" t="s">
        <v>0</v>
      </c>
      <c r="B132" t="s">
        <v>6270</v>
      </c>
      <c r="C132" t="s">
        <v>28</v>
      </c>
      <c r="D132" t="s">
        <v>25</v>
      </c>
      <c r="E132">
        <v>-5909.09</v>
      </c>
      <c r="F132" t="s">
        <v>88</v>
      </c>
      <c r="G132" s="19">
        <v>45422</v>
      </c>
      <c r="H132" t="s">
        <v>6471</v>
      </c>
      <c r="I132" t="s">
        <v>6471</v>
      </c>
      <c r="J132"/>
      <c r="Q132" s="3">
        <f t="shared" si="2"/>
        <v>5909.09</v>
      </c>
    </row>
    <row r="133" spans="1:19" x14ac:dyDescent="0.35">
      <c r="A133" t="s">
        <v>0</v>
      </c>
      <c r="B133" t="s">
        <v>6270</v>
      </c>
      <c r="C133" t="s">
        <v>28</v>
      </c>
      <c r="D133" t="s">
        <v>25</v>
      </c>
      <c r="E133">
        <v>-5909.09</v>
      </c>
      <c r="F133" t="s">
        <v>88</v>
      </c>
      <c r="G133" s="19">
        <v>45425</v>
      </c>
      <c r="H133" t="s">
        <v>6471</v>
      </c>
      <c r="I133" t="s">
        <v>6473</v>
      </c>
      <c r="J133"/>
      <c r="Q133" s="3">
        <f t="shared" si="2"/>
        <v>5909.09</v>
      </c>
    </row>
    <row r="134" spans="1:19" x14ac:dyDescent="0.35">
      <c r="A134" t="s">
        <v>0</v>
      </c>
      <c r="B134" t="s">
        <v>6270</v>
      </c>
      <c r="C134" t="s">
        <v>28</v>
      </c>
      <c r="D134" t="s">
        <v>25</v>
      </c>
      <c r="E134">
        <v>-5909.09</v>
      </c>
      <c r="F134" t="s">
        <v>88</v>
      </c>
      <c r="G134" s="19">
        <v>45432</v>
      </c>
      <c r="H134" t="s">
        <v>6471</v>
      </c>
      <c r="I134" t="s">
        <v>6492</v>
      </c>
      <c r="J134"/>
      <c r="Q134" s="3">
        <f t="shared" si="2"/>
        <v>5909.09</v>
      </c>
    </row>
    <row r="135" spans="1:19" x14ac:dyDescent="0.35">
      <c r="A135" t="s">
        <v>0</v>
      </c>
      <c r="B135" t="s">
        <v>6270</v>
      </c>
      <c r="C135" t="s">
        <v>28</v>
      </c>
      <c r="D135" t="s">
        <v>25</v>
      </c>
      <c r="E135">
        <v>-5909.09</v>
      </c>
      <c r="F135" t="s">
        <v>88</v>
      </c>
      <c r="G135" s="19">
        <v>45434</v>
      </c>
      <c r="H135" t="s">
        <v>6471</v>
      </c>
      <c r="I135" t="s">
        <v>6499</v>
      </c>
      <c r="J135"/>
      <c r="Q135" s="3">
        <f t="shared" si="2"/>
        <v>5909.09</v>
      </c>
    </row>
    <row r="136" spans="1:19" x14ac:dyDescent="0.35">
      <c r="A136" t="s">
        <v>0</v>
      </c>
      <c r="B136" t="s">
        <v>6270</v>
      </c>
      <c r="C136" t="s">
        <v>28</v>
      </c>
      <c r="D136" t="s">
        <v>25</v>
      </c>
      <c r="E136">
        <v>-5909.09</v>
      </c>
      <c r="F136" t="s">
        <v>88</v>
      </c>
      <c r="G136" s="19">
        <v>45435</v>
      </c>
      <c r="H136" t="s">
        <v>6471</v>
      </c>
      <c r="I136" t="s">
        <v>6515</v>
      </c>
      <c r="J136"/>
      <c r="Q136" s="3">
        <f t="shared" si="2"/>
        <v>5909.09</v>
      </c>
    </row>
    <row r="137" spans="1:19" x14ac:dyDescent="0.35">
      <c r="A137" t="s">
        <v>0</v>
      </c>
      <c r="B137" t="s">
        <v>6270</v>
      </c>
      <c r="C137" t="s">
        <v>28</v>
      </c>
      <c r="D137" t="s">
        <v>25</v>
      </c>
      <c r="E137">
        <v>-5909.09</v>
      </c>
      <c r="F137" t="s">
        <v>88</v>
      </c>
      <c r="G137" s="19">
        <v>45435</v>
      </c>
      <c r="H137" t="s">
        <v>6471</v>
      </c>
      <c r="I137" t="s">
        <v>6516</v>
      </c>
      <c r="J137"/>
      <c r="Q137" s="3">
        <f t="shared" si="2"/>
        <v>5909.09</v>
      </c>
    </row>
    <row r="138" spans="1:19" x14ac:dyDescent="0.35">
      <c r="A138" t="s">
        <v>0</v>
      </c>
      <c r="B138" t="s">
        <v>6270</v>
      </c>
      <c r="C138" t="s">
        <v>28</v>
      </c>
      <c r="D138" t="s">
        <v>25</v>
      </c>
      <c r="E138">
        <v>-5909.09</v>
      </c>
      <c r="F138" t="s">
        <v>88</v>
      </c>
      <c r="G138" s="19">
        <v>45439</v>
      </c>
      <c r="H138" t="s">
        <v>6471</v>
      </c>
      <c r="I138" t="s">
        <v>6524</v>
      </c>
      <c r="J138"/>
      <c r="Q138" s="3">
        <f t="shared" ref="Q138:Q201" si="3">ABS(E138)</f>
        <v>5909.09</v>
      </c>
    </row>
    <row r="139" spans="1:19" x14ac:dyDescent="0.35">
      <c r="A139" t="s">
        <v>0</v>
      </c>
      <c r="B139" t="s">
        <v>6270</v>
      </c>
      <c r="C139" t="s">
        <v>28</v>
      </c>
      <c r="D139" t="s">
        <v>25</v>
      </c>
      <c r="E139">
        <v>-5909.09</v>
      </c>
      <c r="F139" t="s">
        <v>88</v>
      </c>
      <c r="G139" s="19">
        <v>45445</v>
      </c>
      <c r="H139" t="s">
        <v>6536</v>
      </c>
      <c r="I139" t="s">
        <v>6537</v>
      </c>
      <c r="J139"/>
      <c r="Q139" s="3">
        <f t="shared" si="3"/>
        <v>5909.09</v>
      </c>
    </row>
    <row r="140" spans="1:19" x14ac:dyDescent="0.35">
      <c r="A140" t="s">
        <v>0</v>
      </c>
      <c r="B140" t="s">
        <v>6270</v>
      </c>
      <c r="C140" t="s">
        <v>28</v>
      </c>
      <c r="D140" t="s">
        <v>25</v>
      </c>
      <c r="E140">
        <v>-5909.09</v>
      </c>
      <c r="F140" t="s">
        <v>88</v>
      </c>
      <c r="G140" s="19">
        <v>45445</v>
      </c>
      <c r="H140" t="s">
        <v>6536</v>
      </c>
      <c r="I140" t="s">
        <v>6541</v>
      </c>
      <c r="J140"/>
      <c r="Q140" s="3">
        <f t="shared" si="3"/>
        <v>5909.09</v>
      </c>
    </row>
    <row r="141" spans="1:19" x14ac:dyDescent="0.35">
      <c r="A141" t="s">
        <v>0</v>
      </c>
      <c r="B141" t="s">
        <v>6270</v>
      </c>
      <c r="C141" t="s">
        <v>28</v>
      </c>
      <c r="D141" t="s">
        <v>25</v>
      </c>
      <c r="E141">
        <v>-5842.41</v>
      </c>
      <c r="F141" t="s">
        <v>88</v>
      </c>
      <c r="G141" s="19">
        <v>45548</v>
      </c>
      <c r="H141" t="s">
        <v>4360</v>
      </c>
      <c r="I141" t="s">
        <v>7186</v>
      </c>
      <c r="J141"/>
      <c r="Q141" s="3">
        <f t="shared" si="3"/>
        <v>5842.41</v>
      </c>
    </row>
    <row r="142" spans="1:19" x14ac:dyDescent="0.35">
      <c r="A142" t="s">
        <v>0</v>
      </c>
      <c r="B142" t="s">
        <v>599</v>
      </c>
      <c r="C142" t="s">
        <v>28</v>
      </c>
      <c r="D142" t="s">
        <v>25</v>
      </c>
      <c r="E142">
        <v>5787.38</v>
      </c>
      <c r="F142" t="s">
        <v>88</v>
      </c>
      <c r="G142" s="19">
        <v>45505</v>
      </c>
      <c r="H142" t="s">
        <v>89</v>
      </c>
      <c r="I142" t="s">
        <v>6855</v>
      </c>
      <c r="J142"/>
      <c r="K142" t="s">
        <v>6856</v>
      </c>
      <c r="L142" t="s">
        <v>6857</v>
      </c>
      <c r="M142" t="s">
        <v>6858</v>
      </c>
      <c r="Q142" s="3">
        <f t="shared" si="3"/>
        <v>5787.38</v>
      </c>
    </row>
    <row r="143" spans="1:19" ht="29" x14ac:dyDescent="0.35">
      <c r="A143" t="s">
        <v>35</v>
      </c>
      <c r="B143" t="s">
        <v>6270</v>
      </c>
      <c r="C143" t="s">
        <v>28</v>
      </c>
      <c r="D143" t="s">
        <v>25</v>
      </c>
      <c r="E143">
        <v>5777.39</v>
      </c>
      <c r="F143" t="s">
        <v>88</v>
      </c>
      <c r="G143" s="19">
        <v>45398</v>
      </c>
      <c r="H143" t="s">
        <v>94</v>
      </c>
      <c r="I143" t="s">
        <v>333</v>
      </c>
      <c r="K143" s="55" t="s">
        <v>6349</v>
      </c>
      <c r="M143" s="55" t="s">
        <v>6350</v>
      </c>
      <c r="Q143" s="3">
        <f t="shared" si="3"/>
        <v>5777.39</v>
      </c>
      <c r="S143" s="56" t="s">
        <v>7518</v>
      </c>
    </row>
    <row r="144" spans="1:19" x14ac:dyDescent="0.35">
      <c r="A144" t="s">
        <v>0</v>
      </c>
      <c r="B144" t="s">
        <v>6270</v>
      </c>
      <c r="C144" t="s">
        <v>28</v>
      </c>
      <c r="D144" t="s">
        <v>25</v>
      </c>
      <c r="E144">
        <v>-5727.28</v>
      </c>
      <c r="F144" t="s">
        <v>88</v>
      </c>
      <c r="G144" s="19">
        <v>45394</v>
      </c>
      <c r="H144" t="s">
        <v>6271</v>
      </c>
      <c r="I144" t="s">
        <v>6295</v>
      </c>
      <c r="J144"/>
      <c r="Q144" s="3">
        <f t="shared" si="3"/>
        <v>5727.28</v>
      </c>
    </row>
    <row r="145" spans="1:17" x14ac:dyDescent="0.35">
      <c r="A145" t="s">
        <v>0</v>
      </c>
      <c r="B145" t="s">
        <v>6270</v>
      </c>
      <c r="C145" t="s">
        <v>28</v>
      </c>
      <c r="D145" t="s">
        <v>25</v>
      </c>
      <c r="E145">
        <v>-5727.28</v>
      </c>
      <c r="F145" t="s">
        <v>88</v>
      </c>
      <c r="G145" s="19">
        <v>45394</v>
      </c>
      <c r="H145" t="s">
        <v>6271</v>
      </c>
      <c r="I145" t="s">
        <v>6296</v>
      </c>
      <c r="J145"/>
      <c r="Q145" s="3">
        <f t="shared" si="3"/>
        <v>5727.28</v>
      </c>
    </row>
    <row r="146" spans="1:17" x14ac:dyDescent="0.35">
      <c r="A146" t="s">
        <v>0</v>
      </c>
      <c r="B146" t="s">
        <v>6270</v>
      </c>
      <c r="C146" t="s">
        <v>28</v>
      </c>
      <c r="D146" t="s">
        <v>25</v>
      </c>
      <c r="E146">
        <v>-5727.28</v>
      </c>
      <c r="F146" t="s">
        <v>88</v>
      </c>
      <c r="G146" s="19">
        <v>45397</v>
      </c>
      <c r="H146" t="s">
        <v>6271</v>
      </c>
      <c r="I146" t="s">
        <v>6304</v>
      </c>
      <c r="J146"/>
      <c r="Q146" s="3">
        <f t="shared" si="3"/>
        <v>5727.28</v>
      </c>
    </row>
    <row r="147" spans="1:17" x14ac:dyDescent="0.35">
      <c r="A147" t="s">
        <v>0</v>
      </c>
      <c r="B147" t="s">
        <v>6270</v>
      </c>
      <c r="C147" t="s">
        <v>28</v>
      </c>
      <c r="D147" t="s">
        <v>25</v>
      </c>
      <c r="E147">
        <v>-5727.28</v>
      </c>
      <c r="F147" t="s">
        <v>88</v>
      </c>
      <c r="G147" s="19">
        <v>45397</v>
      </c>
      <c r="H147" t="s">
        <v>6271</v>
      </c>
      <c r="I147" t="s">
        <v>6305</v>
      </c>
      <c r="J147"/>
      <c r="Q147" s="3">
        <f t="shared" si="3"/>
        <v>5727.28</v>
      </c>
    </row>
    <row r="148" spans="1:17" x14ac:dyDescent="0.35">
      <c r="A148" t="s">
        <v>0</v>
      </c>
      <c r="B148" t="s">
        <v>6270</v>
      </c>
      <c r="C148" t="s">
        <v>28</v>
      </c>
      <c r="D148" t="s">
        <v>25</v>
      </c>
      <c r="E148">
        <v>-5727.28</v>
      </c>
      <c r="F148" t="s">
        <v>88</v>
      </c>
      <c r="G148" s="19">
        <v>45397</v>
      </c>
      <c r="H148" t="s">
        <v>6271</v>
      </c>
      <c r="I148" t="s">
        <v>6306</v>
      </c>
      <c r="J148"/>
      <c r="Q148" s="3">
        <f t="shared" si="3"/>
        <v>5727.28</v>
      </c>
    </row>
    <row r="149" spans="1:17" x14ac:dyDescent="0.35">
      <c r="A149" t="s">
        <v>0</v>
      </c>
      <c r="B149" t="s">
        <v>6270</v>
      </c>
      <c r="C149" t="s">
        <v>28</v>
      </c>
      <c r="D149" t="s">
        <v>25</v>
      </c>
      <c r="E149">
        <v>-5727.28</v>
      </c>
      <c r="F149" t="s">
        <v>88</v>
      </c>
      <c r="G149" s="19">
        <v>45397</v>
      </c>
      <c r="H149" t="s">
        <v>6271</v>
      </c>
      <c r="I149" t="s">
        <v>6307</v>
      </c>
      <c r="J149"/>
      <c r="Q149" s="3">
        <f t="shared" si="3"/>
        <v>5727.28</v>
      </c>
    </row>
    <row r="150" spans="1:17" x14ac:dyDescent="0.35">
      <c r="A150" t="s">
        <v>0</v>
      </c>
      <c r="B150" t="s">
        <v>6270</v>
      </c>
      <c r="C150" t="s">
        <v>28</v>
      </c>
      <c r="D150" t="s">
        <v>25</v>
      </c>
      <c r="E150">
        <v>-5727.28</v>
      </c>
      <c r="F150" t="s">
        <v>88</v>
      </c>
      <c r="G150" s="19">
        <v>45398</v>
      </c>
      <c r="H150" t="s">
        <v>6271</v>
      </c>
      <c r="I150" t="s">
        <v>6310</v>
      </c>
      <c r="J150"/>
      <c r="Q150" s="3">
        <f t="shared" si="3"/>
        <v>5727.28</v>
      </c>
    </row>
    <row r="151" spans="1:17" x14ac:dyDescent="0.35">
      <c r="A151" t="s">
        <v>0</v>
      </c>
      <c r="B151" t="s">
        <v>6270</v>
      </c>
      <c r="C151" t="s">
        <v>28</v>
      </c>
      <c r="D151" t="s">
        <v>25</v>
      </c>
      <c r="E151">
        <v>-5727.28</v>
      </c>
      <c r="F151" t="s">
        <v>88</v>
      </c>
      <c r="G151" s="19">
        <v>45398</v>
      </c>
      <c r="H151" t="s">
        <v>6271</v>
      </c>
      <c r="I151" t="s">
        <v>6311</v>
      </c>
      <c r="J151"/>
      <c r="Q151" s="3">
        <f t="shared" si="3"/>
        <v>5727.28</v>
      </c>
    </row>
    <row r="152" spans="1:17" x14ac:dyDescent="0.35">
      <c r="A152" t="s">
        <v>0</v>
      </c>
      <c r="B152" t="s">
        <v>6270</v>
      </c>
      <c r="C152" t="s">
        <v>28</v>
      </c>
      <c r="D152" t="s">
        <v>25</v>
      </c>
      <c r="E152">
        <v>-5727.28</v>
      </c>
      <c r="F152" t="s">
        <v>88</v>
      </c>
      <c r="G152" s="19">
        <v>45398</v>
      </c>
      <c r="H152" t="s">
        <v>6271</v>
      </c>
      <c r="I152" t="s">
        <v>6312</v>
      </c>
      <c r="J152"/>
      <c r="Q152" s="3">
        <f t="shared" si="3"/>
        <v>5727.28</v>
      </c>
    </row>
    <row r="153" spans="1:17" x14ac:dyDescent="0.35">
      <c r="A153" t="s">
        <v>0</v>
      </c>
      <c r="B153" t="s">
        <v>6270</v>
      </c>
      <c r="C153" t="s">
        <v>28</v>
      </c>
      <c r="D153" t="s">
        <v>25</v>
      </c>
      <c r="E153">
        <v>-5727.28</v>
      </c>
      <c r="F153" t="s">
        <v>88</v>
      </c>
      <c r="G153" s="19">
        <v>45399</v>
      </c>
      <c r="H153" t="s">
        <v>6271</v>
      </c>
      <c r="I153" t="s">
        <v>6365</v>
      </c>
      <c r="J153"/>
      <c r="Q153" s="3">
        <f t="shared" si="3"/>
        <v>5727.28</v>
      </c>
    </row>
    <row r="154" spans="1:17" x14ac:dyDescent="0.35">
      <c r="A154" t="s">
        <v>0</v>
      </c>
      <c r="B154" t="s">
        <v>6270</v>
      </c>
      <c r="C154" t="s">
        <v>28</v>
      </c>
      <c r="D154" t="s">
        <v>25</v>
      </c>
      <c r="E154">
        <v>-5727.28</v>
      </c>
      <c r="F154" t="s">
        <v>88</v>
      </c>
      <c r="G154" s="19">
        <v>45399</v>
      </c>
      <c r="H154" t="s">
        <v>6271</v>
      </c>
      <c r="I154" t="s">
        <v>6367</v>
      </c>
      <c r="J154"/>
      <c r="Q154" s="3">
        <f t="shared" si="3"/>
        <v>5727.28</v>
      </c>
    </row>
    <row r="155" spans="1:17" x14ac:dyDescent="0.35">
      <c r="A155" t="s">
        <v>0</v>
      </c>
      <c r="B155" t="s">
        <v>6270</v>
      </c>
      <c r="C155" t="s">
        <v>28</v>
      </c>
      <c r="D155" t="s">
        <v>25</v>
      </c>
      <c r="E155">
        <v>-5727.28</v>
      </c>
      <c r="F155" t="s">
        <v>88</v>
      </c>
      <c r="G155" s="19">
        <v>45399</v>
      </c>
      <c r="H155" t="s">
        <v>6271</v>
      </c>
      <c r="I155" t="s">
        <v>6368</v>
      </c>
      <c r="J155"/>
      <c r="Q155" s="3">
        <f t="shared" si="3"/>
        <v>5727.28</v>
      </c>
    </row>
    <row r="156" spans="1:17" x14ac:dyDescent="0.35">
      <c r="A156" t="s">
        <v>0</v>
      </c>
      <c r="B156" t="s">
        <v>6270</v>
      </c>
      <c r="C156" t="s">
        <v>28</v>
      </c>
      <c r="D156" t="s">
        <v>25</v>
      </c>
      <c r="E156">
        <v>-5727.28</v>
      </c>
      <c r="F156" t="s">
        <v>88</v>
      </c>
      <c r="G156" s="19">
        <v>45399</v>
      </c>
      <c r="H156" t="s">
        <v>6271</v>
      </c>
      <c r="I156" t="s">
        <v>6369</v>
      </c>
      <c r="J156"/>
      <c r="Q156" s="3">
        <f t="shared" si="3"/>
        <v>5727.28</v>
      </c>
    </row>
    <row r="157" spans="1:17" x14ac:dyDescent="0.35">
      <c r="A157" t="s">
        <v>0</v>
      </c>
      <c r="B157" t="s">
        <v>6270</v>
      </c>
      <c r="C157" t="s">
        <v>28</v>
      </c>
      <c r="D157" t="s">
        <v>25</v>
      </c>
      <c r="E157">
        <v>-5727.28</v>
      </c>
      <c r="F157" t="s">
        <v>88</v>
      </c>
      <c r="G157" s="19">
        <v>45399</v>
      </c>
      <c r="H157" t="s">
        <v>6271</v>
      </c>
      <c r="I157" t="s">
        <v>6370</v>
      </c>
      <c r="J157"/>
      <c r="Q157" s="3">
        <f t="shared" si="3"/>
        <v>5727.28</v>
      </c>
    </row>
    <row r="158" spans="1:17" x14ac:dyDescent="0.35">
      <c r="A158" t="s">
        <v>0</v>
      </c>
      <c r="B158" t="s">
        <v>6270</v>
      </c>
      <c r="C158" t="s">
        <v>28</v>
      </c>
      <c r="D158" t="s">
        <v>25</v>
      </c>
      <c r="E158">
        <v>-5727.28</v>
      </c>
      <c r="F158" t="s">
        <v>88</v>
      </c>
      <c r="G158" s="19">
        <v>45400</v>
      </c>
      <c r="H158" t="s">
        <v>6271</v>
      </c>
      <c r="I158" t="s">
        <v>6378</v>
      </c>
      <c r="J158"/>
      <c r="Q158" s="3">
        <f t="shared" si="3"/>
        <v>5727.28</v>
      </c>
    </row>
    <row r="159" spans="1:17" x14ac:dyDescent="0.35">
      <c r="A159" t="s">
        <v>0</v>
      </c>
      <c r="B159" t="s">
        <v>6270</v>
      </c>
      <c r="C159" t="s">
        <v>28</v>
      </c>
      <c r="D159" t="s">
        <v>25</v>
      </c>
      <c r="E159">
        <v>-5727.28</v>
      </c>
      <c r="F159" t="s">
        <v>88</v>
      </c>
      <c r="G159" s="19">
        <v>45400</v>
      </c>
      <c r="H159" t="s">
        <v>6271</v>
      </c>
      <c r="I159" t="s">
        <v>6379</v>
      </c>
      <c r="J159"/>
      <c r="Q159" s="3">
        <f t="shared" si="3"/>
        <v>5727.28</v>
      </c>
    </row>
    <row r="160" spans="1:17" x14ac:dyDescent="0.35">
      <c r="A160" t="s">
        <v>0</v>
      </c>
      <c r="B160" t="s">
        <v>6270</v>
      </c>
      <c r="C160" t="s">
        <v>28</v>
      </c>
      <c r="D160" t="s">
        <v>25</v>
      </c>
      <c r="E160">
        <v>-5727.28</v>
      </c>
      <c r="F160" t="s">
        <v>88</v>
      </c>
      <c r="G160" s="19">
        <v>45404</v>
      </c>
      <c r="H160" t="s">
        <v>6271</v>
      </c>
      <c r="I160" t="s">
        <v>6411</v>
      </c>
      <c r="J160"/>
      <c r="Q160" s="3">
        <f t="shared" si="3"/>
        <v>5727.28</v>
      </c>
    </row>
    <row r="161" spans="1:32" x14ac:dyDescent="0.35">
      <c r="A161" t="s">
        <v>0</v>
      </c>
      <c r="B161" t="s">
        <v>6270</v>
      </c>
      <c r="C161" t="s">
        <v>28</v>
      </c>
      <c r="D161" t="s">
        <v>25</v>
      </c>
      <c r="E161">
        <v>-5727.28</v>
      </c>
      <c r="F161" t="s">
        <v>88</v>
      </c>
      <c r="G161" s="19">
        <v>45404</v>
      </c>
      <c r="H161" t="s">
        <v>6271</v>
      </c>
      <c r="I161" t="s">
        <v>6413</v>
      </c>
      <c r="J161"/>
      <c r="Q161" s="3">
        <f t="shared" si="3"/>
        <v>5727.28</v>
      </c>
    </row>
    <row r="162" spans="1:32" x14ac:dyDescent="0.35">
      <c r="A162" t="s">
        <v>0</v>
      </c>
      <c r="B162" t="s">
        <v>6270</v>
      </c>
      <c r="C162" t="s">
        <v>28</v>
      </c>
      <c r="D162" t="s">
        <v>25</v>
      </c>
      <c r="E162">
        <v>-5727.28</v>
      </c>
      <c r="F162" t="s">
        <v>88</v>
      </c>
      <c r="G162" s="19">
        <v>45404</v>
      </c>
      <c r="H162" t="s">
        <v>6271</v>
      </c>
      <c r="I162" t="s">
        <v>6414</v>
      </c>
      <c r="J162"/>
      <c r="Q162" s="3">
        <f t="shared" si="3"/>
        <v>5727.28</v>
      </c>
    </row>
    <row r="163" spans="1:32" x14ac:dyDescent="0.35">
      <c r="A163" t="s">
        <v>0</v>
      </c>
      <c r="B163" t="s">
        <v>6270</v>
      </c>
      <c r="C163" t="s">
        <v>28</v>
      </c>
      <c r="D163" t="s">
        <v>25</v>
      </c>
      <c r="E163">
        <v>-5727.28</v>
      </c>
      <c r="F163" t="s">
        <v>88</v>
      </c>
      <c r="G163" s="19">
        <v>45413</v>
      </c>
      <c r="H163" t="s">
        <v>6441</v>
      </c>
      <c r="I163" t="s">
        <v>6442</v>
      </c>
      <c r="J163"/>
      <c r="Q163" s="3">
        <f t="shared" si="3"/>
        <v>5727.28</v>
      </c>
    </row>
    <row r="164" spans="1:32" x14ac:dyDescent="0.35">
      <c r="A164" t="s">
        <v>0</v>
      </c>
      <c r="B164" t="s">
        <v>6270</v>
      </c>
      <c r="C164" t="s">
        <v>28</v>
      </c>
      <c r="D164" t="s">
        <v>25</v>
      </c>
      <c r="E164">
        <v>-5727.28</v>
      </c>
      <c r="F164" t="s">
        <v>88</v>
      </c>
      <c r="G164" s="19">
        <v>45413</v>
      </c>
      <c r="H164" t="s">
        <v>6441</v>
      </c>
      <c r="I164" t="s">
        <v>6443</v>
      </c>
      <c r="J164"/>
      <c r="Q164" s="3">
        <f t="shared" si="3"/>
        <v>5727.28</v>
      </c>
    </row>
    <row r="165" spans="1:32" x14ac:dyDescent="0.35">
      <c r="A165" t="s">
        <v>0</v>
      </c>
      <c r="B165" t="s">
        <v>6270</v>
      </c>
      <c r="C165" t="s">
        <v>28</v>
      </c>
      <c r="D165" t="s">
        <v>25</v>
      </c>
      <c r="E165">
        <v>-5727.28</v>
      </c>
      <c r="F165" t="s">
        <v>88</v>
      </c>
      <c r="G165" s="19">
        <v>45425</v>
      </c>
      <c r="H165" t="s">
        <v>6471</v>
      </c>
      <c r="I165" t="s">
        <v>6472</v>
      </c>
      <c r="J165"/>
      <c r="Q165" s="3">
        <f t="shared" si="3"/>
        <v>5727.28</v>
      </c>
    </row>
    <row r="166" spans="1:32" x14ac:dyDescent="0.35">
      <c r="A166" t="s">
        <v>0</v>
      </c>
      <c r="B166" t="s">
        <v>6270</v>
      </c>
      <c r="C166" t="s">
        <v>28</v>
      </c>
      <c r="D166" t="s">
        <v>25</v>
      </c>
      <c r="E166">
        <v>-5727.28</v>
      </c>
      <c r="F166" t="s">
        <v>88</v>
      </c>
      <c r="G166" s="19">
        <v>45450</v>
      </c>
      <c r="H166" t="s">
        <v>6536</v>
      </c>
      <c r="I166" t="s">
        <v>6587</v>
      </c>
      <c r="J166"/>
      <c r="Q166" s="3">
        <f t="shared" si="3"/>
        <v>5727.28</v>
      </c>
    </row>
    <row r="167" spans="1:32" x14ac:dyDescent="0.35">
      <c r="A167" t="s">
        <v>0</v>
      </c>
      <c r="B167" t="s">
        <v>6270</v>
      </c>
      <c r="C167" t="s">
        <v>28</v>
      </c>
      <c r="D167" t="s">
        <v>25</v>
      </c>
      <c r="E167">
        <v>-5727.28</v>
      </c>
      <c r="F167" t="s">
        <v>88</v>
      </c>
      <c r="G167" s="19">
        <v>45454</v>
      </c>
      <c r="H167" t="s">
        <v>6536</v>
      </c>
      <c r="I167" t="s">
        <v>6611</v>
      </c>
      <c r="J167"/>
      <c r="Q167" s="3">
        <f t="shared" si="3"/>
        <v>5727.28</v>
      </c>
    </row>
    <row r="168" spans="1:32" x14ac:dyDescent="0.35">
      <c r="A168" t="s">
        <v>0</v>
      </c>
      <c r="B168" t="s">
        <v>6270</v>
      </c>
      <c r="C168" t="s">
        <v>28</v>
      </c>
      <c r="D168" t="s">
        <v>25</v>
      </c>
      <c r="E168">
        <v>-5727.28</v>
      </c>
      <c r="F168" t="s">
        <v>88</v>
      </c>
      <c r="G168" s="19">
        <v>45455</v>
      </c>
      <c r="H168" t="s">
        <v>6536</v>
      </c>
      <c r="I168" t="s">
        <v>6612</v>
      </c>
      <c r="J168"/>
      <c r="Q168" s="3">
        <f t="shared" si="3"/>
        <v>5727.28</v>
      </c>
    </row>
    <row r="169" spans="1:32" x14ac:dyDescent="0.35">
      <c r="A169" t="s">
        <v>0</v>
      </c>
      <c r="B169" t="s">
        <v>6270</v>
      </c>
      <c r="C169" t="s">
        <v>28</v>
      </c>
      <c r="D169" t="s">
        <v>25</v>
      </c>
      <c r="E169">
        <v>5707.89</v>
      </c>
      <c r="F169" t="s">
        <v>88</v>
      </c>
      <c r="G169" s="19">
        <v>45489</v>
      </c>
      <c r="H169" t="s">
        <v>89</v>
      </c>
      <c r="I169" t="s">
        <v>6781</v>
      </c>
      <c r="J169"/>
      <c r="K169" t="s">
        <v>101</v>
      </c>
      <c r="L169" t="s">
        <v>6782</v>
      </c>
      <c r="M169" t="s">
        <v>6783</v>
      </c>
      <c r="Q169" s="3">
        <f t="shared" si="3"/>
        <v>5707.89</v>
      </c>
    </row>
    <row r="170" spans="1:32" x14ac:dyDescent="0.35">
      <c r="A170" t="s">
        <v>0</v>
      </c>
      <c r="B170" t="s">
        <v>6270</v>
      </c>
      <c r="C170" t="s">
        <v>28</v>
      </c>
      <c r="D170" t="s">
        <v>25</v>
      </c>
      <c r="E170">
        <v>5699.91</v>
      </c>
      <c r="F170" t="s">
        <v>88</v>
      </c>
      <c r="G170" s="19">
        <v>45488</v>
      </c>
      <c r="H170" t="s">
        <v>89</v>
      </c>
      <c r="I170" t="s">
        <v>6768</v>
      </c>
      <c r="J170"/>
      <c r="K170" t="s">
        <v>101</v>
      </c>
      <c r="L170" t="s">
        <v>6769</v>
      </c>
      <c r="M170" t="s">
        <v>6770</v>
      </c>
      <c r="Q170" s="3">
        <f t="shared" si="3"/>
        <v>5699.91</v>
      </c>
    </row>
    <row r="171" spans="1:32" x14ac:dyDescent="0.35">
      <c r="A171" t="s">
        <v>0</v>
      </c>
      <c r="B171" t="s">
        <v>6270</v>
      </c>
      <c r="C171" t="s">
        <v>28</v>
      </c>
      <c r="D171" t="s">
        <v>25</v>
      </c>
      <c r="E171">
        <v>5630.96</v>
      </c>
      <c r="F171" t="s">
        <v>88</v>
      </c>
      <c r="G171" s="19">
        <v>45558</v>
      </c>
      <c r="H171" t="s">
        <v>89</v>
      </c>
      <c r="I171" t="s">
        <v>7242</v>
      </c>
      <c r="J171"/>
      <c r="K171" t="s">
        <v>7243</v>
      </c>
      <c r="L171" t="s">
        <v>7244</v>
      </c>
      <c r="M171" t="s">
        <v>7024</v>
      </c>
      <c r="Q171" s="3">
        <f t="shared" si="3"/>
        <v>5630.96</v>
      </c>
    </row>
    <row r="172" spans="1:32" s="88" customFormat="1" x14ac:dyDescent="0.35">
      <c r="A172" t="s">
        <v>0</v>
      </c>
      <c r="B172" t="s">
        <v>6270</v>
      </c>
      <c r="C172" t="s">
        <v>28</v>
      </c>
      <c r="D172" t="s">
        <v>25</v>
      </c>
      <c r="E172">
        <v>5524.58</v>
      </c>
      <c r="F172" t="s">
        <v>88</v>
      </c>
      <c r="G172" s="19">
        <v>45525</v>
      </c>
      <c r="H172" t="s">
        <v>89</v>
      </c>
      <c r="I172" t="s">
        <v>7021</v>
      </c>
      <c r="J172"/>
      <c r="K172" t="s">
        <v>7022</v>
      </c>
      <c r="L172" t="s">
        <v>7023</v>
      </c>
      <c r="M172" t="s">
        <v>7024</v>
      </c>
      <c r="N172"/>
      <c r="O172"/>
      <c r="P172" s="5"/>
      <c r="Q172" s="3">
        <f t="shared" si="3"/>
        <v>5524.58</v>
      </c>
      <c r="R172" s="55"/>
      <c r="S172" s="55"/>
      <c r="T172"/>
      <c r="U172"/>
      <c r="V172" s="3"/>
      <c r="W172"/>
      <c r="X172"/>
      <c r="Y172"/>
      <c r="Z172"/>
      <c r="AA172"/>
      <c r="AB172"/>
      <c r="AC172"/>
      <c r="AD172"/>
      <c r="AE172"/>
      <c r="AF172"/>
    </row>
    <row r="173" spans="1:32" s="88" customFormat="1" x14ac:dyDescent="0.35">
      <c r="A173" t="s">
        <v>0</v>
      </c>
      <c r="B173" t="s">
        <v>6270</v>
      </c>
      <c r="C173" t="s">
        <v>28</v>
      </c>
      <c r="D173" t="s">
        <v>25</v>
      </c>
      <c r="E173">
        <v>5512.99</v>
      </c>
      <c r="F173" t="s">
        <v>88</v>
      </c>
      <c r="G173" s="19">
        <v>45544</v>
      </c>
      <c r="H173" t="s">
        <v>89</v>
      </c>
      <c r="I173" t="s">
        <v>7161</v>
      </c>
      <c r="J173"/>
      <c r="K173" t="s">
        <v>7162</v>
      </c>
      <c r="L173" t="s">
        <v>7163</v>
      </c>
      <c r="M173" t="s">
        <v>7164</v>
      </c>
      <c r="N173"/>
      <c r="O173"/>
      <c r="P173" s="5"/>
      <c r="Q173" s="3">
        <f t="shared" si="3"/>
        <v>5512.99</v>
      </c>
      <c r="R173" s="55"/>
      <c r="S173" s="55"/>
      <c r="T173"/>
      <c r="U173"/>
      <c r="V173" s="3"/>
      <c r="W173"/>
      <c r="X173"/>
      <c r="Y173"/>
      <c r="Z173"/>
      <c r="AA173"/>
      <c r="AB173"/>
      <c r="AC173"/>
      <c r="AD173"/>
      <c r="AE173"/>
      <c r="AF173"/>
    </row>
    <row r="174" spans="1:32" s="88" customFormat="1" x14ac:dyDescent="0.35">
      <c r="A174" t="s">
        <v>0</v>
      </c>
      <c r="B174" t="s">
        <v>623</v>
      </c>
      <c r="C174" t="s">
        <v>28</v>
      </c>
      <c r="D174" t="s">
        <v>25</v>
      </c>
      <c r="E174">
        <v>5482.64</v>
      </c>
      <c r="F174" t="s">
        <v>88</v>
      </c>
      <c r="G174" s="19">
        <v>45523</v>
      </c>
      <c r="H174" t="s">
        <v>89</v>
      </c>
      <c r="I174" t="s">
        <v>6971</v>
      </c>
      <c r="J174"/>
      <c r="K174" t="s">
        <v>6972</v>
      </c>
      <c r="L174" t="s">
        <v>6973</v>
      </c>
      <c r="M174" t="s">
        <v>731</v>
      </c>
      <c r="N174"/>
      <c r="O174"/>
      <c r="P174" s="5"/>
      <c r="Q174" s="3">
        <f t="shared" si="3"/>
        <v>5482.64</v>
      </c>
      <c r="R174" s="55"/>
      <c r="S174" s="55"/>
      <c r="T174"/>
      <c r="U174"/>
      <c r="V174" s="3"/>
      <c r="W174"/>
      <c r="X174"/>
      <c r="Y174"/>
      <c r="Z174"/>
      <c r="AA174"/>
      <c r="AB174"/>
      <c r="AC174"/>
      <c r="AD174"/>
      <c r="AE174"/>
      <c r="AF174"/>
    </row>
    <row r="175" spans="1:32" x14ac:dyDescent="0.35">
      <c r="A175" t="s">
        <v>0</v>
      </c>
      <c r="B175" t="s">
        <v>6270</v>
      </c>
      <c r="C175" t="s">
        <v>28</v>
      </c>
      <c r="D175" t="s">
        <v>25</v>
      </c>
      <c r="E175">
        <v>5208.7</v>
      </c>
      <c r="F175" t="s">
        <v>88</v>
      </c>
      <c r="G175" s="19">
        <v>45517</v>
      </c>
      <c r="H175" t="s">
        <v>89</v>
      </c>
      <c r="I175" t="s">
        <v>6953</v>
      </c>
      <c r="J175"/>
      <c r="K175" t="s">
        <v>6954</v>
      </c>
      <c r="L175" t="s">
        <v>6955</v>
      </c>
      <c r="M175" t="s">
        <v>6956</v>
      </c>
      <c r="Q175" s="3">
        <f t="shared" si="3"/>
        <v>5208.7</v>
      </c>
    </row>
    <row r="176" spans="1:32" x14ac:dyDescent="0.35">
      <c r="A176" t="s">
        <v>0</v>
      </c>
      <c r="B176" t="s">
        <v>6270</v>
      </c>
      <c r="C176" t="s">
        <v>28</v>
      </c>
      <c r="D176" t="s">
        <v>25</v>
      </c>
      <c r="E176">
        <v>-5181.82</v>
      </c>
      <c r="F176" t="s">
        <v>88</v>
      </c>
      <c r="G176" s="19">
        <v>45427</v>
      </c>
      <c r="H176" t="s">
        <v>6471</v>
      </c>
      <c r="I176" t="s">
        <v>6479</v>
      </c>
      <c r="J176"/>
      <c r="Q176" s="3">
        <f t="shared" si="3"/>
        <v>5181.82</v>
      </c>
    </row>
    <row r="177" spans="1:32" x14ac:dyDescent="0.35">
      <c r="A177" t="s">
        <v>35</v>
      </c>
      <c r="B177" t="s">
        <v>598</v>
      </c>
      <c r="C177" t="s">
        <v>28</v>
      </c>
      <c r="D177" t="s">
        <v>25</v>
      </c>
      <c r="E177">
        <v>5056.79</v>
      </c>
      <c r="F177" t="s">
        <v>88</v>
      </c>
      <c r="G177" s="19">
        <v>45436</v>
      </c>
      <c r="H177" t="s">
        <v>89</v>
      </c>
      <c r="I177" t="s">
        <v>6520</v>
      </c>
      <c r="J177"/>
      <c r="K177" t="s">
        <v>101</v>
      </c>
      <c r="L177" t="s">
        <v>6521</v>
      </c>
      <c r="M177" t="s">
        <v>932</v>
      </c>
      <c r="Q177" s="3">
        <f t="shared" si="3"/>
        <v>5056.79</v>
      </c>
    </row>
    <row r="178" spans="1:32" x14ac:dyDescent="0.35">
      <c r="A178" s="88" t="s">
        <v>0</v>
      </c>
      <c r="B178" s="88" t="s">
        <v>6270</v>
      </c>
      <c r="C178" s="88" t="s">
        <v>28</v>
      </c>
      <c r="D178" s="88" t="s">
        <v>25</v>
      </c>
      <c r="E178" s="88">
        <v>5000</v>
      </c>
      <c r="F178" s="88" t="s">
        <v>88</v>
      </c>
      <c r="G178" s="97">
        <v>45517</v>
      </c>
      <c r="H178" s="88" t="s">
        <v>89</v>
      </c>
      <c r="I178" s="88" t="s">
        <v>6957</v>
      </c>
      <c r="J178" s="88"/>
      <c r="K178" s="88" t="s">
        <v>6958</v>
      </c>
      <c r="L178" s="88" t="s">
        <v>6959</v>
      </c>
      <c r="M178" s="88" t="s">
        <v>6960</v>
      </c>
      <c r="N178" s="88"/>
      <c r="O178" s="88"/>
      <c r="P178" s="86"/>
      <c r="Q178" s="87">
        <f t="shared" si="3"/>
        <v>5000</v>
      </c>
      <c r="R178" s="85"/>
      <c r="S178" s="85"/>
      <c r="T178" s="88"/>
      <c r="U178" s="88"/>
      <c r="V178" s="87"/>
      <c r="W178" s="88"/>
      <c r="X178" s="88"/>
      <c r="Y178" s="88"/>
      <c r="Z178" s="88"/>
      <c r="AA178" s="88"/>
      <c r="AB178" s="88"/>
      <c r="AC178" s="88"/>
      <c r="AD178" s="88"/>
      <c r="AE178" s="88"/>
      <c r="AF178" s="88"/>
    </row>
    <row r="179" spans="1:32" x14ac:dyDescent="0.35">
      <c r="A179" t="s">
        <v>0</v>
      </c>
      <c r="B179" t="s">
        <v>6270</v>
      </c>
      <c r="C179" t="s">
        <v>28</v>
      </c>
      <c r="D179" t="s">
        <v>25</v>
      </c>
      <c r="E179">
        <v>4993.1000000000004</v>
      </c>
      <c r="F179" t="s">
        <v>88</v>
      </c>
      <c r="G179" s="19">
        <v>45523</v>
      </c>
      <c r="H179" t="s">
        <v>89</v>
      </c>
      <c r="I179" t="s">
        <v>6967</v>
      </c>
      <c r="J179"/>
      <c r="K179" t="s">
        <v>6968</v>
      </c>
      <c r="L179" t="s">
        <v>6969</v>
      </c>
      <c r="M179" t="s">
        <v>6970</v>
      </c>
      <c r="P179" s="86"/>
      <c r="Q179" s="3">
        <f t="shared" si="3"/>
        <v>4993.1000000000004</v>
      </c>
      <c r="R179" s="85"/>
      <c r="S179" s="85"/>
      <c r="T179" s="88"/>
      <c r="U179" s="88"/>
      <c r="V179" s="87"/>
      <c r="W179" s="88"/>
      <c r="X179" s="88"/>
      <c r="Y179" s="88"/>
      <c r="Z179" s="88"/>
      <c r="AA179" s="88"/>
      <c r="AB179" s="88"/>
      <c r="AC179" s="88"/>
      <c r="AD179" s="88"/>
      <c r="AE179" s="88"/>
      <c r="AF179" s="88"/>
    </row>
    <row r="180" spans="1:32" x14ac:dyDescent="0.35">
      <c r="A180" s="88" t="s">
        <v>0</v>
      </c>
      <c r="B180" s="88" t="s">
        <v>6270</v>
      </c>
      <c r="C180" s="88" t="s">
        <v>28</v>
      </c>
      <c r="D180" s="88" t="s">
        <v>25</v>
      </c>
      <c r="E180" s="88">
        <v>4980.8</v>
      </c>
      <c r="F180" s="88" t="s">
        <v>88</v>
      </c>
      <c r="G180" s="97">
        <v>45495</v>
      </c>
      <c r="H180" s="88" t="s">
        <v>89</v>
      </c>
      <c r="I180" s="88" t="s">
        <v>6807</v>
      </c>
      <c r="J180" s="88"/>
      <c r="K180" s="88" t="s">
        <v>6808</v>
      </c>
      <c r="L180" s="88" t="s">
        <v>6809</v>
      </c>
      <c r="M180" s="88" t="s">
        <v>6810</v>
      </c>
      <c r="N180" s="88"/>
      <c r="O180" s="88"/>
      <c r="P180" s="86"/>
      <c r="Q180" s="87">
        <f t="shared" si="3"/>
        <v>4980.8</v>
      </c>
      <c r="R180" s="85"/>
      <c r="S180" s="85"/>
      <c r="T180" s="88"/>
      <c r="U180" s="88"/>
      <c r="V180" s="87"/>
      <c r="W180" s="88"/>
      <c r="X180" s="88"/>
      <c r="Y180" s="88"/>
      <c r="Z180" s="88"/>
      <c r="AA180" s="88"/>
      <c r="AB180" s="88"/>
      <c r="AC180" s="88"/>
      <c r="AD180" s="88"/>
      <c r="AE180" s="88"/>
      <c r="AF180" s="88"/>
    </row>
    <row r="181" spans="1:32" x14ac:dyDescent="0.35">
      <c r="A181" t="s">
        <v>0</v>
      </c>
      <c r="B181" t="s">
        <v>6270</v>
      </c>
      <c r="C181" t="s">
        <v>28</v>
      </c>
      <c r="D181" t="s">
        <v>25</v>
      </c>
      <c r="E181">
        <v>4836.49</v>
      </c>
      <c r="F181" t="s">
        <v>88</v>
      </c>
      <c r="G181" s="19">
        <v>45547</v>
      </c>
      <c r="H181" t="s">
        <v>89</v>
      </c>
      <c r="I181" t="s">
        <v>7177</v>
      </c>
      <c r="J181"/>
      <c r="K181" t="s">
        <v>7178</v>
      </c>
      <c r="L181" t="s">
        <v>7179</v>
      </c>
      <c r="M181" t="s">
        <v>7180</v>
      </c>
      <c r="Q181" s="3">
        <f t="shared" si="3"/>
        <v>4836.49</v>
      </c>
    </row>
    <row r="182" spans="1:32" x14ac:dyDescent="0.35">
      <c r="A182" t="s">
        <v>35</v>
      </c>
      <c r="B182" t="s">
        <v>2720</v>
      </c>
      <c r="C182" t="s">
        <v>28</v>
      </c>
      <c r="D182" t="s">
        <v>25</v>
      </c>
      <c r="E182">
        <v>4826.25</v>
      </c>
      <c r="F182" t="s">
        <v>88</v>
      </c>
      <c r="G182" s="19">
        <v>45636</v>
      </c>
      <c r="H182" t="s">
        <v>94</v>
      </c>
      <c r="I182" t="s">
        <v>7019</v>
      </c>
      <c r="J182" t="s">
        <v>5313</v>
      </c>
      <c r="O182" t="s">
        <v>7461</v>
      </c>
      <c r="Q182" s="3">
        <f t="shared" si="3"/>
        <v>4826.25</v>
      </c>
    </row>
    <row r="183" spans="1:32" x14ac:dyDescent="0.35">
      <c r="A183" t="s">
        <v>0</v>
      </c>
      <c r="B183" t="s">
        <v>6270</v>
      </c>
      <c r="C183" t="s">
        <v>28</v>
      </c>
      <c r="D183" t="s">
        <v>25</v>
      </c>
      <c r="E183">
        <v>4600.5</v>
      </c>
      <c r="F183" t="s">
        <v>88</v>
      </c>
      <c r="G183" s="19">
        <v>45510</v>
      </c>
      <c r="H183" t="s">
        <v>89</v>
      </c>
      <c r="I183" t="s">
        <v>6879</v>
      </c>
      <c r="J183"/>
      <c r="K183" t="s">
        <v>6880</v>
      </c>
      <c r="L183" t="s">
        <v>6881</v>
      </c>
      <c r="M183" t="s">
        <v>100</v>
      </c>
      <c r="Q183" s="3">
        <f t="shared" si="3"/>
        <v>4600.5</v>
      </c>
    </row>
    <row r="184" spans="1:32" ht="72.5" x14ac:dyDescent="0.35">
      <c r="A184" t="s">
        <v>35</v>
      </c>
      <c r="B184" t="s">
        <v>6270</v>
      </c>
      <c r="C184" t="s">
        <v>28</v>
      </c>
      <c r="D184" t="s">
        <v>25</v>
      </c>
      <c r="E184">
        <v>4590.91</v>
      </c>
      <c r="F184" t="s">
        <v>88</v>
      </c>
      <c r="G184" s="19">
        <v>45498</v>
      </c>
      <c r="H184" t="s">
        <v>94</v>
      </c>
      <c r="I184" t="s">
        <v>6811</v>
      </c>
      <c r="K184" s="55" t="s">
        <v>6812</v>
      </c>
      <c r="M184" t="s">
        <v>6813</v>
      </c>
      <c r="Q184" s="3">
        <f t="shared" si="3"/>
        <v>4590.91</v>
      </c>
      <c r="S184" s="179" t="s">
        <v>7518</v>
      </c>
    </row>
    <row r="185" spans="1:32" x14ac:dyDescent="0.35">
      <c r="A185" t="s">
        <v>35</v>
      </c>
      <c r="B185" t="s">
        <v>6270</v>
      </c>
      <c r="C185" t="s">
        <v>28</v>
      </c>
      <c r="D185" t="s">
        <v>25</v>
      </c>
      <c r="E185">
        <v>4496.3500000000004</v>
      </c>
      <c r="F185" t="s">
        <v>88</v>
      </c>
      <c r="G185" s="19">
        <v>45463</v>
      </c>
      <c r="H185" t="s">
        <v>94</v>
      </c>
      <c r="I185" t="s">
        <v>745</v>
      </c>
      <c r="J185" t="s">
        <v>6671</v>
      </c>
      <c r="M185" t="s">
        <v>6672</v>
      </c>
      <c r="Q185" s="3">
        <f t="shared" si="3"/>
        <v>4496.3500000000004</v>
      </c>
    </row>
    <row r="186" spans="1:32" x14ac:dyDescent="0.35">
      <c r="A186" t="s">
        <v>35</v>
      </c>
      <c r="B186" t="s">
        <v>6270</v>
      </c>
      <c r="C186" t="s">
        <v>28</v>
      </c>
      <c r="D186" t="s">
        <v>25</v>
      </c>
      <c r="E186">
        <v>4451.33</v>
      </c>
      <c r="F186" t="s">
        <v>88</v>
      </c>
      <c r="G186" s="19">
        <v>45468</v>
      </c>
      <c r="H186" t="s">
        <v>94</v>
      </c>
      <c r="I186" t="s">
        <v>6683</v>
      </c>
      <c r="J186" t="s">
        <v>6686</v>
      </c>
      <c r="M186" t="s">
        <v>6687</v>
      </c>
      <c r="Q186" s="3">
        <f t="shared" si="3"/>
        <v>4451.33</v>
      </c>
    </row>
    <row r="187" spans="1:32" x14ac:dyDescent="0.35">
      <c r="A187" t="s">
        <v>0</v>
      </c>
      <c r="B187" t="s">
        <v>6270</v>
      </c>
      <c r="C187" t="s">
        <v>28</v>
      </c>
      <c r="D187" t="s">
        <v>25</v>
      </c>
      <c r="E187">
        <v>4400</v>
      </c>
      <c r="F187" t="s">
        <v>88</v>
      </c>
      <c r="G187" s="19">
        <v>45460</v>
      </c>
      <c r="H187" t="s">
        <v>89</v>
      </c>
      <c r="I187" t="s">
        <v>6625</v>
      </c>
      <c r="J187"/>
      <c r="K187" t="s">
        <v>101</v>
      </c>
      <c r="L187" t="s">
        <v>6626</v>
      </c>
      <c r="M187" t="s">
        <v>6627</v>
      </c>
      <c r="Q187" s="3">
        <f t="shared" si="3"/>
        <v>4400</v>
      </c>
    </row>
    <row r="188" spans="1:32" x14ac:dyDescent="0.35">
      <c r="A188" t="s">
        <v>0</v>
      </c>
      <c r="B188" t="s">
        <v>6270</v>
      </c>
      <c r="C188" t="s">
        <v>28</v>
      </c>
      <c r="D188" t="s">
        <v>25</v>
      </c>
      <c r="E188">
        <v>4400</v>
      </c>
      <c r="F188" t="s">
        <v>88</v>
      </c>
      <c r="G188" s="19">
        <v>45516</v>
      </c>
      <c r="H188" t="s">
        <v>89</v>
      </c>
      <c r="I188" t="s">
        <v>6943</v>
      </c>
      <c r="J188"/>
      <c r="K188" t="s">
        <v>6944</v>
      </c>
      <c r="L188" t="s">
        <v>6945</v>
      </c>
      <c r="M188" t="s">
        <v>6946</v>
      </c>
      <c r="Q188" s="3">
        <f t="shared" si="3"/>
        <v>4400</v>
      </c>
    </row>
    <row r="189" spans="1:32" x14ac:dyDescent="0.35">
      <c r="A189" t="s">
        <v>0</v>
      </c>
      <c r="B189" t="s">
        <v>6270</v>
      </c>
      <c r="C189" t="s">
        <v>28</v>
      </c>
      <c r="D189" t="s">
        <v>25</v>
      </c>
      <c r="E189">
        <v>4400</v>
      </c>
      <c r="F189" t="s">
        <v>88</v>
      </c>
      <c r="G189" s="19">
        <v>45530</v>
      </c>
      <c r="H189" t="s">
        <v>89</v>
      </c>
      <c r="I189" t="s">
        <v>7047</v>
      </c>
      <c r="J189"/>
      <c r="K189" t="s">
        <v>7048</v>
      </c>
      <c r="L189" t="s">
        <v>7049</v>
      </c>
      <c r="M189" t="s">
        <v>7050</v>
      </c>
      <c r="Q189" s="3">
        <f t="shared" si="3"/>
        <v>4400</v>
      </c>
    </row>
    <row r="190" spans="1:32" x14ac:dyDescent="0.35">
      <c r="A190" t="s">
        <v>0</v>
      </c>
      <c r="B190" t="s">
        <v>6270</v>
      </c>
      <c r="C190" t="s">
        <v>28</v>
      </c>
      <c r="D190" t="s">
        <v>25</v>
      </c>
      <c r="E190">
        <v>4400</v>
      </c>
      <c r="F190" t="s">
        <v>88</v>
      </c>
      <c r="G190" s="19">
        <v>45548</v>
      </c>
      <c r="H190" t="s">
        <v>89</v>
      </c>
      <c r="I190" t="s">
        <v>7181</v>
      </c>
      <c r="J190"/>
      <c r="K190" t="s">
        <v>7182</v>
      </c>
      <c r="L190" t="s">
        <v>7183</v>
      </c>
      <c r="M190" t="s">
        <v>7184</v>
      </c>
      <c r="Q190" s="3">
        <f t="shared" si="3"/>
        <v>4400</v>
      </c>
    </row>
    <row r="191" spans="1:32" ht="72.5" x14ac:dyDescent="0.35">
      <c r="A191" t="s">
        <v>35</v>
      </c>
      <c r="B191" t="s">
        <v>6270</v>
      </c>
      <c r="C191" t="s">
        <v>28</v>
      </c>
      <c r="D191" t="s">
        <v>25</v>
      </c>
      <c r="E191">
        <v>4346.28</v>
      </c>
      <c r="F191" t="s">
        <v>88</v>
      </c>
      <c r="G191" s="19">
        <v>45530</v>
      </c>
      <c r="H191" t="s">
        <v>94</v>
      </c>
      <c r="I191" t="s">
        <v>6811</v>
      </c>
      <c r="K191" s="55" t="s">
        <v>7075</v>
      </c>
      <c r="M191" t="s">
        <v>6992</v>
      </c>
      <c r="Q191" s="3">
        <f t="shared" si="3"/>
        <v>4346.28</v>
      </c>
      <c r="S191" s="179" t="s">
        <v>7518</v>
      </c>
    </row>
    <row r="192" spans="1:32" x14ac:dyDescent="0.35">
      <c r="A192" t="s">
        <v>35</v>
      </c>
      <c r="B192" t="s">
        <v>741</v>
      </c>
      <c r="C192" t="s">
        <v>28</v>
      </c>
      <c r="D192" t="s">
        <v>25</v>
      </c>
      <c r="E192">
        <v>4259.09</v>
      </c>
      <c r="F192" t="s">
        <v>88</v>
      </c>
      <c r="G192" s="19">
        <v>45638</v>
      </c>
      <c r="H192" t="s">
        <v>94</v>
      </c>
      <c r="I192" t="s">
        <v>5334</v>
      </c>
      <c r="J192" t="s">
        <v>7472</v>
      </c>
      <c r="O192" t="s">
        <v>7473</v>
      </c>
      <c r="Q192" s="3">
        <f t="shared" si="3"/>
        <v>4259.09</v>
      </c>
    </row>
    <row r="193" spans="1:19" x14ac:dyDescent="0.35">
      <c r="A193" t="s">
        <v>35</v>
      </c>
      <c r="B193" t="s">
        <v>6270</v>
      </c>
      <c r="C193" t="s">
        <v>28</v>
      </c>
      <c r="D193" t="s">
        <v>25</v>
      </c>
      <c r="E193">
        <v>4223.2</v>
      </c>
      <c r="F193" t="s">
        <v>88</v>
      </c>
      <c r="G193" s="19">
        <v>45468</v>
      </c>
      <c r="H193" t="s">
        <v>94</v>
      </c>
      <c r="I193" t="s">
        <v>331</v>
      </c>
      <c r="J193" t="s">
        <v>6681</v>
      </c>
      <c r="O193" t="s">
        <v>6682</v>
      </c>
      <c r="Q193" s="3">
        <f t="shared" si="3"/>
        <v>4223.2</v>
      </c>
    </row>
    <row r="194" spans="1:19" x14ac:dyDescent="0.35">
      <c r="A194" t="s">
        <v>0</v>
      </c>
      <c r="B194" t="s">
        <v>1627</v>
      </c>
      <c r="C194" t="s">
        <v>28</v>
      </c>
      <c r="D194" t="s">
        <v>25</v>
      </c>
      <c r="E194">
        <v>4215.9799999999996</v>
      </c>
      <c r="F194" t="s">
        <v>88</v>
      </c>
      <c r="G194" s="19">
        <v>45403</v>
      </c>
      <c r="H194" t="s">
        <v>637</v>
      </c>
      <c r="I194" t="s">
        <v>370</v>
      </c>
      <c r="J194"/>
      <c r="Q194" s="3">
        <f t="shared" si="3"/>
        <v>4215.9799999999996</v>
      </c>
    </row>
    <row r="195" spans="1:19" ht="72.5" x14ac:dyDescent="0.35">
      <c r="A195" t="s">
        <v>35</v>
      </c>
      <c r="B195" t="s">
        <v>6270</v>
      </c>
      <c r="C195" t="s">
        <v>28</v>
      </c>
      <c r="D195" t="s">
        <v>25</v>
      </c>
      <c r="E195">
        <v>4166.59</v>
      </c>
      <c r="F195" t="s">
        <v>88</v>
      </c>
      <c r="G195" s="19">
        <v>45524</v>
      </c>
      <c r="H195" t="s">
        <v>94</v>
      </c>
      <c r="I195" t="s">
        <v>6811</v>
      </c>
      <c r="K195" s="55" t="s">
        <v>6991</v>
      </c>
      <c r="O195" t="s">
        <v>6992</v>
      </c>
      <c r="Q195" s="3">
        <f t="shared" si="3"/>
        <v>4166.59</v>
      </c>
      <c r="S195" s="179" t="s">
        <v>7518</v>
      </c>
    </row>
    <row r="196" spans="1:19" x14ac:dyDescent="0.35">
      <c r="A196" t="s">
        <v>35</v>
      </c>
      <c r="B196" t="s">
        <v>599</v>
      </c>
      <c r="C196" t="s">
        <v>28</v>
      </c>
      <c r="D196" t="s">
        <v>25</v>
      </c>
      <c r="E196">
        <v>4046.73</v>
      </c>
      <c r="F196" t="s">
        <v>88</v>
      </c>
      <c r="G196" s="19">
        <v>45449</v>
      </c>
      <c r="H196" t="s">
        <v>89</v>
      </c>
      <c r="I196" t="s">
        <v>6585</v>
      </c>
      <c r="J196"/>
      <c r="K196" t="s">
        <v>101</v>
      </c>
      <c r="L196" t="s">
        <v>6586</v>
      </c>
      <c r="M196" t="s">
        <v>6584</v>
      </c>
      <c r="Q196" s="3">
        <f t="shared" si="3"/>
        <v>4046.73</v>
      </c>
    </row>
    <row r="197" spans="1:19" x14ac:dyDescent="0.35">
      <c r="A197" t="s">
        <v>35</v>
      </c>
      <c r="B197" t="s">
        <v>599</v>
      </c>
      <c r="C197" t="s">
        <v>28</v>
      </c>
      <c r="D197" t="s">
        <v>25</v>
      </c>
      <c r="E197">
        <v>3839.85</v>
      </c>
      <c r="F197" t="s">
        <v>88</v>
      </c>
      <c r="G197" s="19">
        <v>45449</v>
      </c>
      <c r="H197" t="s">
        <v>89</v>
      </c>
      <c r="I197" t="s">
        <v>6582</v>
      </c>
      <c r="J197"/>
      <c r="K197" t="s">
        <v>101</v>
      </c>
      <c r="L197" t="s">
        <v>6583</v>
      </c>
      <c r="M197" t="s">
        <v>6584</v>
      </c>
      <c r="Q197" s="3">
        <f t="shared" si="3"/>
        <v>3839.85</v>
      </c>
    </row>
    <row r="198" spans="1:19" x14ac:dyDescent="0.35">
      <c r="A198" t="s">
        <v>0</v>
      </c>
      <c r="B198" t="s">
        <v>6270</v>
      </c>
      <c r="C198" t="s">
        <v>28</v>
      </c>
      <c r="D198" t="s">
        <v>25</v>
      </c>
      <c r="E198">
        <v>3660.11</v>
      </c>
      <c r="F198" t="s">
        <v>88</v>
      </c>
      <c r="G198" s="19">
        <v>45544</v>
      </c>
      <c r="H198" t="s">
        <v>89</v>
      </c>
      <c r="I198" t="s">
        <v>7158</v>
      </c>
      <c r="J198"/>
      <c r="K198" t="s">
        <v>7159</v>
      </c>
      <c r="L198" t="s">
        <v>7160</v>
      </c>
      <c r="M198" t="s">
        <v>731</v>
      </c>
      <c r="Q198" s="3">
        <f t="shared" si="3"/>
        <v>3660.11</v>
      </c>
    </row>
    <row r="199" spans="1:19" x14ac:dyDescent="0.35">
      <c r="A199" t="s">
        <v>0</v>
      </c>
      <c r="B199" t="s">
        <v>3466</v>
      </c>
      <c r="C199" t="s">
        <v>28</v>
      </c>
      <c r="D199" t="s">
        <v>25</v>
      </c>
      <c r="E199">
        <v>3547.98</v>
      </c>
      <c r="F199" t="s">
        <v>88</v>
      </c>
      <c r="G199" s="19">
        <v>45390</v>
      </c>
      <c r="H199" t="s">
        <v>89</v>
      </c>
      <c r="I199" t="s">
        <v>6287</v>
      </c>
      <c r="J199"/>
      <c r="K199" t="s">
        <v>6288</v>
      </c>
      <c r="L199" t="s">
        <v>6289</v>
      </c>
      <c r="M199" t="s">
        <v>362</v>
      </c>
      <c r="Q199" s="3">
        <f t="shared" si="3"/>
        <v>3547.98</v>
      </c>
    </row>
    <row r="200" spans="1:19" x14ac:dyDescent="0.35">
      <c r="A200" t="s">
        <v>0</v>
      </c>
      <c r="B200" t="s">
        <v>6270</v>
      </c>
      <c r="C200" t="s">
        <v>28</v>
      </c>
      <c r="D200" t="s">
        <v>25</v>
      </c>
      <c r="E200">
        <v>3532.97</v>
      </c>
      <c r="F200" t="s">
        <v>88</v>
      </c>
      <c r="G200" s="19">
        <v>45490</v>
      </c>
      <c r="H200" t="s">
        <v>89</v>
      </c>
      <c r="I200" t="s">
        <v>6802</v>
      </c>
      <c r="J200"/>
      <c r="K200" t="s">
        <v>6803</v>
      </c>
      <c r="L200" t="s">
        <v>6804</v>
      </c>
      <c r="M200" t="s">
        <v>6805</v>
      </c>
      <c r="Q200" s="3">
        <f t="shared" si="3"/>
        <v>3532.97</v>
      </c>
    </row>
    <row r="201" spans="1:19" x14ac:dyDescent="0.35">
      <c r="A201" t="s">
        <v>0</v>
      </c>
      <c r="B201" t="s">
        <v>6270</v>
      </c>
      <c r="C201" t="s">
        <v>28</v>
      </c>
      <c r="D201" t="s">
        <v>25</v>
      </c>
      <c r="E201">
        <v>3509.35</v>
      </c>
      <c r="F201" t="s">
        <v>88</v>
      </c>
      <c r="G201" s="19">
        <v>45483</v>
      </c>
      <c r="H201" t="s">
        <v>89</v>
      </c>
      <c r="I201" t="s">
        <v>6753</v>
      </c>
      <c r="J201"/>
      <c r="K201" t="s">
        <v>101</v>
      </c>
      <c r="L201" t="s">
        <v>6754</v>
      </c>
      <c r="M201" t="s">
        <v>6755</v>
      </c>
      <c r="Q201" s="3">
        <f t="shared" si="3"/>
        <v>3509.35</v>
      </c>
    </row>
    <row r="202" spans="1:19" x14ac:dyDescent="0.35">
      <c r="A202" t="s">
        <v>0</v>
      </c>
      <c r="B202" t="s">
        <v>6270</v>
      </c>
      <c r="C202" t="s">
        <v>28</v>
      </c>
      <c r="D202" t="s">
        <v>25</v>
      </c>
      <c r="E202">
        <v>3403.15</v>
      </c>
      <c r="F202" t="s">
        <v>88</v>
      </c>
      <c r="G202" s="19">
        <v>45489</v>
      </c>
      <c r="H202" t="s">
        <v>89</v>
      </c>
      <c r="I202" t="s">
        <v>6784</v>
      </c>
      <c r="J202"/>
      <c r="K202" t="s">
        <v>101</v>
      </c>
      <c r="L202" t="s">
        <v>6785</v>
      </c>
      <c r="M202" t="s">
        <v>6786</v>
      </c>
      <c r="Q202" s="3">
        <f t="shared" ref="Q202:Q265" si="4">ABS(E202)</f>
        <v>3403.15</v>
      </c>
    </row>
    <row r="203" spans="1:19" x14ac:dyDescent="0.35">
      <c r="A203" t="s">
        <v>0</v>
      </c>
      <c r="B203" t="s">
        <v>6270</v>
      </c>
      <c r="C203" t="s">
        <v>28</v>
      </c>
      <c r="D203" t="s">
        <v>25</v>
      </c>
      <c r="E203">
        <v>3300</v>
      </c>
      <c r="F203" t="s">
        <v>88</v>
      </c>
      <c r="G203" s="19">
        <v>45475</v>
      </c>
      <c r="H203" t="s">
        <v>89</v>
      </c>
      <c r="I203" t="s">
        <v>6714</v>
      </c>
      <c r="J203"/>
      <c r="K203" t="s">
        <v>6716</v>
      </c>
      <c r="L203" t="s">
        <v>6715</v>
      </c>
      <c r="M203" t="s">
        <v>6712</v>
      </c>
      <c r="Q203" s="3">
        <f t="shared" si="4"/>
        <v>3300</v>
      </c>
    </row>
    <row r="204" spans="1:19" x14ac:dyDescent="0.35">
      <c r="A204" t="s">
        <v>0</v>
      </c>
      <c r="B204" t="s">
        <v>1627</v>
      </c>
      <c r="C204" t="s">
        <v>28</v>
      </c>
      <c r="D204" t="s">
        <v>25</v>
      </c>
      <c r="E204">
        <v>3221.59</v>
      </c>
      <c r="F204" t="s">
        <v>88</v>
      </c>
      <c r="G204" s="19">
        <v>45403</v>
      </c>
      <c r="H204" t="s">
        <v>637</v>
      </c>
      <c r="I204" t="s">
        <v>371</v>
      </c>
      <c r="J204"/>
      <c r="Q204" s="3">
        <f t="shared" si="4"/>
        <v>3221.59</v>
      </c>
    </row>
    <row r="205" spans="1:19" x14ac:dyDescent="0.35">
      <c r="A205" t="s">
        <v>35</v>
      </c>
      <c r="B205" t="s">
        <v>6270</v>
      </c>
      <c r="C205" t="s">
        <v>28</v>
      </c>
      <c r="D205" t="s">
        <v>25</v>
      </c>
      <c r="E205">
        <v>3139.46</v>
      </c>
      <c r="F205" t="s">
        <v>88</v>
      </c>
      <c r="G205" s="19">
        <v>45524</v>
      </c>
      <c r="H205" t="s">
        <v>94</v>
      </c>
      <c r="I205" t="s">
        <v>7013</v>
      </c>
      <c r="J205" t="s">
        <v>7014</v>
      </c>
      <c r="O205" t="s">
        <v>7015</v>
      </c>
      <c r="Q205" s="3">
        <f t="shared" si="4"/>
        <v>3139.46</v>
      </c>
    </row>
    <row r="206" spans="1:19" x14ac:dyDescent="0.35">
      <c r="A206" t="s">
        <v>0</v>
      </c>
      <c r="B206" t="s">
        <v>6270</v>
      </c>
      <c r="C206" t="s">
        <v>28</v>
      </c>
      <c r="D206" t="s">
        <v>25</v>
      </c>
      <c r="E206">
        <v>3046.66</v>
      </c>
      <c r="F206" t="s">
        <v>88</v>
      </c>
      <c r="G206" s="19">
        <v>45523</v>
      </c>
      <c r="H206" t="s">
        <v>89</v>
      </c>
      <c r="I206" t="s">
        <v>6963</v>
      </c>
      <c r="J206"/>
      <c r="K206" t="s">
        <v>6964</v>
      </c>
      <c r="L206" t="s">
        <v>6965</v>
      </c>
      <c r="M206" t="s">
        <v>6966</v>
      </c>
      <c r="Q206" s="3">
        <f t="shared" si="4"/>
        <v>3046.66</v>
      </c>
    </row>
    <row r="207" spans="1:19" x14ac:dyDescent="0.35">
      <c r="A207" t="s">
        <v>0</v>
      </c>
      <c r="B207" t="s">
        <v>6270</v>
      </c>
      <c r="C207" t="s">
        <v>28</v>
      </c>
      <c r="D207" t="s">
        <v>25</v>
      </c>
      <c r="E207">
        <v>3025</v>
      </c>
      <c r="F207" t="s">
        <v>88</v>
      </c>
      <c r="G207" s="19">
        <v>45538</v>
      </c>
      <c r="H207" t="s">
        <v>89</v>
      </c>
      <c r="I207" t="s">
        <v>7130</v>
      </c>
      <c r="J207"/>
      <c r="K207" t="s">
        <v>7131</v>
      </c>
      <c r="L207" t="s">
        <v>2672</v>
      </c>
      <c r="M207" t="s">
        <v>6699</v>
      </c>
      <c r="Q207" s="3">
        <f t="shared" si="4"/>
        <v>3025</v>
      </c>
    </row>
    <row r="208" spans="1:19" x14ac:dyDescent="0.35">
      <c r="A208" t="s">
        <v>0</v>
      </c>
      <c r="B208" t="s">
        <v>6270</v>
      </c>
      <c r="C208" t="s">
        <v>28</v>
      </c>
      <c r="D208" t="s">
        <v>25</v>
      </c>
      <c r="E208">
        <v>3000</v>
      </c>
      <c r="F208" t="s">
        <v>88</v>
      </c>
      <c r="G208" s="19">
        <v>45484</v>
      </c>
      <c r="H208" t="s">
        <v>89</v>
      </c>
      <c r="I208" t="s">
        <v>6758</v>
      </c>
      <c r="J208"/>
      <c r="K208" t="s">
        <v>6759</v>
      </c>
      <c r="L208" t="s">
        <v>6760</v>
      </c>
      <c r="M208" t="s">
        <v>1938</v>
      </c>
      <c r="Q208" s="3">
        <f t="shared" si="4"/>
        <v>3000</v>
      </c>
    </row>
    <row r="209" spans="1:19" x14ac:dyDescent="0.35">
      <c r="A209" t="s">
        <v>0</v>
      </c>
      <c r="B209" t="s">
        <v>6270</v>
      </c>
      <c r="C209" t="s">
        <v>28</v>
      </c>
      <c r="D209" t="s">
        <v>25</v>
      </c>
      <c r="E209">
        <v>2924.24</v>
      </c>
      <c r="F209" t="s">
        <v>88</v>
      </c>
      <c r="G209" s="19">
        <v>45551</v>
      </c>
      <c r="H209" t="s">
        <v>89</v>
      </c>
      <c r="I209" t="s">
        <v>7187</v>
      </c>
      <c r="J209"/>
      <c r="K209" t="s">
        <v>7188</v>
      </c>
      <c r="L209" t="s">
        <v>7189</v>
      </c>
      <c r="M209" t="s">
        <v>6783</v>
      </c>
      <c r="Q209" s="3">
        <f t="shared" si="4"/>
        <v>2924.24</v>
      </c>
    </row>
    <row r="210" spans="1:19" ht="72.5" x14ac:dyDescent="0.35">
      <c r="A210" t="s">
        <v>35</v>
      </c>
      <c r="B210" t="s">
        <v>6270</v>
      </c>
      <c r="C210" t="s">
        <v>28</v>
      </c>
      <c r="D210" t="s">
        <v>25</v>
      </c>
      <c r="E210">
        <v>2869.32</v>
      </c>
      <c r="F210" t="s">
        <v>88</v>
      </c>
      <c r="G210" s="19">
        <v>45498</v>
      </c>
      <c r="H210" t="s">
        <v>94</v>
      </c>
      <c r="I210" t="s">
        <v>333</v>
      </c>
      <c r="K210" s="55" t="s">
        <v>6844</v>
      </c>
      <c r="O210" t="s">
        <v>6845</v>
      </c>
      <c r="Q210" s="3">
        <f t="shared" si="4"/>
        <v>2869.32</v>
      </c>
      <c r="S210" s="179" t="s">
        <v>7518</v>
      </c>
    </row>
    <row r="211" spans="1:19" x14ac:dyDescent="0.35">
      <c r="A211" t="s">
        <v>35</v>
      </c>
      <c r="B211" t="s">
        <v>6270</v>
      </c>
      <c r="C211" t="s">
        <v>28</v>
      </c>
      <c r="D211" t="s">
        <v>25</v>
      </c>
      <c r="E211">
        <v>2814.44</v>
      </c>
      <c r="F211" t="s">
        <v>88</v>
      </c>
      <c r="G211" s="19">
        <v>45530</v>
      </c>
      <c r="H211" t="s">
        <v>94</v>
      </c>
      <c r="I211" t="s">
        <v>6650</v>
      </c>
      <c r="J211" t="s">
        <v>7066</v>
      </c>
      <c r="O211" t="s">
        <v>6652</v>
      </c>
      <c r="Q211" s="3">
        <f t="shared" si="4"/>
        <v>2814.44</v>
      </c>
    </row>
    <row r="212" spans="1:19" x14ac:dyDescent="0.35">
      <c r="A212" t="s">
        <v>0</v>
      </c>
      <c r="B212" t="s">
        <v>6270</v>
      </c>
      <c r="C212" t="s">
        <v>28</v>
      </c>
      <c r="D212" t="s">
        <v>25</v>
      </c>
      <c r="E212">
        <v>2767.22</v>
      </c>
      <c r="F212" t="s">
        <v>88</v>
      </c>
      <c r="G212" s="19">
        <v>45544</v>
      </c>
      <c r="H212" t="s">
        <v>89</v>
      </c>
      <c r="I212" t="s">
        <v>7154</v>
      </c>
      <c r="J212"/>
      <c r="K212" t="s">
        <v>7141</v>
      </c>
      <c r="L212" t="s">
        <v>7155</v>
      </c>
      <c r="M212" t="s">
        <v>6786</v>
      </c>
      <c r="Q212" s="3">
        <f t="shared" si="4"/>
        <v>2767.22</v>
      </c>
    </row>
    <row r="213" spans="1:19" x14ac:dyDescent="0.35">
      <c r="A213" t="s">
        <v>0</v>
      </c>
      <c r="B213" t="s">
        <v>6270</v>
      </c>
      <c r="C213" t="s">
        <v>28</v>
      </c>
      <c r="D213" t="s">
        <v>25</v>
      </c>
      <c r="E213">
        <v>2750</v>
      </c>
      <c r="F213" t="s">
        <v>88</v>
      </c>
      <c r="G213" s="19">
        <v>45539</v>
      </c>
      <c r="H213" t="s">
        <v>89</v>
      </c>
      <c r="I213" t="s">
        <v>7133</v>
      </c>
      <c r="J213"/>
      <c r="K213" t="s">
        <v>7134</v>
      </c>
      <c r="L213" t="s">
        <v>3978</v>
      </c>
      <c r="M213" t="s">
        <v>7135</v>
      </c>
      <c r="Q213" s="3">
        <f t="shared" si="4"/>
        <v>2750</v>
      </c>
    </row>
    <row r="214" spans="1:19" x14ac:dyDescent="0.35">
      <c r="A214" t="s">
        <v>0</v>
      </c>
      <c r="B214" t="s">
        <v>6270</v>
      </c>
      <c r="C214" t="s">
        <v>28</v>
      </c>
      <c r="D214" t="s">
        <v>25</v>
      </c>
      <c r="E214">
        <v>2750</v>
      </c>
      <c r="F214" t="s">
        <v>88</v>
      </c>
      <c r="G214" s="19">
        <v>45540</v>
      </c>
      <c r="H214" t="s">
        <v>89</v>
      </c>
      <c r="I214" t="s">
        <v>7140</v>
      </c>
      <c r="J214"/>
      <c r="K214" t="s">
        <v>7141</v>
      </c>
      <c r="L214" t="s">
        <v>7142</v>
      </c>
      <c r="M214" t="s">
        <v>6805</v>
      </c>
      <c r="Q214" s="3">
        <f t="shared" si="4"/>
        <v>2750</v>
      </c>
    </row>
    <row r="215" spans="1:19" x14ac:dyDescent="0.35">
      <c r="A215" t="s">
        <v>35</v>
      </c>
      <c r="B215" t="s">
        <v>6270</v>
      </c>
      <c r="C215" t="s">
        <v>28</v>
      </c>
      <c r="D215" t="s">
        <v>25</v>
      </c>
      <c r="E215">
        <v>2728.18</v>
      </c>
      <c r="F215" t="s">
        <v>88</v>
      </c>
      <c r="G215" s="19">
        <v>45524</v>
      </c>
      <c r="H215" t="s">
        <v>94</v>
      </c>
      <c r="I215" t="s">
        <v>6777</v>
      </c>
      <c r="J215" t="s">
        <v>6990</v>
      </c>
      <c r="O215" t="s">
        <v>6831</v>
      </c>
      <c r="Q215" s="3">
        <f t="shared" si="4"/>
        <v>2728.18</v>
      </c>
    </row>
    <row r="216" spans="1:19" x14ac:dyDescent="0.35">
      <c r="A216" t="s">
        <v>0</v>
      </c>
      <c r="B216" t="s">
        <v>864</v>
      </c>
      <c r="C216" t="s">
        <v>28</v>
      </c>
      <c r="D216" t="s">
        <v>25</v>
      </c>
      <c r="E216">
        <v>2720.32</v>
      </c>
      <c r="F216" t="s">
        <v>88</v>
      </c>
      <c r="G216" s="19">
        <v>45404</v>
      </c>
      <c r="H216" t="s">
        <v>89</v>
      </c>
      <c r="I216" t="s">
        <v>6408</v>
      </c>
      <c r="J216"/>
      <c r="K216" t="s">
        <v>6409</v>
      </c>
      <c r="L216" t="s">
        <v>6410</v>
      </c>
      <c r="M216" t="s">
        <v>6248</v>
      </c>
      <c r="Q216" s="3">
        <f t="shared" si="4"/>
        <v>2720.32</v>
      </c>
    </row>
    <row r="217" spans="1:19" x14ac:dyDescent="0.35">
      <c r="A217" t="s">
        <v>0</v>
      </c>
      <c r="B217" t="s">
        <v>6270</v>
      </c>
      <c r="C217" t="s">
        <v>28</v>
      </c>
      <c r="D217" t="s">
        <v>25</v>
      </c>
      <c r="E217">
        <v>2666.66</v>
      </c>
      <c r="F217" t="s">
        <v>88</v>
      </c>
      <c r="G217" s="19">
        <v>45475</v>
      </c>
      <c r="H217" t="s">
        <v>89</v>
      </c>
      <c r="I217" t="s">
        <v>6714</v>
      </c>
      <c r="J217"/>
      <c r="K217" t="s">
        <v>101</v>
      </c>
      <c r="L217" t="s">
        <v>6715</v>
      </c>
      <c r="M217" t="s">
        <v>6712</v>
      </c>
      <c r="Q217" s="3">
        <f t="shared" si="4"/>
        <v>2666.66</v>
      </c>
    </row>
    <row r="218" spans="1:19" x14ac:dyDescent="0.35">
      <c r="A218" t="s">
        <v>0</v>
      </c>
      <c r="B218" t="s">
        <v>3466</v>
      </c>
      <c r="C218" t="s">
        <v>28</v>
      </c>
      <c r="D218" t="s">
        <v>25</v>
      </c>
      <c r="E218">
        <v>2520.87</v>
      </c>
      <c r="F218" t="s">
        <v>88</v>
      </c>
      <c r="G218" s="19">
        <v>45418</v>
      </c>
      <c r="H218" t="s">
        <v>89</v>
      </c>
      <c r="I218" t="s">
        <v>6465</v>
      </c>
      <c r="J218"/>
      <c r="K218" t="s">
        <v>6288</v>
      </c>
      <c r="L218" t="s">
        <v>6466</v>
      </c>
      <c r="M218" t="s">
        <v>362</v>
      </c>
      <c r="Q218" s="3">
        <f t="shared" si="4"/>
        <v>2520.87</v>
      </c>
    </row>
    <row r="219" spans="1:19" x14ac:dyDescent="0.35">
      <c r="A219" t="s">
        <v>0</v>
      </c>
      <c r="B219" t="s">
        <v>3466</v>
      </c>
      <c r="C219" t="s">
        <v>28</v>
      </c>
      <c r="D219" t="s">
        <v>25</v>
      </c>
      <c r="E219">
        <v>2520.87</v>
      </c>
      <c r="F219" t="s">
        <v>88</v>
      </c>
      <c r="G219" s="19">
        <v>45453</v>
      </c>
      <c r="H219" t="s">
        <v>89</v>
      </c>
      <c r="I219" t="s">
        <v>6607</v>
      </c>
      <c r="J219"/>
      <c r="K219" t="s">
        <v>6608</v>
      </c>
      <c r="L219" t="s">
        <v>6609</v>
      </c>
      <c r="M219" t="s">
        <v>362</v>
      </c>
      <c r="Q219" s="3">
        <f t="shared" si="4"/>
        <v>2520.87</v>
      </c>
    </row>
    <row r="220" spans="1:19" x14ac:dyDescent="0.35">
      <c r="A220" t="s">
        <v>0</v>
      </c>
      <c r="B220" t="s">
        <v>3466</v>
      </c>
      <c r="C220" t="s">
        <v>28</v>
      </c>
      <c r="D220" t="s">
        <v>25</v>
      </c>
      <c r="E220">
        <v>2520.87</v>
      </c>
      <c r="F220" t="s">
        <v>88</v>
      </c>
      <c r="G220" s="19">
        <v>45488</v>
      </c>
      <c r="H220" t="s">
        <v>89</v>
      </c>
      <c r="I220" t="s">
        <v>6766</v>
      </c>
      <c r="J220"/>
      <c r="K220" t="s">
        <v>101</v>
      </c>
      <c r="L220" t="s">
        <v>6767</v>
      </c>
      <c r="M220" t="s">
        <v>362</v>
      </c>
      <c r="Q220" s="3">
        <f t="shared" si="4"/>
        <v>2520.87</v>
      </c>
    </row>
    <row r="221" spans="1:19" x14ac:dyDescent="0.35">
      <c r="A221" t="s">
        <v>0</v>
      </c>
      <c r="B221" t="s">
        <v>3466</v>
      </c>
      <c r="C221" t="s">
        <v>28</v>
      </c>
      <c r="D221" t="s">
        <v>25</v>
      </c>
      <c r="E221">
        <v>2520.87</v>
      </c>
      <c r="F221" t="s">
        <v>88</v>
      </c>
      <c r="G221" s="19">
        <v>45510</v>
      </c>
      <c r="H221" t="s">
        <v>89</v>
      </c>
      <c r="I221" t="s">
        <v>6910</v>
      </c>
      <c r="J221"/>
      <c r="K221" t="s">
        <v>6911</v>
      </c>
      <c r="L221" t="s">
        <v>6912</v>
      </c>
      <c r="M221" t="s">
        <v>362</v>
      </c>
      <c r="Q221" s="3">
        <f t="shared" si="4"/>
        <v>2520.87</v>
      </c>
    </row>
    <row r="222" spans="1:19" x14ac:dyDescent="0.35">
      <c r="A222" t="s">
        <v>0</v>
      </c>
      <c r="B222" t="s">
        <v>3466</v>
      </c>
      <c r="C222" t="s">
        <v>28</v>
      </c>
      <c r="D222" t="s">
        <v>25</v>
      </c>
      <c r="E222">
        <v>2520.87</v>
      </c>
      <c r="F222" t="s">
        <v>88</v>
      </c>
      <c r="G222" s="19">
        <v>45544</v>
      </c>
      <c r="H222" t="s">
        <v>89</v>
      </c>
      <c r="I222" t="s">
        <v>7156</v>
      </c>
      <c r="J222"/>
      <c r="K222" t="s">
        <v>6911</v>
      </c>
      <c r="L222" t="s">
        <v>7157</v>
      </c>
      <c r="M222" t="s">
        <v>362</v>
      </c>
      <c r="Q222" s="3">
        <f t="shared" si="4"/>
        <v>2520.87</v>
      </c>
    </row>
    <row r="223" spans="1:19" x14ac:dyDescent="0.35">
      <c r="A223" t="s">
        <v>0</v>
      </c>
      <c r="B223" t="s">
        <v>3466</v>
      </c>
      <c r="C223" t="s">
        <v>28</v>
      </c>
      <c r="D223" t="s">
        <v>25</v>
      </c>
      <c r="E223">
        <v>2520.87</v>
      </c>
      <c r="F223" t="s">
        <v>88</v>
      </c>
      <c r="G223" s="19">
        <v>45579</v>
      </c>
      <c r="H223" t="s">
        <v>89</v>
      </c>
      <c r="I223" t="s">
        <v>7312</v>
      </c>
      <c r="J223"/>
      <c r="K223" t="s">
        <v>6911</v>
      </c>
      <c r="L223" t="s">
        <v>7313</v>
      </c>
      <c r="M223" t="s">
        <v>362</v>
      </c>
      <c r="Q223" s="3">
        <f t="shared" si="4"/>
        <v>2520.87</v>
      </c>
    </row>
    <row r="224" spans="1:19" x14ac:dyDescent="0.35">
      <c r="A224" t="s">
        <v>0</v>
      </c>
      <c r="B224" t="s">
        <v>3466</v>
      </c>
      <c r="C224" t="s">
        <v>28</v>
      </c>
      <c r="D224" t="s">
        <v>25</v>
      </c>
      <c r="E224">
        <v>2520.87</v>
      </c>
      <c r="F224" t="s">
        <v>88</v>
      </c>
      <c r="G224" s="19">
        <v>45604</v>
      </c>
      <c r="H224" t="s">
        <v>89</v>
      </c>
      <c r="I224" t="s">
        <v>7370</v>
      </c>
      <c r="J224"/>
      <c r="K224" t="s">
        <v>6911</v>
      </c>
      <c r="L224" t="s">
        <v>7371</v>
      </c>
      <c r="M224" t="s">
        <v>362</v>
      </c>
      <c r="Q224" s="3">
        <f t="shared" si="4"/>
        <v>2520.87</v>
      </c>
    </row>
    <row r="225" spans="1:19" x14ac:dyDescent="0.35">
      <c r="A225" t="s">
        <v>0</v>
      </c>
      <c r="B225" t="s">
        <v>3466</v>
      </c>
      <c r="C225" t="s">
        <v>28</v>
      </c>
      <c r="D225" t="s">
        <v>25</v>
      </c>
      <c r="E225">
        <v>2520.87</v>
      </c>
      <c r="F225" t="s">
        <v>88</v>
      </c>
      <c r="G225" s="19">
        <v>45637</v>
      </c>
      <c r="H225" t="s">
        <v>89</v>
      </c>
      <c r="I225" t="s">
        <v>7471</v>
      </c>
      <c r="J225"/>
      <c r="K225" t="s">
        <v>6911</v>
      </c>
      <c r="L225" t="s">
        <v>5469</v>
      </c>
      <c r="M225" t="s">
        <v>362</v>
      </c>
      <c r="Q225" s="3">
        <f t="shared" si="4"/>
        <v>2520.87</v>
      </c>
    </row>
    <row r="226" spans="1:19" x14ac:dyDescent="0.35">
      <c r="A226" t="s">
        <v>35</v>
      </c>
      <c r="B226" t="s">
        <v>6270</v>
      </c>
      <c r="C226" t="s">
        <v>28</v>
      </c>
      <c r="D226" t="s">
        <v>25</v>
      </c>
      <c r="E226">
        <v>2463.64</v>
      </c>
      <c r="F226" t="s">
        <v>88</v>
      </c>
      <c r="G226" s="19">
        <v>45530</v>
      </c>
      <c r="H226" t="s">
        <v>94</v>
      </c>
      <c r="I226" t="s">
        <v>6777</v>
      </c>
      <c r="J226" t="s">
        <v>7072</v>
      </c>
      <c r="O226" t="s">
        <v>6831</v>
      </c>
      <c r="Q226" s="3">
        <f t="shared" si="4"/>
        <v>2463.64</v>
      </c>
    </row>
    <row r="227" spans="1:19" x14ac:dyDescent="0.35">
      <c r="A227" t="s">
        <v>0</v>
      </c>
      <c r="B227" t="s">
        <v>6270</v>
      </c>
      <c r="C227" t="s">
        <v>28</v>
      </c>
      <c r="D227" t="s">
        <v>25</v>
      </c>
      <c r="E227">
        <v>2435.6799999999998</v>
      </c>
      <c r="F227" t="s">
        <v>88</v>
      </c>
      <c r="G227" s="19">
        <v>45505</v>
      </c>
      <c r="H227" t="s">
        <v>89</v>
      </c>
      <c r="I227" t="s">
        <v>6851</v>
      </c>
      <c r="J227"/>
      <c r="K227" t="s">
        <v>6852</v>
      </c>
      <c r="L227" t="s">
        <v>6853</v>
      </c>
      <c r="M227" t="s">
        <v>147</v>
      </c>
      <c r="Q227" s="3">
        <f t="shared" si="4"/>
        <v>2435.6799999999998</v>
      </c>
    </row>
    <row r="228" spans="1:19" x14ac:dyDescent="0.35">
      <c r="A228" t="s">
        <v>0</v>
      </c>
      <c r="B228" t="s">
        <v>6270</v>
      </c>
      <c r="C228" t="s">
        <v>28</v>
      </c>
      <c r="D228" t="s">
        <v>25</v>
      </c>
      <c r="E228">
        <v>2387</v>
      </c>
      <c r="F228" t="s">
        <v>88</v>
      </c>
      <c r="G228" s="19">
        <v>45489</v>
      </c>
      <c r="H228" t="s">
        <v>89</v>
      </c>
      <c r="I228" t="s">
        <v>6791</v>
      </c>
      <c r="J228"/>
      <c r="K228" t="s">
        <v>6792</v>
      </c>
      <c r="L228" t="s">
        <v>6793</v>
      </c>
      <c r="M228" t="s">
        <v>6790</v>
      </c>
      <c r="Q228" s="3">
        <f t="shared" si="4"/>
        <v>2387</v>
      </c>
    </row>
    <row r="229" spans="1:19" ht="72.5" x14ac:dyDescent="0.35">
      <c r="A229" t="s">
        <v>35</v>
      </c>
      <c r="B229" t="s">
        <v>6270</v>
      </c>
      <c r="C229" t="s">
        <v>28</v>
      </c>
      <c r="D229" t="s">
        <v>25</v>
      </c>
      <c r="E229">
        <v>2213.86</v>
      </c>
      <c r="F229" t="s">
        <v>88</v>
      </c>
      <c r="G229" s="19">
        <v>45593</v>
      </c>
      <c r="H229" t="s">
        <v>94</v>
      </c>
      <c r="I229" t="s">
        <v>6811</v>
      </c>
      <c r="K229" s="55" t="s">
        <v>7341</v>
      </c>
      <c r="O229" t="s">
        <v>6837</v>
      </c>
      <c r="Q229" s="3">
        <f t="shared" si="4"/>
        <v>2213.86</v>
      </c>
      <c r="S229" s="55" t="s">
        <v>7518</v>
      </c>
    </row>
    <row r="230" spans="1:19" x14ac:dyDescent="0.35">
      <c r="A230" t="s">
        <v>0</v>
      </c>
      <c r="B230" t="s">
        <v>6270</v>
      </c>
      <c r="C230" t="s">
        <v>28</v>
      </c>
      <c r="D230" t="s">
        <v>25</v>
      </c>
      <c r="E230">
        <v>2200</v>
      </c>
      <c r="F230" t="s">
        <v>88</v>
      </c>
      <c r="G230" s="19">
        <v>45630</v>
      </c>
      <c r="H230" t="s">
        <v>89</v>
      </c>
      <c r="I230" t="s">
        <v>7421</v>
      </c>
      <c r="J230"/>
      <c r="K230" t="s">
        <v>7422</v>
      </c>
      <c r="L230" t="s">
        <v>7423</v>
      </c>
      <c r="M230" t="s">
        <v>6909</v>
      </c>
      <c r="Q230" s="3">
        <f t="shared" si="4"/>
        <v>2200</v>
      </c>
    </row>
    <row r="231" spans="1:19" ht="72.5" x14ac:dyDescent="0.35">
      <c r="A231" t="s">
        <v>35</v>
      </c>
      <c r="B231" t="s">
        <v>6270</v>
      </c>
      <c r="C231" t="s">
        <v>28</v>
      </c>
      <c r="D231" t="s">
        <v>25</v>
      </c>
      <c r="E231">
        <v>2096.14</v>
      </c>
      <c r="F231" t="s">
        <v>88</v>
      </c>
      <c r="G231" s="19">
        <v>45498</v>
      </c>
      <c r="H231" t="s">
        <v>94</v>
      </c>
      <c r="I231" t="s">
        <v>333</v>
      </c>
      <c r="K231" t="s">
        <v>6836</v>
      </c>
      <c r="O231" t="s">
        <v>6837</v>
      </c>
      <c r="Q231" s="3">
        <f t="shared" si="4"/>
        <v>2096.14</v>
      </c>
      <c r="S231" s="55" t="s">
        <v>7518</v>
      </c>
    </row>
    <row r="232" spans="1:19" x14ac:dyDescent="0.35">
      <c r="A232" t="s">
        <v>0</v>
      </c>
      <c r="B232" t="s">
        <v>6270</v>
      </c>
      <c r="C232" t="s">
        <v>28</v>
      </c>
      <c r="D232" t="s">
        <v>25</v>
      </c>
      <c r="E232">
        <v>1990.2</v>
      </c>
      <c r="F232" t="s">
        <v>88</v>
      </c>
      <c r="G232" s="19">
        <v>45488</v>
      </c>
      <c r="H232" t="s">
        <v>89</v>
      </c>
      <c r="I232" t="s">
        <v>6771</v>
      </c>
      <c r="J232"/>
      <c r="K232" t="s">
        <v>6772</v>
      </c>
      <c r="L232" t="s">
        <v>6732</v>
      </c>
      <c r="M232" t="s">
        <v>6773</v>
      </c>
      <c r="Q232" s="3">
        <f t="shared" si="4"/>
        <v>1990.2</v>
      </c>
    </row>
    <row r="233" spans="1:19" x14ac:dyDescent="0.35">
      <c r="A233" t="s">
        <v>0</v>
      </c>
      <c r="B233" t="s">
        <v>6270</v>
      </c>
      <c r="C233" t="s">
        <v>28</v>
      </c>
      <c r="D233" t="s">
        <v>25</v>
      </c>
      <c r="E233">
        <v>1980</v>
      </c>
      <c r="F233" t="s">
        <v>88</v>
      </c>
      <c r="G233" s="19">
        <v>45544</v>
      </c>
      <c r="H233" t="s">
        <v>89</v>
      </c>
      <c r="I233" t="s">
        <v>7151</v>
      </c>
      <c r="J233"/>
      <c r="K233" t="s">
        <v>7152</v>
      </c>
      <c r="L233" t="s">
        <v>7153</v>
      </c>
      <c r="M233" t="s">
        <v>230</v>
      </c>
      <c r="Q233" s="3">
        <f t="shared" si="4"/>
        <v>1980</v>
      </c>
    </row>
    <row r="234" spans="1:19" x14ac:dyDescent="0.35">
      <c r="A234" t="s">
        <v>35</v>
      </c>
      <c r="B234" t="s">
        <v>598</v>
      </c>
      <c r="C234" t="s">
        <v>28</v>
      </c>
      <c r="D234" t="s">
        <v>25</v>
      </c>
      <c r="E234">
        <v>1946.22</v>
      </c>
      <c r="F234" t="s">
        <v>88</v>
      </c>
      <c r="G234" s="19">
        <v>45399</v>
      </c>
      <c r="H234" t="s">
        <v>89</v>
      </c>
      <c r="I234" t="s">
        <v>6372</v>
      </c>
      <c r="J234"/>
      <c r="K234" t="s">
        <v>6373</v>
      </c>
      <c r="L234" t="s">
        <v>6374</v>
      </c>
      <c r="M234" t="s">
        <v>226</v>
      </c>
      <c r="Q234" s="3">
        <f t="shared" si="4"/>
        <v>1946.22</v>
      </c>
    </row>
    <row r="235" spans="1:19" x14ac:dyDescent="0.35">
      <c r="A235" t="s">
        <v>35</v>
      </c>
      <c r="B235" t="s">
        <v>2720</v>
      </c>
      <c r="C235" t="s">
        <v>28</v>
      </c>
      <c r="D235" t="s">
        <v>25</v>
      </c>
      <c r="E235">
        <v>1850.68</v>
      </c>
      <c r="F235" t="s">
        <v>88</v>
      </c>
      <c r="G235" s="19">
        <v>45638</v>
      </c>
      <c r="H235" t="s">
        <v>94</v>
      </c>
      <c r="I235" t="s">
        <v>6683</v>
      </c>
      <c r="J235" t="s">
        <v>5313</v>
      </c>
      <c r="O235" t="s">
        <v>7458</v>
      </c>
      <c r="Q235" s="3">
        <f t="shared" si="4"/>
        <v>1850.68</v>
      </c>
    </row>
    <row r="236" spans="1:19" ht="72.5" x14ac:dyDescent="0.35">
      <c r="A236" t="s">
        <v>35</v>
      </c>
      <c r="B236" t="s">
        <v>6270</v>
      </c>
      <c r="C236" t="s">
        <v>28</v>
      </c>
      <c r="D236" t="s">
        <v>25</v>
      </c>
      <c r="E236">
        <v>1836.36</v>
      </c>
      <c r="F236" t="s">
        <v>88</v>
      </c>
      <c r="G236" s="19">
        <v>45630</v>
      </c>
      <c r="H236" t="s">
        <v>94</v>
      </c>
      <c r="I236" t="s">
        <v>6811</v>
      </c>
      <c r="K236" s="55" t="s">
        <v>7425</v>
      </c>
      <c r="O236" t="s">
        <v>6813</v>
      </c>
      <c r="Q236" s="3">
        <f t="shared" si="4"/>
        <v>1836.36</v>
      </c>
      <c r="S236" s="55" t="s">
        <v>7518</v>
      </c>
    </row>
    <row r="237" spans="1:19" x14ac:dyDescent="0.35">
      <c r="A237" t="s">
        <v>0</v>
      </c>
      <c r="B237" t="s">
        <v>6270</v>
      </c>
      <c r="C237" t="s">
        <v>28</v>
      </c>
      <c r="D237" t="s">
        <v>25</v>
      </c>
      <c r="E237">
        <v>1800</v>
      </c>
      <c r="F237" t="s">
        <v>88</v>
      </c>
      <c r="G237" s="19">
        <v>45511</v>
      </c>
      <c r="H237" t="s">
        <v>89</v>
      </c>
      <c r="I237" t="s">
        <v>6917</v>
      </c>
      <c r="J237"/>
      <c r="K237" t="s">
        <v>6918</v>
      </c>
      <c r="L237" t="s">
        <v>6919</v>
      </c>
      <c r="M237" t="s">
        <v>230</v>
      </c>
      <c r="Q237" s="3">
        <f t="shared" si="4"/>
        <v>1800</v>
      </c>
    </row>
    <row r="238" spans="1:19" x14ac:dyDescent="0.35">
      <c r="A238" t="s">
        <v>0</v>
      </c>
      <c r="B238" t="s">
        <v>6270</v>
      </c>
      <c r="C238" t="s">
        <v>28</v>
      </c>
      <c r="D238" t="s">
        <v>25</v>
      </c>
      <c r="E238">
        <v>1777.9</v>
      </c>
      <c r="F238" t="s">
        <v>88</v>
      </c>
      <c r="G238" s="19">
        <v>45510</v>
      </c>
      <c r="H238" t="s">
        <v>89</v>
      </c>
      <c r="I238" t="s">
        <v>6882</v>
      </c>
      <c r="J238"/>
      <c r="K238" t="s">
        <v>6883</v>
      </c>
      <c r="L238" t="s">
        <v>6884</v>
      </c>
      <c r="M238" t="s">
        <v>100</v>
      </c>
      <c r="Q238" s="3">
        <f t="shared" si="4"/>
        <v>1777.9</v>
      </c>
    </row>
    <row r="239" spans="1:19" x14ac:dyDescent="0.35">
      <c r="A239" t="s">
        <v>35</v>
      </c>
      <c r="B239" t="s">
        <v>2720</v>
      </c>
      <c r="C239" t="s">
        <v>28</v>
      </c>
      <c r="D239" t="s">
        <v>25</v>
      </c>
      <c r="E239">
        <v>1742.85</v>
      </c>
      <c r="F239" t="s">
        <v>88</v>
      </c>
      <c r="G239" s="19">
        <v>45636</v>
      </c>
      <c r="H239" t="s">
        <v>94</v>
      </c>
      <c r="I239" t="s">
        <v>381</v>
      </c>
      <c r="J239" t="s">
        <v>5313</v>
      </c>
      <c r="O239" t="s">
        <v>7412</v>
      </c>
      <c r="Q239" s="3">
        <f t="shared" si="4"/>
        <v>1742.85</v>
      </c>
    </row>
    <row r="240" spans="1:19" x14ac:dyDescent="0.35">
      <c r="A240" t="s">
        <v>35</v>
      </c>
      <c r="B240" t="s">
        <v>842</v>
      </c>
      <c r="C240" t="s">
        <v>28</v>
      </c>
      <c r="D240" t="s">
        <v>25</v>
      </c>
      <c r="E240">
        <v>1715.08</v>
      </c>
      <c r="F240" t="s">
        <v>88</v>
      </c>
      <c r="G240" s="19">
        <v>45602</v>
      </c>
      <c r="H240" t="s">
        <v>94</v>
      </c>
      <c r="I240" t="s">
        <v>5743</v>
      </c>
      <c r="J240" t="s">
        <v>7368</v>
      </c>
      <c r="O240" t="s">
        <v>7369</v>
      </c>
      <c r="Q240" s="3">
        <f t="shared" si="4"/>
        <v>1715.08</v>
      </c>
    </row>
    <row r="241" spans="1:17" x14ac:dyDescent="0.35">
      <c r="A241" t="s">
        <v>0</v>
      </c>
      <c r="B241" t="s">
        <v>6270</v>
      </c>
      <c r="C241" t="s">
        <v>28</v>
      </c>
      <c r="D241" t="s">
        <v>25</v>
      </c>
      <c r="E241">
        <v>1672</v>
      </c>
      <c r="F241" t="s">
        <v>88</v>
      </c>
      <c r="G241" s="19">
        <v>45489</v>
      </c>
      <c r="H241" t="s">
        <v>89</v>
      </c>
      <c r="I241" t="s">
        <v>6787</v>
      </c>
      <c r="J241"/>
      <c r="K241" t="s">
        <v>6788</v>
      </c>
      <c r="L241" t="s">
        <v>6789</v>
      </c>
      <c r="M241" t="s">
        <v>6790</v>
      </c>
      <c r="Q241" s="3">
        <f t="shared" si="4"/>
        <v>1672</v>
      </c>
    </row>
    <row r="242" spans="1:17" x14ac:dyDescent="0.35">
      <c r="A242" t="s">
        <v>35</v>
      </c>
      <c r="B242" t="s">
        <v>6270</v>
      </c>
      <c r="C242" t="s">
        <v>28</v>
      </c>
      <c r="D242" t="s">
        <v>25</v>
      </c>
      <c r="E242">
        <v>1654.7</v>
      </c>
      <c r="F242" t="s">
        <v>88</v>
      </c>
      <c r="G242" s="19">
        <v>45636</v>
      </c>
      <c r="H242" t="s">
        <v>94</v>
      </c>
      <c r="I242" t="s">
        <v>7462</v>
      </c>
      <c r="J242" t="s">
        <v>5313</v>
      </c>
      <c r="O242" t="s">
        <v>7463</v>
      </c>
      <c r="Q242" s="3">
        <f t="shared" si="4"/>
        <v>1654.7</v>
      </c>
    </row>
    <row r="243" spans="1:17" x14ac:dyDescent="0.35">
      <c r="A243" t="s">
        <v>35</v>
      </c>
      <c r="B243" t="s">
        <v>2720</v>
      </c>
      <c r="C243" t="s">
        <v>28</v>
      </c>
      <c r="D243" t="s">
        <v>25</v>
      </c>
      <c r="E243">
        <v>1529.85</v>
      </c>
      <c r="F243" t="s">
        <v>88</v>
      </c>
      <c r="G243" s="19">
        <v>45624</v>
      </c>
      <c r="H243" t="s">
        <v>94</v>
      </c>
      <c r="I243" t="s">
        <v>331</v>
      </c>
      <c r="J243" t="s">
        <v>7410</v>
      </c>
      <c r="O243" t="s">
        <v>7411</v>
      </c>
      <c r="Q243" s="3">
        <f t="shared" si="4"/>
        <v>1529.85</v>
      </c>
    </row>
    <row r="244" spans="1:17" x14ac:dyDescent="0.35">
      <c r="A244" t="s">
        <v>35</v>
      </c>
      <c r="B244" t="s">
        <v>842</v>
      </c>
      <c r="C244" t="s">
        <v>28</v>
      </c>
      <c r="D244" t="s">
        <v>25</v>
      </c>
      <c r="E244">
        <v>1504.59</v>
      </c>
      <c r="F244" t="s">
        <v>88</v>
      </c>
      <c r="G244" s="19">
        <v>45636</v>
      </c>
      <c r="H244" t="s">
        <v>94</v>
      </c>
      <c r="I244" t="s">
        <v>5743</v>
      </c>
      <c r="J244" t="s">
        <v>7451</v>
      </c>
      <c r="O244" t="s">
        <v>7452</v>
      </c>
      <c r="Q244" s="3">
        <f t="shared" si="4"/>
        <v>1504.59</v>
      </c>
    </row>
    <row r="245" spans="1:17" x14ac:dyDescent="0.35">
      <c r="A245" t="s">
        <v>0</v>
      </c>
      <c r="B245" t="s">
        <v>6270</v>
      </c>
      <c r="C245" t="s">
        <v>28</v>
      </c>
      <c r="D245" t="s">
        <v>25</v>
      </c>
      <c r="E245">
        <v>1500</v>
      </c>
      <c r="F245" t="s">
        <v>88</v>
      </c>
      <c r="G245" s="19">
        <v>45477</v>
      </c>
      <c r="H245" t="s">
        <v>89</v>
      </c>
      <c r="I245" t="s">
        <v>6730</v>
      </c>
      <c r="J245"/>
      <c r="K245" t="s">
        <v>6731</v>
      </c>
      <c r="L245" t="s">
        <v>6732</v>
      </c>
      <c r="M245" t="s">
        <v>6733</v>
      </c>
      <c r="Q245" s="3">
        <f t="shared" si="4"/>
        <v>1500</v>
      </c>
    </row>
    <row r="246" spans="1:17" x14ac:dyDescent="0.35">
      <c r="A246" t="s">
        <v>35</v>
      </c>
      <c r="B246" t="s">
        <v>6270</v>
      </c>
      <c r="C246" t="s">
        <v>28</v>
      </c>
      <c r="D246" t="s">
        <v>25</v>
      </c>
      <c r="E246">
        <v>1475.47</v>
      </c>
      <c r="F246" t="s">
        <v>88</v>
      </c>
      <c r="G246" s="19">
        <v>45524</v>
      </c>
      <c r="H246" t="s">
        <v>94</v>
      </c>
      <c r="I246" t="s">
        <v>7019</v>
      </c>
      <c r="J246" t="s">
        <v>5313</v>
      </c>
      <c r="O246" t="s">
        <v>7020</v>
      </c>
      <c r="Q246" s="3">
        <f t="shared" si="4"/>
        <v>1475.47</v>
      </c>
    </row>
    <row r="247" spans="1:17" x14ac:dyDescent="0.35">
      <c r="A247" t="s">
        <v>0</v>
      </c>
      <c r="B247" t="s">
        <v>6270</v>
      </c>
      <c r="C247" t="s">
        <v>28</v>
      </c>
      <c r="D247" t="s">
        <v>25</v>
      </c>
      <c r="E247">
        <v>1424.8</v>
      </c>
      <c r="F247" t="s">
        <v>88</v>
      </c>
      <c r="G247" s="19">
        <v>45489</v>
      </c>
      <c r="H247" t="s">
        <v>89</v>
      </c>
      <c r="I247" t="s">
        <v>6794</v>
      </c>
      <c r="J247"/>
      <c r="K247" t="s">
        <v>6795</v>
      </c>
      <c r="L247" t="s">
        <v>6796</v>
      </c>
      <c r="M247" t="s">
        <v>6797</v>
      </c>
      <c r="Q247" s="3">
        <f t="shared" si="4"/>
        <v>1424.8</v>
      </c>
    </row>
    <row r="248" spans="1:17" x14ac:dyDescent="0.35">
      <c r="A248" t="s">
        <v>35</v>
      </c>
      <c r="B248" t="s">
        <v>6270</v>
      </c>
      <c r="C248" t="s">
        <v>28</v>
      </c>
      <c r="D248" t="s">
        <v>25</v>
      </c>
      <c r="E248">
        <v>1389.22</v>
      </c>
      <c r="F248" t="s">
        <v>88</v>
      </c>
      <c r="G248" s="19">
        <v>45462</v>
      </c>
      <c r="H248" t="s">
        <v>94</v>
      </c>
      <c r="I248" t="s">
        <v>6650</v>
      </c>
      <c r="J248" t="s">
        <v>6651</v>
      </c>
      <c r="O248" t="s">
        <v>6652</v>
      </c>
      <c r="Q248" s="3">
        <f t="shared" si="4"/>
        <v>1389.22</v>
      </c>
    </row>
    <row r="249" spans="1:17" x14ac:dyDescent="0.35">
      <c r="A249" t="s">
        <v>35</v>
      </c>
      <c r="B249" t="s">
        <v>6270</v>
      </c>
      <c r="C249" t="s">
        <v>28</v>
      </c>
      <c r="D249" t="s">
        <v>25</v>
      </c>
      <c r="E249">
        <v>1389.22</v>
      </c>
      <c r="F249" t="s">
        <v>88</v>
      </c>
      <c r="G249" s="19">
        <v>45462</v>
      </c>
      <c r="H249" t="s">
        <v>94</v>
      </c>
      <c r="I249" t="s">
        <v>6650</v>
      </c>
      <c r="J249" t="s">
        <v>6653</v>
      </c>
      <c r="O249" t="s">
        <v>6652</v>
      </c>
      <c r="Q249" s="3">
        <f t="shared" si="4"/>
        <v>1389.22</v>
      </c>
    </row>
    <row r="250" spans="1:17" x14ac:dyDescent="0.35">
      <c r="A250" t="s">
        <v>0</v>
      </c>
      <c r="B250" t="s">
        <v>6270</v>
      </c>
      <c r="C250" t="s">
        <v>28</v>
      </c>
      <c r="D250" t="s">
        <v>25</v>
      </c>
      <c r="E250">
        <v>-1363.64</v>
      </c>
      <c r="F250" t="s">
        <v>88</v>
      </c>
      <c r="G250" s="19">
        <v>45392</v>
      </c>
      <c r="H250" t="s">
        <v>6271</v>
      </c>
      <c r="I250" t="s">
        <v>6293</v>
      </c>
      <c r="J250"/>
      <c r="Q250" s="3">
        <f t="shared" si="4"/>
        <v>1363.64</v>
      </c>
    </row>
    <row r="251" spans="1:17" x14ac:dyDescent="0.35">
      <c r="A251" t="s">
        <v>0</v>
      </c>
      <c r="B251" t="s">
        <v>6270</v>
      </c>
      <c r="C251" t="s">
        <v>28</v>
      </c>
      <c r="D251" t="s">
        <v>25</v>
      </c>
      <c r="E251">
        <v>-1363.64</v>
      </c>
      <c r="F251" t="s">
        <v>88</v>
      </c>
      <c r="G251" s="19">
        <v>45406</v>
      </c>
      <c r="H251" t="s">
        <v>6425</v>
      </c>
      <c r="I251" t="s">
        <v>6427</v>
      </c>
      <c r="J251"/>
      <c r="Q251" s="3">
        <f t="shared" si="4"/>
        <v>1363.64</v>
      </c>
    </row>
    <row r="252" spans="1:17" x14ac:dyDescent="0.35">
      <c r="A252" t="s">
        <v>0</v>
      </c>
      <c r="B252" t="s">
        <v>6270</v>
      </c>
      <c r="C252" t="s">
        <v>28</v>
      </c>
      <c r="D252" t="s">
        <v>25</v>
      </c>
      <c r="E252">
        <v>-1363.64</v>
      </c>
      <c r="F252" t="s">
        <v>88</v>
      </c>
      <c r="G252" s="19">
        <v>45408</v>
      </c>
      <c r="H252" t="s">
        <v>6425</v>
      </c>
      <c r="I252" t="s">
        <v>6431</v>
      </c>
      <c r="J252"/>
      <c r="Q252" s="3">
        <f t="shared" si="4"/>
        <v>1363.64</v>
      </c>
    </row>
    <row r="253" spans="1:17" x14ac:dyDescent="0.35">
      <c r="A253" t="s">
        <v>0</v>
      </c>
      <c r="B253" t="s">
        <v>6270</v>
      </c>
      <c r="C253" t="s">
        <v>28</v>
      </c>
      <c r="D253" t="s">
        <v>25</v>
      </c>
      <c r="E253">
        <v>-1363.64</v>
      </c>
      <c r="F253" t="s">
        <v>88</v>
      </c>
      <c r="G253" s="19">
        <v>45408</v>
      </c>
      <c r="H253" t="s">
        <v>6425</v>
      </c>
      <c r="I253" t="s">
        <v>6433</v>
      </c>
      <c r="J253"/>
      <c r="Q253" s="3">
        <f t="shared" si="4"/>
        <v>1363.64</v>
      </c>
    </row>
    <row r="254" spans="1:17" x14ac:dyDescent="0.35">
      <c r="A254" t="s">
        <v>0</v>
      </c>
      <c r="B254" t="s">
        <v>6270</v>
      </c>
      <c r="C254" t="s">
        <v>28</v>
      </c>
      <c r="D254" t="s">
        <v>25</v>
      </c>
      <c r="E254">
        <v>-1363.64</v>
      </c>
      <c r="F254" t="s">
        <v>88</v>
      </c>
      <c r="G254" s="19">
        <v>45415</v>
      </c>
      <c r="H254" t="s">
        <v>6441</v>
      </c>
      <c r="I254" t="s">
        <v>6458</v>
      </c>
      <c r="J254"/>
      <c r="Q254" s="3">
        <f t="shared" si="4"/>
        <v>1363.64</v>
      </c>
    </row>
    <row r="255" spans="1:17" x14ac:dyDescent="0.35">
      <c r="A255" t="s">
        <v>0</v>
      </c>
      <c r="B255" t="s">
        <v>6270</v>
      </c>
      <c r="C255" t="s">
        <v>28</v>
      </c>
      <c r="D255" t="s">
        <v>25</v>
      </c>
      <c r="E255">
        <v>-1363.64</v>
      </c>
      <c r="F255" t="s">
        <v>88</v>
      </c>
      <c r="G255" s="19">
        <v>45432</v>
      </c>
      <c r="H255" t="s">
        <v>6471</v>
      </c>
      <c r="I255" t="s">
        <v>6491</v>
      </c>
      <c r="J255"/>
      <c r="Q255" s="3">
        <f t="shared" si="4"/>
        <v>1363.64</v>
      </c>
    </row>
    <row r="256" spans="1:17" x14ac:dyDescent="0.35">
      <c r="A256" t="s">
        <v>0</v>
      </c>
      <c r="B256" t="s">
        <v>6270</v>
      </c>
      <c r="C256" t="s">
        <v>28</v>
      </c>
      <c r="D256" t="s">
        <v>25</v>
      </c>
      <c r="E256">
        <v>-1363.64</v>
      </c>
      <c r="F256" t="s">
        <v>88</v>
      </c>
      <c r="G256" s="19">
        <v>45435</v>
      </c>
      <c r="H256" t="s">
        <v>6471</v>
      </c>
      <c r="I256" t="s">
        <v>6517</v>
      </c>
      <c r="J256"/>
      <c r="Q256" s="3">
        <f t="shared" si="4"/>
        <v>1363.64</v>
      </c>
    </row>
    <row r="257" spans="1:19" x14ac:dyDescent="0.35">
      <c r="A257" t="s">
        <v>0</v>
      </c>
      <c r="B257" t="s">
        <v>6270</v>
      </c>
      <c r="C257" t="s">
        <v>28</v>
      </c>
      <c r="D257" t="s">
        <v>25</v>
      </c>
      <c r="E257">
        <v>-1363.64</v>
      </c>
      <c r="F257" t="s">
        <v>88</v>
      </c>
      <c r="G257" s="19">
        <v>45447</v>
      </c>
      <c r="H257" t="s">
        <v>6536</v>
      </c>
      <c r="I257" t="s">
        <v>6565</v>
      </c>
      <c r="J257"/>
      <c r="Q257" s="3">
        <f t="shared" si="4"/>
        <v>1363.64</v>
      </c>
    </row>
    <row r="258" spans="1:19" x14ac:dyDescent="0.35">
      <c r="A258" t="s">
        <v>0</v>
      </c>
      <c r="B258" t="s">
        <v>6270</v>
      </c>
      <c r="C258" t="s">
        <v>28</v>
      </c>
      <c r="D258" t="s">
        <v>25</v>
      </c>
      <c r="E258">
        <v>1360</v>
      </c>
      <c r="F258" t="s">
        <v>88</v>
      </c>
      <c r="G258" s="19">
        <v>45544</v>
      </c>
      <c r="H258" t="s">
        <v>89</v>
      </c>
      <c r="I258" t="s">
        <v>7148</v>
      </c>
      <c r="J258"/>
      <c r="K258" t="s">
        <v>7149</v>
      </c>
      <c r="L258" t="s">
        <v>7150</v>
      </c>
      <c r="M258" t="s">
        <v>230</v>
      </c>
      <c r="Q258" s="3">
        <f t="shared" si="4"/>
        <v>1360</v>
      </c>
    </row>
    <row r="259" spans="1:19" x14ac:dyDescent="0.35">
      <c r="A259" t="s">
        <v>0</v>
      </c>
      <c r="B259" t="s">
        <v>599</v>
      </c>
      <c r="C259" t="s">
        <v>28</v>
      </c>
      <c r="D259" t="s">
        <v>25</v>
      </c>
      <c r="E259">
        <v>1326.43</v>
      </c>
      <c r="F259" t="s">
        <v>88</v>
      </c>
      <c r="G259" s="19">
        <v>45511</v>
      </c>
      <c r="H259" t="s">
        <v>89</v>
      </c>
      <c r="I259" t="s">
        <v>6920</v>
      </c>
      <c r="J259"/>
      <c r="K259" t="s">
        <v>6921</v>
      </c>
      <c r="L259" t="s">
        <v>6922</v>
      </c>
      <c r="M259" t="s">
        <v>359</v>
      </c>
      <c r="Q259" s="3">
        <f t="shared" si="4"/>
        <v>1326.43</v>
      </c>
    </row>
    <row r="260" spans="1:19" x14ac:dyDescent="0.35">
      <c r="A260" t="s">
        <v>0</v>
      </c>
      <c r="B260" t="s">
        <v>6270</v>
      </c>
      <c r="C260" t="s">
        <v>28</v>
      </c>
      <c r="D260" t="s">
        <v>25</v>
      </c>
      <c r="E260">
        <v>1325.54</v>
      </c>
      <c r="F260" t="s">
        <v>88</v>
      </c>
      <c r="G260" s="19">
        <v>45475</v>
      </c>
      <c r="H260" t="s">
        <v>89</v>
      </c>
      <c r="I260" t="s">
        <v>6709</v>
      </c>
      <c r="J260"/>
      <c r="K260" t="s">
        <v>6713</v>
      </c>
      <c r="L260" t="s">
        <v>6711</v>
      </c>
      <c r="M260" t="s">
        <v>6712</v>
      </c>
      <c r="Q260" s="3">
        <f t="shared" si="4"/>
        <v>1325.54</v>
      </c>
    </row>
    <row r="261" spans="1:19" ht="72.5" x14ac:dyDescent="0.35">
      <c r="A261" t="s">
        <v>35</v>
      </c>
      <c r="B261" t="s">
        <v>6270</v>
      </c>
      <c r="C261" t="s">
        <v>28</v>
      </c>
      <c r="D261" t="s">
        <v>25</v>
      </c>
      <c r="E261">
        <v>1310.73</v>
      </c>
      <c r="F261" t="s">
        <v>88</v>
      </c>
      <c r="G261" s="19">
        <v>45553</v>
      </c>
      <c r="H261" t="s">
        <v>94</v>
      </c>
      <c r="I261" t="s">
        <v>7228</v>
      </c>
      <c r="K261" s="55" t="s">
        <v>7231</v>
      </c>
      <c r="O261" t="s">
        <v>7232</v>
      </c>
      <c r="Q261" s="3">
        <f t="shared" si="4"/>
        <v>1310.73</v>
      </c>
      <c r="S261" s="55" t="s">
        <v>7518</v>
      </c>
    </row>
    <row r="262" spans="1:19" ht="72.5" x14ac:dyDescent="0.35">
      <c r="A262" t="s">
        <v>35</v>
      </c>
      <c r="B262" t="s">
        <v>600</v>
      </c>
      <c r="C262" t="s">
        <v>28</v>
      </c>
      <c r="D262" t="s">
        <v>25</v>
      </c>
      <c r="E262">
        <v>1284.6400000000001</v>
      </c>
      <c r="F262" t="s">
        <v>88</v>
      </c>
      <c r="G262" s="19">
        <v>45537</v>
      </c>
      <c r="H262" t="s">
        <v>94</v>
      </c>
      <c r="I262" t="s">
        <v>3085</v>
      </c>
      <c r="K262" s="55" t="s">
        <v>7096</v>
      </c>
      <c r="O262" t="s">
        <v>7097</v>
      </c>
      <c r="Q262" s="3">
        <f t="shared" si="4"/>
        <v>1284.6400000000001</v>
      </c>
      <c r="S262" s="55" t="s">
        <v>7518</v>
      </c>
    </row>
    <row r="263" spans="1:19" x14ac:dyDescent="0.35">
      <c r="A263" t="s">
        <v>0</v>
      </c>
      <c r="B263" t="s">
        <v>599</v>
      </c>
      <c r="C263" t="s">
        <v>28</v>
      </c>
      <c r="D263" t="s">
        <v>25</v>
      </c>
      <c r="E263">
        <v>1278.3699999999999</v>
      </c>
      <c r="F263" t="s">
        <v>88</v>
      </c>
      <c r="G263" s="19">
        <v>45390</v>
      </c>
      <c r="H263" t="s">
        <v>89</v>
      </c>
      <c r="I263" t="s">
        <v>6285</v>
      </c>
      <c r="J263"/>
      <c r="K263" t="s">
        <v>101</v>
      </c>
      <c r="L263" t="s">
        <v>6286</v>
      </c>
      <c r="M263" t="s">
        <v>359</v>
      </c>
      <c r="Q263" s="3">
        <f t="shared" si="4"/>
        <v>1278.3699999999999</v>
      </c>
    </row>
    <row r="264" spans="1:19" x14ac:dyDescent="0.35">
      <c r="A264" t="s">
        <v>0</v>
      </c>
      <c r="B264" t="s">
        <v>599</v>
      </c>
      <c r="C264" t="s">
        <v>28</v>
      </c>
      <c r="D264" t="s">
        <v>25</v>
      </c>
      <c r="E264">
        <v>1253.67</v>
      </c>
      <c r="F264" t="s">
        <v>88</v>
      </c>
      <c r="G264" s="19">
        <v>45600</v>
      </c>
      <c r="H264" t="s">
        <v>89</v>
      </c>
      <c r="I264" t="s">
        <v>7360</v>
      </c>
      <c r="J264"/>
      <c r="K264" t="s">
        <v>6921</v>
      </c>
      <c r="L264" t="s">
        <v>7361</v>
      </c>
      <c r="M264" t="s">
        <v>359</v>
      </c>
      <c r="Q264" s="3">
        <f t="shared" si="4"/>
        <v>1253.67</v>
      </c>
    </row>
    <row r="265" spans="1:19" x14ac:dyDescent="0.35">
      <c r="A265" t="s">
        <v>35</v>
      </c>
      <c r="B265" t="s">
        <v>6270</v>
      </c>
      <c r="C265" t="s">
        <v>28</v>
      </c>
      <c r="D265" t="s">
        <v>25</v>
      </c>
      <c r="E265">
        <v>1220.96</v>
      </c>
      <c r="F265" t="s">
        <v>88</v>
      </c>
      <c r="G265" s="19">
        <v>45513</v>
      </c>
      <c r="H265" t="s">
        <v>94</v>
      </c>
      <c r="I265" t="s">
        <v>6929</v>
      </c>
      <c r="J265" t="s">
        <v>6930</v>
      </c>
      <c r="O265" t="s">
        <v>6931</v>
      </c>
      <c r="Q265" s="3">
        <f t="shared" si="4"/>
        <v>1220.96</v>
      </c>
    </row>
    <row r="266" spans="1:19" x14ac:dyDescent="0.35">
      <c r="A266" t="s">
        <v>0</v>
      </c>
      <c r="B266" t="s">
        <v>599</v>
      </c>
      <c r="C266" t="s">
        <v>28</v>
      </c>
      <c r="D266" t="s">
        <v>25</v>
      </c>
      <c r="E266">
        <v>1219.76</v>
      </c>
      <c r="F266" t="s">
        <v>88</v>
      </c>
      <c r="G266" s="19">
        <v>45414</v>
      </c>
      <c r="H266" t="s">
        <v>89</v>
      </c>
      <c r="I266" t="s">
        <v>6449</v>
      </c>
      <c r="J266"/>
      <c r="K266" t="s">
        <v>6450</v>
      </c>
      <c r="L266" t="s">
        <v>6451</v>
      </c>
      <c r="M266" t="s">
        <v>359</v>
      </c>
      <c r="Q266" s="3">
        <f t="shared" ref="Q266:Q329" si="5">ABS(E266)</f>
        <v>1219.76</v>
      </c>
    </row>
    <row r="267" spans="1:19" x14ac:dyDescent="0.35">
      <c r="A267" t="s">
        <v>0</v>
      </c>
      <c r="B267" t="s">
        <v>6270</v>
      </c>
      <c r="C267" t="s">
        <v>28</v>
      </c>
      <c r="D267" t="s">
        <v>25</v>
      </c>
      <c r="E267">
        <v>1163.25</v>
      </c>
      <c r="F267" t="s">
        <v>88</v>
      </c>
      <c r="G267" s="19">
        <v>45510</v>
      </c>
      <c r="H267" t="s">
        <v>89</v>
      </c>
      <c r="I267" t="s">
        <v>6903</v>
      </c>
      <c r="J267"/>
      <c r="K267" t="s">
        <v>6904</v>
      </c>
      <c r="L267" t="s">
        <v>6905</v>
      </c>
      <c r="M267" t="s">
        <v>147</v>
      </c>
      <c r="Q267" s="3">
        <f t="shared" si="5"/>
        <v>1163.25</v>
      </c>
    </row>
    <row r="268" spans="1:19" x14ac:dyDescent="0.35">
      <c r="A268" t="s">
        <v>35</v>
      </c>
      <c r="B268" t="s">
        <v>2720</v>
      </c>
      <c r="C268" t="s">
        <v>28</v>
      </c>
      <c r="D268" t="s">
        <v>25</v>
      </c>
      <c r="E268">
        <v>1130</v>
      </c>
      <c r="F268" t="s">
        <v>88</v>
      </c>
      <c r="G268" s="19">
        <v>45624</v>
      </c>
      <c r="H268" t="s">
        <v>94</v>
      </c>
      <c r="I268" t="s">
        <v>7413</v>
      </c>
      <c r="J268" t="s">
        <v>7410</v>
      </c>
      <c r="O268" t="s">
        <v>7414</v>
      </c>
      <c r="Q268" s="3">
        <f t="shared" si="5"/>
        <v>1130</v>
      </c>
    </row>
    <row r="269" spans="1:19" x14ac:dyDescent="0.35">
      <c r="A269" t="s">
        <v>0</v>
      </c>
      <c r="B269" t="s">
        <v>6270</v>
      </c>
      <c r="C269" t="s">
        <v>28</v>
      </c>
      <c r="D269" t="s">
        <v>25</v>
      </c>
      <c r="E269">
        <v>1122</v>
      </c>
      <c r="F269" t="s">
        <v>88</v>
      </c>
      <c r="G269" s="19">
        <v>45510</v>
      </c>
      <c r="H269" t="s">
        <v>89</v>
      </c>
      <c r="I269" t="s">
        <v>6873</v>
      </c>
      <c r="J269"/>
      <c r="K269" t="s">
        <v>6874</v>
      </c>
      <c r="L269" t="s">
        <v>6875</v>
      </c>
      <c r="M269" t="s">
        <v>364</v>
      </c>
      <c r="Q269" s="3">
        <f t="shared" si="5"/>
        <v>1122</v>
      </c>
    </row>
    <row r="270" spans="1:19" x14ac:dyDescent="0.35">
      <c r="A270" t="s">
        <v>35</v>
      </c>
      <c r="B270" t="s">
        <v>2720</v>
      </c>
      <c r="C270" t="s">
        <v>28</v>
      </c>
      <c r="D270" t="s">
        <v>25</v>
      </c>
      <c r="E270">
        <v>1111.1400000000001</v>
      </c>
      <c r="F270" t="s">
        <v>88</v>
      </c>
      <c r="G270" s="19">
        <v>45636</v>
      </c>
      <c r="H270" t="s">
        <v>94</v>
      </c>
      <c r="I270" t="s">
        <v>6683</v>
      </c>
      <c r="J270" t="s">
        <v>5313</v>
      </c>
      <c r="O270" t="s">
        <v>7458</v>
      </c>
      <c r="Q270" s="3">
        <f t="shared" si="5"/>
        <v>1111.1400000000001</v>
      </c>
    </row>
    <row r="271" spans="1:19" x14ac:dyDescent="0.35">
      <c r="A271" t="s">
        <v>35</v>
      </c>
      <c r="B271" t="s">
        <v>1416</v>
      </c>
      <c r="C271" t="s">
        <v>28</v>
      </c>
      <c r="D271" t="s">
        <v>25</v>
      </c>
      <c r="E271">
        <v>1085.25</v>
      </c>
      <c r="F271" t="s">
        <v>88</v>
      </c>
      <c r="G271" s="19">
        <v>45621</v>
      </c>
      <c r="H271" t="s">
        <v>94</v>
      </c>
      <c r="I271" t="s">
        <v>3085</v>
      </c>
      <c r="J271" t="s">
        <v>7402</v>
      </c>
      <c r="O271" t="s">
        <v>4995</v>
      </c>
      <c r="Q271" s="3">
        <f t="shared" si="5"/>
        <v>1085.25</v>
      </c>
    </row>
    <row r="272" spans="1:19" x14ac:dyDescent="0.35">
      <c r="A272" t="s">
        <v>0</v>
      </c>
      <c r="B272" t="s">
        <v>599</v>
      </c>
      <c r="C272" t="s">
        <v>28</v>
      </c>
      <c r="D272" t="s">
        <v>25</v>
      </c>
      <c r="E272">
        <v>1079.96</v>
      </c>
      <c r="F272" t="s">
        <v>88</v>
      </c>
      <c r="G272" s="19">
        <v>45448</v>
      </c>
      <c r="H272" t="s">
        <v>89</v>
      </c>
      <c r="I272" t="s">
        <v>6566</v>
      </c>
      <c r="J272"/>
      <c r="K272" t="s">
        <v>101</v>
      </c>
      <c r="L272" t="s">
        <v>6567</v>
      </c>
      <c r="M272" t="s">
        <v>359</v>
      </c>
      <c r="Q272" s="3">
        <f t="shared" si="5"/>
        <v>1079.96</v>
      </c>
    </row>
    <row r="273" spans="1:19" x14ac:dyDescent="0.35">
      <c r="A273" t="s">
        <v>0</v>
      </c>
      <c r="B273" t="s">
        <v>6270</v>
      </c>
      <c r="C273" t="s">
        <v>28</v>
      </c>
      <c r="D273" t="s">
        <v>25</v>
      </c>
      <c r="E273">
        <v>1056</v>
      </c>
      <c r="F273" t="s">
        <v>88</v>
      </c>
      <c r="G273" s="19">
        <v>45478</v>
      </c>
      <c r="H273" t="s">
        <v>89</v>
      </c>
      <c r="I273" t="s">
        <v>6744</v>
      </c>
      <c r="J273"/>
      <c r="K273" t="s">
        <v>6745</v>
      </c>
      <c r="L273" t="s">
        <v>6746</v>
      </c>
      <c r="M273" t="s">
        <v>364</v>
      </c>
      <c r="Q273" s="3">
        <f t="shared" si="5"/>
        <v>1056</v>
      </c>
    </row>
    <row r="274" spans="1:19" x14ac:dyDescent="0.35">
      <c r="A274" t="s">
        <v>0</v>
      </c>
      <c r="B274" t="s">
        <v>6270</v>
      </c>
      <c r="C274" t="s">
        <v>28</v>
      </c>
      <c r="D274" t="s">
        <v>25</v>
      </c>
      <c r="E274">
        <v>1056</v>
      </c>
      <c r="F274" t="s">
        <v>88</v>
      </c>
      <c r="G274" s="19">
        <v>45538</v>
      </c>
      <c r="H274" t="s">
        <v>89</v>
      </c>
      <c r="I274" t="s">
        <v>7112</v>
      </c>
      <c r="J274"/>
      <c r="K274" t="s">
        <v>7113</v>
      </c>
      <c r="L274" t="s">
        <v>7114</v>
      </c>
      <c r="M274" t="s">
        <v>364</v>
      </c>
      <c r="Q274" s="3">
        <f t="shared" si="5"/>
        <v>1056</v>
      </c>
    </row>
    <row r="275" spans="1:19" x14ac:dyDescent="0.35">
      <c r="A275" t="s">
        <v>0</v>
      </c>
      <c r="B275" t="s">
        <v>6270</v>
      </c>
      <c r="C275" t="s">
        <v>28</v>
      </c>
      <c r="D275" t="s">
        <v>25</v>
      </c>
      <c r="E275">
        <v>1056</v>
      </c>
      <c r="F275" t="s">
        <v>88</v>
      </c>
      <c r="G275" s="19">
        <v>45635</v>
      </c>
      <c r="H275" t="s">
        <v>89</v>
      </c>
      <c r="I275" t="s">
        <v>7445</v>
      </c>
      <c r="J275"/>
      <c r="K275" t="s">
        <v>7446</v>
      </c>
      <c r="L275" t="s">
        <v>7447</v>
      </c>
      <c r="M275" t="s">
        <v>364</v>
      </c>
      <c r="Q275" s="3">
        <f t="shared" si="5"/>
        <v>1056</v>
      </c>
    </row>
    <row r="276" spans="1:19" ht="72.5" x14ac:dyDescent="0.35">
      <c r="A276" t="s">
        <v>35</v>
      </c>
      <c r="B276" t="s">
        <v>6270</v>
      </c>
      <c r="C276" t="s">
        <v>28</v>
      </c>
      <c r="D276" t="s">
        <v>25</v>
      </c>
      <c r="E276">
        <v>1040.79</v>
      </c>
      <c r="F276" t="s">
        <v>88</v>
      </c>
      <c r="G276" s="19">
        <v>45530</v>
      </c>
      <c r="H276" t="s">
        <v>94</v>
      </c>
      <c r="I276" t="s">
        <v>7019</v>
      </c>
      <c r="K276" t="s">
        <v>7083</v>
      </c>
      <c r="O276" t="s">
        <v>7084</v>
      </c>
      <c r="Q276" s="3">
        <f t="shared" si="5"/>
        <v>1040.79</v>
      </c>
      <c r="S276" s="55" t="s">
        <v>7518</v>
      </c>
    </row>
    <row r="277" spans="1:19" x14ac:dyDescent="0.35">
      <c r="A277" t="s">
        <v>35</v>
      </c>
      <c r="B277" t="s">
        <v>6270</v>
      </c>
      <c r="C277" t="s">
        <v>28</v>
      </c>
      <c r="D277" t="s">
        <v>25</v>
      </c>
      <c r="E277">
        <v>1026.3599999999999</v>
      </c>
      <c r="F277" t="s">
        <v>88</v>
      </c>
      <c r="G277" s="19">
        <v>45505</v>
      </c>
      <c r="H277" t="s">
        <v>94</v>
      </c>
      <c r="I277" t="s">
        <v>6650</v>
      </c>
      <c r="J277" t="s">
        <v>6865</v>
      </c>
      <c r="O277" t="s">
        <v>6866</v>
      </c>
      <c r="Q277" s="3">
        <f t="shared" si="5"/>
        <v>1026.3599999999999</v>
      </c>
    </row>
    <row r="278" spans="1:19" x14ac:dyDescent="0.35">
      <c r="A278" t="s">
        <v>35</v>
      </c>
      <c r="B278" t="s">
        <v>599</v>
      </c>
      <c r="C278" t="s">
        <v>28</v>
      </c>
      <c r="D278" t="s">
        <v>25</v>
      </c>
      <c r="E278">
        <v>1009.09</v>
      </c>
      <c r="F278" t="s">
        <v>88</v>
      </c>
      <c r="G278" s="19">
        <v>45611</v>
      </c>
      <c r="H278" t="s">
        <v>94</v>
      </c>
      <c r="I278" t="s">
        <v>246</v>
      </c>
      <c r="J278" t="s">
        <v>7385</v>
      </c>
      <c r="O278" t="s">
        <v>1038</v>
      </c>
      <c r="Q278" s="3">
        <f t="shared" si="5"/>
        <v>1009.09</v>
      </c>
    </row>
    <row r="279" spans="1:19" x14ac:dyDescent="0.35">
      <c r="A279" t="s">
        <v>0</v>
      </c>
      <c r="B279" t="s">
        <v>6270</v>
      </c>
      <c r="C279" t="s">
        <v>28</v>
      </c>
      <c r="D279" t="s">
        <v>25</v>
      </c>
      <c r="E279">
        <v>990</v>
      </c>
      <c r="F279" t="s">
        <v>88</v>
      </c>
      <c r="G279" s="19">
        <v>45510</v>
      </c>
      <c r="H279" t="s">
        <v>89</v>
      </c>
      <c r="I279" t="s">
        <v>6876</v>
      </c>
      <c r="J279"/>
      <c r="K279" t="s">
        <v>6877</v>
      </c>
      <c r="L279" t="s">
        <v>6878</v>
      </c>
      <c r="M279" t="s">
        <v>364</v>
      </c>
      <c r="Q279" s="3">
        <f t="shared" si="5"/>
        <v>990</v>
      </c>
    </row>
    <row r="280" spans="1:19" ht="72.5" x14ac:dyDescent="0.35">
      <c r="A280" t="s">
        <v>35</v>
      </c>
      <c r="B280" t="s">
        <v>6270</v>
      </c>
      <c r="C280" t="s">
        <v>28</v>
      </c>
      <c r="D280" t="s">
        <v>25</v>
      </c>
      <c r="E280">
        <v>963.64</v>
      </c>
      <c r="F280" t="s">
        <v>88</v>
      </c>
      <c r="G280" s="19">
        <v>45593</v>
      </c>
      <c r="H280" t="s">
        <v>94</v>
      </c>
      <c r="I280" t="s">
        <v>6811</v>
      </c>
      <c r="K280" s="55" t="s">
        <v>7342</v>
      </c>
      <c r="O280" t="s">
        <v>7343</v>
      </c>
      <c r="Q280" s="3">
        <f t="shared" si="5"/>
        <v>963.64</v>
      </c>
      <c r="S280" s="55" t="s">
        <v>7518</v>
      </c>
    </row>
    <row r="281" spans="1:19" x14ac:dyDescent="0.35">
      <c r="A281" t="s">
        <v>0</v>
      </c>
      <c r="B281" t="s">
        <v>599</v>
      </c>
      <c r="C281" t="s">
        <v>28</v>
      </c>
      <c r="D281" t="s">
        <v>25</v>
      </c>
      <c r="E281">
        <v>955.86</v>
      </c>
      <c r="F281" t="s">
        <v>88</v>
      </c>
      <c r="G281" s="19">
        <v>45482</v>
      </c>
      <c r="H281" t="s">
        <v>89</v>
      </c>
      <c r="I281" t="s">
        <v>6750</v>
      </c>
      <c r="J281"/>
      <c r="K281" t="s">
        <v>6751</v>
      </c>
      <c r="L281" t="s">
        <v>6752</v>
      </c>
      <c r="M281" t="s">
        <v>359</v>
      </c>
      <c r="Q281" s="3">
        <f t="shared" si="5"/>
        <v>955.86</v>
      </c>
    </row>
    <row r="282" spans="1:19" x14ac:dyDescent="0.35">
      <c r="A282" t="s">
        <v>35</v>
      </c>
      <c r="B282" t="s">
        <v>6270</v>
      </c>
      <c r="C282" t="s">
        <v>28</v>
      </c>
      <c r="D282" t="s">
        <v>25</v>
      </c>
      <c r="E282">
        <v>945.36</v>
      </c>
      <c r="F282" t="s">
        <v>88</v>
      </c>
      <c r="G282" s="19">
        <v>45468</v>
      </c>
      <c r="H282" t="s">
        <v>94</v>
      </c>
      <c r="I282" t="s">
        <v>6688</v>
      </c>
      <c r="J282" t="s">
        <v>6689</v>
      </c>
      <c r="O282" t="s">
        <v>6690</v>
      </c>
      <c r="Q282" s="3">
        <f t="shared" si="5"/>
        <v>945.36</v>
      </c>
    </row>
    <row r="283" spans="1:19" x14ac:dyDescent="0.35">
      <c r="A283" t="s">
        <v>0</v>
      </c>
      <c r="B283" t="s">
        <v>599</v>
      </c>
      <c r="C283" t="s">
        <v>28</v>
      </c>
      <c r="D283" t="s">
        <v>25</v>
      </c>
      <c r="E283">
        <v>943.95</v>
      </c>
      <c r="F283" t="s">
        <v>88</v>
      </c>
      <c r="G283" s="19">
        <v>45461</v>
      </c>
      <c r="H283" t="s">
        <v>89</v>
      </c>
      <c r="I283" t="s">
        <v>6631</v>
      </c>
      <c r="J283"/>
      <c r="K283" t="s">
        <v>6632</v>
      </c>
      <c r="L283" t="s">
        <v>6633</v>
      </c>
      <c r="M283" t="s">
        <v>361</v>
      </c>
      <c r="Q283" s="3">
        <f t="shared" si="5"/>
        <v>943.95</v>
      </c>
    </row>
    <row r="284" spans="1:19" x14ac:dyDescent="0.35">
      <c r="A284" t="s">
        <v>0</v>
      </c>
      <c r="B284" t="s">
        <v>6270</v>
      </c>
      <c r="C284" t="s">
        <v>28</v>
      </c>
      <c r="D284" t="s">
        <v>25</v>
      </c>
      <c r="E284">
        <v>941.87</v>
      </c>
      <c r="F284" t="s">
        <v>88</v>
      </c>
      <c r="G284" s="19">
        <v>45505</v>
      </c>
      <c r="H284" t="s">
        <v>89</v>
      </c>
      <c r="I284" t="s">
        <v>6851</v>
      </c>
      <c r="J284"/>
      <c r="K284" t="s">
        <v>6854</v>
      </c>
      <c r="L284" t="s">
        <v>6853</v>
      </c>
      <c r="M284" t="s">
        <v>147</v>
      </c>
      <c r="Q284" s="3">
        <f t="shared" si="5"/>
        <v>941.87</v>
      </c>
    </row>
    <row r="285" spans="1:19" x14ac:dyDescent="0.35">
      <c r="A285" t="s">
        <v>0</v>
      </c>
      <c r="B285" t="s">
        <v>6270</v>
      </c>
      <c r="C285" t="s">
        <v>28</v>
      </c>
      <c r="D285" t="s">
        <v>25</v>
      </c>
      <c r="E285">
        <v>931.1</v>
      </c>
      <c r="F285" t="s">
        <v>88</v>
      </c>
      <c r="G285" s="19">
        <v>45524</v>
      </c>
      <c r="H285" t="s">
        <v>89</v>
      </c>
      <c r="I285" t="s">
        <v>6981</v>
      </c>
      <c r="J285"/>
      <c r="K285" t="s">
        <v>6982</v>
      </c>
      <c r="L285" t="s">
        <v>6983</v>
      </c>
      <c r="M285" t="s">
        <v>147</v>
      </c>
      <c r="Q285" s="3">
        <f t="shared" si="5"/>
        <v>931.1</v>
      </c>
    </row>
    <row r="286" spans="1:19" ht="72.5" x14ac:dyDescent="0.35">
      <c r="A286" t="s">
        <v>35</v>
      </c>
      <c r="B286" t="s">
        <v>6270</v>
      </c>
      <c r="C286" t="s">
        <v>28</v>
      </c>
      <c r="D286" t="s">
        <v>25</v>
      </c>
      <c r="E286">
        <v>925.91</v>
      </c>
      <c r="F286" t="s">
        <v>88</v>
      </c>
      <c r="G286" s="19">
        <v>45630</v>
      </c>
      <c r="H286" t="s">
        <v>94</v>
      </c>
      <c r="I286" t="s">
        <v>6811</v>
      </c>
      <c r="K286" s="55" t="s">
        <v>7424</v>
      </c>
      <c r="O286" t="s">
        <v>6992</v>
      </c>
      <c r="Q286" s="3">
        <f t="shared" si="5"/>
        <v>925.91</v>
      </c>
      <c r="S286" s="55" t="s">
        <v>7518</v>
      </c>
    </row>
    <row r="287" spans="1:19" x14ac:dyDescent="0.35">
      <c r="A287" t="s">
        <v>0</v>
      </c>
      <c r="B287" t="s">
        <v>6270</v>
      </c>
      <c r="C287" t="s">
        <v>28</v>
      </c>
      <c r="D287" t="s">
        <v>25</v>
      </c>
      <c r="E287">
        <v>924</v>
      </c>
      <c r="F287" t="s">
        <v>88</v>
      </c>
      <c r="G287" s="19">
        <v>45449</v>
      </c>
      <c r="H287" t="s">
        <v>89</v>
      </c>
      <c r="I287" t="s">
        <v>6577</v>
      </c>
      <c r="J287"/>
      <c r="K287" t="s">
        <v>6578</v>
      </c>
      <c r="L287" t="s">
        <v>6579</v>
      </c>
      <c r="M287" t="s">
        <v>364</v>
      </c>
      <c r="Q287" s="3">
        <f t="shared" si="5"/>
        <v>924</v>
      </c>
    </row>
    <row r="288" spans="1:19" x14ac:dyDescent="0.35">
      <c r="A288" t="s">
        <v>0</v>
      </c>
      <c r="B288" t="s">
        <v>6270</v>
      </c>
      <c r="C288" t="s">
        <v>28</v>
      </c>
      <c r="D288" t="s">
        <v>25</v>
      </c>
      <c r="E288">
        <v>919.3</v>
      </c>
      <c r="F288" t="s">
        <v>88</v>
      </c>
      <c r="G288" s="19">
        <v>45538</v>
      </c>
      <c r="H288" t="s">
        <v>89</v>
      </c>
      <c r="I288" t="s">
        <v>7118</v>
      </c>
      <c r="J288"/>
      <c r="K288" t="s">
        <v>7119</v>
      </c>
      <c r="L288" t="s">
        <v>7120</v>
      </c>
      <c r="M288" t="s">
        <v>100</v>
      </c>
      <c r="Q288" s="3">
        <f t="shared" si="5"/>
        <v>919.3</v>
      </c>
    </row>
    <row r="289" spans="1:19" x14ac:dyDescent="0.35">
      <c r="A289" t="s">
        <v>35</v>
      </c>
      <c r="B289" t="s">
        <v>601</v>
      </c>
      <c r="C289" t="s">
        <v>28</v>
      </c>
      <c r="D289" t="s">
        <v>25</v>
      </c>
      <c r="E289">
        <v>917.45</v>
      </c>
      <c r="F289" t="s">
        <v>88</v>
      </c>
      <c r="G289" s="19">
        <v>45565</v>
      </c>
      <c r="H289" t="s">
        <v>94</v>
      </c>
      <c r="I289" t="s">
        <v>7257</v>
      </c>
      <c r="J289" t="s">
        <v>7258</v>
      </c>
      <c r="O289" t="s">
        <v>7259</v>
      </c>
      <c r="Q289" s="3">
        <f t="shared" si="5"/>
        <v>917.45</v>
      </c>
    </row>
    <row r="290" spans="1:19" x14ac:dyDescent="0.35">
      <c r="A290" t="s">
        <v>35</v>
      </c>
      <c r="B290" t="s">
        <v>599</v>
      </c>
      <c r="C290" t="s">
        <v>28</v>
      </c>
      <c r="D290" t="s">
        <v>25</v>
      </c>
      <c r="E290">
        <v>-912.97</v>
      </c>
      <c r="F290" t="s">
        <v>88</v>
      </c>
      <c r="G290" s="19">
        <v>45526</v>
      </c>
      <c r="H290" t="s">
        <v>89</v>
      </c>
      <c r="I290" t="s">
        <v>7033</v>
      </c>
      <c r="J290"/>
      <c r="K290" t="s">
        <v>7034</v>
      </c>
      <c r="L290" t="s">
        <v>7035</v>
      </c>
      <c r="M290" t="s">
        <v>7036</v>
      </c>
      <c r="Q290" s="3">
        <f t="shared" si="5"/>
        <v>912.97</v>
      </c>
    </row>
    <row r="291" spans="1:19" x14ac:dyDescent="0.35">
      <c r="A291" t="s">
        <v>35</v>
      </c>
      <c r="B291" t="s">
        <v>599</v>
      </c>
      <c r="C291" t="s">
        <v>28</v>
      </c>
      <c r="D291" t="s">
        <v>25</v>
      </c>
      <c r="E291">
        <v>912.97</v>
      </c>
      <c r="F291" t="s">
        <v>88</v>
      </c>
      <c r="G291" s="19">
        <v>45526</v>
      </c>
      <c r="H291" t="s">
        <v>89</v>
      </c>
      <c r="I291" t="s">
        <v>7037</v>
      </c>
      <c r="J291"/>
      <c r="K291" t="s">
        <v>7034</v>
      </c>
      <c r="L291" t="s">
        <v>7038</v>
      </c>
      <c r="M291" t="s">
        <v>7036</v>
      </c>
      <c r="Q291" s="3">
        <f t="shared" si="5"/>
        <v>912.97</v>
      </c>
    </row>
    <row r="292" spans="1:19" x14ac:dyDescent="0.35">
      <c r="A292" t="s">
        <v>35</v>
      </c>
      <c r="B292" t="s">
        <v>599</v>
      </c>
      <c r="C292" t="s">
        <v>28</v>
      </c>
      <c r="D292" t="s">
        <v>25</v>
      </c>
      <c r="E292">
        <v>912.97</v>
      </c>
      <c r="F292" t="s">
        <v>88</v>
      </c>
      <c r="G292" s="19">
        <v>45527</v>
      </c>
      <c r="H292" t="s">
        <v>1052</v>
      </c>
      <c r="I292" t="s">
        <v>7033</v>
      </c>
      <c r="J292"/>
      <c r="K292" t="s">
        <v>7034</v>
      </c>
      <c r="L292" t="s">
        <v>7035</v>
      </c>
      <c r="M292" t="s">
        <v>7036</v>
      </c>
      <c r="Q292" s="3">
        <f t="shared" si="5"/>
        <v>912.97</v>
      </c>
    </row>
    <row r="293" spans="1:19" x14ac:dyDescent="0.35">
      <c r="A293" t="s">
        <v>35</v>
      </c>
      <c r="B293" t="s">
        <v>599</v>
      </c>
      <c r="C293" t="s">
        <v>28</v>
      </c>
      <c r="D293" t="s">
        <v>25</v>
      </c>
      <c r="E293">
        <v>-912.97</v>
      </c>
      <c r="F293" t="s">
        <v>88</v>
      </c>
      <c r="G293" s="19">
        <v>45527</v>
      </c>
      <c r="H293" t="s">
        <v>1052</v>
      </c>
      <c r="I293" t="s">
        <v>7037</v>
      </c>
      <c r="J293"/>
      <c r="K293" t="s">
        <v>7034</v>
      </c>
      <c r="L293" t="s">
        <v>7038</v>
      </c>
      <c r="M293" t="s">
        <v>7036</v>
      </c>
      <c r="Q293" s="3">
        <f t="shared" si="5"/>
        <v>912.97</v>
      </c>
    </row>
    <row r="294" spans="1:19" x14ac:dyDescent="0.35">
      <c r="A294" t="s">
        <v>0</v>
      </c>
      <c r="B294" t="s">
        <v>6270</v>
      </c>
      <c r="C294" t="s">
        <v>28</v>
      </c>
      <c r="D294" t="s">
        <v>25</v>
      </c>
      <c r="E294">
        <v>885</v>
      </c>
      <c r="F294" t="s">
        <v>88</v>
      </c>
      <c r="G294" s="19">
        <v>45538</v>
      </c>
      <c r="H294" t="s">
        <v>89</v>
      </c>
      <c r="I294" t="s">
        <v>7130</v>
      </c>
      <c r="J294"/>
      <c r="K294" t="s">
        <v>7132</v>
      </c>
      <c r="L294" t="s">
        <v>2672</v>
      </c>
      <c r="M294" t="s">
        <v>6699</v>
      </c>
      <c r="Q294" s="3">
        <f t="shared" si="5"/>
        <v>885</v>
      </c>
    </row>
    <row r="295" spans="1:19" x14ac:dyDescent="0.35">
      <c r="A295" t="s">
        <v>35</v>
      </c>
      <c r="B295" t="s">
        <v>1423</v>
      </c>
      <c r="C295" t="s">
        <v>28</v>
      </c>
      <c r="D295" t="s">
        <v>25</v>
      </c>
      <c r="E295">
        <v>877.27</v>
      </c>
      <c r="F295" t="s">
        <v>88</v>
      </c>
      <c r="G295" s="19">
        <v>45450</v>
      </c>
      <c r="H295" t="s">
        <v>94</v>
      </c>
      <c r="I295" t="s">
        <v>249</v>
      </c>
      <c r="J295" t="s">
        <v>6593</v>
      </c>
      <c r="O295" t="s">
        <v>1973</v>
      </c>
      <c r="Q295" s="3">
        <f t="shared" si="5"/>
        <v>877.27</v>
      </c>
    </row>
    <row r="296" spans="1:19" x14ac:dyDescent="0.35">
      <c r="A296" t="s">
        <v>35</v>
      </c>
      <c r="B296" t="s">
        <v>969</v>
      </c>
      <c r="C296" t="s">
        <v>28</v>
      </c>
      <c r="D296" t="s">
        <v>25</v>
      </c>
      <c r="E296">
        <v>877.27</v>
      </c>
      <c r="F296" t="s">
        <v>88</v>
      </c>
      <c r="G296" s="19">
        <v>45450</v>
      </c>
      <c r="H296" t="s">
        <v>94</v>
      </c>
      <c r="I296" t="s">
        <v>249</v>
      </c>
      <c r="J296" t="s">
        <v>6593</v>
      </c>
      <c r="O296" t="s">
        <v>1973</v>
      </c>
      <c r="Q296" s="3">
        <f t="shared" si="5"/>
        <v>877.27</v>
      </c>
    </row>
    <row r="297" spans="1:19" x14ac:dyDescent="0.35">
      <c r="A297" t="s">
        <v>0</v>
      </c>
      <c r="B297" t="s">
        <v>6270</v>
      </c>
      <c r="C297" t="s">
        <v>28</v>
      </c>
      <c r="D297" t="s">
        <v>25</v>
      </c>
      <c r="E297">
        <v>856.61</v>
      </c>
      <c r="F297" t="s">
        <v>88</v>
      </c>
      <c r="G297" s="19">
        <v>45567</v>
      </c>
      <c r="H297" t="s">
        <v>89</v>
      </c>
      <c r="I297" t="s">
        <v>7276</v>
      </c>
      <c r="J297"/>
      <c r="K297" t="s">
        <v>7277</v>
      </c>
      <c r="L297" t="s">
        <v>7278</v>
      </c>
      <c r="M297" t="s">
        <v>7024</v>
      </c>
      <c r="Q297" s="3">
        <f t="shared" si="5"/>
        <v>856.61</v>
      </c>
    </row>
    <row r="298" spans="1:19" x14ac:dyDescent="0.35">
      <c r="A298" t="s">
        <v>35</v>
      </c>
      <c r="B298" t="s">
        <v>6270</v>
      </c>
      <c r="C298" t="s">
        <v>28</v>
      </c>
      <c r="D298" t="s">
        <v>25</v>
      </c>
      <c r="E298">
        <v>835.64</v>
      </c>
      <c r="F298" t="s">
        <v>88</v>
      </c>
      <c r="G298" s="19">
        <v>45524</v>
      </c>
      <c r="H298" t="s">
        <v>94</v>
      </c>
      <c r="I298" t="s">
        <v>6683</v>
      </c>
      <c r="J298" t="s">
        <v>7003</v>
      </c>
      <c r="O298" t="s">
        <v>7009</v>
      </c>
      <c r="Q298" s="3">
        <f t="shared" si="5"/>
        <v>835.64</v>
      </c>
    </row>
    <row r="299" spans="1:19" x14ac:dyDescent="0.35">
      <c r="A299" t="s">
        <v>35</v>
      </c>
      <c r="B299" t="s">
        <v>6270</v>
      </c>
      <c r="C299" t="s">
        <v>28</v>
      </c>
      <c r="D299" t="s">
        <v>25</v>
      </c>
      <c r="E299">
        <v>835.38</v>
      </c>
      <c r="F299" t="s">
        <v>88</v>
      </c>
      <c r="G299" s="19">
        <v>45462</v>
      </c>
      <c r="H299" t="s">
        <v>94</v>
      </c>
      <c r="I299" t="s">
        <v>6642</v>
      </c>
      <c r="J299" t="s">
        <v>6643</v>
      </c>
      <c r="O299" t="s">
        <v>6644</v>
      </c>
      <c r="Q299" s="3">
        <f t="shared" si="5"/>
        <v>835.38</v>
      </c>
    </row>
    <row r="300" spans="1:19" x14ac:dyDescent="0.35">
      <c r="A300" t="s">
        <v>35</v>
      </c>
      <c r="B300" t="s">
        <v>6270</v>
      </c>
      <c r="C300" t="s">
        <v>28</v>
      </c>
      <c r="D300" t="s">
        <v>25</v>
      </c>
      <c r="E300">
        <v>827.72</v>
      </c>
      <c r="F300" t="s">
        <v>88</v>
      </c>
      <c r="G300" s="19">
        <v>45398</v>
      </c>
      <c r="H300" t="s">
        <v>94</v>
      </c>
      <c r="I300" t="s">
        <v>333</v>
      </c>
      <c r="J300" t="s">
        <v>6343</v>
      </c>
      <c r="O300" t="s">
        <v>6344</v>
      </c>
      <c r="Q300" s="3">
        <f t="shared" si="5"/>
        <v>827.72</v>
      </c>
    </row>
    <row r="301" spans="1:19" x14ac:dyDescent="0.35">
      <c r="A301" t="s">
        <v>35</v>
      </c>
      <c r="B301" t="s">
        <v>6270</v>
      </c>
      <c r="C301" t="s">
        <v>28</v>
      </c>
      <c r="D301" t="s">
        <v>25</v>
      </c>
      <c r="E301">
        <v>793.43</v>
      </c>
      <c r="F301" t="s">
        <v>88</v>
      </c>
      <c r="G301" s="19">
        <v>45398</v>
      </c>
      <c r="H301" t="s">
        <v>94</v>
      </c>
      <c r="I301" t="s">
        <v>333</v>
      </c>
      <c r="J301" t="s">
        <v>6353</v>
      </c>
      <c r="O301" t="s">
        <v>6354</v>
      </c>
      <c r="Q301" s="3">
        <f t="shared" si="5"/>
        <v>793.43</v>
      </c>
    </row>
    <row r="302" spans="1:19" x14ac:dyDescent="0.35">
      <c r="A302" t="s">
        <v>35</v>
      </c>
      <c r="B302" t="s">
        <v>790</v>
      </c>
      <c r="C302" t="s">
        <v>28</v>
      </c>
      <c r="D302" t="s">
        <v>25</v>
      </c>
      <c r="E302">
        <v>791.36</v>
      </c>
      <c r="F302" t="s">
        <v>88</v>
      </c>
      <c r="G302" s="19">
        <v>45489</v>
      </c>
      <c r="H302" t="s">
        <v>94</v>
      </c>
      <c r="I302" t="s">
        <v>6799</v>
      </c>
      <c r="J302" t="s">
        <v>6800</v>
      </c>
      <c r="O302" t="s">
        <v>5590</v>
      </c>
      <c r="Q302" s="3">
        <f t="shared" si="5"/>
        <v>791.36</v>
      </c>
    </row>
    <row r="303" spans="1:19" ht="87" x14ac:dyDescent="0.35">
      <c r="A303" t="s">
        <v>0</v>
      </c>
      <c r="B303" t="s">
        <v>6270</v>
      </c>
      <c r="C303" t="s">
        <v>28</v>
      </c>
      <c r="D303" t="s">
        <v>25</v>
      </c>
      <c r="E303">
        <v>765.4</v>
      </c>
      <c r="F303" t="s">
        <v>88</v>
      </c>
      <c r="G303" s="19">
        <v>45475</v>
      </c>
      <c r="H303" t="s">
        <v>89</v>
      </c>
      <c r="I303" t="s">
        <v>6720</v>
      </c>
      <c r="J303"/>
      <c r="K303" t="s">
        <v>6721</v>
      </c>
      <c r="L303" t="s">
        <v>6722</v>
      </c>
      <c r="M303" t="s">
        <v>100</v>
      </c>
      <c r="Q303" s="3">
        <f t="shared" si="5"/>
        <v>765.4</v>
      </c>
      <c r="S303" s="55" t="s">
        <v>7519</v>
      </c>
    </row>
    <row r="304" spans="1:19" ht="87" x14ac:dyDescent="0.35">
      <c r="A304" t="s">
        <v>35</v>
      </c>
      <c r="B304" t="s">
        <v>6270</v>
      </c>
      <c r="C304" t="s">
        <v>28</v>
      </c>
      <c r="D304" t="s">
        <v>25</v>
      </c>
      <c r="E304">
        <v>747.86</v>
      </c>
      <c r="F304" t="s">
        <v>88</v>
      </c>
      <c r="G304" s="19">
        <v>45530</v>
      </c>
      <c r="H304" t="s">
        <v>94</v>
      </c>
      <c r="I304" t="s">
        <v>6650</v>
      </c>
      <c r="K304" t="s">
        <v>7062</v>
      </c>
      <c r="O304" t="s">
        <v>7063</v>
      </c>
      <c r="Q304" s="3">
        <f t="shared" si="5"/>
        <v>747.86</v>
      </c>
      <c r="S304" s="55" t="s">
        <v>7519</v>
      </c>
    </row>
    <row r="305" spans="1:19" x14ac:dyDescent="0.35">
      <c r="A305" t="s">
        <v>0</v>
      </c>
      <c r="B305" t="s">
        <v>6270</v>
      </c>
      <c r="C305" t="s">
        <v>28</v>
      </c>
      <c r="D305" t="s">
        <v>25</v>
      </c>
      <c r="E305">
        <v>724.24</v>
      </c>
      <c r="F305" t="s">
        <v>88</v>
      </c>
      <c r="G305" s="19">
        <v>45505</v>
      </c>
      <c r="H305" t="s">
        <v>89</v>
      </c>
      <c r="I305" t="s">
        <v>6859</v>
      </c>
      <c r="J305"/>
      <c r="K305" t="s">
        <v>6860</v>
      </c>
      <c r="L305" t="s">
        <v>6861</v>
      </c>
      <c r="M305" t="s">
        <v>6797</v>
      </c>
      <c r="Q305" s="3">
        <f t="shared" si="5"/>
        <v>724.24</v>
      </c>
    </row>
    <row r="306" spans="1:19" x14ac:dyDescent="0.35">
      <c r="A306" t="s">
        <v>0</v>
      </c>
      <c r="B306" t="s">
        <v>6270</v>
      </c>
      <c r="C306" t="s">
        <v>28</v>
      </c>
      <c r="D306" t="s">
        <v>25</v>
      </c>
      <c r="E306">
        <v>724.24</v>
      </c>
      <c r="F306" t="s">
        <v>88</v>
      </c>
      <c r="G306" s="19">
        <v>45621</v>
      </c>
      <c r="H306" t="s">
        <v>89</v>
      </c>
      <c r="I306" t="s">
        <v>7399</v>
      </c>
      <c r="J306"/>
      <c r="K306" t="s">
        <v>7400</v>
      </c>
      <c r="L306" t="s">
        <v>7401</v>
      </c>
      <c r="M306" t="s">
        <v>6797</v>
      </c>
      <c r="Q306" s="3">
        <f t="shared" si="5"/>
        <v>724.24</v>
      </c>
    </row>
    <row r="307" spans="1:19" x14ac:dyDescent="0.35">
      <c r="A307" t="s">
        <v>0</v>
      </c>
      <c r="B307" t="s">
        <v>6270</v>
      </c>
      <c r="C307" t="s">
        <v>28</v>
      </c>
      <c r="D307" t="s">
        <v>25</v>
      </c>
      <c r="E307">
        <v>711.84</v>
      </c>
      <c r="F307" t="s">
        <v>88</v>
      </c>
      <c r="G307" s="19">
        <v>45551</v>
      </c>
      <c r="H307" t="s">
        <v>89</v>
      </c>
      <c r="I307" t="s">
        <v>7187</v>
      </c>
      <c r="J307"/>
      <c r="K307" t="s">
        <v>7190</v>
      </c>
      <c r="L307" t="s">
        <v>7189</v>
      </c>
      <c r="M307" t="s">
        <v>6783</v>
      </c>
      <c r="Q307" s="3">
        <f t="shared" si="5"/>
        <v>711.84</v>
      </c>
    </row>
    <row r="308" spans="1:19" x14ac:dyDescent="0.35">
      <c r="A308" t="s">
        <v>35</v>
      </c>
      <c r="B308" t="s">
        <v>6270</v>
      </c>
      <c r="C308" t="s">
        <v>28</v>
      </c>
      <c r="D308" t="s">
        <v>25</v>
      </c>
      <c r="E308">
        <v>697.16</v>
      </c>
      <c r="F308" t="s">
        <v>88</v>
      </c>
      <c r="G308" s="19">
        <v>45398</v>
      </c>
      <c r="H308" t="s">
        <v>94</v>
      </c>
      <c r="I308" t="s">
        <v>6316</v>
      </c>
      <c r="J308" t="s">
        <v>6317</v>
      </c>
      <c r="O308" t="s">
        <v>6318</v>
      </c>
      <c r="Q308" s="3">
        <f t="shared" si="5"/>
        <v>697.16</v>
      </c>
    </row>
    <row r="309" spans="1:19" x14ac:dyDescent="0.35">
      <c r="A309" t="s">
        <v>0</v>
      </c>
      <c r="B309" t="s">
        <v>6270</v>
      </c>
      <c r="C309" t="s">
        <v>28</v>
      </c>
      <c r="D309" t="s">
        <v>25</v>
      </c>
      <c r="E309">
        <v>693</v>
      </c>
      <c r="F309" t="s">
        <v>88</v>
      </c>
      <c r="G309" s="19">
        <v>45569</v>
      </c>
      <c r="H309" t="s">
        <v>89</v>
      </c>
      <c r="I309" t="s">
        <v>7286</v>
      </c>
      <c r="J309"/>
      <c r="K309" t="s">
        <v>7287</v>
      </c>
      <c r="L309" t="s">
        <v>7288</v>
      </c>
      <c r="M309" t="s">
        <v>6909</v>
      </c>
      <c r="Q309" s="3">
        <f t="shared" si="5"/>
        <v>693</v>
      </c>
    </row>
    <row r="310" spans="1:19" x14ac:dyDescent="0.35">
      <c r="A310" t="s">
        <v>35</v>
      </c>
      <c r="B310" t="s">
        <v>6270</v>
      </c>
      <c r="C310" t="s">
        <v>28</v>
      </c>
      <c r="D310" t="s">
        <v>25</v>
      </c>
      <c r="E310">
        <v>673.93</v>
      </c>
      <c r="F310" t="s">
        <v>88</v>
      </c>
      <c r="G310" s="19">
        <v>45505</v>
      </c>
      <c r="H310" t="s">
        <v>94</v>
      </c>
      <c r="I310" t="s">
        <v>745</v>
      </c>
      <c r="J310" t="s">
        <v>6867</v>
      </c>
      <c r="O310" t="s">
        <v>6868</v>
      </c>
      <c r="Q310" s="3">
        <f t="shared" si="5"/>
        <v>673.93</v>
      </c>
    </row>
    <row r="311" spans="1:19" x14ac:dyDescent="0.35">
      <c r="A311" t="s">
        <v>0</v>
      </c>
      <c r="B311" t="s">
        <v>6270</v>
      </c>
      <c r="C311" t="s">
        <v>28</v>
      </c>
      <c r="D311" t="s">
        <v>25</v>
      </c>
      <c r="E311">
        <v>663.25</v>
      </c>
      <c r="F311" t="s">
        <v>88</v>
      </c>
      <c r="G311" s="19">
        <v>45548</v>
      </c>
      <c r="H311" t="s">
        <v>89</v>
      </c>
      <c r="I311" t="s">
        <v>7181</v>
      </c>
      <c r="J311"/>
      <c r="K311" t="s">
        <v>7185</v>
      </c>
      <c r="L311" t="s">
        <v>7183</v>
      </c>
      <c r="M311" t="s">
        <v>7184</v>
      </c>
      <c r="Q311" s="3">
        <f t="shared" si="5"/>
        <v>663.25</v>
      </c>
    </row>
    <row r="312" spans="1:19" ht="87" x14ac:dyDescent="0.35">
      <c r="A312" t="s">
        <v>0</v>
      </c>
      <c r="B312" t="s">
        <v>6270</v>
      </c>
      <c r="C312" t="s">
        <v>28</v>
      </c>
      <c r="D312" t="s">
        <v>25</v>
      </c>
      <c r="E312">
        <v>653</v>
      </c>
      <c r="F312" t="s">
        <v>88</v>
      </c>
      <c r="G312" s="19">
        <v>45510</v>
      </c>
      <c r="H312" t="s">
        <v>89</v>
      </c>
      <c r="I312" t="s">
        <v>6900</v>
      </c>
      <c r="J312"/>
      <c r="K312" t="s">
        <v>6901</v>
      </c>
      <c r="L312" t="s">
        <v>6902</v>
      </c>
      <c r="M312" t="s">
        <v>100</v>
      </c>
      <c r="Q312" s="3">
        <f t="shared" si="5"/>
        <v>653</v>
      </c>
      <c r="S312" s="55" t="s">
        <v>7519</v>
      </c>
    </row>
    <row r="313" spans="1:19" x14ac:dyDescent="0.35">
      <c r="A313" t="s">
        <v>35</v>
      </c>
      <c r="B313" t="s">
        <v>605</v>
      </c>
      <c r="C313" t="s">
        <v>28</v>
      </c>
      <c r="D313" t="s">
        <v>25</v>
      </c>
      <c r="E313">
        <v>635.45000000000005</v>
      </c>
      <c r="F313" t="s">
        <v>88</v>
      </c>
      <c r="G313" s="19">
        <v>45489</v>
      </c>
      <c r="H313" t="s">
        <v>94</v>
      </c>
      <c r="I313" t="s">
        <v>926</v>
      </c>
      <c r="J313" t="s">
        <v>293</v>
      </c>
      <c r="O313" t="s">
        <v>6801</v>
      </c>
      <c r="Q313" s="3">
        <f t="shared" si="5"/>
        <v>635.45000000000005</v>
      </c>
    </row>
    <row r="314" spans="1:19" x14ac:dyDescent="0.35">
      <c r="A314" t="s">
        <v>0</v>
      </c>
      <c r="B314" t="s">
        <v>599</v>
      </c>
      <c r="C314" t="s">
        <v>28</v>
      </c>
      <c r="D314" t="s">
        <v>25</v>
      </c>
      <c r="E314">
        <v>628.09</v>
      </c>
      <c r="F314" t="s">
        <v>88</v>
      </c>
      <c r="G314" s="19">
        <v>45597</v>
      </c>
      <c r="H314" t="s">
        <v>89</v>
      </c>
      <c r="I314" t="s">
        <v>7358</v>
      </c>
      <c r="J314"/>
      <c r="K314" t="s">
        <v>360</v>
      </c>
      <c r="L314" t="s">
        <v>7359</v>
      </c>
      <c r="M314" t="s">
        <v>361</v>
      </c>
      <c r="Q314" s="3">
        <f t="shared" si="5"/>
        <v>628.09</v>
      </c>
    </row>
    <row r="315" spans="1:19" ht="87" x14ac:dyDescent="0.35">
      <c r="A315" t="s">
        <v>35</v>
      </c>
      <c r="B315" t="s">
        <v>6270</v>
      </c>
      <c r="C315" t="s">
        <v>28</v>
      </c>
      <c r="D315" t="s">
        <v>25</v>
      </c>
      <c r="E315">
        <v>622.27</v>
      </c>
      <c r="F315" t="s">
        <v>88</v>
      </c>
      <c r="G315" s="19">
        <v>45488</v>
      </c>
      <c r="H315" t="s">
        <v>94</v>
      </c>
      <c r="I315" t="s">
        <v>6656</v>
      </c>
      <c r="K315" t="s">
        <v>6776</v>
      </c>
      <c r="O315" t="s">
        <v>6658</v>
      </c>
      <c r="Q315" s="3">
        <f t="shared" si="5"/>
        <v>622.27</v>
      </c>
      <c r="S315" s="55" t="s">
        <v>7519</v>
      </c>
    </row>
    <row r="316" spans="1:19" x14ac:dyDescent="0.35">
      <c r="A316" t="s">
        <v>0</v>
      </c>
      <c r="B316" t="s">
        <v>6270</v>
      </c>
      <c r="C316" t="s">
        <v>28</v>
      </c>
      <c r="D316" t="s">
        <v>25</v>
      </c>
      <c r="E316">
        <v>594</v>
      </c>
      <c r="F316" t="s">
        <v>88</v>
      </c>
      <c r="G316" s="19">
        <v>45579</v>
      </c>
      <c r="H316" t="s">
        <v>89</v>
      </c>
      <c r="I316" t="s">
        <v>7309</v>
      </c>
      <c r="J316"/>
      <c r="K316" t="s">
        <v>7310</v>
      </c>
      <c r="L316" t="s">
        <v>7311</v>
      </c>
      <c r="M316" t="s">
        <v>364</v>
      </c>
      <c r="Q316" s="3">
        <f t="shared" si="5"/>
        <v>594</v>
      </c>
    </row>
    <row r="317" spans="1:19" x14ac:dyDescent="0.35">
      <c r="A317" t="s">
        <v>35</v>
      </c>
      <c r="B317" t="s">
        <v>934</v>
      </c>
      <c r="C317" t="s">
        <v>28</v>
      </c>
      <c r="D317" t="s">
        <v>25</v>
      </c>
      <c r="E317">
        <v>566.91999999999996</v>
      </c>
      <c r="F317" t="s">
        <v>88</v>
      </c>
      <c r="G317" s="19">
        <v>45537</v>
      </c>
      <c r="H317" t="s">
        <v>94</v>
      </c>
      <c r="I317" t="s">
        <v>456</v>
      </c>
      <c r="J317" t="s">
        <v>7091</v>
      </c>
      <c r="O317" t="s">
        <v>7092</v>
      </c>
      <c r="Q317" s="3">
        <f t="shared" si="5"/>
        <v>566.91999999999996</v>
      </c>
    </row>
    <row r="318" spans="1:19" x14ac:dyDescent="0.35">
      <c r="A318" t="s">
        <v>0</v>
      </c>
      <c r="B318" t="s">
        <v>599</v>
      </c>
      <c r="C318" t="s">
        <v>28</v>
      </c>
      <c r="D318" t="s">
        <v>25</v>
      </c>
      <c r="E318">
        <v>565.66</v>
      </c>
      <c r="F318" t="s">
        <v>88</v>
      </c>
      <c r="G318" s="19">
        <v>45399</v>
      </c>
      <c r="H318" t="s">
        <v>89</v>
      </c>
      <c r="I318" t="s">
        <v>6362</v>
      </c>
      <c r="J318"/>
      <c r="K318" t="s">
        <v>6363</v>
      </c>
      <c r="L318" t="s">
        <v>6364</v>
      </c>
      <c r="M318" t="s">
        <v>361</v>
      </c>
      <c r="Q318" s="3">
        <f t="shared" si="5"/>
        <v>565.66</v>
      </c>
    </row>
    <row r="319" spans="1:19" x14ac:dyDescent="0.35">
      <c r="A319" t="s">
        <v>35</v>
      </c>
      <c r="B319" t="s">
        <v>6270</v>
      </c>
      <c r="C319" t="s">
        <v>28</v>
      </c>
      <c r="D319" t="s">
        <v>25</v>
      </c>
      <c r="E319">
        <v>546.32000000000005</v>
      </c>
      <c r="F319" t="s">
        <v>88</v>
      </c>
      <c r="G319" s="19">
        <v>45513</v>
      </c>
      <c r="H319" t="s">
        <v>94</v>
      </c>
      <c r="I319" t="s">
        <v>6683</v>
      </c>
      <c r="J319" t="s">
        <v>6934</v>
      </c>
      <c r="O319" t="s">
        <v>6935</v>
      </c>
      <c r="Q319" s="3">
        <f t="shared" si="5"/>
        <v>546.32000000000005</v>
      </c>
    </row>
    <row r="320" spans="1:19" x14ac:dyDescent="0.35">
      <c r="A320" t="s">
        <v>0</v>
      </c>
      <c r="B320" t="s">
        <v>6270</v>
      </c>
      <c r="C320" t="s">
        <v>28</v>
      </c>
      <c r="D320" t="s">
        <v>25</v>
      </c>
      <c r="E320">
        <v>520.5</v>
      </c>
      <c r="F320" t="s">
        <v>88</v>
      </c>
      <c r="G320" s="19">
        <v>45475</v>
      </c>
      <c r="H320" t="s">
        <v>89</v>
      </c>
      <c r="I320" t="s">
        <v>6723</v>
      </c>
      <c r="J320"/>
      <c r="K320" t="s">
        <v>6724</v>
      </c>
      <c r="L320" t="s">
        <v>6725</v>
      </c>
      <c r="M320" t="s">
        <v>6726</v>
      </c>
      <c r="Q320" s="3">
        <f t="shared" si="5"/>
        <v>520.5</v>
      </c>
    </row>
    <row r="321" spans="1:19" x14ac:dyDescent="0.35">
      <c r="A321" t="s">
        <v>35</v>
      </c>
      <c r="B321" t="s">
        <v>6270</v>
      </c>
      <c r="C321" t="s">
        <v>28</v>
      </c>
      <c r="D321" t="s">
        <v>25</v>
      </c>
      <c r="E321">
        <v>519.92999999999995</v>
      </c>
      <c r="F321" t="s">
        <v>88</v>
      </c>
      <c r="G321" s="19">
        <v>45593</v>
      </c>
      <c r="H321" t="s">
        <v>94</v>
      </c>
      <c r="I321" t="s">
        <v>6650</v>
      </c>
      <c r="J321" t="s">
        <v>7338</v>
      </c>
      <c r="O321" t="s">
        <v>7339</v>
      </c>
      <c r="Q321" s="3">
        <f t="shared" si="5"/>
        <v>519.92999999999995</v>
      </c>
    </row>
    <row r="322" spans="1:19" x14ac:dyDescent="0.35">
      <c r="A322" t="s">
        <v>35</v>
      </c>
      <c r="B322" t="s">
        <v>6270</v>
      </c>
      <c r="C322" t="s">
        <v>28</v>
      </c>
      <c r="D322" t="s">
        <v>25</v>
      </c>
      <c r="E322">
        <v>519.74</v>
      </c>
      <c r="F322" t="s">
        <v>88</v>
      </c>
      <c r="G322" s="19">
        <v>45498</v>
      </c>
      <c r="H322" t="s">
        <v>94</v>
      </c>
      <c r="I322" t="s">
        <v>6316</v>
      </c>
      <c r="J322" t="s">
        <v>6814</v>
      </c>
      <c r="O322" t="s">
        <v>6815</v>
      </c>
      <c r="Q322" s="3">
        <f t="shared" si="5"/>
        <v>519.74</v>
      </c>
    </row>
    <row r="323" spans="1:19" x14ac:dyDescent="0.35">
      <c r="A323" t="s">
        <v>35</v>
      </c>
      <c r="B323" t="s">
        <v>6270</v>
      </c>
      <c r="C323" t="s">
        <v>28</v>
      </c>
      <c r="D323" t="s">
        <v>25</v>
      </c>
      <c r="E323">
        <v>505.4</v>
      </c>
      <c r="F323" t="s">
        <v>88</v>
      </c>
      <c r="G323" s="19">
        <v>45530</v>
      </c>
      <c r="H323" t="s">
        <v>94</v>
      </c>
      <c r="I323" t="s">
        <v>6650</v>
      </c>
      <c r="J323" t="s">
        <v>7064</v>
      </c>
      <c r="O323" t="s">
        <v>7065</v>
      </c>
      <c r="Q323" s="3">
        <f t="shared" si="5"/>
        <v>505.4</v>
      </c>
    </row>
    <row r="324" spans="1:19" x14ac:dyDescent="0.35">
      <c r="A324" t="s">
        <v>35</v>
      </c>
      <c r="B324" t="s">
        <v>6270</v>
      </c>
      <c r="C324" t="s">
        <v>28</v>
      </c>
      <c r="D324" t="s">
        <v>25</v>
      </c>
      <c r="E324">
        <v>503.67</v>
      </c>
      <c r="F324" t="s">
        <v>88</v>
      </c>
      <c r="G324" s="19">
        <v>45462</v>
      </c>
      <c r="H324" t="s">
        <v>94</v>
      </c>
      <c r="I324" t="s">
        <v>6650</v>
      </c>
      <c r="J324" t="s">
        <v>6654</v>
      </c>
      <c r="O324" t="s">
        <v>6655</v>
      </c>
      <c r="Q324" s="3">
        <f t="shared" si="5"/>
        <v>503.67</v>
      </c>
    </row>
    <row r="325" spans="1:19" x14ac:dyDescent="0.35">
      <c r="A325" t="s">
        <v>0</v>
      </c>
      <c r="B325" t="s">
        <v>1069</v>
      </c>
      <c r="C325" t="s">
        <v>28</v>
      </c>
      <c r="D325" t="s">
        <v>25</v>
      </c>
      <c r="E325">
        <v>495</v>
      </c>
      <c r="F325" t="s">
        <v>88</v>
      </c>
      <c r="G325" s="19">
        <v>45464</v>
      </c>
      <c r="H325" t="s">
        <v>89</v>
      </c>
      <c r="I325" t="s">
        <v>6673</v>
      </c>
      <c r="J325"/>
      <c r="K325" t="s">
        <v>101</v>
      </c>
      <c r="L325" t="s">
        <v>6674</v>
      </c>
      <c r="M325" t="s">
        <v>1964</v>
      </c>
      <c r="Q325" s="3">
        <f t="shared" si="5"/>
        <v>495</v>
      </c>
    </row>
    <row r="326" spans="1:19" x14ac:dyDescent="0.35">
      <c r="A326" t="s">
        <v>0</v>
      </c>
      <c r="B326" t="s">
        <v>599</v>
      </c>
      <c r="C326" t="s">
        <v>28</v>
      </c>
      <c r="D326" t="s">
        <v>25</v>
      </c>
      <c r="E326">
        <v>494.04</v>
      </c>
      <c r="F326" t="s">
        <v>88</v>
      </c>
      <c r="G326" s="19">
        <v>45573</v>
      </c>
      <c r="H326" t="s">
        <v>89</v>
      </c>
      <c r="I326" t="s">
        <v>7292</v>
      </c>
      <c r="J326"/>
      <c r="K326" t="s">
        <v>7293</v>
      </c>
      <c r="L326" t="s">
        <v>7294</v>
      </c>
      <c r="M326" t="s">
        <v>361</v>
      </c>
      <c r="Q326" s="3">
        <f t="shared" si="5"/>
        <v>494.04</v>
      </c>
    </row>
    <row r="327" spans="1:19" x14ac:dyDescent="0.35">
      <c r="A327" t="s">
        <v>35</v>
      </c>
      <c r="B327" t="s">
        <v>6270</v>
      </c>
      <c r="C327" t="s">
        <v>28</v>
      </c>
      <c r="D327" t="s">
        <v>25</v>
      </c>
      <c r="E327">
        <v>490</v>
      </c>
      <c r="F327" t="s">
        <v>88</v>
      </c>
      <c r="G327" s="19">
        <v>45513</v>
      </c>
      <c r="H327" t="s">
        <v>94</v>
      </c>
      <c r="I327" t="s">
        <v>6941</v>
      </c>
      <c r="J327" t="s">
        <v>6686</v>
      </c>
      <c r="O327" t="s">
        <v>6942</v>
      </c>
      <c r="Q327" s="3">
        <f t="shared" si="5"/>
        <v>490</v>
      </c>
    </row>
    <row r="328" spans="1:19" x14ac:dyDescent="0.35">
      <c r="A328" t="s">
        <v>35</v>
      </c>
      <c r="B328" t="s">
        <v>605</v>
      </c>
      <c r="C328" t="s">
        <v>28</v>
      </c>
      <c r="D328" t="s">
        <v>25</v>
      </c>
      <c r="E328">
        <v>488.08</v>
      </c>
      <c r="F328" t="s">
        <v>88</v>
      </c>
      <c r="G328" s="19">
        <v>45385</v>
      </c>
      <c r="H328" t="s">
        <v>94</v>
      </c>
      <c r="I328" t="s">
        <v>107</v>
      </c>
      <c r="J328" t="s">
        <v>6275</v>
      </c>
      <c r="O328" t="s">
        <v>6276</v>
      </c>
      <c r="Q328" s="3">
        <f t="shared" si="5"/>
        <v>488.08</v>
      </c>
    </row>
    <row r="329" spans="1:19" x14ac:dyDescent="0.35">
      <c r="A329" t="s">
        <v>0</v>
      </c>
      <c r="B329" t="s">
        <v>6270</v>
      </c>
      <c r="C329" t="s">
        <v>28</v>
      </c>
      <c r="D329" t="s">
        <v>25</v>
      </c>
      <c r="E329">
        <v>462</v>
      </c>
      <c r="F329" t="s">
        <v>88</v>
      </c>
      <c r="G329" s="19">
        <v>45449</v>
      </c>
      <c r="H329" t="s">
        <v>89</v>
      </c>
      <c r="I329" t="s">
        <v>6580</v>
      </c>
      <c r="J329"/>
      <c r="K329" t="s">
        <v>6578</v>
      </c>
      <c r="L329" t="s">
        <v>6581</v>
      </c>
      <c r="M329" t="s">
        <v>364</v>
      </c>
      <c r="Q329" s="3">
        <f t="shared" si="5"/>
        <v>462</v>
      </c>
    </row>
    <row r="330" spans="1:19" ht="87" x14ac:dyDescent="0.35">
      <c r="A330" t="s">
        <v>35</v>
      </c>
      <c r="B330" t="s">
        <v>672</v>
      </c>
      <c r="C330" t="s">
        <v>28</v>
      </c>
      <c r="D330" t="s">
        <v>25</v>
      </c>
      <c r="E330">
        <v>460</v>
      </c>
      <c r="F330" t="s">
        <v>88</v>
      </c>
      <c r="G330" s="19">
        <v>45448</v>
      </c>
      <c r="H330" t="s">
        <v>94</v>
      </c>
      <c r="I330" t="s">
        <v>325</v>
      </c>
      <c r="K330" s="55" t="s">
        <v>6570</v>
      </c>
      <c r="O330" t="s">
        <v>6571</v>
      </c>
      <c r="Q330" s="3">
        <f t="shared" ref="Q330:Q393" si="6">ABS(E330)</f>
        <v>460</v>
      </c>
      <c r="S330" s="55" t="s">
        <v>7519</v>
      </c>
    </row>
    <row r="331" spans="1:19" x14ac:dyDescent="0.35">
      <c r="A331" t="s">
        <v>35</v>
      </c>
      <c r="B331" t="s">
        <v>6270</v>
      </c>
      <c r="C331" t="s">
        <v>28</v>
      </c>
      <c r="D331" t="s">
        <v>25</v>
      </c>
      <c r="E331">
        <v>456.85</v>
      </c>
      <c r="F331" t="s">
        <v>88</v>
      </c>
      <c r="G331" s="19">
        <v>45524</v>
      </c>
      <c r="H331" t="s">
        <v>94</v>
      </c>
      <c r="I331" t="s">
        <v>7013</v>
      </c>
      <c r="J331" t="s">
        <v>7003</v>
      </c>
      <c r="O331" t="s">
        <v>7018</v>
      </c>
      <c r="Q331" s="3">
        <f t="shared" si="6"/>
        <v>456.85</v>
      </c>
    </row>
    <row r="332" spans="1:19" x14ac:dyDescent="0.35">
      <c r="A332" t="s">
        <v>0</v>
      </c>
      <c r="B332" t="s">
        <v>599</v>
      </c>
      <c r="C332" t="s">
        <v>28</v>
      </c>
      <c r="D332" t="s">
        <v>25</v>
      </c>
      <c r="E332">
        <v>-455.2</v>
      </c>
      <c r="F332" t="s">
        <v>88</v>
      </c>
      <c r="G332" s="19">
        <v>45432</v>
      </c>
      <c r="H332" t="s">
        <v>89</v>
      </c>
      <c r="I332" t="s">
        <v>6484</v>
      </c>
      <c r="J332"/>
      <c r="K332" t="s">
        <v>6485</v>
      </c>
      <c r="L332" t="s">
        <v>6486</v>
      </c>
      <c r="M332" t="s">
        <v>361</v>
      </c>
      <c r="Q332" s="3">
        <f t="shared" si="6"/>
        <v>455.2</v>
      </c>
    </row>
    <row r="333" spans="1:19" ht="87" x14ac:dyDescent="0.35">
      <c r="A333" t="s">
        <v>35</v>
      </c>
      <c r="B333" t="s">
        <v>6270</v>
      </c>
      <c r="C333" t="s">
        <v>28</v>
      </c>
      <c r="D333" t="s">
        <v>25</v>
      </c>
      <c r="E333">
        <v>445.24</v>
      </c>
      <c r="F333" t="s">
        <v>88</v>
      </c>
      <c r="G333" s="19">
        <v>45553</v>
      </c>
      <c r="H333" t="s">
        <v>94</v>
      </c>
      <c r="I333" t="s">
        <v>7212</v>
      </c>
      <c r="K333" s="55" t="s">
        <v>7213</v>
      </c>
      <c r="O333" t="s">
        <v>7214</v>
      </c>
      <c r="Q333" s="3">
        <f t="shared" si="6"/>
        <v>445.24</v>
      </c>
      <c r="S333" s="55" t="s">
        <v>7519</v>
      </c>
    </row>
    <row r="334" spans="1:19" ht="87" x14ac:dyDescent="0.35">
      <c r="A334" t="s">
        <v>35</v>
      </c>
      <c r="B334" t="s">
        <v>6270</v>
      </c>
      <c r="C334" t="s">
        <v>28</v>
      </c>
      <c r="D334" t="s">
        <v>25</v>
      </c>
      <c r="E334">
        <v>443.49</v>
      </c>
      <c r="F334" t="s">
        <v>88</v>
      </c>
      <c r="G334" s="19">
        <v>45398</v>
      </c>
      <c r="H334" t="s">
        <v>94</v>
      </c>
      <c r="I334" t="s">
        <v>6326</v>
      </c>
      <c r="K334" s="55" t="s">
        <v>6327</v>
      </c>
      <c r="O334" t="s">
        <v>6328</v>
      </c>
      <c r="Q334" s="3">
        <f t="shared" si="6"/>
        <v>443.49</v>
      </c>
      <c r="S334" s="55" t="s">
        <v>7519</v>
      </c>
    </row>
    <row r="335" spans="1:19" x14ac:dyDescent="0.35">
      <c r="A335" t="s">
        <v>35</v>
      </c>
      <c r="B335" t="s">
        <v>1280</v>
      </c>
      <c r="C335" t="s">
        <v>28</v>
      </c>
      <c r="D335" t="s">
        <v>25</v>
      </c>
      <c r="E335">
        <v>442.03</v>
      </c>
      <c r="F335" t="s">
        <v>88</v>
      </c>
      <c r="G335" s="19">
        <v>45645</v>
      </c>
      <c r="H335" t="s">
        <v>94</v>
      </c>
      <c r="I335" t="s">
        <v>378</v>
      </c>
      <c r="J335" t="s">
        <v>7501</v>
      </c>
      <c r="O335" t="s">
        <v>7502</v>
      </c>
      <c r="Q335" s="3">
        <f t="shared" si="6"/>
        <v>442.03</v>
      </c>
    </row>
    <row r="336" spans="1:19" x14ac:dyDescent="0.35">
      <c r="A336" t="s">
        <v>0</v>
      </c>
      <c r="B336" t="s">
        <v>6270</v>
      </c>
      <c r="C336" t="s">
        <v>28</v>
      </c>
      <c r="D336" t="s">
        <v>25</v>
      </c>
      <c r="E336">
        <v>429.96</v>
      </c>
      <c r="F336" t="s">
        <v>88</v>
      </c>
      <c r="G336" s="19">
        <v>45504</v>
      </c>
      <c r="H336" t="s">
        <v>181</v>
      </c>
      <c r="I336" t="s">
        <v>182</v>
      </c>
      <c r="J336"/>
      <c r="Q336" s="3">
        <f t="shared" si="6"/>
        <v>429.96</v>
      </c>
    </row>
    <row r="337" spans="1:19" x14ac:dyDescent="0.35">
      <c r="A337" t="s">
        <v>35</v>
      </c>
      <c r="B337" t="s">
        <v>6270</v>
      </c>
      <c r="C337" t="s">
        <v>28</v>
      </c>
      <c r="D337" t="s">
        <v>25</v>
      </c>
      <c r="E337">
        <v>429.42</v>
      </c>
      <c r="F337" t="s">
        <v>88</v>
      </c>
      <c r="G337" s="19">
        <v>45530</v>
      </c>
      <c r="H337" t="s">
        <v>94</v>
      </c>
      <c r="I337" t="s">
        <v>381</v>
      </c>
      <c r="J337" t="s">
        <v>7081</v>
      </c>
      <c r="O337" t="s">
        <v>7082</v>
      </c>
      <c r="Q337" s="3">
        <f t="shared" si="6"/>
        <v>429.42</v>
      </c>
    </row>
    <row r="338" spans="1:19" x14ac:dyDescent="0.35">
      <c r="A338" t="s">
        <v>0</v>
      </c>
      <c r="B338" t="s">
        <v>6270</v>
      </c>
      <c r="C338" t="s">
        <v>28</v>
      </c>
      <c r="D338" t="s">
        <v>25</v>
      </c>
      <c r="E338">
        <v>429</v>
      </c>
      <c r="F338" t="s">
        <v>88</v>
      </c>
      <c r="G338" s="19">
        <v>45478</v>
      </c>
      <c r="H338" t="s">
        <v>89</v>
      </c>
      <c r="I338" t="s">
        <v>6747</v>
      </c>
      <c r="J338"/>
      <c r="K338" t="s">
        <v>6748</v>
      </c>
      <c r="L338" t="s">
        <v>6749</v>
      </c>
      <c r="M338" t="s">
        <v>364</v>
      </c>
      <c r="Q338" s="3">
        <f t="shared" si="6"/>
        <v>429</v>
      </c>
    </row>
    <row r="339" spans="1:19" x14ac:dyDescent="0.35">
      <c r="A339" t="s">
        <v>0</v>
      </c>
      <c r="B339" t="s">
        <v>599</v>
      </c>
      <c r="C339" t="s">
        <v>28</v>
      </c>
      <c r="D339" t="s">
        <v>25</v>
      </c>
      <c r="E339">
        <v>413.81</v>
      </c>
      <c r="F339" t="s">
        <v>88</v>
      </c>
      <c r="G339" s="19">
        <v>45432</v>
      </c>
      <c r="H339" t="s">
        <v>89</v>
      </c>
      <c r="I339" t="s">
        <v>6487</v>
      </c>
      <c r="J339"/>
      <c r="K339" t="s">
        <v>6488</v>
      </c>
      <c r="L339" t="s">
        <v>6489</v>
      </c>
      <c r="M339" t="s">
        <v>361</v>
      </c>
      <c r="Q339" s="3">
        <f t="shared" si="6"/>
        <v>413.81</v>
      </c>
    </row>
    <row r="340" spans="1:19" ht="87" x14ac:dyDescent="0.35">
      <c r="A340" t="s">
        <v>0</v>
      </c>
      <c r="B340" t="s">
        <v>6270</v>
      </c>
      <c r="C340" t="s">
        <v>28</v>
      </c>
      <c r="D340" t="s">
        <v>25</v>
      </c>
      <c r="E340">
        <v>403.75</v>
      </c>
      <c r="F340" t="s">
        <v>88</v>
      </c>
      <c r="G340" s="19">
        <v>45538</v>
      </c>
      <c r="H340" t="s">
        <v>89</v>
      </c>
      <c r="I340" t="s">
        <v>7124</v>
      </c>
      <c r="J340"/>
      <c r="K340" t="s">
        <v>7125</v>
      </c>
      <c r="L340" t="s">
        <v>7126</v>
      </c>
      <c r="M340" t="s">
        <v>100</v>
      </c>
      <c r="Q340" s="3">
        <f t="shared" si="6"/>
        <v>403.75</v>
      </c>
      <c r="S340" s="55" t="s">
        <v>7519</v>
      </c>
    </row>
    <row r="341" spans="1:19" x14ac:dyDescent="0.35">
      <c r="A341" t="s">
        <v>0</v>
      </c>
      <c r="B341" t="s">
        <v>599</v>
      </c>
      <c r="C341" t="s">
        <v>28</v>
      </c>
      <c r="D341" t="s">
        <v>25</v>
      </c>
      <c r="E341">
        <v>402.2</v>
      </c>
      <c r="F341" t="s">
        <v>88</v>
      </c>
      <c r="G341" s="19">
        <v>45527</v>
      </c>
      <c r="H341" t="s">
        <v>89</v>
      </c>
      <c r="I341" t="s">
        <v>7045</v>
      </c>
      <c r="J341"/>
      <c r="K341" t="s">
        <v>360</v>
      </c>
      <c r="L341" t="s">
        <v>7046</v>
      </c>
      <c r="M341" t="s">
        <v>361</v>
      </c>
      <c r="Q341" s="3">
        <f t="shared" si="6"/>
        <v>402.2</v>
      </c>
    </row>
    <row r="342" spans="1:19" x14ac:dyDescent="0.35">
      <c r="A342" t="s">
        <v>0</v>
      </c>
      <c r="B342" t="s">
        <v>6270</v>
      </c>
      <c r="C342" t="s">
        <v>28</v>
      </c>
      <c r="D342" t="s">
        <v>25</v>
      </c>
      <c r="E342">
        <v>396</v>
      </c>
      <c r="F342" t="s">
        <v>88</v>
      </c>
      <c r="G342" s="19">
        <v>45517</v>
      </c>
      <c r="H342" t="s">
        <v>89</v>
      </c>
      <c r="I342" t="s">
        <v>6947</v>
      </c>
      <c r="J342"/>
      <c r="K342" t="s">
        <v>6948</v>
      </c>
      <c r="L342" t="s">
        <v>6949</v>
      </c>
      <c r="M342" t="s">
        <v>364</v>
      </c>
      <c r="Q342" s="3">
        <f t="shared" si="6"/>
        <v>396</v>
      </c>
    </row>
    <row r="343" spans="1:19" x14ac:dyDescent="0.35">
      <c r="A343" t="s">
        <v>0</v>
      </c>
      <c r="B343" t="s">
        <v>6270</v>
      </c>
      <c r="C343" t="s">
        <v>28</v>
      </c>
      <c r="D343" t="s">
        <v>25</v>
      </c>
      <c r="E343">
        <v>395.75</v>
      </c>
      <c r="F343" t="s">
        <v>88</v>
      </c>
      <c r="G343" s="19">
        <v>45510</v>
      </c>
      <c r="H343" t="s">
        <v>89</v>
      </c>
      <c r="I343" t="s">
        <v>6885</v>
      </c>
      <c r="J343"/>
      <c r="K343" t="s">
        <v>6886</v>
      </c>
      <c r="L343" t="s">
        <v>6887</v>
      </c>
      <c r="M343" t="s">
        <v>100</v>
      </c>
      <c r="Q343" s="3">
        <f t="shared" si="6"/>
        <v>395.75</v>
      </c>
    </row>
    <row r="344" spans="1:19" x14ac:dyDescent="0.35">
      <c r="A344" t="s">
        <v>0</v>
      </c>
      <c r="B344" t="s">
        <v>6270</v>
      </c>
      <c r="C344" t="s">
        <v>28</v>
      </c>
      <c r="D344" t="s">
        <v>25</v>
      </c>
      <c r="E344">
        <v>389.5</v>
      </c>
      <c r="F344" t="s">
        <v>88</v>
      </c>
      <c r="G344" s="19">
        <v>45510</v>
      </c>
      <c r="H344" t="s">
        <v>89</v>
      </c>
      <c r="I344" t="s">
        <v>6891</v>
      </c>
      <c r="J344"/>
      <c r="K344" t="s">
        <v>6892</v>
      </c>
      <c r="L344" t="s">
        <v>6893</v>
      </c>
      <c r="M344" t="s">
        <v>100</v>
      </c>
      <c r="Q344" s="3">
        <f t="shared" si="6"/>
        <v>389.5</v>
      </c>
    </row>
    <row r="345" spans="1:19" x14ac:dyDescent="0.35">
      <c r="A345" t="s">
        <v>35</v>
      </c>
      <c r="B345" t="s">
        <v>6270</v>
      </c>
      <c r="C345" t="s">
        <v>28</v>
      </c>
      <c r="D345" t="s">
        <v>25</v>
      </c>
      <c r="E345">
        <v>378.78</v>
      </c>
      <c r="F345" t="s">
        <v>88</v>
      </c>
      <c r="G345" s="19">
        <v>45462</v>
      </c>
      <c r="H345" t="s">
        <v>94</v>
      </c>
      <c r="I345" t="s">
        <v>6642</v>
      </c>
      <c r="J345" t="s">
        <v>6647</v>
      </c>
      <c r="O345" t="s">
        <v>6648</v>
      </c>
      <c r="Q345" s="3">
        <f t="shared" si="6"/>
        <v>378.78</v>
      </c>
    </row>
    <row r="346" spans="1:19" x14ac:dyDescent="0.35">
      <c r="A346" t="s">
        <v>35</v>
      </c>
      <c r="B346" t="s">
        <v>6047</v>
      </c>
      <c r="C346" t="s">
        <v>28</v>
      </c>
      <c r="D346" t="s">
        <v>25</v>
      </c>
      <c r="E346">
        <v>375</v>
      </c>
      <c r="F346" t="s">
        <v>88</v>
      </c>
      <c r="G346" s="19">
        <v>45575</v>
      </c>
      <c r="H346" t="s">
        <v>89</v>
      </c>
      <c r="I346" t="s">
        <v>7299</v>
      </c>
      <c r="J346"/>
      <c r="K346" t="s">
        <v>7300</v>
      </c>
      <c r="L346" t="s">
        <v>7301</v>
      </c>
      <c r="M346" t="s">
        <v>7298</v>
      </c>
      <c r="Q346" s="3">
        <f t="shared" si="6"/>
        <v>375</v>
      </c>
    </row>
    <row r="347" spans="1:19" x14ac:dyDescent="0.35">
      <c r="A347" t="s">
        <v>35</v>
      </c>
      <c r="B347" t="s">
        <v>6047</v>
      </c>
      <c r="C347" t="s">
        <v>28</v>
      </c>
      <c r="D347" t="s">
        <v>25</v>
      </c>
      <c r="E347">
        <v>-375</v>
      </c>
      <c r="F347" t="s">
        <v>88</v>
      </c>
      <c r="G347" s="19">
        <v>45581</v>
      </c>
      <c r="H347" t="s">
        <v>89</v>
      </c>
      <c r="I347" t="s">
        <v>7299</v>
      </c>
      <c r="J347"/>
      <c r="K347" t="s">
        <v>7300</v>
      </c>
      <c r="L347" t="s">
        <v>7301</v>
      </c>
      <c r="M347" t="s">
        <v>7298</v>
      </c>
      <c r="Q347" s="3">
        <f t="shared" si="6"/>
        <v>375</v>
      </c>
    </row>
    <row r="348" spans="1:19" x14ac:dyDescent="0.35">
      <c r="A348" t="s">
        <v>35</v>
      </c>
      <c r="B348" t="s">
        <v>6270</v>
      </c>
      <c r="C348" t="s">
        <v>28</v>
      </c>
      <c r="D348" t="s">
        <v>25</v>
      </c>
      <c r="E348">
        <v>351.31</v>
      </c>
      <c r="F348" t="s">
        <v>88</v>
      </c>
      <c r="G348" s="19">
        <v>45513</v>
      </c>
      <c r="H348" t="s">
        <v>94</v>
      </c>
      <c r="I348" t="s">
        <v>6650</v>
      </c>
      <c r="J348" t="s">
        <v>6926</v>
      </c>
      <c r="O348" t="s">
        <v>6928</v>
      </c>
      <c r="Q348" s="3">
        <f t="shared" si="6"/>
        <v>351.31</v>
      </c>
    </row>
    <row r="349" spans="1:19" x14ac:dyDescent="0.35">
      <c r="A349" t="s">
        <v>35</v>
      </c>
      <c r="B349" t="s">
        <v>6270</v>
      </c>
      <c r="C349" t="s">
        <v>28</v>
      </c>
      <c r="D349" t="s">
        <v>25</v>
      </c>
      <c r="E349">
        <v>345.85</v>
      </c>
      <c r="F349" t="s">
        <v>88</v>
      </c>
      <c r="G349" s="19">
        <v>45553</v>
      </c>
      <c r="H349" t="s">
        <v>94</v>
      </c>
      <c r="I349" t="s">
        <v>7228</v>
      </c>
      <c r="J349" t="s">
        <v>7238</v>
      </c>
      <c r="O349" t="s">
        <v>7239</v>
      </c>
      <c r="Q349" s="3">
        <f t="shared" si="6"/>
        <v>345.85</v>
      </c>
    </row>
    <row r="350" spans="1:19" x14ac:dyDescent="0.35">
      <c r="A350" t="s">
        <v>35</v>
      </c>
      <c r="B350" t="s">
        <v>6270</v>
      </c>
      <c r="C350" t="s">
        <v>28</v>
      </c>
      <c r="D350" t="s">
        <v>25</v>
      </c>
      <c r="E350">
        <v>337.77</v>
      </c>
      <c r="F350" t="s">
        <v>88</v>
      </c>
      <c r="G350" s="19">
        <v>45524</v>
      </c>
      <c r="H350" t="s">
        <v>94</v>
      </c>
      <c r="I350" t="s">
        <v>382</v>
      </c>
      <c r="J350" t="s">
        <v>7003</v>
      </c>
      <c r="O350" t="s">
        <v>7011</v>
      </c>
      <c r="Q350" s="3">
        <f t="shared" si="6"/>
        <v>337.77</v>
      </c>
    </row>
    <row r="351" spans="1:19" ht="87" x14ac:dyDescent="0.35">
      <c r="A351" t="s">
        <v>35</v>
      </c>
      <c r="B351" t="s">
        <v>1416</v>
      </c>
      <c r="C351" t="s">
        <v>28</v>
      </c>
      <c r="D351" t="s">
        <v>25</v>
      </c>
      <c r="E351">
        <v>336.36</v>
      </c>
      <c r="F351" t="s">
        <v>88</v>
      </c>
      <c r="G351" s="19">
        <v>45404</v>
      </c>
      <c r="H351" t="s">
        <v>94</v>
      </c>
      <c r="I351" t="s">
        <v>3544</v>
      </c>
      <c r="K351" t="s">
        <v>6420</v>
      </c>
      <c r="O351" t="s">
        <v>5646</v>
      </c>
      <c r="Q351" s="3">
        <f t="shared" si="6"/>
        <v>336.36</v>
      </c>
      <c r="S351" s="55" t="s">
        <v>7519</v>
      </c>
    </row>
    <row r="352" spans="1:19" x14ac:dyDescent="0.35">
      <c r="A352" t="s">
        <v>0</v>
      </c>
      <c r="B352" t="s">
        <v>6270</v>
      </c>
      <c r="C352" t="s">
        <v>28</v>
      </c>
      <c r="D352" t="s">
        <v>25</v>
      </c>
      <c r="E352">
        <v>335</v>
      </c>
      <c r="F352" t="s">
        <v>88</v>
      </c>
      <c r="G352" s="19">
        <v>45551</v>
      </c>
      <c r="H352" t="s">
        <v>89</v>
      </c>
      <c r="I352" t="s">
        <v>7197</v>
      </c>
      <c r="J352"/>
      <c r="K352" t="s">
        <v>7195</v>
      </c>
      <c r="L352" t="s">
        <v>7198</v>
      </c>
      <c r="M352" t="s">
        <v>100</v>
      </c>
      <c r="Q352" s="3">
        <f t="shared" si="6"/>
        <v>335</v>
      </c>
    </row>
    <row r="353" spans="1:19" x14ac:dyDescent="0.35">
      <c r="A353" t="s">
        <v>35</v>
      </c>
      <c r="B353" t="s">
        <v>6270</v>
      </c>
      <c r="C353" t="s">
        <v>28</v>
      </c>
      <c r="D353" t="s">
        <v>25</v>
      </c>
      <c r="E353">
        <v>333.28</v>
      </c>
      <c r="F353" t="s">
        <v>88</v>
      </c>
      <c r="G353" s="19">
        <v>45415</v>
      </c>
      <c r="H353" t="s">
        <v>94</v>
      </c>
      <c r="I353" t="s">
        <v>745</v>
      </c>
      <c r="J353" t="s">
        <v>6462</v>
      </c>
      <c r="O353" t="s">
        <v>6464</v>
      </c>
      <c r="Q353" s="3">
        <f t="shared" si="6"/>
        <v>333.28</v>
      </c>
    </row>
    <row r="354" spans="1:19" x14ac:dyDescent="0.35">
      <c r="A354" t="s">
        <v>35</v>
      </c>
      <c r="B354" t="s">
        <v>1280</v>
      </c>
      <c r="C354" t="s">
        <v>28</v>
      </c>
      <c r="D354" t="s">
        <v>25</v>
      </c>
      <c r="E354">
        <v>330</v>
      </c>
      <c r="F354" t="s">
        <v>88</v>
      </c>
      <c r="G354" s="19">
        <v>45645</v>
      </c>
      <c r="H354" t="s">
        <v>94</v>
      </c>
      <c r="I354" t="s">
        <v>7350</v>
      </c>
      <c r="J354" t="s">
        <v>7509</v>
      </c>
      <c r="O354" t="s">
        <v>7510</v>
      </c>
      <c r="Q354" s="3">
        <f t="shared" si="6"/>
        <v>330</v>
      </c>
    </row>
    <row r="355" spans="1:19" x14ac:dyDescent="0.35">
      <c r="A355" t="s">
        <v>0</v>
      </c>
      <c r="B355" t="s">
        <v>732</v>
      </c>
      <c r="C355" t="s">
        <v>28</v>
      </c>
      <c r="D355" t="s">
        <v>25</v>
      </c>
      <c r="E355">
        <v>320</v>
      </c>
      <c r="F355" t="s">
        <v>88</v>
      </c>
      <c r="G355" s="19">
        <v>45616</v>
      </c>
      <c r="H355" t="s">
        <v>89</v>
      </c>
      <c r="I355" t="s">
        <v>7391</v>
      </c>
      <c r="J355"/>
      <c r="K355" t="s">
        <v>7392</v>
      </c>
      <c r="L355" t="s">
        <v>7393</v>
      </c>
      <c r="M355" t="s">
        <v>230</v>
      </c>
      <c r="Q355" s="3">
        <f t="shared" si="6"/>
        <v>320</v>
      </c>
    </row>
    <row r="356" spans="1:19" x14ac:dyDescent="0.35">
      <c r="A356" t="s">
        <v>35</v>
      </c>
      <c r="B356" t="s">
        <v>6270</v>
      </c>
      <c r="C356" t="s">
        <v>28</v>
      </c>
      <c r="D356" t="s">
        <v>25</v>
      </c>
      <c r="E356">
        <v>318.18</v>
      </c>
      <c r="F356" t="s">
        <v>88</v>
      </c>
      <c r="G356" s="19">
        <v>45474</v>
      </c>
      <c r="H356" t="s">
        <v>94</v>
      </c>
      <c r="I356" t="s">
        <v>6683</v>
      </c>
      <c r="J356" t="s">
        <v>6701</v>
      </c>
      <c r="O356" t="s">
        <v>6702</v>
      </c>
      <c r="Q356" s="3">
        <f t="shared" si="6"/>
        <v>318.18</v>
      </c>
    </row>
    <row r="357" spans="1:19" ht="87" x14ac:dyDescent="0.35">
      <c r="A357" t="s">
        <v>35</v>
      </c>
      <c r="B357" t="s">
        <v>6270</v>
      </c>
      <c r="C357" t="s">
        <v>28</v>
      </c>
      <c r="D357" t="s">
        <v>25</v>
      </c>
      <c r="E357">
        <v>317.82</v>
      </c>
      <c r="F357" t="s">
        <v>88</v>
      </c>
      <c r="G357" s="19">
        <v>45553</v>
      </c>
      <c r="H357" t="s">
        <v>94</v>
      </c>
      <c r="I357" t="s">
        <v>7228</v>
      </c>
      <c r="K357" t="s">
        <v>7229</v>
      </c>
      <c r="O357" t="s">
        <v>7230</v>
      </c>
      <c r="Q357" s="3">
        <f t="shared" si="6"/>
        <v>317.82</v>
      </c>
      <c r="S357" s="55" t="s">
        <v>7519</v>
      </c>
    </row>
    <row r="358" spans="1:19" x14ac:dyDescent="0.35">
      <c r="A358" t="s">
        <v>35</v>
      </c>
      <c r="B358" t="s">
        <v>756</v>
      </c>
      <c r="C358" t="s">
        <v>28</v>
      </c>
      <c r="D358" t="s">
        <v>25</v>
      </c>
      <c r="E358">
        <v>317.27</v>
      </c>
      <c r="F358" t="s">
        <v>88</v>
      </c>
      <c r="G358" s="19">
        <v>45462</v>
      </c>
      <c r="H358" t="s">
        <v>94</v>
      </c>
      <c r="I358" t="s">
        <v>6659</v>
      </c>
      <c r="J358" t="s">
        <v>6660</v>
      </c>
      <c r="O358" t="s">
        <v>6661</v>
      </c>
      <c r="Q358" s="3">
        <f t="shared" si="6"/>
        <v>317.27</v>
      </c>
    </row>
    <row r="359" spans="1:19" x14ac:dyDescent="0.35">
      <c r="A359" t="s">
        <v>35</v>
      </c>
      <c r="B359" t="s">
        <v>842</v>
      </c>
      <c r="C359" t="s">
        <v>28</v>
      </c>
      <c r="D359" t="s">
        <v>25</v>
      </c>
      <c r="E359">
        <v>306.24</v>
      </c>
      <c r="F359" t="s">
        <v>88</v>
      </c>
      <c r="G359" s="19">
        <v>45636</v>
      </c>
      <c r="H359" t="s">
        <v>94</v>
      </c>
      <c r="I359" t="s">
        <v>5743</v>
      </c>
      <c r="J359" t="s">
        <v>7453</v>
      </c>
      <c r="O359" t="s">
        <v>7454</v>
      </c>
      <c r="Q359" s="3">
        <f t="shared" si="6"/>
        <v>306.24</v>
      </c>
    </row>
    <row r="360" spans="1:19" x14ac:dyDescent="0.35">
      <c r="A360" t="s">
        <v>35</v>
      </c>
      <c r="B360" t="s">
        <v>6270</v>
      </c>
      <c r="C360" t="s">
        <v>28</v>
      </c>
      <c r="D360" t="s">
        <v>25</v>
      </c>
      <c r="E360">
        <v>305.57</v>
      </c>
      <c r="F360" t="s">
        <v>88</v>
      </c>
      <c r="G360" s="19">
        <v>45462</v>
      </c>
      <c r="H360" t="s">
        <v>94</v>
      </c>
      <c r="I360" t="s">
        <v>6642</v>
      </c>
      <c r="J360" t="s">
        <v>6647</v>
      </c>
      <c r="O360" t="s">
        <v>6649</v>
      </c>
      <c r="Q360" s="3">
        <f t="shared" si="6"/>
        <v>305.57</v>
      </c>
    </row>
    <row r="361" spans="1:19" x14ac:dyDescent="0.35">
      <c r="A361" t="s">
        <v>35</v>
      </c>
      <c r="B361" t="s">
        <v>6270</v>
      </c>
      <c r="C361" t="s">
        <v>28</v>
      </c>
      <c r="D361" t="s">
        <v>25</v>
      </c>
      <c r="E361">
        <v>295.36</v>
      </c>
      <c r="F361" t="s">
        <v>88</v>
      </c>
      <c r="G361" s="19">
        <v>45455</v>
      </c>
      <c r="H361" t="s">
        <v>94</v>
      </c>
      <c r="I361" t="s">
        <v>745</v>
      </c>
      <c r="J361" t="s">
        <v>6618</v>
      </c>
      <c r="O361" t="s">
        <v>6619</v>
      </c>
      <c r="Q361" s="3">
        <f t="shared" si="6"/>
        <v>295.36</v>
      </c>
    </row>
    <row r="362" spans="1:19" x14ac:dyDescent="0.35">
      <c r="A362" t="s">
        <v>35</v>
      </c>
      <c r="B362" t="s">
        <v>6270</v>
      </c>
      <c r="C362" t="s">
        <v>28</v>
      </c>
      <c r="D362" t="s">
        <v>25</v>
      </c>
      <c r="E362">
        <v>295.06</v>
      </c>
      <c r="F362" t="s">
        <v>88</v>
      </c>
      <c r="G362" s="19">
        <v>45524</v>
      </c>
      <c r="H362" t="s">
        <v>94</v>
      </c>
      <c r="I362" t="s">
        <v>6683</v>
      </c>
      <c r="J362" t="s">
        <v>7003</v>
      </c>
      <c r="O362" t="s">
        <v>7004</v>
      </c>
      <c r="Q362" s="3">
        <f t="shared" si="6"/>
        <v>295.06</v>
      </c>
    </row>
    <row r="363" spans="1:19" x14ac:dyDescent="0.35">
      <c r="A363" t="s">
        <v>0</v>
      </c>
      <c r="B363" t="s">
        <v>6270</v>
      </c>
      <c r="C363" t="s">
        <v>28</v>
      </c>
      <c r="D363" t="s">
        <v>25</v>
      </c>
      <c r="E363">
        <v>283.83</v>
      </c>
      <c r="F363" t="s">
        <v>88</v>
      </c>
      <c r="G363" s="19">
        <v>45448</v>
      </c>
      <c r="H363" t="s">
        <v>89</v>
      </c>
      <c r="I363" t="s">
        <v>6568</v>
      </c>
      <c r="J363"/>
      <c r="K363" t="s">
        <v>101</v>
      </c>
      <c r="L363" t="s">
        <v>6569</v>
      </c>
      <c r="M363" t="s">
        <v>147</v>
      </c>
      <c r="Q363" s="3">
        <f t="shared" si="6"/>
        <v>283.83</v>
      </c>
    </row>
    <row r="364" spans="1:19" ht="87" x14ac:dyDescent="0.35">
      <c r="A364" t="s">
        <v>35</v>
      </c>
      <c r="B364" t="s">
        <v>6270</v>
      </c>
      <c r="C364" t="s">
        <v>28</v>
      </c>
      <c r="D364" t="s">
        <v>25</v>
      </c>
      <c r="E364">
        <v>281.5</v>
      </c>
      <c r="F364" t="s">
        <v>88</v>
      </c>
      <c r="G364" s="19">
        <v>45398</v>
      </c>
      <c r="H364" t="s">
        <v>94</v>
      </c>
      <c r="I364" t="s">
        <v>333</v>
      </c>
      <c r="K364" s="55" t="s">
        <v>6345</v>
      </c>
      <c r="O364" t="s">
        <v>6346</v>
      </c>
      <c r="Q364" s="3">
        <f t="shared" si="6"/>
        <v>281.5</v>
      </c>
      <c r="S364" s="55" t="s">
        <v>7519</v>
      </c>
    </row>
    <row r="365" spans="1:19" x14ac:dyDescent="0.35">
      <c r="A365" t="s">
        <v>0</v>
      </c>
      <c r="B365" t="s">
        <v>6270</v>
      </c>
      <c r="C365" t="s">
        <v>28</v>
      </c>
      <c r="D365" t="s">
        <v>25</v>
      </c>
      <c r="E365">
        <v>274.64999999999998</v>
      </c>
      <c r="F365" t="s">
        <v>88</v>
      </c>
      <c r="G365" s="19">
        <v>45538</v>
      </c>
      <c r="H365" t="s">
        <v>89</v>
      </c>
      <c r="I365" t="s">
        <v>7121</v>
      </c>
      <c r="J365"/>
      <c r="K365" t="s">
        <v>7122</v>
      </c>
      <c r="L365" t="s">
        <v>7123</v>
      </c>
      <c r="M365" t="s">
        <v>100</v>
      </c>
      <c r="Q365" s="3">
        <f t="shared" si="6"/>
        <v>274.64999999999998</v>
      </c>
    </row>
    <row r="366" spans="1:19" x14ac:dyDescent="0.35">
      <c r="A366" t="s">
        <v>0</v>
      </c>
      <c r="B366" t="s">
        <v>6270</v>
      </c>
      <c r="C366" t="s">
        <v>28</v>
      </c>
      <c r="D366" t="s">
        <v>25</v>
      </c>
      <c r="E366">
        <v>274.10000000000002</v>
      </c>
      <c r="F366" t="s">
        <v>88</v>
      </c>
      <c r="G366" s="19">
        <v>45510</v>
      </c>
      <c r="H366" t="s">
        <v>89</v>
      </c>
      <c r="I366" t="s">
        <v>6888</v>
      </c>
      <c r="J366"/>
      <c r="K366" t="s">
        <v>6889</v>
      </c>
      <c r="L366" t="s">
        <v>6890</v>
      </c>
      <c r="M366" t="s">
        <v>100</v>
      </c>
      <c r="Q366" s="3">
        <f t="shared" si="6"/>
        <v>274.10000000000002</v>
      </c>
    </row>
    <row r="367" spans="1:19" x14ac:dyDescent="0.35">
      <c r="A367" t="s">
        <v>35</v>
      </c>
      <c r="B367" t="s">
        <v>1279</v>
      </c>
      <c r="C367" t="s">
        <v>28</v>
      </c>
      <c r="D367" t="s">
        <v>25</v>
      </c>
      <c r="E367">
        <v>-267.8</v>
      </c>
      <c r="F367" t="s">
        <v>88</v>
      </c>
      <c r="G367" s="19">
        <v>45469</v>
      </c>
      <c r="H367" t="s">
        <v>181</v>
      </c>
      <c r="I367" t="s">
        <v>182</v>
      </c>
      <c r="J367"/>
      <c r="Q367" s="3">
        <f t="shared" si="6"/>
        <v>267.8</v>
      </c>
    </row>
    <row r="368" spans="1:19" x14ac:dyDescent="0.35">
      <c r="A368" t="s">
        <v>0</v>
      </c>
      <c r="B368" t="s">
        <v>6270</v>
      </c>
      <c r="C368" t="s">
        <v>28</v>
      </c>
      <c r="D368" t="s">
        <v>25</v>
      </c>
      <c r="E368">
        <v>262.43</v>
      </c>
      <c r="F368" t="s">
        <v>88</v>
      </c>
      <c r="G368" s="19">
        <v>45498</v>
      </c>
      <c r="H368" t="s">
        <v>181</v>
      </c>
      <c r="I368" t="s">
        <v>182</v>
      </c>
      <c r="J368"/>
      <c r="Q368" s="3">
        <f t="shared" si="6"/>
        <v>262.43</v>
      </c>
    </row>
    <row r="369" spans="1:17" x14ac:dyDescent="0.35">
      <c r="A369" t="s">
        <v>35</v>
      </c>
      <c r="B369" t="s">
        <v>707</v>
      </c>
      <c r="C369" t="s">
        <v>28</v>
      </c>
      <c r="D369" t="s">
        <v>25</v>
      </c>
      <c r="E369">
        <v>252.96</v>
      </c>
      <c r="F369" t="s">
        <v>88</v>
      </c>
      <c r="G369" s="19">
        <v>45455</v>
      </c>
      <c r="H369" t="s">
        <v>94</v>
      </c>
      <c r="I369" t="s">
        <v>6613</v>
      </c>
      <c r="J369" t="s">
        <v>6614</v>
      </c>
      <c r="O369" t="s">
        <v>6615</v>
      </c>
      <c r="Q369" s="3">
        <f t="shared" si="6"/>
        <v>252.96</v>
      </c>
    </row>
    <row r="370" spans="1:17" x14ac:dyDescent="0.35">
      <c r="A370" t="s">
        <v>35</v>
      </c>
      <c r="B370" t="s">
        <v>6270</v>
      </c>
      <c r="C370" t="s">
        <v>28</v>
      </c>
      <c r="D370" t="s">
        <v>25</v>
      </c>
      <c r="E370">
        <v>233.23</v>
      </c>
      <c r="F370" t="s">
        <v>88</v>
      </c>
      <c r="G370" s="19">
        <v>45559</v>
      </c>
      <c r="H370" t="s">
        <v>94</v>
      </c>
      <c r="I370" t="s">
        <v>331</v>
      </c>
      <c r="J370" t="s">
        <v>7253</v>
      </c>
      <c r="O370" t="s">
        <v>7254</v>
      </c>
      <c r="Q370" s="3">
        <f t="shared" si="6"/>
        <v>233.23</v>
      </c>
    </row>
    <row r="371" spans="1:17" x14ac:dyDescent="0.35">
      <c r="A371" t="s">
        <v>35</v>
      </c>
      <c r="B371" t="s">
        <v>693</v>
      </c>
      <c r="C371" t="s">
        <v>28</v>
      </c>
      <c r="D371" t="s">
        <v>25</v>
      </c>
      <c r="E371">
        <v>232.1</v>
      </c>
      <c r="F371" t="s">
        <v>88</v>
      </c>
      <c r="G371" s="19">
        <v>45638</v>
      </c>
      <c r="H371" t="s">
        <v>94</v>
      </c>
      <c r="I371" t="s">
        <v>7478</v>
      </c>
      <c r="J371" t="s">
        <v>7479</v>
      </c>
      <c r="O371" t="s">
        <v>7480</v>
      </c>
      <c r="Q371" s="3">
        <f t="shared" si="6"/>
        <v>232.1</v>
      </c>
    </row>
    <row r="372" spans="1:17" x14ac:dyDescent="0.35">
      <c r="A372" t="s">
        <v>0</v>
      </c>
      <c r="B372" t="s">
        <v>6270</v>
      </c>
      <c r="C372" t="s">
        <v>28</v>
      </c>
      <c r="D372" t="s">
        <v>25</v>
      </c>
      <c r="E372">
        <v>-231.69</v>
      </c>
      <c r="F372" t="s">
        <v>88</v>
      </c>
      <c r="G372" s="19">
        <v>45501</v>
      </c>
      <c r="H372" t="s">
        <v>181</v>
      </c>
      <c r="I372" t="s">
        <v>182</v>
      </c>
      <c r="J372"/>
      <c r="Q372" s="3">
        <f t="shared" si="6"/>
        <v>231.69</v>
      </c>
    </row>
    <row r="373" spans="1:17" x14ac:dyDescent="0.35">
      <c r="A373" t="s">
        <v>35</v>
      </c>
      <c r="B373" t="s">
        <v>1423</v>
      </c>
      <c r="C373" t="s">
        <v>28</v>
      </c>
      <c r="D373" t="s">
        <v>25</v>
      </c>
      <c r="E373">
        <v>230.82</v>
      </c>
      <c r="F373" t="s">
        <v>88</v>
      </c>
      <c r="G373" s="19">
        <v>45582</v>
      </c>
      <c r="H373" t="s">
        <v>94</v>
      </c>
      <c r="I373" t="s">
        <v>249</v>
      </c>
      <c r="J373" t="s">
        <v>7317</v>
      </c>
      <c r="O373" t="s">
        <v>7318</v>
      </c>
      <c r="Q373" s="3">
        <f t="shared" si="6"/>
        <v>230.82</v>
      </c>
    </row>
    <row r="374" spans="1:17" x14ac:dyDescent="0.35">
      <c r="A374" t="s">
        <v>35</v>
      </c>
      <c r="B374" t="s">
        <v>744</v>
      </c>
      <c r="C374" t="s">
        <v>28</v>
      </c>
      <c r="D374" t="s">
        <v>25</v>
      </c>
      <c r="E374">
        <v>225</v>
      </c>
      <c r="F374" t="s">
        <v>88</v>
      </c>
      <c r="G374" s="19">
        <v>45559</v>
      </c>
      <c r="H374" t="s">
        <v>94</v>
      </c>
      <c r="I374" t="s">
        <v>331</v>
      </c>
      <c r="J374" t="s">
        <v>7251</v>
      </c>
      <c r="O374" t="s">
        <v>7252</v>
      </c>
      <c r="Q374" s="3">
        <f t="shared" si="6"/>
        <v>225</v>
      </c>
    </row>
    <row r="375" spans="1:17" x14ac:dyDescent="0.35">
      <c r="A375" t="s">
        <v>35</v>
      </c>
      <c r="B375" t="s">
        <v>6270</v>
      </c>
      <c r="C375" t="s">
        <v>28</v>
      </c>
      <c r="D375" t="s">
        <v>25</v>
      </c>
      <c r="E375">
        <v>225</v>
      </c>
      <c r="F375" t="s">
        <v>88</v>
      </c>
      <c r="G375" s="19">
        <v>45559</v>
      </c>
      <c r="H375" t="s">
        <v>94</v>
      </c>
      <c r="I375" t="s">
        <v>331</v>
      </c>
      <c r="J375" t="s">
        <v>6995</v>
      </c>
      <c r="O375" t="s">
        <v>7252</v>
      </c>
      <c r="Q375" s="3">
        <f t="shared" si="6"/>
        <v>225</v>
      </c>
    </row>
    <row r="376" spans="1:17" x14ac:dyDescent="0.35">
      <c r="A376" t="s">
        <v>0</v>
      </c>
      <c r="B376" t="s">
        <v>6270</v>
      </c>
      <c r="C376" t="s">
        <v>28</v>
      </c>
      <c r="D376" t="s">
        <v>25</v>
      </c>
      <c r="E376">
        <v>223.14</v>
      </c>
      <c r="F376" t="s">
        <v>88</v>
      </c>
      <c r="G376" s="19">
        <v>45569</v>
      </c>
      <c r="H376" t="s">
        <v>89</v>
      </c>
      <c r="I376" t="s">
        <v>7283</v>
      </c>
      <c r="J376"/>
      <c r="K376" t="s">
        <v>7284</v>
      </c>
      <c r="L376" t="s">
        <v>7285</v>
      </c>
      <c r="M376" t="s">
        <v>147</v>
      </c>
      <c r="Q376" s="3">
        <f t="shared" si="6"/>
        <v>223.14</v>
      </c>
    </row>
    <row r="377" spans="1:17" x14ac:dyDescent="0.35">
      <c r="A377" t="s">
        <v>35</v>
      </c>
      <c r="B377" t="s">
        <v>605</v>
      </c>
      <c r="C377" t="s">
        <v>28</v>
      </c>
      <c r="D377" t="s">
        <v>25</v>
      </c>
      <c r="E377">
        <v>211.46</v>
      </c>
      <c r="F377" t="s">
        <v>88</v>
      </c>
      <c r="G377" s="19">
        <v>45636</v>
      </c>
      <c r="H377" t="s">
        <v>94</v>
      </c>
      <c r="I377" t="s">
        <v>7466</v>
      </c>
      <c r="J377" t="s">
        <v>7464</v>
      </c>
      <c r="O377" t="s">
        <v>7467</v>
      </c>
      <c r="Q377" s="3">
        <f t="shared" si="6"/>
        <v>211.46</v>
      </c>
    </row>
    <row r="378" spans="1:17" x14ac:dyDescent="0.35">
      <c r="A378" t="s">
        <v>35</v>
      </c>
      <c r="B378" t="s">
        <v>868</v>
      </c>
      <c r="C378" t="s">
        <v>28</v>
      </c>
      <c r="D378" t="s">
        <v>25</v>
      </c>
      <c r="E378">
        <v>205.27</v>
      </c>
      <c r="F378" t="s">
        <v>88</v>
      </c>
      <c r="G378" s="19">
        <v>45565</v>
      </c>
      <c r="H378" t="s">
        <v>94</v>
      </c>
      <c r="I378" t="s">
        <v>7257</v>
      </c>
      <c r="J378" t="s">
        <v>7260</v>
      </c>
      <c r="O378" t="s">
        <v>7259</v>
      </c>
      <c r="Q378" s="3">
        <f t="shared" si="6"/>
        <v>205.27</v>
      </c>
    </row>
    <row r="379" spans="1:17" x14ac:dyDescent="0.35">
      <c r="A379" t="s">
        <v>35</v>
      </c>
      <c r="B379" t="s">
        <v>6270</v>
      </c>
      <c r="C379" t="s">
        <v>28</v>
      </c>
      <c r="D379" t="s">
        <v>25</v>
      </c>
      <c r="E379">
        <v>204.55</v>
      </c>
      <c r="F379" t="s">
        <v>88</v>
      </c>
      <c r="G379" s="19">
        <v>45593</v>
      </c>
      <c r="H379" t="s">
        <v>94</v>
      </c>
      <c r="I379" t="s">
        <v>6656</v>
      </c>
      <c r="J379" t="s">
        <v>7340</v>
      </c>
      <c r="O379" t="s">
        <v>7070</v>
      </c>
      <c r="Q379" s="3">
        <f t="shared" si="6"/>
        <v>204.55</v>
      </c>
    </row>
    <row r="380" spans="1:17" x14ac:dyDescent="0.35">
      <c r="A380" t="s">
        <v>35</v>
      </c>
      <c r="B380" t="s">
        <v>6270</v>
      </c>
      <c r="C380" t="s">
        <v>28</v>
      </c>
      <c r="D380" t="s">
        <v>25</v>
      </c>
      <c r="E380">
        <v>204.52</v>
      </c>
      <c r="F380" t="s">
        <v>88</v>
      </c>
      <c r="G380" s="19">
        <v>45398</v>
      </c>
      <c r="H380" t="s">
        <v>94</v>
      </c>
      <c r="I380" t="s">
        <v>6355</v>
      </c>
      <c r="J380" t="s">
        <v>6356</v>
      </c>
      <c r="O380" t="s">
        <v>2010</v>
      </c>
      <c r="Q380" s="3">
        <f t="shared" si="6"/>
        <v>204.52</v>
      </c>
    </row>
    <row r="381" spans="1:17" x14ac:dyDescent="0.35">
      <c r="A381" t="s">
        <v>35</v>
      </c>
      <c r="B381" t="s">
        <v>1423</v>
      </c>
      <c r="C381" t="s">
        <v>28</v>
      </c>
      <c r="D381" t="s">
        <v>25</v>
      </c>
      <c r="E381">
        <v>203.59</v>
      </c>
      <c r="F381" t="s">
        <v>88</v>
      </c>
      <c r="G381" s="19">
        <v>45517</v>
      </c>
      <c r="H381" t="s">
        <v>94</v>
      </c>
      <c r="I381" t="s">
        <v>249</v>
      </c>
      <c r="J381" t="s">
        <v>6961</v>
      </c>
      <c r="O381" t="s">
        <v>6358</v>
      </c>
      <c r="Q381" s="3">
        <f t="shared" si="6"/>
        <v>203.59</v>
      </c>
    </row>
    <row r="382" spans="1:17" x14ac:dyDescent="0.35">
      <c r="A382" t="s">
        <v>35</v>
      </c>
      <c r="B382" t="s">
        <v>6270</v>
      </c>
      <c r="C382" t="s">
        <v>28</v>
      </c>
      <c r="D382" t="s">
        <v>25</v>
      </c>
      <c r="E382">
        <v>201.86</v>
      </c>
      <c r="F382" t="s">
        <v>88</v>
      </c>
      <c r="G382" s="19">
        <v>45398</v>
      </c>
      <c r="H382" t="s">
        <v>94</v>
      </c>
      <c r="I382" t="s">
        <v>6339</v>
      </c>
      <c r="J382" t="s">
        <v>6322</v>
      </c>
      <c r="O382" t="s">
        <v>6342</v>
      </c>
      <c r="Q382" s="3">
        <f t="shared" si="6"/>
        <v>201.86</v>
      </c>
    </row>
    <row r="383" spans="1:17" x14ac:dyDescent="0.35">
      <c r="A383" t="s">
        <v>35</v>
      </c>
      <c r="B383" t="s">
        <v>601</v>
      </c>
      <c r="C383" t="s">
        <v>28</v>
      </c>
      <c r="D383" t="s">
        <v>25</v>
      </c>
      <c r="E383">
        <v>200</v>
      </c>
      <c r="F383" t="s">
        <v>88</v>
      </c>
      <c r="G383" s="19">
        <v>45446</v>
      </c>
      <c r="H383" t="s">
        <v>94</v>
      </c>
      <c r="I383" t="s">
        <v>4947</v>
      </c>
      <c r="J383" t="s">
        <v>6544</v>
      </c>
      <c r="O383" t="s">
        <v>6545</v>
      </c>
      <c r="Q383" s="3">
        <f t="shared" si="6"/>
        <v>200</v>
      </c>
    </row>
    <row r="384" spans="1:17" x14ac:dyDescent="0.35">
      <c r="A384" t="s">
        <v>0</v>
      </c>
      <c r="B384" t="s">
        <v>788</v>
      </c>
      <c r="C384" t="s">
        <v>28</v>
      </c>
      <c r="D384" t="s">
        <v>25</v>
      </c>
      <c r="E384">
        <v>200</v>
      </c>
      <c r="F384" t="s">
        <v>88</v>
      </c>
      <c r="G384" s="19">
        <v>45576</v>
      </c>
      <c r="H384" t="s">
        <v>89</v>
      </c>
      <c r="I384" t="s">
        <v>7305</v>
      </c>
      <c r="J384"/>
      <c r="K384" t="s">
        <v>7306</v>
      </c>
      <c r="L384" t="s">
        <v>7307</v>
      </c>
      <c r="M384" t="s">
        <v>7308</v>
      </c>
      <c r="Q384" s="3">
        <f t="shared" si="6"/>
        <v>200</v>
      </c>
    </row>
    <row r="385" spans="1:31" x14ac:dyDescent="0.35">
      <c r="A385" t="s">
        <v>35</v>
      </c>
      <c r="B385" t="s">
        <v>864</v>
      </c>
      <c r="C385" t="s">
        <v>28</v>
      </c>
      <c r="D385" t="s">
        <v>25</v>
      </c>
      <c r="E385">
        <v>198.18</v>
      </c>
      <c r="F385" t="s">
        <v>88</v>
      </c>
      <c r="G385" s="19">
        <v>45511</v>
      </c>
      <c r="H385" t="s">
        <v>94</v>
      </c>
      <c r="I385" t="s">
        <v>6923</v>
      </c>
      <c r="J385" t="s">
        <v>6924</v>
      </c>
      <c r="O385" t="s">
        <v>6925</v>
      </c>
      <c r="Q385" s="3">
        <f t="shared" si="6"/>
        <v>198.18</v>
      </c>
    </row>
    <row r="386" spans="1:31" x14ac:dyDescent="0.35">
      <c r="A386" t="s">
        <v>35</v>
      </c>
      <c r="B386" t="s">
        <v>6270</v>
      </c>
      <c r="C386" t="s">
        <v>28</v>
      </c>
      <c r="D386" t="s">
        <v>25</v>
      </c>
      <c r="E386">
        <v>189.06</v>
      </c>
      <c r="F386" t="s">
        <v>88</v>
      </c>
      <c r="G386" s="19">
        <v>45553</v>
      </c>
      <c r="H386" t="s">
        <v>94</v>
      </c>
      <c r="I386" t="s">
        <v>783</v>
      </c>
      <c r="J386" t="s">
        <v>7208</v>
      </c>
      <c r="O386" t="s">
        <v>7209</v>
      </c>
      <c r="Q386" s="3">
        <f t="shared" si="6"/>
        <v>189.06</v>
      </c>
    </row>
    <row r="387" spans="1:31" ht="87" x14ac:dyDescent="0.35">
      <c r="A387" t="s">
        <v>35</v>
      </c>
      <c r="B387" t="s">
        <v>6270</v>
      </c>
      <c r="C387" t="s">
        <v>28</v>
      </c>
      <c r="D387" t="s">
        <v>25</v>
      </c>
      <c r="E387">
        <v>186.54</v>
      </c>
      <c r="F387" t="s">
        <v>88</v>
      </c>
      <c r="G387" s="19">
        <v>45398</v>
      </c>
      <c r="H387" t="s">
        <v>94</v>
      </c>
      <c r="I387" t="s">
        <v>333</v>
      </c>
      <c r="K387" s="55" t="s">
        <v>6347</v>
      </c>
      <c r="O387" t="s">
        <v>6348</v>
      </c>
      <c r="Q387" s="3">
        <f t="shared" si="6"/>
        <v>186.54</v>
      </c>
      <c r="S387" s="55" t="s">
        <v>7519</v>
      </c>
    </row>
    <row r="388" spans="1:31" ht="87" x14ac:dyDescent="0.35">
      <c r="A388" t="s">
        <v>35</v>
      </c>
      <c r="B388" t="s">
        <v>6270</v>
      </c>
      <c r="C388" t="s">
        <v>28</v>
      </c>
      <c r="D388" t="s">
        <v>25</v>
      </c>
      <c r="E388">
        <v>184.55</v>
      </c>
      <c r="F388" t="s">
        <v>88</v>
      </c>
      <c r="G388" s="19">
        <v>45462</v>
      </c>
      <c r="H388" t="s">
        <v>94</v>
      </c>
      <c r="I388" t="s">
        <v>6656</v>
      </c>
      <c r="K388" s="55" t="s">
        <v>6657</v>
      </c>
      <c r="O388" t="s">
        <v>6658</v>
      </c>
      <c r="Q388" s="3">
        <f t="shared" si="6"/>
        <v>184.55</v>
      </c>
      <c r="S388" s="55" t="s">
        <v>7519</v>
      </c>
    </row>
    <row r="389" spans="1:31" x14ac:dyDescent="0.35">
      <c r="A389" t="s">
        <v>35</v>
      </c>
      <c r="B389" t="s">
        <v>805</v>
      </c>
      <c r="C389" t="s">
        <v>28</v>
      </c>
      <c r="D389" t="s">
        <v>25</v>
      </c>
      <c r="E389">
        <v>181.82</v>
      </c>
      <c r="F389" t="s">
        <v>88</v>
      </c>
      <c r="G389" s="19">
        <v>45434</v>
      </c>
      <c r="H389" t="s">
        <v>94</v>
      </c>
      <c r="I389" t="s">
        <v>286</v>
      </c>
      <c r="J389" t="s">
        <v>6511</v>
      </c>
      <c r="O389" t="s">
        <v>6512</v>
      </c>
      <c r="Q389" s="3">
        <f t="shared" si="6"/>
        <v>181.82</v>
      </c>
    </row>
    <row r="390" spans="1:31" x14ac:dyDescent="0.35">
      <c r="A390" t="s">
        <v>0</v>
      </c>
      <c r="B390" t="s">
        <v>6270</v>
      </c>
      <c r="C390" t="s">
        <v>28</v>
      </c>
      <c r="D390" t="s">
        <v>25</v>
      </c>
      <c r="E390">
        <v>-180.48</v>
      </c>
      <c r="F390" t="s">
        <v>88</v>
      </c>
      <c r="G390" s="19">
        <v>45483</v>
      </c>
      <c r="H390" t="s">
        <v>181</v>
      </c>
      <c r="I390" t="s">
        <v>182</v>
      </c>
      <c r="J390"/>
      <c r="Q390" s="3">
        <f t="shared" si="6"/>
        <v>180.48</v>
      </c>
    </row>
    <row r="391" spans="1:31" x14ac:dyDescent="0.35">
      <c r="A391" t="s">
        <v>35</v>
      </c>
      <c r="B391" t="s">
        <v>1423</v>
      </c>
      <c r="C391" t="s">
        <v>28</v>
      </c>
      <c r="D391" t="s">
        <v>25</v>
      </c>
      <c r="E391">
        <v>179.64</v>
      </c>
      <c r="F391" t="s">
        <v>88</v>
      </c>
      <c r="G391" s="19">
        <v>45450</v>
      </c>
      <c r="H391" t="s">
        <v>94</v>
      </c>
      <c r="I391" t="s">
        <v>375</v>
      </c>
      <c r="J391" t="s">
        <v>6604</v>
      </c>
      <c r="O391" t="s">
        <v>6605</v>
      </c>
      <c r="Q391" s="3">
        <f t="shared" si="6"/>
        <v>179.64</v>
      </c>
    </row>
    <row r="392" spans="1:31" ht="87" x14ac:dyDescent="0.35">
      <c r="A392" t="s">
        <v>35</v>
      </c>
      <c r="B392" t="s">
        <v>6270</v>
      </c>
      <c r="C392" t="s">
        <v>28</v>
      </c>
      <c r="D392" t="s">
        <v>25</v>
      </c>
      <c r="E392">
        <v>179.55</v>
      </c>
      <c r="F392" t="s">
        <v>88</v>
      </c>
      <c r="G392" s="19">
        <v>45553</v>
      </c>
      <c r="H392" t="s">
        <v>94</v>
      </c>
      <c r="I392" t="s">
        <v>7228</v>
      </c>
      <c r="K392" t="s">
        <v>7231</v>
      </c>
      <c r="O392" t="s">
        <v>7233</v>
      </c>
      <c r="Q392" s="3">
        <f t="shared" si="6"/>
        <v>179.55</v>
      </c>
      <c r="S392" s="55" t="s">
        <v>7519</v>
      </c>
    </row>
    <row r="393" spans="1:31" x14ac:dyDescent="0.35">
      <c r="A393" t="s">
        <v>0</v>
      </c>
      <c r="B393" t="s">
        <v>6270</v>
      </c>
      <c r="C393" t="s">
        <v>28</v>
      </c>
      <c r="D393" t="s">
        <v>25</v>
      </c>
      <c r="E393">
        <v>177.1</v>
      </c>
      <c r="F393" t="s">
        <v>88</v>
      </c>
      <c r="G393" s="19">
        <v>45551</v>
      </c>
      <c r="H393" t="s">
        <v>89</v>
      </c>
      <c r="I393" t="s">
        <v>7194</v>
      </c>
      <c r="J393"/>
      <c r="K393" t="s">
        <v>7195</v>
      </c>
      <c r="L393" t="s">
        <v>7196</v>
      </c>
      <c r="M393" t="s">
        <v>100</v>
      </c>
      <c r="Q393" s="3">
        <f t="shared" si="6"/>
        <v>177.1</v>
      </c>
    </row>
    <row r="394" spans="1:31" x14ac:dyDescent="0.35">
      <c r="A394" t="s">
        <v>35</v>
      </c>
      <c r="B394" t="s">
        <v>605</v>
      </c>
      <c r="C394" t="s">
        <v>28</v>
      </c>
      <c r="D394" t="s">
        <v>25</v>
      </c>
      <c r="E394">
        <v>170</v>
      </c>
      <c r="F394" t="s">
        <v>88</v>
      </c>
      <c r="G394" s="19">
        <v>45385</v>
      </c>
      <c r="H394" t="s">
        <v>94</v>
      </c>
      <c r="I394" t="s">
        <v>107</v>
      </c>
      <c r="J394" t="s">
        <v>6277</v>
      </c>
      <c r="O394" t="s">
        <v>6278</v>
      </c>
      <c r="Q394" s="3">
        <f t="shared" ref="Q394:Q457" si="7">ABS(E394)</f>
        <v>170</v>
      </c>
    </row>
    <row r="395" spans="1:31" x14ac:dyDescent="0.35">
      <c r="A395" t="s">
        <v>35</v>
      </c>
      <c r="B395" t="s">
        <v>1280</v>
      </c>
      <c r="C395" t="s">
        <v>28</v>
      </c>
      <c r="D395" t="s">
        <v>25</v>
      </c>
      <c r="E395">
        <v>169.1</v>
      </c>
      <c r="F395" t="s">
        <v>88</v>
      </c>
      <c r="G395" s="19">
        <v>45544</v>
      </c>
      <c r="H395" t="s">
        <v>94</v>
      </c>
      <c r="I395" t="s">
        <v>7172</v>
      </c>
      <c r="J395" t="s">
        <v>6974</v>
      </c>
      <c r="O395" t="s">
        <v>7173</v>
      </c>
      <c r="Q395" s="3">
        <f t="shared" si="7"/>
        <v>169.1</v>
      </c>
    </row>
    <row r="396" spans="1:31" x14ac:dyDescent="0.35">
      <c r="A396" t="s">
        <v>35</v>
      </c>
      <c r="B396" t="s">
        <v>744</v>
      </c>
      <c r="C396" t="s">
        <v>28</v>
      </c>
      <c r="D396" t="s">
        <v>25</v>
      </c>
      <c r="E396">
        <v>167.21</v>
      </c>
      <c r="F396" t="s">
        <v>88</v>
      </c>
      <c r="G396" s="19">
        <v>45530</v>
      </c>
      <c r="H396" t="s">
        <v>94</v>
      </c>
      <c r="I396" t="s">
        <v>6683</v>
      </c>
      <c r="J396" t="s">
        <v>7003</v>
      </c>
      <c r="O396" t="s">
        <v>7009</v>
      </c>
      <c r="Q396" s="3">
        <f t="shared" si="7"/>
        <v>167.21</v>
      </c>
    </row>
    <row r="397" spans="1:31" ht="29" x14ac:dyDescent="0.35">
      <c r="A397" t="s">
        <v>35</v>
      </c>
      <c r="B397" t="s">
        <v>1280</v>
      </c>
      <c r="C397" t="s">
        <v>28</v>
      </c>
      <c r="D397" t="s">
        <v>25</v>
      </c>
      <c r="E397">
        <v>166.5</v>
      </c>
      <c r="F397" t="s">
        <v>88</v>
      </c>
      <c r="G397" s="19">
        <v>45566</v>
      </c>
      <c r="H397" t="s">
        <v>94</v>
      </c>
      <c r="I397" t="s">
        <v>378</v>
      </c>
      <c r="J397" t="s">
        <v>7264</v>
      </c>
      <c r="O397" t="s">
        <v>1104</v>
      </c>
      <c r="Q397" s="3">
        <f t="shared" si="7"/>
        <v>166.5</v>
      </c>
      <c r="S397" s="55" t="s">
        <v>5807</v>
      </c>
      <c r="U397" t="str">
        <f>B397</f>
        <v>AU025091</v>
      </c>
      <c r="AE397">
        <f>E397</f>
        <v>166.5</v>
      </c>
    </row>
    <row r="398" spans="1:31" x14ac:dyDescent="0.35">
      <c r="A398" t="s">
        <v>35</v>
      </c>
      <c r="B398" t="s">
        <v>6270</v>
      </c>
      <c r="C398" t="s">
        <v>28</v>
      </c>
      <c r="D398" t="s">
        <v>25</v>
      </c>
      <c r="E398">
        <v>163.59</v>
      </c>
      <c r="F398" t="s">
        <v>88</v>
      </c>
      <c r="G398" s="19">
        <v>45468</v>
      </c>
      <c r="H398" t="s">
        <v>94</v>
      </c>
      <c r="I398" t="s">
        <v>6688</v>
      </c>
      <c r="J398" t="s">
        <v>6691</v>
      </c>
      <c r="O398" t="s">
        <v>6692</v>
      </c>
      <c r="Q398" s="3">
        <f t="shared" si="7"/>
        <v>163.59</v>
      </c>
    </row>
    <row r="399" spans="1:31" x14ac:dyDescent="0.35">
      <c r="A399" t="s">
        <v>35</v>
      </c>
      <c r="B399" t="s">
        <v>805</v>
      </c>
      <c r="C399" t="s">
        <v>28</v>
      </c>
      <c r="D399" t="s">
        <v>25</v>
      </c>
      <c r="E399">
        <v>162.72999999999999</v>
      </c>
      <c r="F399" t="s">
        <v>88</v>
      </c>
      <c r="G399" s="19">
        <v>45404</v>
      </c>
      <c r="H399" t="s">
        <v>94</v>
      </c>
      <c r="I399" t="s">
        <v>286</v>
      </c>
      <c r="J399" t="s">
        <v>6416</v>
      </c>
      <c r="O399" t="s">
        <v>6417</v>
      </c>
      <c r="Q399" s="3">
        <f t="shared" si="7"/>
        <v>162.72999999999999</v>
      </c>
    </row>
    <row r="400" spans="1:31" x14ac:dyDescent="0.35">
      <c r="A400" t="s">
        <v>35</v>
      </c>
      <c r="B400" t="s">
        <v>6270</v>
      </c>
      <c r="C400" t="s">
        <v>28</v>
      </c>
      <c r="D400" t="s">
        <v>25</v>
      </c>
      <c r="E400">
        <v>162.18</v>
      </c>
      <c r="F400" t="s">
        <v>88</v>
      </c>
      <c r="G400" s="19">
        <v>45498</v>
      </c>
      <c r="H400" t="s">
        <v>94</v>
      </c>
      <c r="I400" t="s">
        <v>745</v>
      </c>
      <c r="J400" t="s">
        <v>6823</v>
      </c>
      <c r="O400" t="s">
        <v>6824</v>
      </c>
      <c r="Q400" s="3">
        <f t="shared" si="7"/>
        <v>162.18</v>
      </c>
    </row>
    <row r="401" spans="1:19" x14ac:dyDescent="0.35">
      <c r="A401" t="s">
        <v>35</v>
      </c>
      <c r="B401" t="s">
        <v>805</v>
      </c>
      <c r="C401" t="s">
        <v>28</v>
      </c>
      <c r="D401" t="s">
        <v>25</v>
      </c>
      <c r="E401">
        <v>162.16</v>
      </c>
      <c r="F401" t="s">
        <v>88</v>
      </c>
      <c r="G401" s="19">
        <v>45414</v>
      </c>
      <c r="H401" t="s">
        <v>94</v>
      </c>
      <c r="I401" t="s">
        <v>6455</v>
      </c>
      <c r="J401" t="s">
        <v>6456</v>
      </c>
      <c r="O401" t="s">
        <v>6457</v>
      </c>
      <c r="Q401" s="3">
        <f t="shared" si="7"/>
        <v>162.16</v>
      </c>
    </row>
    <row r="402" spans="1:19" x14ac:dyDescent="0.35">
      <c r="A402" t="s">
        <v>35</v>
      </c>
      <c r="B402" t="s">
        <v>2258</v>
      </c>
      <c r="C402" t="s">
        <v>28</v>
      </c>
      <c r="D402" t="s">
        <v>25</v>
      </c>
      <c r="E402">
        <v>158.18</v>
      </c>
      <c r="F402" t="s">
        <v>88</v>
      </c>
      <c r="G402" s="19">
        <v>45575</v>
      </c>
      <c r="H402" t="s">
        <v>94</v>
      </c>
      <c r="I402" t="s">
        <v>7302</v>
      </c>
      <c r="J402" t="s">
        <v>7303</v>
      </c>
      <c r="O402" t="s">
        <v>7304</v>
      </c>
      <c r="Q402" s="3">
        <f t="shared" si="7"/>
        <v>158.18</v>
      </c>
    </row>
    <row r="403" spans="1:19" x14ac:dyDescent="0.35">
      <c r="A403" t="s">
        <v>35</v>
      </c>
      <c r="B403" t="s">
        <v>6270</v>
      </c>
      <c r="C403" t="s">
        <v>28</v>
      </c>
      <c r="D403" t="s">
        <v>25</v>
      </c>
      <c r="E403">
        <v>156.86000000000001</v>
      </c>
      <c r="F403" t="s">
        <v>88</v>
      </c>
      <c r="G403" s="19">
        <v>45524</v>
      </c>
      <c r="H403" t="s">
        <v>94</v>
      </c>
      <c r="I403" t="s">
        <v>381</v>
      </c>
      <c r="J403" t="s">
        <v>515</v>
      </c>
      <c r="O403" t="s">
        <v>7010</v>
      </c>
      <c r="Q403" s="3">
        <f t="shared" si="7"/>
        <v>156.86000000000001</v>
      </c>
    </row>
    <row r="404" spans="1:19" x14ac:dyDescent="0.35">
      <c r="A404" t="s">
        <v>35</v>
      </c>
      <c r="B404" t="s">
        <v>6270</v>
      </c>
      <c r="C404" t="s">
        <v>28</v>
      </c>
      <c r="D404" t="s">
        <v>25</v>
      </c>
      <c r="E404">
        <v>156.36000000000001</v>
      </c>
      <c r="F404" t="s">
        <v>88</v>
      </c>
      <c r="G404" s="19">
        <v>45513</v>
      </c>
      <c r="H404" t="s">
        <v>94</v>
      </c>
      <c r="I404" t="s">
        <v>6683</v>
      </c>
      <c r="J404" t="s">
        <v>6932</v>
      </c>
      <c r="O404" t="s">
        <v>6933</v>
      </c>
      <c r="Q404" s="3">
        <f t="shared" si="7"/>
        <v>156.36000000000001</v>
      </c>
    </row>
    <row r="405" spans="1:19" x14ac:dyDescent="0.35">
      <c r="A405" t="s">
        <v>35</v>
      </c>
      <c r="B405" t="s">
        <v>868</v>
      </c>
      <c r="C405" t="s">
        <v>28</v>
      </c>
      <c r="D405" t="s">
        <v>25</v>
      </c>
      <c r="E405">
        <v>156.18</v>
      </c>
      <c r="F405" t="s">
        <v>88</v>
      </c>
      <c r="G405" s="19">
        <v>45394</v>
      </c>
      <c r="H405" t="s">
        <v>94</v>
      </c>
      <c r="I405" t="s">
        <v>6299</v>
      </c>
      <c r="J405" t="s">
        <v>6300</v>
      </c>
      <c r="O405" t="s">
        <v>6301</v>
      </c>
      <c r="Q405" s="3">
        <f t="shared" si="7"/>
        <v>156.18</v>
      </c>
    </row>
    <row r="406" spans="1:19" x14ac:dyDescent="0.35">
      <c r="A406" t="s">
        <v>35</v>
      </c>
      <c r="B406" t="s">
        <v>6270</v>
      </c>
      <c r="C406" t="s">
        <v>28</v>
      </c>
      <c r="D406" t="s">
        <v>25</v>
      </c>
      <c r="E406">
        <v>154.55000000000001</v>
      </c>
      <c r="F406" t="s">
        <v>88</v>
      </c>
      <c r="G406" s="19">
        <v>45530</v>
      </c>
      <c r="H406" t="s">
        <v>94</v>
      </c>
      <c r="I406" t="s">
        <v>6329</v>
      </c>
      <c r="J406" t="s">
        <v>7079</v>
      </c>
      <c r="O406" t="s">
        <v>7080</v>
      </c>
      <c r="Q406" s="3">
        <f t="shared" si="7"/>
        <v>154.55000000000001</v>
      </c>
    </row>
    <row r="407" spans="1:19" ht="29" x14ac:dyDescent="0.35">
      <c r="A407" t="s">
        <v>35</v>
      </c>
      <c r="B407" t="s">
        <v>1423</v>
      </c>
      <c r="C407" t="s">
        <v>28</v>
      </c>
      <c r="D407" t="s">
        <v>25</v>
      </c>
      <c r="E407">
        <v>153.25</v>
      </c>
      <c r="F407" t="s">
        <v>88</v>
      </c>
      <c r="G407" s="19">
        <v>45450</v>
      </c>
      <c r="H407" t="s">
        <v>94</v>
      </c>
      <c r="I407" t="s">
        <v>249</v>
      </c>
      <c r="J407" t="s">
        <v>6599</v>
      </c>
      <c r="O407" t="s">
        <v>6358</v>
      </c>
      <c r="Q407" s="3">
        <f t="shared" si="7"/>
        <v>153.25</v>
      </c>
      <c r="S407" s="55" t="s">
        <v>7517</v>
      </c>
    </row>
    <row r="408" spans="1:19" x14ac:dyDescent="0.35">
      <c r="A408" t="s">
        <v>35</v>
      </c>
      <c r="B408" t="s">
        <v>6156</v>
      </c>
      <c r="C408" t="s">
        <v>28</v>
      </c>
      <c r="D408" t="s">
        <v>25</v>
      </c>
      <c r="E408">
        <v>152.78</v>
      </c>
      <c r="F408" t="s">
        <v>88</v>
      </c>
      <c r="G408" s="19">
        <v>45526</v>
      </c>
      <c r="H408" t="s">
        <v>89</v>
      </c>
      <c r="I408" t="s">
        <v>7039</v>
      </c>
      <c r="J408"/>
      <c r="K408" t="s">
        <v>7040</v>
      </c>
      <c r="L408" t="s">
        <v>7041</v>
      </c>
      <c r="M408" t="s">
        <v>7042</v>
      </c>
      <c r="Q408" s="3">
        <f t="shared" si="7"/>
        <v>152.78</v>
      </c>
    </row>
    <row r="409" spans="1:19" x14ac:dyDescent="0.35">
      <c r="A409" t="s">
        <v>35</v>
      </c>
      <c r="B409" t="s">
        <v>6387</v>
      </c>
      <c r="C409" t="s">
        <v>28</v>
      </c>
      <c r="D409" t="s">
        <v>25</v>
      </c>
      <c r="E409">
        <v>150</v>
      </c>
      <c r="F409" t="s">
        <v>88</v>
      </c>
      <c r="G409" s="19">
        <v>45530</v>
      </c>
      <c r="H409" t="s">
        <v>89</v>
      </c>
      <c r="I409" t="s">
        <v>7051</v>
      </c>
      <c r="J409"/>
      <c r="K409" t="s">
        <v>7052</v>
      </c>
      <c r="L409" t="s">
        <v>7053</v>
      </c>
      <c r="M409" t="s">
        <v>7054</v>
      </c>
      <c r="Q409" s="3">
        <f t="shared" si="7"/>
        <v>150</v>
      </c>
    </row>
    <row r="410" spans="1:19" x14ac:dyDescent="0.35">
      <c r="A410" t="s">
        <v>35</v>
      </c>
      <c r="B410" t="s">
        <v>1280</v>
      </c>
      <c r="C410" t="s">
        <v>28</v>
      </c>
      <c r="D410" t="s">
        <v>25</v>
      </c>
      <c r="E410">
        <v>149.99</v>
      </c>
      <c r="F410" t="s">
        <v>88</v>
      </c>
      <c r="G410" s="19">
        <v>45523</v>
      </c>
      <c r="H410" t="s">
        <v>94</v>
      </c>
      <c r="I410" t="s">
        <v>378</v>
      </c>
      <c r="J410" t="s">
        <v>6974</v>
      </c>
      <c r="O410" t="s">
        <v>6975</v>
      </c>
      <c r="Q410" s="3">
        <f t="shared" si="7"/>
        <v>149.99</v>
      </c>
    </row>
    <row r="411" spans="1:19" ht="29" x14ac:dyDescent="0.35">
      <c r="A411" t="s">
        <v>35</v>
      </c>
      <c r="B411" t="s">
        <v>969</v>
      </c>
      <c r="C411" t="s">
        <v>28</v>
      </c>
      <c r="D411" t="s">
        <v>25</v>
      </c>
      <c r="E411">
        <v>143.82</v>
      </c>
      <c r="F411" t="s">
        <v>88</v>
      </c>
      <c r="G411" s="19">
        <v>45450</v>
      </c>
      <c r="H411" t="s">
        <v>94</v>
      </c>
      <c r="I411" t="s">
        <v>375</v>
      </c>
      <c r="J411" t="s">
        <v>6602</v>
      </c>
      <c r="O411" t="s">
        <v>6603</v>
      </c>
      <c r="Q411" s="3">
        <f t="shared" si="7"/>
        <v>143.82</v>
      </c>
      <c r="S411" s="55" t="s">
        <v>7517</v>
      </c>
    </row>
    <row r="412" spans="1:19" x14ac:dyDescent="0.35">
      <c r="A412" t="s">
        <v>35</v>
      </c>
      <c r="B412" t="s">
        <v>6270</v>
      </c>
      <c r="C412" t="s">
        <v>28</v>
      </c>
      <c r="D412" t="s">
        <v>25</v>
      </c>
      <c r="E412">
        <v>143.63999999999999</v>
      </c>
      <c r="F412" t="s">
        <v>88</v>
      </c>
      <c r="G412" s="19">
        <v>45398</v>
      </c>
      <c r="H412" t="s">
        <v>94</v>
      </c>
      <c r="I412" t="s">
        <v>6329</v>
      </c>
      <c r="J412" t="s">
        <v>6330</v>
      </c>
      <c r="O412" t="s">
        <v>6331</v>
      </c>
      <c r="Q412" s="3">
        <f t="shared" si="7"/>
        <v>143.63999999999999</v>
      </c>
    </row>
    <row r="413" spans="1:19" x14ac:dyDescent="0.35">
      <c r="A413" t="s">
        <v>35</v>
      </c>
      <c r="B413" t="s">
        <v>638</v>
      </c>
      <c r="C413" t="s">
        <v>28</v>
      </c>
      <c r="D413" t="s">
        <v>25</v>
      </c>
      <c r="E413">
        <v>141.82</v>
      </c>
      <c r="F413" t="s">
        <v>88</v>
      </c>
      <c r="G413" s="19">
        <v>45456</v>
      </c>
      <c r="H413" t="s">
        <v>94</v>
      </c>
      <c r="I413" t="s">
        <v>5943</v>
      </c>
      <c r="J413" t="s">
        <v>5944</v>
      </c>
      <c r="O413" t="s">
        <v>6620</v>
      </c>
      <c r="Q413" s="3">
        <f t="shared" si="7"/>
        <v>141.82</v>
      </c>
    </row>
    <row r="414" spans="1:19" x14ac:dyDescent="0.35">
      <c r="A414" t="s">
        <v>35</v>
      </c>
      <c r="B414" t="s">
        <v>1423</v>
      </c>
      <c r="C414" t="s">
        <v>28</v>
      </c>
      <c r="D414" t="s">
        <v>25</v>
      </c>
      <c r="E414">
        <v>141.82</v>
      </c>
      <c r="F414" t="s">
        <v>88</v>
      </c>
      <c r="G414" s="19">
        <v>45526</v>
      </c>
      <c r="H414" t="s">
        <v>94</v>
      </c>
      <c r="I414" t="s">
        <v>249</v>
      </c>
      <c r="J414" t="s">
        <v>7043</v>
      </c>
      <c r="O414" t="s">
        <v>7044</v>
      </c>
      <c r="Q414" s="3">
        <f t="shared" si="7"/>
        <v>141.82</v>
      </c>
    </row>
    <row r="415" spans="1:19" x14ac:dyDescent="0.35">
      <c r="A415" t="s">
        <v>35</v>
      </c>
      <c r="B415" t="s">
        <v>599</v>
      </c>
      <c r="C415" t="s">
        <v>28</v>
      </c>
      <c r="D415" t="s">
        <v>25</v>
      </c>
      <c r="E415">
        <v>140.93</v>
      </c>
      <c r="F415" t="s">
        <v>88</v>
      </c>
      <c r="G415" s="19">
        <v>45631</v>
      </c>
      <c r="H415" t="s">
        <v>94</v>
      </c>
      <c r="I415" t="s">
        <v>7435</v>
      </c>
      <c r="J415" t="s">
        <v>7438</v>
      </c>
      <c r="O415" t="s">
        <v>7439</v>
      </c>
      <c r="Q415" s="3">
        <f t="shared" si="7"/>
        <v>140.93</v>
      </c>
    </row>
    <row r="416" spans="1:19" x14ac:dyDescent="0.35">
      <c r="A416" t="s">
        <v>35</v>
      </c>
      <c r="B416" t="s">
        <v>732</v>
      </c>
      <c r="C416" t="s">
        <v>28</v>
      </c>
      <c r="D416" t="s">
        <v>25</v>
      </c>
      <c r="E416">
        <v>140.91</v>
      </c>
      <c r="F416" t="s">
        <v>88</v>
      </c>
      <c r="G416" s="19">
        <v>45614</v>
      </c>
      <c r="H416" t="s">
        <v>94</v>
      </c>
      <c r="I416" t="s">
        <v>7386</v>
      </c>
      <c r="J416" t="s">
        <v>7389</v>
      </c>
      <c r="O416" t="s">
        <v>7388</v>
      </c>
      <c r="Q416" s="3">
        <f t="shared" si="7"/>
        <v>140.91</v>
      </c>
    </row>
    <row r="417" spans="1:19" x14ac:dyDescent="0.35">
      <c r="A417" t="s">
        <v>35</v>
      </c>
      <c r="B417" t="s">
        <v>6270</v>
      </c>
      <c r="C417" t="s">
        <v>28</v>
      </c>
      <c r="D417" t="s">
        <v>25</v>
      </c>
      <c r="E417">
        <v>138.82</v>
      </c>
      <c r="F417" t="s">
        <v>88</v>
      </c>
      <c r="G417" s="19">
        <v>45398</v>
      </c>
      <c r="H417" t="s">
        <v>94</v>
      </c>
      <c r="I417" t="s">
        <v>745</v>
      </c>
      <c r="J417" t="s">
        <v>6322</v>
      </c>
      <c r="O417" t="s">
        <v>6323</v>
      </c>
      <c r="Q417" s="3">
        <f t="shared" si="7"/>
        <v>138.82</v>
      </c>
    </row>
    <row r="418" spans="1:19" x14ac:dyDescent="0.35">
      <c r="A418" t="s">
        <v>35</v>
      </c>
      <c r="B418" t="s">
        <v>969</v>
      </c>
      <c r="C418" t="s">
        <v>28</v>
      </c>
      <c r="D418" t="s">
        <v>25</v>
      </c>
      <c r="E418">
        <v>137.15</v>
      </c>
      <c r="F418" t="s">
        <v>88</v>
      </c>
      <c r="G418" s="19">
        <v>45450</v>
      </c>
      <c r="H418" t="s">
        <v>94</v>
      </c>
      <c r="I418" t="s">
        <v>249</v>
      </c>
      <c r="J418" t="s">
        <v>6594</v>
      </c>
      <c r="O418" t="s">
        <v>6358</v>
      </c>
      <c r="Q418" s="3">
        <f t="shared" si="7"/>
        <v>137.15</v>
      </c>
    </row>
    <row r="419" spans="1:19" x14ac:dyDescent="0.35">
      <c r="A419" t="s">
        <v>35</v>
      </c>
      <c r="B419" t="s">
        <v>732</v>
      </c>
      <c r="C419" t="s">
        <v>28</v>
      </c>
      <c r="D419" t="s">
        <v>25</v>
      </c>
      <c r="E419">
        <v>136.36000000000001</v>
      </c>
      <c r="F419" t="s">
        <v>88</v>
      </c>
      <c r="G419" s="19">
        <v>45552</v>
      </c>
      <c r="H419" t="s">
        <v>94</v>
      </c>
      <c r="I419" t="s">
        <v>97</v>
      </c>
      <c r="J419" t="s">
        <v>7203</v>
      </c>
      <c r="O419" t="s">
        <v>5850</v>
      </c>
      <c r="Q419" s="3">
        <f t="shared" si="7"/>
        <v>136.36000000000001</v>
      </c>
    </row>
    <row r="420" spans="1:19" ht="87" x14ac:dyDescent="0.35">
      <c r="A420" t="s">
        <v>35</v>
      </c>
      <c r="B420" t="s">
        <v>599</v>
      </c>
      <c r="C420" t="s">
        <v>28</v>
      </c>
      <c r="D420" t="s">
        <v>25</v>
      </c>
      <c r="E420">
        <v>136.36000000000001</v>
      </c>
      <c r="F420" t="s">
        <v>88</v>
      </c>
      <c r="G420" s="19">
        <v>45631</v>
      </c>
      <c r="H420" t="s">
        <v>94</v>
      </c>
      <c r="I420" t="s">
        <v>7432</v>
      </c>
      <c r="K420" t="s">
        <v>7433</v>
      </c>
      <c r="O420" t="s">
        <v>7434</v>
      </c>
      <c r="Q420" s="3">
        <f t="shared" si="7"/>
        <v>136.36000000000001</v>
      </c>
      <c r="S420" s="55" t="s">
        <v>7519</v>
      </c>
    </row>
    <row r="421" spans="1:19" x14ac:dyDescent="0.35">
      <c r="A421" t="s">
        <v>35</v>
      </c>
      <c r="B421" t="s">
        <v>1280</v>
      </c>
      <c r="C421" t="s">
        <v>28</v>
      </c>
      <c r="D421" t="s">
        <v>25</v>
      </c>
      <c r="E421">
        <v>136.36000000000001</v>
      </c>
      <c r="F421" t="s">
        <v>88</v>
      </c>
      <c r="G421" s="19">
        <v>45645</v>
      </c>
      <c r="H421" t="s">
        <v>94</v>
      </c>
      <c r="I421" t="s">
        <v>7503</v>
      </c>
      <c r="J421" t="s">
        <v>7504</v>
      </c>
      <c r="O421" t="s">
        <v>7505</v>
      </c>
      <c r="Q421" s="3">
        <f t="shared" si="7"/>
        <v>136.36000000000001</v>
      </c>
    </row>
    <row r="422" spans="1:19" x14ac:dyDescent="0.35">
      <c r="A422" t="s">
        <v>35</v>
      </c>
      <c r="B422" t="s">
        <v>969</v>
      </c>
      <c r="C422" t="s">
        <v>28</v>
      </c>
      <c r="D422" t="s">
        <v>25</v>
      </c>
      <c r="E422">
        <v>135.44</v>
      </c>
      <c r="F422" t="s">
        <v>88</v>
      </c>
      <c r="G422" s="19">
        <v>45450</v>
      </c>
      <c r="H422" t="s">
        <v>94</v>
      </c>
      <c r="I422" t="s">
        <v>249</v>
      </c>
      <c r="J422" t="s">
        <v>6595</v>
      </c>
      <c r="O422" t="s">
        <v>6596</v>
      </c>
      <c r="Q422" s="3">
        <f t="shared" si="7"/>
        <v>135.44</v>
      </c>
    </row>
    <row r="423" spans="1:19" x14ac:dyDescent="0.35">
      <c r="A423" t="s">
        <v>35</v>
      </c>
      <c r="B423" t="s">
        <v>1423</v>
      </c>
      <c r="C423" t="s">
        <v>28</v>
      </c>
      <c r="D423" t="s">
        <v>25</v>
      </c>
      <c r="E423">
        <v>135.43</v>
      </c>
      <c r="F423" t="s">
        <v>88</v>
      </c>
      <c r="G423" s="19">
        <v>45450</v>
      </c>
      <c r="H423" t="s">
        <v>94</v>
      </c>
      <c r="I423" t="s">
        <v>249</v>
      </c>
      <c r="J423" t="s">
        <v>6595</v>
      </c>
      <c r="O423" t="s">
        <v>6596</v>
      </c>
      <c r="Q423" s="3">
        <f t="shared" si="7"/>
        <v>135.43</v>
      </c>
    </row>
    <row r="424" spans="1:19" x14ac:dyDescent="0.35">
      <c r="A424" t="s">
        <v>35</v>
      </c>
      <c r="B424" t="s">
        <v>6270</v>
      </c>
      <c r="C424" t="s">
        <v>28</v>
      </c>
      <c r="D424" t="s">
        <v>25</v>
      </c>
      <c r="E424">
        <v>130.59</v>
      </c>
      <c r="F424" t="s">
        <v>88</v>
      </c>
      <c r="G424" s="19">
        <v>45524</v>
      </c>
      <c r="H424" t="s">
        <v>94</v>
      </c>
      <c r="I424" t="s">
        <v>7013</v>
      </c>
      <c r="J424" t="s">
        <v>7003</v>
      </c>
      <c r="O424" t="s">
        <v>7017</v>
      </c>
      <c r="Q424" s="3">
        <f t="shared" si="7"/>
        <v>130.59</v>
      </c>
    </row>
    <row r="425" spans="1:19" x14ac:dyDescent="0.35">
      <c r="A425" t="s">
        <v>35</v>
      </c>
      <c r="B425" t="s">
        <v>6270</v>
      </c>
      <c r="C425" t="s">
        <v>28</v>
      </c>
      <c r="D425" t="s">
        <v>25</v>
      </c>
      <c r="E425">
        <v>127.54</v>
      </c>
      <c r="F425" t="s">
        <v>88</v>
      </c>
      <c r="G425" s="19">
        <v>45553</v>
      </c>
      <c r="H425" t="s">
        <v>94</v>
      </c>
      <c r="I425" t="s">
        <v>7228</v>
      </c>
      <c r="K425" t="s">
        <v>7231</v>
      </c>
      <c r="O425" t="s">
        <v>7234</v>
      </c>
      <c r="Q425" s="3">
        <f t="shared" si="7"/>
        <v>127.54</v>
      </c>
    </row>
    <row r="426" spans="1:19" x14ac:dyDescent="0.35">
      <c r="A426" t="s">
        <v>35</v>
      </c>
      <c r="B426" t="s">
        <v>5426</v>
      </c>
      <c r="C426" t="s">
        <v>28</v>
      </c>
      <c r="D426" t="s">
        <v>25</v>
      </c>
      <c r="E426">
        <v>127.27</v>
      </c>
      <c r="F426" t="s">
        <v>88</v>
      </c>
      <c r="G426" s="19">
        <v>45391</v>
      </c>
      <c r="H426" t="s">
        <v>94</v>
      </c>
      <c r="I426" t="s">
        <v>6290</v>
      </c>
      <c r="J426" t="s">
        <v>6291</v>
      </c>
      <c r="O426" t="s">
        <v>6292</v>
      </c>
      <c r="Q426" s="3">
        <f t="shared" si="7"/>
        <v>127.27</v>
      </c>
    </row>
    <row r="427" spans="1:19" ht="29" x14ac:dyDescent="0.35">
      <c r="A427" t="s">
        <v>35</v>
      </c>
      <c r="B427" t="s">
        <v>1423</v>
      </c>
      <c r="C427" t="s">
        <v>28</v>
      </c>
      <c r="D427" t="s">
        <v>25</v>
      </c>
      <c r="E427">
        <v>126.82</v>
      </c>
      <c r="F427" t="s">
        <v>88</v>
      </c>
      <c r="G427" s="19">
        <v>45450</v>
      </c>
      <c r="H427" t="s">
        <v>94</v>
      </c>
      <c r="I427" t="s">
        <v>249</v>
      </c>
      <c r="J427" t="s">
        <v>6593</v>
      </c>
      <c r="O427" t="s">
        <v>2555</v>
      </c>
      <c r="Q427" s="3">
        <f t="shared" si="7"/>
        <v>126.82</v>
      </c>
      <c r="S427" s="55" t="s">
        <v>7517</v>
      </c>
    </row>
    <row r="428" spans="1:19" ht="29" x14ac:dyDescent="0.35">
      <c r="A428" t="s">
        <v>35</v>
      </c>
      <c r="B428" t="s">
        <v>969</v>
      </c>
      <c r="C428" t="s">
        <v>28</v>
      </c>
      <c r="D428" t="s">
        <v>25</v>
      </c>
      <c r="E428">
        <v>126.82</v>
      </c>
      <c r="F428" t="s">
        <v>88</v>
      </c>
      <c r="G428" s="19">
        <v>45450</v>
      </c>
      <c r="H428" t="s">
        <v>94</v>
      </c>
      <c r="I428" t="s">
        <v>249</v>
      </c>
      <c r="J428" t="s">
        <v>6593</v>
      </c>
      <c r="O428" t="s">
        <v>2555</v>
      </c>
      <c r="Q428" s="3">
        <f t="shared" si="7"/>
        <v>126.82</v>
      </c>
      <c r="S428" s="55" t="s">
        <v>7517</v>
      </c>
    </row>
    <row r="429" spans="1:19" x14ac:dyDescent="0.35">
      <c r="A429" t="s">
        <v>35</v>
      </c>
      <c r="B429" t="s">
        <v>6270</v>
      </c>
      <c r="C429" t="s">
        <v>28</v>
      </c>
      <c r="D429" t="s">
        <v>25</v>
      </c>
      <c r="E429">
        <v>125.15</v>
      </c>
      <c r="F429" t="s">
        <v>88</v>
      </c>
      <c r="G429" s="19">
        <v>45513</v>
      </c>
      <c r="H429" t="s">
        <v>94</v>
      </c>
      <c r="I429" t="s">
        <v>6936</v>
      </c>
      <c r="J429" t="s">
        <v>6937</v>
      </c>
      <c r="O429" t="s">
        <v>6939</v>
      </c>
      <c r="Q429" s="3">
        <f t="shared" si="7"/>
        <v>125.15</v>
      </c>
    </row>
    <row r="430" spans="1:19" x14ac:dyDescent="0.35">
      <c r="A430" t="s">
        <v>0</v>
      </c>
      <c r="B430" t="s">
        <v>6270</v>
      </c>
      <c r="C430" t="s">
        <v>28</v>
      </c>
      <c r="D430" t="s">
        <v>25</v>
      </c>
      <c r="E430">
        <v>123.69</v>
      </c>
      <c r="F430" t="s">
        <v>88</v>
      </c>
      <c r="G430" s="19">
        <v>45490</v>
      </c>
      <c r="H430" t="s">
        <v>181</v>
      </c>
      <c r="I430" t="s">
        <v>182</v>
      </c>
      <c r="J430"/>
      <c r="Q430" s="3">
        <f t="shared" si="7"/>
        <v>123.69</v>
      </c>
    </row>
    <row r="431" spans="1:19" x14ac:dyDescent="0.35">
      <c r="A431" t="s">
        <v>35</v>
      </c>
      <c r="B431" t="s">
        <v>6270</v>
      </c>
      <c r="C431" t="s">
        <v>28</v>
      </c>
      <c r="D431" t="s">
        <v>25</v>
      </c>
      <c r="E431">
        <v>123.64</v>
      </c>
      <c r="F431" t="s">
        <v>88</v>
      </c>
      <c r="G431" s="19">
        <v>45530</v>
      </c>
      <c r="H431" t="s">
        <v>94</v>
      </c>
      <c r="I431" t="s">
        <v>6656</v>
      </c>
      <c r="J431" t="s">
        <v>7069</v>
      </c>
      <c r="O431" t="s">
        <v>7070</v>
      </c>
      <c r="Q431" s="3">
        <f t="shared" si="7"/>
        <v>123.64</v>
      </c>
    </row>
    <row r="432" spans="1:19" x14ac:dyDescent="0.35">
      <c r="A432" t="s">
        <v>35</v>
      </c>
      <c r="B432" t="s">
        <v>6270</v>
      </c>
      <c r="C432" t="s">
        <v>28</v>
      </c>
      <c r="D432" t="s">
        <v>25</v>
      </c>
      <c r="E432">
        <v>121.58</v>
      </c>
      <c r="F432" t="s">
        <v>88</v>
      </c>
      <c r="G432" s="19">
        <v>45505</v>
      </c>
      <c r="H432" t="s">
        <v>94</v>
      </c>
      <c r="I432" t="s">
        <v>745</v>
      </c>
      <c r="J432" t="s">
        <v>6869</v>
      </c>
      <c r="O432" t="s">
        <v>6870</v>
      </c>
      <c r="Q432" s="3">
        <f t="shared" si="7"/>
        <v>121.58</v>
      </c>
    </row>
    <row r="433" spans="1:19" x14ac:dyDescent="0.35">
      <c r="A433" t="s">
        <v>35</v>
      </c>
      <c r="B433" t="s">
        <v>605</v>
      </c>
      <c r="C433" t="s">
        <v>28</v>
      </c>
      <c r="D433" t="s">
        <v>25</v>
      </c>
      <c r="E433">
        <v>120.92</v>
      </c>
      <c r="F433" t="s">
        <v>88</v>
      </c>
      <c r="G433" s="19">
        <v>45425</v>
      </c>
      <c r="H433" t="s">
        <v>89</v>
      </c>
      <c r="I433" t="s">
        <v>6474</v>
      </c>
      <c r="J433"/>
      <c r="K433" t="s">
        <v>6475</v>
      </c>
      <c r="L433" t="s">
        <v>6476</v>
      </c>
      <c r="M433" t="s">
        <v>711</v>
      </c>
      <c r="Q433" s="3">
        <f t="shared" si="7"/>
        <v>120.92</v>
      </c>
    </row>
    <row r="434" spans="1:19" x14ac:dyDescent="0.35">
      <c r="A434" t="s">
        <v>35</v>
      </c>
      <c r="B434" t="s">
        <v>6270</v>
      </c>
      <c r="C434" t="s">
        <v>28</v>
      </c>
      <c r="D434" t="s">
        <v>25</v>
      </c>
      <c r="E434">
        <v>118.18</v>
      </c>
      <c r="F434" t="s">
        <v>88</v>
      </c>
      <c r="G434" s="19">
        <v>45498</v>
      </c>
      <c r="H434" t="s">
        <v>94</v>
      </c>
      <c r="I434" t="s">
        <v>6332</v>
      </c>
      <c r="J434" t="s">
        <v>6830</v>
      </c>
      <c r="O434" t="s">
        <v>6831</v>
      </c>
      <c r="Q434" s="3">
        <f t="shared" si="7"/>
        <v>118.18</v>
      </c>
    </row>
    <row r="435" spans="1:19" x14ac:dyDescent="0.35">
      <c r="A435" t="s">
        <v>35</v>
      </c>
      <c r="B435" t="s">
        <v>6270</v>
      </c>
      <c r="C435" t="s">
        <v>28</v>
      </c>
      <c r="D435" t="s">
        <v>25</v>
      </c>
      <c r="E435">
        <v>118</v>
      </c>
      <c r="F435" t="s">
        <v>88</v>
      </c>
      <c r="G435" s="19">
        <v>45524</v>
      </c>
      <c r="H435" t="s">
        <v>94</v>
      </c>
      <c r="I435" t="s">
        <v>331</v>
      </c>
      <c r="J435" t="s">
        <v>6995</v>
      </c>
      <c r="O435" t="s">
        <v>6996</v>
      </c>
      <c r="Q435" s="3">
        <f t="shared" si="7"/>
        <v>118</v>
      </c>
    </row>
    <row r="436" spans="1:19" x14ac:dyDescent="0.35">
      <c r="A436" t="s">
        <v>35</v>
      </c>
      <c r="B436" t="s">
        <v>1279</v>
      </c>
      <c r="C436" t="s">
        <v>28</v>
      </c>
      <c r="D436" t="s">
        <v>25</v>
      </c>
      <c r="E436">
        <v>117.62</v>
      </c>
      <c r="F436" t="s">
        <v>88</v>
      </c>
      <c r="G436" s="19">
        <v>45466</v>
      </c>
      <c r="H436" t="s">
        <v>181</v>
      </c>
      <c r="I436" t="s">
        <v>182</v>
      </c>
      <c r="J436"/>
      <c r="Q436" s="3">
        <f t="shared" si="7"/>
        <v>117.62</v>
      </c>
    </row>
    <row r="437" spans="1:19" x14ac:dyDescent="0.35">
      <c r="A437" t="s">
        <v>0</v>
      </c>
      <c r="B437" t="s">
        <v>6270</v>
      </c>
      <c r="C437" t="s">
        <v>28</v>
      </c>
      <c r="D437" t="s">
        <v>25</v>
      </c>
      <c r="E437">
        <v>115.08</v>
      </c>
      <c r="F437" t="s">
        <v>88</v>
      </c>
      <c r="G437" s="19">
        <v>45544</v>
      </c>
      <c r="H437" t="s">
        <v>89</v>
      </c>
      <c r="I437" t="s">
        <v>7161</v>
      </c>
      <c r="J437"/>
      <c r="K437" t="s">
        <v>7165</v>
      </c>
      <c r="L437" t="s">
        <v>7163</v>
      </c>
      <c r="M437" t="s">
        <v>7164</v>
      </c>
      <c r="Q437" s="3">
        <f t="shared" si="7"/>
        <v>115.08</v>
      </c>
    </row>
    <row r="438" spans="1:19" ht="87" x14ac:dyDescent="0.35">
      <c r="A438" t="s">
        <v>35</v>
      </c>
      <c r="B438" t="s">
        <v>6270</v>
      </c>
      <c r="C438" t="s">
        <v>28</v>
      </c>
      <c r="D438" t="s">
        <v>25</v>
      </c>
      <c r="E438">
        <v>114.64</v>
      </c>
      <c r="F438" t="s">
        <v>88</v>
      </c>
      <c r="G438" s="19">
        <v>45498</v>
      </c>
      <c r="H438" t="s">
        <v>94</v>
      </c>
      <c r="I438" t="s">
        <v>333</v>
      </c>
      <c r="K438" t="s">
        <v>6842</v>
      </c>
      <c r="O438" t="s">
        <v>6843</v>
      </c>
      <c r="Q438" s="3">
        <f t="shared" si="7"/>
        <v>114.64</v>
      </c>
      <c r="S438" s="55" t="s">
        <v>7519</v>
      </c>
    </row>
    <row r="439" spans="1:19" x14ac:dyDescent="0.35">
      <c r="A439" t="s">
        <v>35</v>
      </c>
      <c r="B439" t="s">
        <v>599</v>
      </c>
      <c r="C439" t="s">
        <v>28</v>
      </c>
      <c r="D439" t="s">
        <v>25</v>
      </c>
      <c r="E439">
        <v>113.73</v>
      </c>
      <c r="F439" t="s">
        <v>88</v>
      </c>
      <c r="G439" s="19">
        <v>45631</v>
      </c>
      <c r="H439" t="s">
        <v>94</v>
      </c>
      <c r="I439" t="s">
        <v>7435</v>
      </c>
      <c r="J439" t="s">
        <v>7436</v>
      </c>
      <c r="O439" t="s">
        <v>7437</v>
      </c>
      <c r="Q439" s="3">
        <f t="shared" si="7"/>
        <v>113.73</v>
      </c>
    </row>
    <row r="440" spans="1:19" x14ac:dyDescent="0.35">
      <c r="A440" t="s">
        <v>35</v>
      </c>
      <c r="B440" t="s">
        <v>1280</v>
      </c>
      <c r="C440" t="s">
        <v>28</v>
      </c>
      <c r="D440" t="s">
        <v>25</v>
      </c>
      <c r="E440">
        <v>113.64</v>
      </c>
      <c r="F440" t="s">
        <v>88</v>
      </c>
      <c r="G440" s="19">
        <v>45434</v>
      </c>
      <c r="H440" t="s">
        <v>94</v>
      </c>
      <c r="I440" t="s">
        <v>378</v>
      </c>
      <c r="J440" t="s">
        <v>6503</v>
      </c>
      <c r="O440" t="s">
        <v>6504</v>
      </c>
      <c r="Q440" s="3">
        <f t="shared" si="7"/>
        <v>113.64</v>
      </c>
    </row>
    <row r="441" spans="1:19" x14ac:dyDescent="0.35">
      <c r="A441" t="s">
        <v>35</v>
      </c>
      <c r="B441" t="s">
        <v>2728</v>
      </c>
      <c r="C441" t="s">
        <v>28</v>
      </c>
      <c r="D441" t="s">
        <v>25</v>
      </c>
      <c r="E441">
        <v>112.65</v>
      </c>
      <c r="F441" t="s">
        <v>88</v>
      </c>
      <c r="G441" s="19">
        <v>45631</v>
      </c>
      <c r="H441" t="s">
        <v>94</v>
      </c>
      <c r="I441" t="s">
        <v>7441</v>
      </c>
      <c r="J441" t="s">
        <v>7444</v>
      </c>
      <c r="O441" t="s">
        <v>7443</v>
      </c>
      <c r="Q441" s="3">
        <f t="shared" si="7"/>
        <v>112.65</v>
      </c>
    </row>
    <row r="442" spans="1:19" x14ac:dyDescent="0.35">
      <c r="A442" t="s">
        <v>35</v>
      </c>
      <c r="B442" t="s">
        <v>6270</v>
      </c>
      <c r="C442" t="s">
        <v>28</v>
      </c>
      <c r="D442" t="s">
        <v>25</v>
      </c>
      <c r="E442">
        <v>112.41</v>
      </c>
      <c r="F442" t="s">
        <v>88</v>
      </c>
      <c r="G442" s="19">
        <v>45553</v>
      </c>
      <c r="H442" t="s">
        <v>94</v>
      </c>
      <c r="I442" t="s">
        <v>4947</v>
      </c>
      <c r="J442" t="s">
        <v>7218</v>
      </c>
      <c r="O442" t="s">
        <v>7219</v>
      </c>
      <c r="Q442" s="3">
        <f t="shared" si="7"/>
        <v>112.41</v>
      </c>
    </row>
    <row r="443" spans="1:19" x14ac:dyDescent="0.35">
      <c r="A443" t="s">
        <v>35</v>
      </c>
      <c r="B443" t="s">
        <v>6270</v>
      </c>
      <c r="C443" t="s">
        <v>28</v>
      </c>
      <c r="D443" t="s">
        <v>25</v>
      </c>
      <c r="E443">
        <v>112.31</v>
      </c>
      <c r="F443" t="s">
        <v>88</v>
      </c>
      <c r="G443" s="19">
        <v>45524</v>
      </c>
      <c r="H443" t="s">
        <v>94</v>
      </c>
      <c r="I443" t="s">
        <v>6683</v>
      </c>
      <c r="J443" t="s">
        <v>7003</v>
      </c>
      <c r="O443" t="s">
        <v>7007</v>
      </c>
      <c r="Q443" s="3">
        <f t="shared" si="7"/>
        <v>112.31</v>
      </c>
    </row>
    <row r="444" spans="1:19" x14ac:dyDescent="0.35">
      <c r="A444" t="s">
        <v>35</v>
      </c>
      <c r="B444" t="s">
        <v>6270</v>
      </c>
      <c r="C444" t="s">
        <v>28</v>
      </c>
      <c r="D444" t="s">
        <v>25</v>
      </c>
      <c r="E444">
        <v>111.82</v>
      </c>
      <c r="F444" t="s">
        <v>88</v>
      </c>
      <c r="G444" s="19">
        <v>45498</v>
      </c>
      <c r="H444" t="s">
        <v>94</v>
      </c>
      <c r="I444" t="s">
        <v>6329</v>
      </c>
      <c r="J444" t="s">
        <v>6828</v>
      </c>
      <c r="O444" t="s">
        <v>6829</v>
      </c>
      <c r="Q444" s="3">
        <f t="shared" si="7"/>
        <v>111.82</v>
      </c>
    </row>
    <row r="445" spans="1:19" x14ac:dyDescent="0.35">
      <c r="A445" t="s">
        <v>35</v>
      </c>
      <c r="B445" t="s">
        <v>2720</v>
      </c>
      <c r="C445" t="s">
        <v>28</v>
      </c>
      <c r="D445" t="s">
        <v>25</v>
      </c>
      <c r="E445">
        <v>111.26</v>
      </c>
      <c r="F445" t="s">
        <v>88</v>
      </c>
      <c r="G445" s="19">
        <v>45636</v>
      </c>
      <c r="H445" t="s">
        <v>94</v>
      </c>
      <c r="I445" t="s">
        <v>331</v>
      </c>
      <c r="J445" t="s">
        <v>7457</v>
      </c>
      <c r="O445" t="s">
        <v>7411</v>
      </c>
      <c r="Q445" s="3">
        <f t="shared" si="7"/>
        <v>111.26</v>
      </c>
    </row>
    <row r="446" spans="1:19" x14ac:dyDescent="0.35">
      <c r="A446" t="s">
        <v>35</v>
      </c>
      <c r="B446" t="s">
        <v>1244</v>
      </c>
      <c r="C446" t="s">
        <v>28</v>
      </c>
      <c r="D446" t="s">
        <v>25</v>
      </c>
      <c r="E446">
        <v>110.54</v>
      </c>
      <c r="F446" t="s">
        <v>88</v>
      </c>
      <c r="G446" s="19">
        <v>45629</v>
      </c>
      <c r="H446" t="s">
        <v>94</v>
      </c>
      <c r="I446" t="s">
        <v>7418</v>
      </c>
      <c r="J446" t="s">
        <v>7419</v>
      </c>
      <c r="O446" t="s">
        <v>7420</v>
      </c>
      <c r="Q446" s="3">
        <f t="shared" si="7"/>
        <v>110.54</v>
      </c>
    </row>
    <row r="447" spans="1:19" x14ac:dyDescent="0.35">
      <c r="A447" t="s">
        <v>35</v>
      </c>
      <c r="B447" t="s">
        <v>672</v>
      </c>
      <c r="C447" t="s">
        <v>28</v>
      </c>
      <c r="D447" t="s">
        <v>25</v>
      </c>
      <c r="E447">
        <v>110.4</v>
      </c>
      <c r="F447" t="s">
        <v>88</v>
      </c>
      <c r="G447" s="19">
        <v>45566</v>
      </c>
      <c r="H447" t="s">
        <v>94</v>
      </c>
      <c r="I447" t="s">
        <v>7273</v>
      </c>
      <c r="J447" t="s">
        <v>7274</v>
      </c>
      <c r="O447" t="s">
        <v>7275</v>
      </c>
      <c r="Q447" s="3">
        <f t="shared" si="7"/>
        <v>110.4</v>
      </c>
    </row>
    <row r="448" spans="1:19" x14ac:dyDescent="0.35">
      <c r="A448" t="s">
        <v>35</v>
      </c>
      <c r="B448" t="s">
        <v>6270</v>
      </c>
      <c r="C448" t="s">
        <v>28</v>
      </c>
      <c r="D448" t="s">
        <v>25</v>
      </c>
      <c r="E448">
        <v>110.03</v>
      </c>
      <c r="F448" t="s">
        <v>88</v>
      </c>
      <c r="G448" s="19">
        <v>45553</v>
      </c>
      <c r="H448" t="s">
        <v>94</v>
      </c>
      <c r="I448" t="s">
        <v>7228</v>
      </c>
      <c r="K448" t="s">
        <v>7235</v>
      </c>
      <c r="O448" t="s">
        <v>7236</v>
      </c>
      <c r="Q448" s="3">
        <f t="shared" si="7"/>
        <v>110.03</v>
      </c>
    </row>
    <row r="449" spans="1:31" ht="29" x14ac:dyDescent="0.35">
      <c r="A449" t="s">
        <v>35</v>
      </c>
      <c r="B449" t="s">
        <v>1280</v>
      </c>
      <c r="C449" t="s">
        <v>28</v>
      </c>
      <c r="D449" t="s">
        <v>25</v>
      </c>
      <c r="E449">
        <v>109.06</v>
      </c>
      <c r="F449" t="s">
        <v>88</v>
      </c>
      <c r="G449" s="19">
        <v>45566</v>
      </c>
      <c r="H449" t="s">
        <v>94</v>
      </c>
      <c r="I449" t="s">
        <v>378</v>
      </c>
      <c r="J449" t="s">
        <v>7265</v>
      </c>
      <c r="O449" t="s">
        <v>1104</v>
      </c>
      <c r="Q449" s="3">
        <f t="shared" si="7"/>
        <v>109.06</v>
      </c>
      <c r="S449" s="55" t="s">
        <v>5807</v>
      </c>
      <c r="U449" t="str">
        <f>B449</f>
        <v>AU025091</v>
      </c>
      <c r="AE449">
        <f>E449</f>
        <v>109.06</v>
      </c>
    </row>
    <row r="450" spans="1:31" ht="29" x14ac:dyDescent="0.35">
      <c r="A450" t="s">
        <v>35</v>
      </c>
      <c r="B450" t="s">
        <v>969</v>
      </c>
      <c r="C450" t="s">
        <v>28</v>
      </c>
      <c r="D450" t="s">
        <v>25</v>
      </c>
      <c r="E450">
        <v>109</v>
      </c>
      <c r="F450" t="s">
        <v>88</v>
      </c>
      <c r="G450" s="19">
        <v>45450</v>
      </c>
      <c r="H450" t="s">
        <v>94</v>
      </c>
      <c r="I450" t="s">
        <v>249</v>
      </c>
      <c r="J450" t="s">
        <v>6590</v>
      </c>
      <c r="O450" t="s">
        <v>6591</v>
      </c>
      <c r="Q450" s="3">
        <f t="shared" si="7"/>
        <v>109</v>
      </c>
      <c r="S450" s="55" t="s">
        <v>7517</v>
      </c>
    </row>
    <row r="451" spans="1:31" x14ac:dyDescent="0.35">
      <c r="A451" t="s">
        <v>35</v>
      </c>
      <c r="B451" t="s">
        <v>672</v>
      </c>
      <c r="C451" t="s">
        <v>28</v>
      </c>
      <c r="D451" t="s">
        <v>25</v>
      </c>
      <c r="E451">
        <v>101.82</v>
      </c>
      <c r="F451" t="s">
        <v>88</v>
      </c>
      <c r="G451" s="19">
        <v>45621</v>
      </c>
      <c r="H451" t="s">
        <v>94</v>
      </c>
      <c r="I451" t="s">
        <v>7403</v>
      </c>
      <c r="J451" t="s">
        <v>7404</v>
      </c>
      <c r="O451" t="s">
        <v>7405</v>
      </c>
      <c r="Q451" s="3">
        <f t="shared" si="7"/>
        <v>101.82</v>
      </c>
    </row>
    <row r="452" spans="1:31" x14ac:dyDescent="0.35">
      <c r="A452" t="s">
        <v>35</v>
      </c>
      <c r="B452" t="s">
        <v>6270</v>
      </c>
      <c r="C452" t="s">
        <v>28</v>
      </c>
      <c r="D452" t="s">
        <v>25</v>
      </c>
      <c r="E452">
        <v>100</v>
      </c>
      <c r="F452" t="s">
        <v>88</v>
      </c>
      <c r="G452" s="19">
        <v>45559</v>
      </c>
      <c r="H452" t="s">
        <v>94</v>
      </c>
      <c r="I452" t="s">
        <v>331</v>
      </c>
      <c r="J452" t="s">
        <v>7251</v>
      </c>
      <c r="O452" t="s">
        <v>7252</v>
      </c>
      <c r="Q452" s="3">
        <f t="shared" si="7"/>
        <v>100</v>
      </c>
    </row>
    <row r="453" spans="1:31" x14ac:dyDescent="0.35">
      <c r="A453" t="s">
        <v>35</v>
      </c>
      <c r="B453" t="s">
        <v>1280</v>
      </c>
      <c r="C453" t="s">
        <v>28</v>
      </c>
      <c r="D453" t="s">
        <v>25</v>
      </c>
      <c r="E453">
        <v>100</v>
      </c>
      <c r="F453" t="s">
        <v>88</v>
      </c>
      <c r="G453" s="19">
        <v>45645</v>
      </c>
      <c r="H453" t="s">
        <v>94</v>
      </c>
      <c r="I453" t="s">
        <v>7506</v>
      </c>
      <c r="J453" t="s">
        <v>7507</v>
      </c>
      <c r="O453" t="s">
        <v>7508</v>
      </c>
      <c r="Q453" s="3">
        <f t="shared" si="7"/>
        <v>100</v>
      </c>
    </row>
    <row r="454" spans="1:31" x14ac:dyDescent="0.35">
      <c r="A454" t="s">
        <v>35</v>
      </c>
      <c r="B454" t="s">
        <v>1280</v>
      </c>
      <c r="C454" t="s">
        <v>28</v>
      </c>
      <c r="D454" t="s">
        <v>25</v>
      </c>
      <c r="E454">
        <v>98.77</v>
      </c>
      <c r="F454" t="s">
        <v>88</v>
      </c>
      <c r="G454" s="19">
        <v>45434</v>
      </c>
      <c r="H454" t="s">
        <v>94</v>
      </c>
      <c r="I454" t="s">
        <v>6508</v>
      </c>
      <c r="J454" t="s">
        <v>6509</v>
      </c>
      <c r="O454" t="s">
        <v>6510</v>
      </c>
      <c r="Q454" s="3">
        <f t="shared" si="7"/>
        <v>98.77</v>
      </c>
    </row>
    <row r="455" spans="1:31" x14ac:dyDescent="0.35">
      <c r="A455" t="s">
        <v>35</v>
      </c>
      <c r="B455" t="s">
        <v>1884</v>
      </c>
      <c r="C455" t="s">
        <v>28</v>
      </c>
      <c r="D455" t="s">
        <v>25</v>
      </c>
      <c r="E455">
        <v>96.27</v>
      </c>
      <c r="F455" t="s">
        <v>88</v>
      </c>
      <c r="G455" s="19">
        <v>45446</v>
      </c>
      <c r="H455" t="s">
        <v>94</v>
      </c>
      <c r="I455" t="s">
        <v>6549</v>
      </c>
      <c r="J455" t="s">
        <v>6550</v>
      </c>
      <c r="O455" t="s">
        <v>6551</v>
      </c>
      <c r="Q455" s="3">
        <f t="shared" si="7"/>
        <v>96.27</v>
      </c>
    </row>
    <row r="456" spans="1:31" x14ac:dyDescent="0.35">
      <c r="A456" t="s">
        <v>35</v>
      </c>
      <c r="B456" t="s">
        <v>2328</v>
      </c>
      <c r="C456" t="s">
        <v>28</v>
      </c>
      <c r="D456" t="s">
        <v>25</v>
      </c>
      <c r="E456">
        <v>95.45</v>
      </c>
      <c r="F456" t="s">
        <v>88</v>
      </c>
      <c r="G456" s="19">
        <v>45600</v>
      </c>
      <c r="H456" t="s">
        <v>94</v>
      </c>
      <c r="I456" t="s">
        <v>7362</v>
      </c>
      <c r="J456" t="s">
        <v>7363</v>
      </c>
      <c r="O456" t="s">
        <v>7364</v>
      </c>
      <c r="Q456" s="3">
        <f t="shared" si="7"/>
        <v>95.45</v>
      </c>
    </row>
    <row r="457" spans="1:31" x14ac:dyDescent="0.35">
      <c r="A457" t="s">
        <v>35</v>
      </c>
      <c r="B457" t="s">
        <v>605</v>
      </c>
      <c r="C457" t="s">
        <v>28</v>
      </c>
      <c r="D457" t="s">
        <v>25</v>
      </c>
      <c r="E457">
        <v>93.73</v>
      </c>
      <c r="F457" t="s">
        <v>88</v>
      </c>
      <c r="G457" s="19">
        <v>45636</v>
      </c>
      <c r="H457" t="s">
        <v>94</v>
      </c>
      <c r="I457" t="s">
        <v>125</v>
      </c>
      <c r="J457" t="s">
        <v>7464</v>
      </c>
      <c r="O457" t="s">
        <v>7465</v>
      </c>
      <c r="Q457" s="3">
        <f t="shared" si="7"/>
        <v>93.73</v>
      </c>
    </row>
    <row r="458" spans="1:31" ht="29" x14ac:dyDescent="0.35">
      <c r="A458" t="s">
        <v>35</v>
      </c>
      <c r="B458" t="s">
        <v>6270</v>
      </c>
      <c r="C458" t="s">
        <v>28</v>
      </c>
      <c r="D458" t="s">
        <v>25</v>
      </c>
      <c r="E458">
        <v>92.73</v>
      </c>
      <c r="F458" t="s">
        <v>88</v>
      </c>
      <c r="G458" s="19">
        <v>45398</v>
      </c>
      <c r="H458" t="s">
        <v>94</v>
      </c>
      <c r="I458" t="s">
        <v>745</v>
      </c>
      <c r="J458" t="s">
        <v>6324</v>
      </c>
      <c r="O458" t="s">
        <v>6325</v>
      </c>
      <c r="Q458" s="3">
        <f t="shared" ref="Q458:Q521" si="8">ABS(E458)</f>
        <v>92.73</v>
      </c>
      <c r="S458" s="55" t="s">
        <v>7517</v>
      </c>
    </row>
    <row r="459" spans="1:31" x14ac:dyDescent="0.35">
      <c r="A459" t="s">
        <v>35</v>
      </c>
      <c r="B459" t="s">
        <v>599</v>
      </c>
      <c r="C459" t="s">
        <v>28</v>
      </c>
      <c r="D459" t="s">
        <v>25</v>
      </c>
      <c r="E459">
        <v>91.89</v>
      </c>
      <c r="F459" t="s">
        <v>88</v>
      </c>
      <c r="G459" s="19">
        <v>45483</v>
      </c>
      <c r="H459" t="s">
        <v>94</v>
      </c>
      <c r="I459" t="s">
        <v>6233</v>
      </c>
      <c r="J459" t="s">
        <v>6756</v>
      </c>
      <c r="O459" t="s">
        <v>6757</v>
      </c>
      <c r="Q459" s="3">
        <f t="shared" si="8"/>
        <v>91.89</v>
      </c>
    </row>
    <row r="460" spans="1:31" x14ac:dyDescent="0.35">
      <c r="A460" t="s">
        <v>35</v>
      </c>
      <c r="B460" t="s">
        <v>1280</v>
      </c>
      <c r="C460" t="s">
        <v>28</v>
      </c>
      <c r="D460" t="s">
        <v>25</v>
      </c>
      <c r="E460">
        <v>90.91</v>
      </c>
      <c r="F460" t="s">
        <v>88</v>
      </c>
      <c r="G460" s="19">
        <v>45434</v>
      </c>
      <c r="H460" t="s">
        <v>94</v>
      </c>
      <c r="I460" t="s">
        <v>378</v>
      </c>
      <c r="J460" t="s">
        <v>6501</v>
      </c>
      <c r="O460" t="s">
        <v>6502</v>
      </c>
      <c r="Q460" s="3">
        <f t="shared" si="8"/>
        <v>90.91</v>
      </c>
    </row>
    <row r="461" spans="1:31" x14ac:dyDescent="0.35">
      <c r="A461" t="s">
        <v>35</v>
      </c>
      <c r="B461" t="s">
        <v>1280</v>
      </c>
      <c r="C461" t="s">
        <v>28</v>
      </c>
      <c r="D461" t="s">
        <v>25</v>
      </c>
      <c r="E461">
        <v>90.91</v>
      </c>
      <c r="F461" t="s">
        <v>88</v>
      </c>
      <c r="G461" s="19">
        <v>45434</v>
      </c>
      <c r="H461" t="s">
        <v>94</v>
      </c>
      <c r="I461" t="s">
        <v>6505</v>
      </c>
      <c r="J461" t="s">
        <v>6506</v>
      </c>
      <c r="O461" t="s">
        <v>6507</v>
      </c>
      <c r="Q461" s="3">
        <f t="shared" si="8"/>
        <v>90.91</v>
      </c>
    </row>
    <row r="462" spans="1:31" x14ac:dyDescent="0.35">
      <c r="A462" t="s">
        <v>35</v>
      </c>
      <c r="B462" t="s">
        <v>6270</v>
      </c>
      <c r="C462" t="s">
        <v>28</v>
      </c>
      <c r="D462" t="s">
        <v>25</v>
      </c>
      <c r="E462">
        <v>90.91</v>
      </c>
      <c r="F462" t="s">
        <v>88</v>
      </c>
      <c r="G462" s="19">
        <v>45559</v>
      </c>
      <c r="H462" t="s">
        <v>94</v>
      </c>
      <c r="I462" t="s">
        <v>6329</v>
      </c>
      <c r="J462" t="s">
        <v>7247</v>
      </c>
      <c r="O462" t="s">
        <v>7080</v>
      </c>
      <c r="Q462" s="3">
        <f t="shared" si="8"/>
        <v>90.91</v>
      </c>
    </row>
    <row r="463" spans="1:31" x14ac:dyDescent="0.35">
      <c r="A463" t="s">
        <v>35</v>
      </c>
      <c r="B463" t="s">
        <v>672</v>
      </c>
      <c r="C463" t="s">
        <v>28</v>
      </c>
      <c r="D463" t="s">
        <v>25</v>
      </c>
      <c r="E463">
        <v>90.91</v>
      </c>
      <c r="F463" t="s">
        <v>88</v>
      </c>
      <c r="G463" s="19">
        <v>45566</v>
      </c>
      <c r="H463" t="s">
        <v>94</v>
      </c>
      <c r="I463" t="s">
        <v>325</v>
      </c>
      <c r="J463" t="s">
        <v>7268</v>
      </c>
      <c r="O463" t="s">
        <v>7269</v>
      </c>
      <c r="Q463" s="3">
        <f t="shared" si="8"/>
        <v>90.91</v>
      </c>
    </row>
    <row r="464" spans="1:31" x14ac:dyDescent="0.35">
      <c r="A464" t="s">
        <v>35</v>
      </c>
      <c r="B464" t="s">
        <v>893</v>
      </c>
      <c r="C464" t="s">
        <v>28</v>
      </c>
      <c r="D464" t="s">
        <v>25</v>
      </c>
      <c r="E464">
        <v>90.91</v>
      </c>
      <c r="F464" t="s">
        <v>88</v>
      </c>
      <c r="G464" s="19">
        <v>45596</v>
      </c>
      <c r="H464" t="s">
        <v>94</v>
      </c>
      <c r="I464" t="s">
        <v>894</v>
      </c>
      <c r="J464" t="s">
        <v>7354</v>
      </c>
      <c r="O464" t="s">
        <v>7355</v>
      </c>
      <c r="Q464" s="3">
        <f t="shared" si="8"/>
        <v>90.91</v>
      </c>
    </row>
    <row r="465" spans="1:17" x14ac:dyDescent="0.35">
      <c r="A465" t="s">
        <v>35</v>
      </c>
      <c r="B465" t="s">
        <v>756</v>
      </c>
      <c r="C465" t="s">
        <v>28</v>
      </c>
      <c r="D465" t="s">
        <v>25</v>
      </c>
      <c r="E465">
        <v>90.91</v>
      </c>
      <c r="F465" t="s">
        <v>88</v>
      </c>
      <c r="G465" s="19">
        <v>45596</v>
      </c>
      <c r="H465" t="s">
        <v>94</v>
      </c>
      <c r="I465" t="s">
        <v>380</v>
      </c>
      <c r="J465" t="s">
        <v>7356</v>
      </c>
      <c r="O465" t="s">
        <v>7357</v>
      </c>
      <c r="Q465" s="3">
        <f t="shared" si="8"/>
        <v>90.91</v>
      </c>
    </row>
    <row r="466" spans="1:17" x14ac:dyDescent="0.35">
      <c r="A466" t="s">
        <v>35</v>
      </c>
      <c r="B466" t="s">
        <v>6270</v>
      </c>
      <c r="C466" t="s">
        <v>28</v>
      </c>
      <c r="D466" t="s">
        <v>25</v>
      </c>
      <c r="E466">
        <v>90.33</v>
      </c>
      <c r="F466" t="s">
        <v>88</v>
      </c>
      <c r="G466" s="19">
        <v>45555</v>
      </c>
      <c r="H466" t="s">
        <v>94</v>
      </c>
      <c r="I466" t="s">
        <v>7212</v>
      </c>
      <c r="J466" t="s">
        <v>7241</v>
      </c>
      <c r="O466" t="s">
        <v>7010</v>
      </c>
      <c r="Q466" s="3">
        <f t="shared" si="8"/>
        <v>90.33</v>
      </c>
    </row>
    <row r="467" spans="1:17" x14ac:dyDescent="0.35">
      <c r="A467" t="s">
        <v>35</v>
      </c>
      <c r="B467" t="s">
        <v>6270</v>
      </c>
      <c r="C467" t="s">
        <v>28</v>
      </c>
      <c r="D467" t="s">
        <v>25</v>
      </c>
      <c r="E467">
        <v>90</v>
      </c>
      <c r="F467" t="s">
        <v>88</v>
      </c>
      <c r="G467" s="19">
        <v>45524</v>
      </c>
      <c r="H467" t="s">
        <v>94</v>
      </c>
      <c r="I467" t="s">
        <v>6650</v>
      </c>
      <c r="J467" t="s">
        <v>6986</v>
      </c>
      <c r="O467" t="s">
        <v>6987</v>
      </c>
      <c r="Q467" s="3">
        <f t="shared" si="8"/>
        <v>90</v>
      </c>
    </row>
    <row r="468" spans="1:17" x14ac:dyDescent="0.35">
      <c r="A468" t="s">
        <v>35</v>
      </c>
      <c r="B468" t="s">
        <v>6270</v>
      </c>
      <c r="C468" t="s">
        <v>28</v>
      </c>
      <c r="D468" t="s">
        <v>25</v>
      </c>
      <c r="E468">
        <v>89.88</v>
      </c>
      <c r="F468" t="s">
        <v>88</v>
      </c>
      <c r="G468" s="19">
        <v>45553</v>
      </c>
      <c r="H468" t="s">
        <v>94</v>
      </c>
      <c r="I468" t="s">
        <v>7205</v>
      </c>
      <c r="J468" t="s">
        <v>6930</v>
      </c>
      <c r="O468" t="s">
        <v>7207</v>
      </c>
      <c r="Q468" s="3">
        <f t="shared" si="8"/>
        <v>89.88</v>
      </c>
    </row>
    <row r="469" spans="1:17" x14ac:dyDescent="0.35">
      <c r="A469" t="s">
        <v>35</v>
      </c>
      <c r="B469" t="s">
        <v>6270</v>
      </c>
      <c r="C469" t="s">
        <v>28</v>
      </c>
      <c r="D469" t="s">
        <v>25</v>
      </c>
      <c r="E469">
        <v>88.55</v>
      </c>
      <c r="F469" t="s">
        <v>88</v>
      </c>
      <c r="G469" s="19">
        <v>45505</v>
      </c>
      <c r="H469" t="s">
        <v>94</v>
      </c>
      <c r="I469" t="s">
        <v>745</v>
      </c>
      <c r="J469" t="s">
        <v>6871</v>
      </c>
      <c r="O469" t="s">
        <v>6872</v>
      </c>
      <c r="Q469" s="3">
        <f t="shared" si="8"/>
        <v>88.55</v>
      </c>
    </row>
    <row r="470" spans="1:17" x14ac:dyDescent="0.35">
      <c r="A470" t="s">
        <v>35</v>
      </c>
      <c r="B470" t="s">
        <v>605</v>
      </c>
      <c r="C470" t="s">
        <v>28</v>
      </c>
      <c r="D470" t="s">
        <v>25</v>
      </c>
      <c r="E470">
        <v>83.82</v>
      </c>
      <c r="F470" t="s">
        <v>88</v>
      </c>
      <c r="G470" s="19">
        <v>45636</v>
      </c>
      <c r="H470" t="s">
        <v>94</v>
      </c>
      <c r="I470" t="s">
        <v>7468</v>
      </c>
      <c r="J470" t="s">
        <v>7469</v>
      </c>
      <c r="O470" t="s">
        <v>7470</v>
      </c>
      <c r="Q470" s="3">
        <f t="shared" si="8"/>
        <v>83.82</v>
      </c>
    </row>
    <row r="471" spans="1:17" x14ac:dyDescent="0.35">
      <c r="A471" t="s">
        <v>35</v>
      </c>
      <c r="B471" t="s">
        <v>677</v>
      </c>
      <c r="C471" t="s">
        <v>28</v>
      </c>
      <c r="D471" t="s">
        <v>25</v>
      </c>
      <c r="E471">
        <v>83.19</v>
      </c>
      <c r="F471" t="s">
        <v>88</v>
      </c>
      <c r="G471" s="19">
        <v>45446</v>
      </c>
      <c r="H471" t="s">
        <v>94</v>
      </c>
      <c r="I471" t="s">
        <v>98</v>
      </c>
      <c r="J471" t="s">
        <v>6560</v>
      </c>
      <c r="O471" t="s">
        <v>5593</v>
      </c>
      <c r="Q471" s="3">
        <f t="shared" si="8"/>
        <v>83.19</v>
      </c>
    </row>
    <row r="472" spans="1:17" x14ac:dyDescent="0.35">
      <c r="A472" t="s">
        <v>35</v>
      </c>
      <c r="B472" t="s">
        <v>6270</v>
      </c>
      <c r="C472" t="s">
        <v>28</v>
      </c>
      <c r="D472" t="s">
        <v>25</v>
      </c>
      <c r="E472">
        <v>81.73</v>
      </c>
      <c r="F472" t="s">
        <v>88</v>
      </c>
      <c r="G472" s="19">
        <v>45523</v>
      </c>
      <c r="H472" t="s">
        <v>94</v>
      </c>
      <c r="I472" t="s">
        <v>6978</v>
      </c>
      <c r="J472" t="s">
        <v>6979</v>
      </c>
      <c r="O472" t="s">
        <v>6980</v>
      </c>
      <c r="Q472" s="3">
        <f t="shared" si="8"/>
        <v>81.73</v>
      </c>
    </row>
    <row r="473" spans="1:17" x14ac:dyDescent="0.35">
      <c r="A473" t="s">
        <v>35</v>
      </c>
      <c r="B473" t="s">
        <v>2473</v>
      </c>
      <c r="C473" t="s">
        <v>28</v>
      </c>
      <c r="D473" t="s">
        <v>25</v>
      </c>
      <c r="E473">
        <v>81.680000000000007</v>
      </c>
      <c r="F473" t="s">
        <v>88</v>
      </c>
      <c r="G473" s="19">
        <v>45401</v>
      </c>
      <c r="H473" t="s">
        <v>94</v>
      </c>
      <c r="I473" t="s">
        <v>6381</v>
      </c>
      <c r="J473" t="s">
        <v>6382</v>
      </c>
      <c r="O473" t="s">
        <v>6383</v>
      </c>
      <c r="Q473" s="3">
        <f t="shared" si="8"/>
        <v>81.680000000000007</v>
      </c>
    </row>
    <row r="474" spans="1:17" x14ac:dyDescent="0.35">
      <c r="A474" t="s">
        <v>35</v>
      </c>
      <c r="B474" t="s">
        <v>2728</v>
      </c>
      <c r="C474" t="s">
        <v>28</v>
      </c>
      <c r="D474" t="s">
        <v>25</v>
      </c>
      <c r="E474">
        <v>79.010000000000005</v>
      </c>
      <c r="F474" t="s">
        <v>88</v>
      </c>
      <c r="G474" s="19">
        <v>45631</v>
      </c>
      <c r="H474" t="s">
        <v>94</v>
      </c>
      <c r="I474" t="s">
        <v>7441</v>
      </c>
      <c r="J474" t="s">
        <v>7442</v>
      </c>
      <c r="O474" t="s">
        <v>7443</v>
      </c>
      <c r="Q474" s="3">
        <f t="shared" si="8"/>
        <v>79.010000000000005</v>
      </c>
    </row>
    <row r="475" spans="1:17" x14ac:dyDescent="0.35">
      <c r="A475" t="s">
        <v>0</v>
      </c>
      <c r="B475" t="s">
        <v>6270</v>
      </c>
      <c r="C475" t="s">
        <v>28</v>
      </c>
      <c r="D475" t="s">
        <v>25</v>
      </c>
      <c r="E475">
        <v>78.650000000000006</v>
      </c>
      <c r="F475" t="s">
        <v>88</v>
      </c>
      <c r="G475" s="19">
        <v>45510</v>
      </c>
      <c r="H475" t="s">
        <v>89</v>
      </c>
      <c r="I475" t="s">
        <v>6894</v>
      </c>
      <c r="J475"/>
      <c r="K475" t="s">
        <v>6895</v>
      </c>
      <c r="L475" t="s">
        <v>6896</v>
      </c>
      <c r="M475" t="s">
        <v>100</v>
      </c>
      <c r="Q475" s="3">
        <f t="shared" si="8"/>
        <v>78.650000000000006</v>
      </c>
    </row>
    <row r="476" spans="1:17" x14ac:dyDescent="0.35">
      <c r="A476" t="s">
        <v>35</v>
      </c>
      <c r="B476" t="s">
        <v>6270</v>
      </c>
      <c r="C476" t="s">
        <v>28</v>
      </c>
      <c r="D476" t="s">
        <v>25</v>
      </c>
      <c r="E476">
        <v>76.5</v>
      </c>
      <c r="F476" t="s">
        <v>88</v>
      </c>
      <c r="G476" s="19">
        <v>45530</v>
      </c>
      <c r="H476" t="s">
        <v>94</v>
      </c>
      <c r="I476" t="s">
        <v>7057</v>
      </c>
      <c r="J476" t="s">
        <v>7058</v>
      </c>
      <c r="O476" t="s">
        <v>7059</v>
      </c>
      <c r="Q476" s="3">
        <f t="shared" si="8"/>
        <v>76.5</v>
      </c>
    </row>
    <row r="477" spans="1:17" x14ac:dyDescent="0.35">
      <c r="A477" t="s">
        <v>35</v>
      </c>
      <c r="B477" t="s">
        <v>852</v>
      </c>
      <c r="C477" t="s">
        <v>28</v>
      </c>
      <c r="D477" t="s">
        <v>25</v>
      </c>
      <c r="E477">
        <v>76.36</v>
      </c>
      <c r="F477" t="s">
        <v>88</v>
      </c>
      <c r="G477" s="19">
        <v>45587</v>
      </c>
      <c r="H477" t="s">
        <v>94</v>
      </c>
      <c r="I477" t="s">
        <v>5908</v>
      </c>
      <c r="J477" t="s">
        <v>445</v>
      </c>
      <c r="O477" t="s">
        <v>525</v>
      </c>
      <c r="Q477" s="3">
        <f t="shared" si="8"/>
        <v>76.36</v>
      </c>
    </row>
    <row r="478" spans="1:17" x14ac:dyDescent="0.35">
      <c r="A478" t="s">
        <v>35</v>
      </c>
      <c r="B478" t="s">
        <v>852</v>
      </c>
      <c r="C478" t="s">
        <v>28</v>
      </c>
      <c r="D478" t="s">
        <v>25</v>
      </c>
      <c r="E478">
        <v>76.36</v>
      </c>
      <c r="F478" t="s">
        <v>88</v>
      </c>
      <c r="G478" s="19">
        <v>45587</v>
      </c>
      <c r="H478" t="s">
        <v>94</v>
      </c>
      <c r="I478" t="s">
        <v>5908</v>
      </c>
      <c r="J478" t="s">
        <v>7323</v>
      </c>
      <c r="O478" t="s">
        <v>525</v>
      </c>
      <c r="Q478" s="3">
        <f t="shared" si="8"/>
        <v>76.36</v>
      </c>
    </row>
    <row r="479" spans="1:17" x14ac:dyDescent="0.35">
      <c r="A479" t="s">
        <v>35</v>
      </c>
      <c r="B479" t="s">
        <v>852</v>
      </c>
      <c r="C479" t="s">
        <v>28</v>
      </c>
      <c r="D479" t="s">
        <v>25</v>
      </c>
      <c r="E479">
        <v>76.36</v>
      </c>
      <c r="F479" t="s">
        <v>88</v>
      </c>
      <c r="G479" s="19">
        <v>45587</v>
      </c>
      <c r="H479" t="s">
        <v>94</v>
      </c>
      <c r="I479" t="s">
        <v>4713</v>
      </c>
      <c r="J479" t="s">
        <v>7324</v>
      </c>
      <c r="O479" t="s">
        <v>525</v>
      </c>
      <c r="Q479" s="3">
        <f t="shared" si="8"/>
        <v>76.36</v>
      </c>
    </row>
    <row r="480" spans="1:17" x14ac:dyDescent="0.35">
      <c r="A480" t="s">
        <v>35</v>
      </c>
      <c r="B480" t="s">
        <v>852</v>
      </c>
      <c r="C480" t="s">
        <v>28</v>
      </c>
      <c r="D480" t="s">
        <v>25</v>
      </c>
      <c r="E480">
        <v>76.36</v>
      </c>
      <c r="F480" t="s">
        <v>88</v>
      </c>
      <c r="G480" s="19">
        <v>45635</v>
      </c>
      <c r="H480" t="s">
        <v>94</v>
      </c>
      <c r="I480" t="s">
        <v>5908</v>
      </c>
      <c r="J480" t="s">
        <v>314</v>
      </c>
      <c r="O480" t="s">
        <v>525</v>
      </c>
      <c r="Q480" s="3">
        <f t="shared" si="8"/>
        <v>76.36</v>
      </c>
    </row>
    <row r="481" spans="1:19" x14ac:dyDescent="0.35">
      <c r="A481" t="s">
        <v>35</v>
      </c>
      <c r="B481" t="s">
        <v>6270</v>
      </c>
      <c r="C481" t="s">
        <v>28</v>
      </c>
      <c r="D481" t="s">
        <v>25</v>
      </c>
      <c r="E481">
        <v>76.27</v>
      </c>
      <c r="F481" t="s">
        <v>88</v>
      </c>
      <c r="G481" s="19">
        <v>45498</v>
      </c>
      <c r="H481" t="s">
        <v>94</v>
      </c>
      <c r="I481" t="s">
        <v>745</v>
      </c>
      <c r="J481" t="s">
        <v>6821</v>
      </c>
      <c r="O481" t="s">
        <v>6822</v>
      </c>
      <c r="Q481" s="3">
        <f t="shared" si="8"/>
        <v>76.27</v>
      </c>
    </row>
    <row r="482" spans="1:19" x14ac:dyDescent="0.35">
      <c r="A482" t="s">
        <v>35</v>
      </c>
      <c r="B482" t="s">
        <v>2162</v>
      </c>
      <c r="C482" t="s">
        <v>28</v>
      </c>
      <c r="D482" t="s">
        <v>25</v>
      </c>
      <c r="E482">
        <v>75.91</v>
      </c>
      <c r="F482" t="s">
        <v>88</v>
      </c>
      <c r="G482" s="19">
        <v>45385</v>
      </c>
      <c r="H482" t="s">
        <v>94</v>
      </c>
      <c r="I482" t="s">
        <v>512</v>
      </c>
      <c r="J482" t="s">
        <v>6279</v>
      </c>
      <c r="O482" t="s">
        <v>6280</v>
      </c>
      <c r="Q482" s="3">
        <f t="shared" si="8"/>
        <v>75.91</v>
      </c>
    </row>
    <row r="483" spans="1:19" x14ac:dyDescent="0.35">
      <c r="A483" t="s">
        <v>35</v>
      </c>
      <c r="B483" t="s">
        <v>6270</v>
      </c>
      <c r="C483" t="s">
        <v>28</v>
      </c>
      <c r="D483" t="s">
        <v>25</v>
      </c>
      <c r="E483">
        <v>75.59</v>
      </c>
      <c r="F483" t="s">
        <v>88</v>
      </c>
      <c r="G483" s="19">
        <v>45398</v>
      </c>
      <c r="H483" t="s">
        <v>94</v>
      </c>
      <c r="I483" t="s">
        <v>6319</v>
      </c>
      <c r="J483" t="s">
        <v>6320</v>
      </c>
      <c r="O483" t="s">
        <v>6321</v>
      </c>
      <c r="Q483" s="3">
        <f t="shared" si="8"/>
        <v>75.59</v>
      </c>
    </row>
    <row r="484" spans="1:19" x14ac:dyDescent="0.35">
      <c r="A484" t="s">
        <v>35</v>
      </c>
      <c r="B484" t="s">
        <v>893</v>
      </c>
      <c r="C484" t="s">
        <v>28</v>
      </c>
      <c r="D484" t="s">
        <v>25</v>
      </c>
      <c r="E484">
        <v>73.83</v>
      </c>
      <c r="F484" t="s">
        <v>88</v>
      </c>
      <c r="G484" s="19">
        <v>45504</v>
      </c>
      <c r="H484" t="s">
        <v>94</v>
      </c>
      <c r="I484" t="s">
        <v>6846</v>
      </c>
      <c r="J484" t="s">
        <v>6847</v>
      </c>
      <c r="O484" t="s">
        <v>6848</v>
      </c>
      <c r="Q484" s="3">
        <f t="shared" si="8"/>
        <v>73.83</v>
      </c>
    </row>
    <row r="485" spans="1:19" x14ac:dyDescent="0.35">
      <c r="A485" t="s">
        <v>35</v>
      </c>
      <c r="B485" t="s">
        <v>672</v>
      </c>
      <c r="C485" t="s">
        <v>28</v>
      </c>
      <c r="D485" t="s">
        <v>25</v>
      </c>
      <c r="E485">
        <v>73.64</v>
      </c>
      <c r="F485" t="s">
        <v>88</v>
      </c>
      <c r="G485" s="19">
        <v>45616</v>
      </c>
      <c r="H485" t="s">
        <v>94</v>
      </c>
      <c r="I485" t="s">
        <v>7394</v>
      </c>
      <c r="J485" t="s">
        <v>7395</v>
      </c>
      <c r="O485" t="s">
        <v>6763</v>
      </c>
      <c r="Q485" s="3">
        <f t="shared" si="8"/>
        <v>73.64</v>
      </c>
    </row>
    <row r="486" spans="1:19" x14ac:dyDescent="0.35">
      <c r="A486" t="s">
        <v>35</v>
      </c>
      <c r="B486" t="s">
        <v>6270</v>
      </c>
      <c r="C486" t="s">
        <v>28</v>
      </c>
      <c r="D486" t="s">
        <v>25</v>
      </c>
      <c r="E486">
        <v>72.28</v>
      </c>
      <c r="F486" t="s">
        <v>88</v>
      </c>
      <c r="G486" s="19">
        <v>45474</v>
      </c>
      <c r="H486" t="s">
        <v>94</v>
      </c>
      <c r="I486" t="s">
        <v>6688</v>
      </c>
      <c r="J486" t="s">
        <v>6703</v>
      </c>
      <c r="O486" t="s">
        <v>1977</v>
      </c>
      <c r="Q486" s="3">
        <f t="shared" si="8"/>
        <v>72.28</v>
      </c>
    </row>
    <row r="487" spans="1:19" x14ac:dyDescent="0.35">
      <c r="A487" t="s">
        <v>0</v>
      </c>
      <c r="B487" t="s">
        <v>6270</v>
      </c>
      <c r="C487" t="s">
        <v>28</v>
      </c>
      <c r="D487" t="s">
        <v>25</v>
      </c>
      <c r="E487">
        <v>-71.36</v>
      </c>
      <c r="F487" t="s">
        <v>88</v>
      </c>
      <c r="G487" s="19">
        <v>45510</v>
      </c>
      <c r="H487" t="s">
        <v>181</v>
      </c>
      <c r="I487" t="s">
        <v>182</v>
      </c>
      <c r="J487"/>
      <c r="Q487" s="3">
        <f t="shared" si="8"/>
        <v>71.36</v>
      </c>
    </row>
    <row r="488" spans="1:19" x14ac:dyDescent="0.35">
      <c r="A488" t="s">
        <v>0</v>
      </c>
      <c r="B488" t="s">
        <v>6270</v>
      </c>
      <c r="C488" t="s">
        <v>28</v>
      </c>
      <c r="D488" t="s">
        <v>25</v>
      </c>
      <c r="E488">
        <v>71.05</v>
      </c>
      <c r="F488" t="s">
        <v>88</v>
      </c>
      <c r="G488" s="19">
        <v>45510</v>
      </c>
      <c r="H488" t="s">
        <v>89</v>
      </c>
      <c r="I488" t="s">
        <v>6897</v>
      </c>
      <c r="J488"/>
      <c r="K488" t="s">
        <v>6898</v>
      </c>
      <c r="L488" t="s">
        <v>6899</v>
      </c>
      <c r="M488" t="s">
        <v>100</v>
      </c>
      <c r="Q488" s="3">
        <f t="shared" si="8"/>
        <v>71.05</v>
      </c>
    </row>
    <row r="489" spans="1:19" x14ac:dyDescent="0.35">
      <c r="A489" t="s">
        <v>0</v>
      </c>
      <c r="B489" t="s">
        <v>708</v>
      </c>
      <c r="C489" t="s">
        <v>28</v>
      </c>
      <c r="D489" t="s">
        <v>25</v>
      </c>
      <c r="E489">
        <v>69.94</v>
      </c>
      <c r="F489" t="s">
        <v>88</v>
      </c>
      <c r="G489" s="19">
        <v>45385</v>
      </c>
      <c r="H489" t="s">
        <v>89</v>
      </c>
      <c r="I489" t="s">
        <v>6272</v>
      </c>
      <c r="J489"/>
      <c r="K489" t="s">
        <v>101</v>
      </c>
      <c r="L489" t="s">
        <v>6273</v>
      </c>
      <c r="M489" t="s">
        <v>6274</v>
      </c>
      <c r="Q489" s="3">
        <f t="shared" si="8"/>
        <v>69.94</v>
      </c>
    </row>
    <row r="490" spans="1:19" x14ac:dyDescent="0.35">
      <c r="A490" t="s">
        <v>0</v>
      </c>
      <c r="B490" t="s">
        <v>6270</v>
      </c>
      <c r="C490" t="s">
        <v>28</v>
      </c>
      <c r="D490" t="s">
        <v>25</v>
      </c>
      <c r="E490">
        <v>-69.56</v>
      </c>
      <c r="F490" t="s">
        <v>88</v>
      </c>
      <c r="G490" s="19">
        <v>45518</v>
      </c>
      <c r="H490" t="s">
        <v>181</v>
      </c>
      <c r="I490" t="s">
        <v>182</v>
      </c>
      <c r="J490"/>
      <c r="Q490" s="3">
        <f t="shared" si="8"/>
        <v>69.56</v>
      </c>
    </row>
    <row r="491" spans="1:19" ht="29" x14ac:dyDescent="0.35">
      <c r="A491" t="s">
        <v>35</v>
      </c>
      <c r="B491" t="s">
        <v>633</v>
      </c>
      <c r="C491" t="s">
        <v>28</v>
      </c>
      <c r="D491" t="s">
        <v>25</v>
      </c>
      <c r="E491">
        <v>68.180000000000007</v>
      </c>
      <c r="F491" t="s">
        <v>88</v>
      </c>
      <c r="G491" s="19">
        <v>45477</v>
      </c>
      <c r="H491" t="s">
        <v>94</v>
      </c>
      <c r="I491" t="s">
        <v>243</v>
      </c>
      <c r="J491" t="s">
        <v>6739</v>
      </c>
      <c r="O491" t="s">
        <v>6740</v>
      </c>
      <c r="Q491" s="3">
        <f t="shared" si="8"/>
        <v>68.180000000000007</v>
      </c>
      <c r="S491" s="55" t="s">
        <v>7517</v>
      </c>
    </row>
    <row r="492" spans="1:19" x14ac:dyDescent="0.35">
      <c r="A492" t="s">
        <v>35</v>
      </c>
      <c r="B492" t="s">
        <v>868</v>
      </c>
      <c r="C492" t="s">
        <v>28</v>
      </c>
      <c r="D492" t="s">
        <v>25</v>
      </c>
      <c r="E492">
        <v>68.180000000000007</v>
      </c>
      <c r="F492" t="s">
        <v>88</v>
      </c>
      <c r="G492" s="19">
        <v>45544</v>
      </c>
      <c r="H492" t="s">
        <v>94</v>
      </c>
      <c r="I492" t="s">
        <v>7169</v>
      </c>
      <c r="J492" t="s">
        <v>7170</v>
      </c>
      <c r="O492" t="s">
        <v>7171</v>
      </c>
      <c r="Q492" s="3">
        <f t="shared" si="8"/>
        <v>68.180000000000007</v>
      </c>
    </row>
    <row r="493" spans="1:19" x14ac:dyDescent="0.35">
      <c r="A493" t="s">
        <v>35</v>
      </c>
      <c r="B493" t="s">
        <v>732</v>
      </c>
      <c r="C493" t="s">
        <v>28</v>
      </c>
      <c r="D493" t="s">
        <v>25</v>
      </c>
      <c r="E493">
        <v>68.180000000000007</v>
      </c>
      <c r="F493" t="s">
        <v>88</v>
      </c>
      <c r="G493" s="19">
        <v>45614</v>
      </c>
      <c r="H493" t="s">
        <v>94</v>
      </c>
      <c r="I493" t="s">
        <v>7386</v>
      </c>
      <c r="J493" t="s">
        <v>7387</v>
      </c>
      <c r="O493" t="s">
        <v>7388</v>
      </c>
      <c r="Q493" s="3">
        <f t="shared" si="8"/>
        <v>68.180000000000007</v>
      </c>
    </row>
    <row r="494" spans="1:19" x14ac:dyDescent="0.35">
      <c r="A494" t="s">
        <v>0</v>
      </c>
      <c r="B494" t="s">
        <v>6270</v>
      </c>
      <c r="C494" t="s">
        <v>28</v>
      </c>
      <c r="D494" t="s">
        <v>25</v>
      </c>
      <c r="E494">
        <v>68.150000000000006</v>
      </c>
      <c r="F494" t="s">
        <v>88</v>
      </c>
      <c r="G494" s="19">
        <v>45551</v>
      </c>
      <c r="H494" t="s">
        <v>89</v>
      </c>
      <c r="I494" t="s">
        <v>7201</v>
      </c>
      <c r="J494"/>
      <c r="K494" t="s">
        <v>7195</v>
      </c>
      <c r="L494" t="s">
        <v>7202</v>
      </c>
      <c r="M494" t="s">
        <v>100</v>
      </c>
      <c r="Q494" s="3">
        <f t="shared" si="8"/>
        <v>68.150000000000006</v>
      </c>
    </row>
    <row r="495" spans="1:19" x14ac:dyDescent="0.35">
      <c r="A495" t="s">
        <v>35</v>
      </c>
      <c r="B495" t="s">
        <v>728</v>
      </c>
      <c r="C495" t="s">
        <v>28</v>
      </c>
      <c r="D495" t="s">
        <v>25</v>
      </c>
      <c r="E495">
        <v>66.92</v>
      </c>
      <c r="F495" t="s">
        <v>88</v>
      </c>
      <c r="G495" s="19">
        <v>45609</v>
      </c>
      <c r="H495" t="s">
        <v>89</v>
      </c>
      <c r="I495" t="s">
        <v>7380</v>
      </c>
      <c r="J495"/>
      <c r="K495" t="s">
        <v>7381</v>
      </c>
      <c r="L495" t="s">
        <v>7382</v>
      </c>
      <c r="M495" t="s">
        <v>7383</v>
      </c>
      <c r="Q495" s="3">
        <f t="shared" si="8"/>
        <v>66.92</v>
      </c>
    </row>
    <row r="496" spans="1:19" x14ac:dyDescent="0.35">
      <c r="A496" t="s">
        <v>0</v>
      </c>
      <c r="B496" t="s">
        <v>6270</v>
      </c>
      <c r="C496" t="s">
        <v>28</v>
      </c>
      <c r="D496" t="s">
        <v>25</v>
      </c>
      <c r="E496">
        <v>-66.78</v>
      </c>
      <c r="F496" t="s">
        <v>88</v>
      </c>
      <c r="G496" s="19">
        <v>45488</v>
      </c>
      <c r="H496" t="s">
        <v>181</v>
      </c>
      <c r="I496" t="s">
        <v>182</v>
      </c>
      <c r="J496"/>
      <c r="Q496" s="3">
        <f t="shared" si="8"/>
        <v>66.78</v>
      </c>
    </row>
    <row r="497" spans="1:19" x14ac:dyDescent="0.35">
      <c r="A497" t="s">
        <v>35</v>
      </c>
      <c r="B497" t="s">
        <v>6270</v>
      </c>
      <c r="C497" t="s">
        <v>28</v>
      </c>
      <c r="D497" t="s">
        <v>25</v>
      </c>
      <c r="E497">
        <v>65.94</v>
      </c>
      <c r="F497" t="s">
        <v>88</v>
      </c>
      <c r="G497" s="19">
        <v>45553</v>
      </c>
      <c r="H497" t="s">
        <v>94</v>
      </c>
      <c r="I497" t="s">
        <v>783</v>
      </c>
      <c r="J497" t="s">
        <v>7210</v>
      </c>
      <c r="O497" t="s">
        <v>7211</v>
      </c>
      <c r="Q497" s="3">
        <f t="shared" si="8"/>
        <v>65.94</v>
      </c>
    </row>
    <row r="498" spans="1:19" ht="29" x14ac:dyDescent="0.35">
      <c r="A498" t="s">
        <v>35</v>
      </c>
      <c r="B498" t="s">
        <v>6270</v>
      </c>
      <c r="C498" t="s">
        <v>28</v>
      </c>
      <c r="D498" t="s">
        <v>25</v>
      </c>
      <c r="E498">
        <v>65.55</v>
      </c>
      <c r="F498" t="s">
        <v>88</v>
      </c>
      <c r="G498" s="19">
        <v>45398</v>
      </c>
      <c r="H498" t="s">
        <v>94</v>
      </c>
      <c r="I498" t="s">
        <v>333</v>
      </c>
      <c r="J498" t="s">
        <v>6351</v>
      </c>
      <c r="O498" t="s">
        <v>6352</v>
      </c>
      <c r="Q498" s="3">
        <f t="shared" si="8"/>
        <v>65.55</v>
      </c>
      <c r="S498" s="55" t="s">
        <v>7515</v>
      </c>
    </row>
    <row r="499" spans="1:19" x14ac:dyDescent="0.35">
      <c r="A499" t="s">
        <v>35</v>
      </c>
      <c r="B499" t="s">
        <v>728</v>
      </c>
      <c r="C499" t="s">
        <v>28</v>
      </c>
      <c r="D499" t="s">
        <v>25</v>
      </c>
      <c r="E499">
        <v>64.72</v>
      </c>
      <c r="F499" t="s">
        <v>88</v>
      </c>
      <c r="G499" s="19">
        <v>45540</v>
      </c>
      <c r="H499" t="s">
        <v>94</v>
      </c>
      <c r="I499" t="s">
        <v>7089</v>
      </c>
      <c r="J499" t="s">
        <v>7143</v>
      </c>
      <c r="O499" t="s">
        <v>7144</v>
      </c>
      <c r="Q499" s="3">
        <f t="shared" si="8"/>
        <v>64.72</v>
      </c>
    </row>
    <row r="500" spans="1:19" ht="87" x14ac:dyDescent="0.35">
      <c r="A500" t="s">
        <v>35</v>
      </c>
      <c r="B500" t="s">
        <v>6270</v>
      </c>
      <c r="C500" t="s">
        <v>28</v>
      </c>
      <c r="D500" t="s">
        <v>25</v>
      </c>
      <c r="E500">
        <v>64.44</v>
      </c>
      <c r="F500" t="s">
        <v>88</v>
      </c>
      <c r="G500" s="19">
        <v>45530</v>
      </c>
      <c r="H500" t="s">
        <v>94</v>
      </c>
      <c r="I500" t="s">
        <v>6777</v>
      </c>
      <c r="J500" t="s">
        <v>7071</v>
      </c>
      <c r="O500" t="s">
        <v>1222</v>
      </c>
      <c r="Q500" s="3">
        <f t="shared" si="8"/>
        <v>64.44</v>
      </c>
      <c r="S500" s="55" t="s">
        <v>7519</v>
      </c>
    </row>
    <row r="501" spans="1:19" x14ac:dyDescent="0.35">
      <c r="A501" t="s">
        <v>0</v>
      </c>
      <c r="B501" t="s">
        <v>6270</v>
      </c>
      <c r="C501" t="s">
        <v>28</v>
      </c>
      <c r="D501" t="s">
        <v>25</v>
      </c>
      <c r="E501">
        <v>63.8</v>
      </c>
      <c r="F501" t="s">
        <v>88</v>
      </c>
      <c r="G501" s="19">
        <v>45551</v>
      </c>
      <c r="H501" t="s">
        <v>89</v>
      </c>
      <c r="I501" t="s">
        <v>7199</v>
      </c>
      <c r="J501"/>
      <c r="K501" t="s">
        <v>7195</v>
      </c>
      <c r="L501" t="s">
        <v>7200</v>
      </c>
      <c r="M501" t="s">
        <v>100</v>
      </c>
      <c r="Q501" s="3">
        <f t="shared" si="8"/>
        <v>63.8</v>
      </c>
    </row>
    <row r="502" spans="1:19" x14ac:dyDescent="0.35">
      <c r="A502" t="s">
        <v>35</v>
      </c>
      <c r="B502" t="s">
        <v>6270</v>
      </c>
      <c r="C502" t="s">
        <v>28</v>
      </c>
      <c r="D502" t="s">
        <v>25</v>
      </c>
      <c r="E502">
        <v>63.78</v>
      </c>
      <c r="F502" t="s">
        <v>88</v>
      </c>
      <c r="G502" s="19">
        <v>45398</v>
      </c>
      <c r="H502" t="s">
        <v>94</v>
      </c>
      <c r="I502" t="s">
        <v>6332</v>
      </c>
      <c r="J502" t="s">
        <v>6335</v>
      </c>
      <c r="O502" t="s">
        <v>6334</v>
      </c>
      <c r="Q502" s="3">
        <f t="shared" si="8"/>
        <v>63.78</v>
      </c>
    </row>
    <row r="503" spans="1:19" x14ac:dyDescent="0.35">
      <c r="A503" t="s">
        <v>0</v>
      </c>
      <c r="B503" t="s">
        <v>6270</v>
      </c>
      <c r="C503" t="s">
        <v>28</v>
      </c>
      <c r="D503" t="s">
        <v>25</v>
      </c>
      <c r="E503">
        <v>63.54</v>
      </c>
      <c r="F503" t="s">
        <v>88</v>
      </c>
      <c r="G503" s="19">
        <v>45503</v>
      </c>
      <c r="H503" t="s">
        <v>181</v>
      </c>
      <c r="I503" t="s">
        <v>182</v>
      </c>
      <c r="J503"/>
      <c r="Q503" s="3">
        <f t="shared" si="8"/>
        <v>63.54</v>
      </c>
    </row>
    <row r="504" spans="1:19" x14ac:dyDescent="0.35">
      <c r="A504" t="s">
        <v>35</v>
      </c>
      <c r="B504" t="s">
        <v>6270</v>
      </c>
      <c r="C504" t="s">
        <v>28</v>
      </c>
      <c r="D504" t="s">
        <v>25</v>
      </c>
      <c r="E504">
        <v>63.09</v>
      </c>
      <c r="F504" t="s">
        <v>88</v>
      </c>
      <c r="G504" s="19">
        <v>45398</v>
      </c>
      <c r="H504" t="s">
        <v>94</v>
      </c>
      <c r="I504" t="s">
        <v>6332</v>
      </c>
      <c r="J504" t="s">
        <v>6337</v>
      </c>
      <c r="O504" t="s">
        <v>6334</v>
      </c>
      <c r="Q504" s="3">
        <f t="shared" si="8"/>
        <v>63.09</v>
      </c>
    </row>
    <row r="505" spans="1:19" x14ac:dyDescent="0.35">
      <c r="A505" t="s">
        <v>35</v>
      </c>
      <c r="B505" t="s">
        <v>728</v>
      </c>
      <c r="C505" t="s">
        <v>28</v>
      </c>
      <c r="D505" t="s">
        <v>25</v>
      </c>
      <c r="E505">
        <v>62.53</v>
      </c>
      <c r="F505" t="s">
        <v>88</v>
      </c>
      <c r="G505" s="19">
        <v>45624</v>
      </c>
      <c r="H505" t="s">
        <v>94</v>
      </c>
      <c r="I505" t="s">
        <v>7407</v>
      </c>
      <c r="J505" t="s">
        <v>7408</v>
      </c>
      <c r="O505" t="s">
        <v>7409</v>
      </c>
      <c r="Q505" s="3">
        <f t="shared" si="8"/>
        <v>62.53</v>
      </c>
    </row>
    <row r="506" spans="1:19" x14ac:dyDescent="0.35">
      <c r="A506" t="s">
        <v>35</v>
      </c>
      <c r="B506" t="s">
        <v>2031</v>
      </c>
      <c r="C506" t="s">
        <v>28</v>
      </c>
      <c r="D506" t="s">
        <v>25</v>
      </c>
      <c r="E506">
        <v>62.42</v>
      </c>
      <c r="F506" t="s">
        <v>88</v>
      </c>
      <c r="G506" s="19">
        <v>45581</v>
      </c>
      <c r="H506" t="s">
        <v>94</v>
      </c>
      <c r="I506" t="s">
        <v>215</v>
      </c>
      <c r="J506" t="s">
        <v>7314</v>
      </c>
      <c r="O506" t="s">
        <v>7315</v>
      </c>
      <c r="Q506" s="3">
        <f t="shared" si="8"/>
        <v>62.42</v>
      </c>
    </row>
    <row r="507" spans="1:19" x14ac:dyDescent="0.35">
      <c r="A507" t="s">
        <v>35</v>
      </c>
      <c r="B507" t="s">
        <v>599</v>
      </c>
      <c r="C507" t="s">
        <v>28</v>
      </c>
      <c r="D507" t="s">
        <v>25</v>
      </c>
      <c r="E507">
        <v>61.82</v>
      </c>
      <c r="F507" t="s">
        <v>88</v>
      </c>
      <c r="G507" s="19">
        <v>45631</v>
      </c>
      <c r="H507" t="s">
        <v>94</v>
      </c>
      <c r="I507" t="s">
        <v>7427</v>
      </c>
      <c r="J507" t="s">
        <v>7428</v>
      </c>
      <c r="O507" t="s">
        <v>7429</v>
      </c>
      <c r="Q507" s="3">
        <f t="shared" si="8"/>
        <v>61.82</v>
      </c>
    </row>
    <row r="508" spans="1:19" x14ac:dyDescent="0.35">
      <c r="A508" t="s">
        <v>35</v>
      </c>
      <c r="B508" t="s">
        <v>1423</v>
      </c>
      <c r="C508" t="s">
        <v>28</v>
      </c>
      <c r="D508" t="s">
        <v>25</v>
      </c>
      <c r="E508">
        <v>61.5</v>
      </c>
      <c r="F508" t="s">
        <v>88</v>
      </c>
      <c r="G508" s="19">
        <v>45583</v>
      </c>
      <c r="H508" t="s">
        <v>94</v>
      </c>
      <c r="I508" t="s">
        <v>249</v>
      </c>
      <c r="J508" t="s">
        <v>7319</v>
      </c>
      <c r="O508" t="s">
        <v>7320</v>
      </c>
      <c r="Q508" s="3">
        <f t="shared" si="8"/>
        <v>61.5</v>
      </c>
    </row>
    <row r="509" spans="1:19" x14ac:dyDescent="0.35">
      <c r="A509" t="s">
        <v>0</v>
      </c>
      <c r="B509" t="s">
        <v>6270</v>
      </c>
      <c r="C509" t="s">
        <v>28</v>
      </c>
      <c r="D509" t="s">
        <v>25</v>
      </c>
      <c r="E509">
        <v>-61.18</v>
      </c>
      <c r="F509" t="s">
        <v>88</v>
      </c>
      <c r="G509" s="19">
        <v>45497</v>
      </c>
      <c r="H509" t="s">
        <v>181</v>
      </c>
      <c r="I509" t="s">
        <v>182</v>
      </c>
      <c r="J509"/>
      <c r="Q509" s="3">
        <f t="shared" si="8"/>
        <v>61.18</v>
      </c>
    </row>
    <row r="510" spans="1:19" x14ac:dyDescent="0.35">
      <c r="A510" t="s">
        <v>35</v>
      </c>
      <c r="B510" t="s">
        <v>819</v>
      </c>
      <c r="C510" t="s">
        <v>28</v>
      </c>
      <c r="D510" t="s">
        <v>25</v>
      </c>
      <c r="E510">
        <v>60.86</v>
      </c>
      <c r="F510" t="s">
        <v>88</v>
      </c>
      <c r="G510" s="19">
        <v>45604</v>
      </c>
      <c r="H510" t="s">
        <v>94</v>
      </c>
      <c r="I510" t="s">
        <v>820</v>
      </c>
      <c r="J510" t="s">
        <v>7372</v>
      </c>
      <c r="O510" t="s">
        <v>7373</v>
      </c>
      <c r="Q510" s="3">
        <f t="shared" si="8"/>
        <v>60.86</v>
      </c>
    </row>
    <row r="511" spans="1:19" x14ac:dyDescent="0.35">
      <c r="A511" t="s">
        <v>0</v>
      </c>
      <c r="B511" t="s">
        <v>6270</v>
      </c>
      <c r="C511" t="s">
        <v>28</v>
      </c>
      <c r="D511" t="s">
        <v>25</v>
      </c>
      <c r="E511">
        <v>-60.43</v>
      </c>
      <c r="F511" t="s">
        <v>88</v>
      </c>
      <c r="G511" s="19">
        <v>45494</v>
      </c>
      <c r="H511" t="s">
        <v>181</v>
      </c>
      <c r="I511" t="s">
        <v>182</v>
      </c>
      <c r="J511"/>
      <c r="Q511" s="3">
        <f t="shared" si="8"/>
        <v>60.43</v>
      </c>
    </row>
    <row r="512" spans="1:19" x14ac:dyDescent="0.35">
      <c r="A512" t="s">
        <v>35</v>
      </c>
      <c r="B512" t="s">
        <v>1279</v>
      </c>
      <c r="C512" t="s">
        <v>28</v>
      </c>
      <c r="D512" t="s">
        <v>25</v>
      </c>
      <c r="E512">
        <v>-60.3</v>
      </c>
      <c r="F512" t="s">
        <v>88</v>
      </c>
      <c r="G512" s="19">
        <v>45468</v>
      </c>
      <c r="H512" t="s">
        <v>181</v>
      </c>
      <c r="I512" t="s">
        <v>182</v>
      </c>
      <c r="J512"/>
      <c r="Q512" s="3">
        <f t="shared" si="8"/>
        <v>60.3</v>
      </c>
    </row>
    <row r="513" spans="1:17" x14ac:dyDescent="0.35">
      <c r="A513" t="s">
        <v>35</v>
      </c>
      <c r="B513" t="s">
        <v>6270</v>
      </c>
      <c r="C513" t="s">
        <v>28</v>
      </c>
      <c r="D513" t="s">
        <v>25</v>
      </c>
      <c r="E513">
        <v>60.14</v>
      </c>
      <c r="F513" t="s">
        <v>88</v>
      </c>
      <c r="G513" s="19">
        <v>45488</v>
      </c>
      <c r="H513" t="s">
        <v>94</v>
      </c>
      <c r="I513" t="s">
        <v>6777</v>
      </c>
      <c r="J513" t="s">
        <v>6778</v>
      </c>
      <c r="O513" t="s">
        <v>1222</v>
      </c>
      <c r="Q513" s="3">
        <f t="shared" si="8"/>
        <v>60.14</v>
      </c>
    </row>
    <row r="514" spans="1:17" x14ac:dyDescent="0.35">
      <c r="A514" t="s">
        <v>35</v>
      </c>
      <c r="B514" t="s">
        <v>6270</v>
      </c>
      <c r="C514" t="s">
        <v>28</v>
      </c>
      <c r="D514" t="s">
        <v>25</v>
      </c>
      <c r="E514">
        <v>59.09</v>
      </c>
      <c r="F514" t="s">
        <v>88</v>
      </c>
      <c r="G514" s="19">
        <v>45524</v>
      </c>
      <c r="H514" t="s">
        <v>94</v>
      </c>
      <c r="I514" t="s">
        <v>6683</v>
      </c>
      <c r="J514" t="s">
        <v>7003</v>
      </c>
      <c r="O514" t="s">
        <v>7005</v>
      </c>
      <c r="Q514" s="3">
        <f t="shared" si="8"/>
        <v>59.09</v>
      </c>
    </row>
    <row r="515" spans="1:17" x14ac:dyDescent="0.35">
      <c r="A515" t="s">
        <v>35</v>
      </c>
      <c r="B515" t="s">
        <v>6270</v>
      </c>
      <c r="C515" t="s">
        <v>28</v>
      </c>
      <c r="D515" t="s">
        <v>25</v>
      </c>
      <c r="E515">
        <v>59</v>
      </c>
      <c r="F515" t="s">
        <v>88</v>
      </c>
      <c r="G515" s="19">
        <v>45524</v>
      </c>
      <c r="H515" t="s">
        <v>94</v>
      </c>
      <c r="I515" t="s">
        <v>331</v>
      </c>
      <c r="J515" t="s">
        <v>6997</v>
      </c>
      <c r="O515" t="s">
        <v>6998</v>
      </c>
      <c r="Q515" s="3">
        <f t="shared" si="8"/>
        <v>59</v>
      </c>
    </row>
    <row r="516" spans="1:17" x14ac:dyDescent="0.35">
      <c r="A516" t="s">
        <v>35</v>
      </c>
      <c r="B516" t="s">
        <v>6270</v>
      </c>
      <c r="C516" t="s">
        <v>28</v>
      </c>
      <c r="D516" t="s">
        <v>25</v>
      </c>
      <c r="E516">
        <v>58.99</v>
      </c>
      <c r="F516" t="s">
        <v>88</v>
      </c>
      <c r="G516" s="19">
        <v>45524</v>
      </c>
      <c r="H516" t="s">
        <v>94</v>
      </c>
      <c r="I516" t="s">
        <v>6683</v>
      </c>
      <c r="J516" t="s">
        <v>6999</v>
      </c>
      <c r="O516" t="s">
        <v>7000</v>
      </c>
      <c r="Q516" s="3">
        <f t="shared" si="8"/>
        <v>58.99</v>
      </c>
    </row>
    <row r="517" spans="1:17" x14ac:dyDescent="0.35">
      <c r="A517" t="s">
        <v>0</v>
      </c>
      <c r="B517" t="s">
        <v>6270</v>
      </c>
      <c r="C517" t="s">
        <v>28</v>
      </c>
      <c r="D517" t="s">
        <v>25</v>
      </c>
      <c r="E517">
        <v>58.85</v>
      </c>
      <c r="F517" t="s">
        <v>88</v>
      </c>
      <c r="G517" s="19">
        <v>45509</v>
      </c>
      <c r="H517" t="s">
        <v>181</v>
      </c>
      <c r="I517" t="s">
        <v>182</v>
      </c>
      <c r="J517"/>
      <c r="Q517" s="3">
        <f t="shared" si="8"/>
        <v>58.85</v>
      </c>
    </row>
    <row r="518" spans="1:17" x14ac:dyDescent="0.35">
      <c r="A518" t="s">
        <v>35</v>
      </c>
      <c r="B518" t="s">
        <v>6270</v>
      </c>
      <c r="C518" t="s">
        <v>28</v>
      </c>
      <c r="D518" t="s">
        <v>25</v>
      </c>
      <c r="E518">
        <v>57.85</v>
      </c>
      <c r="F518" t="s">
        <v>88</v>
      </c>
      <c r="G518" s="19">
        <v>45488</v>
      </c>
      <c r="H518" t="s">
        <v>94</v>
      </c>
      <c r="I518" t="s">
        <v>6777</v>
      </c>
      <c r="J518" t="s">
        <v>6779</v>
      </c>
      <c r="O518" t="s">
        <v>6780</v>
      </c>
      <c r="Q518" s="3">
        <f t="shared" si="8"/>
        <v>57.85</v>
      </c>
    </row>
    <row r="519" spans="1:17" x14ac:dyDescent="0.35">
      <c r="A519" t="s">
        <v>35</v>
      </c>
      <c r="B519" t="s">
        <v>6270</v>
      </c>
      <c r="C519" t="s">
        <v>28</v>
      </c>
      <c r="D519" t="s">
        <v>25</v>
      </c>
      <c r="E519">
        <v>57.73</v>
      </c>
      <c r="F519" t="s">
        <v>88</v>
      </c>
      <c r="G519" s="19">
        <v>45530</v>
      </c>
      <c r="H519" t="s">
        <v>94</v>
      </c>
      <c r="I519" t="s">
        <v>6811</v>
      </c>
      <c r="J519" t="s">
        <v>7076</v>
      </c>
      <c r="O519" t="s">
        <v>6916</v>
      </c>
      <c r="Q519" s="3">
        <f t="shared" si="8"/>
        <v>57.73</v>
      </c>
    </row>
    <row r="520" spans="1:17" x14ac:dyDescent="0.35">
      <c r="A520" t="s">
        <v>35</v>
      </c>
      <c r="B520" t="s">
        <v>6270</v>
      </c>
      <c r="C520" t="s">
        <v>28</v>
      </c>
      <c r="D520" t="s">
        <v>25</v>
      </c>
      <c r="E520">
        <v>56.49</v>
      </c>
      <c r="F520" t="s">
        <v>88</v>
      </c>
      <c r="G520" s="19">
        <v>45525</v>
      </c>
      <c r="H520" t="s">
        <v>94</v>
      </c>
      <c r="I520" t="s">
        <v>7025</v>
      </c>
      <c r="J520" t="s">
        <v>7026</v>
      </c>
      <c r="O520" t="s">
        <v>2007</v>
      </c>
      <c r="Q520" s="3">
        <f t="shared" si="8"/>
        <v>56.49</v>
      </c>
    </row>
    <row r="521" spans="1:17" x14ac:dyDescent="0.35">
      <c r="A521" t="s">
        <v>35</v>
      </c>
      <c r="B521" t="s">
        <v>633</v>
      </c>
      <c r="C521" t="s">
        <v>28</v>
      </c>
      <c r="D521" t="s">
        <v>25</v>
      </c>
      <c r="E521">
        <v>56.36</v>
      </c>
      <c r="F521" t="s">
        <v>88</v>
      </c>
      <c r="G521" s="19">
        <v>45537</v>
      </c>
      <c r="H521" t="s">
        <v>94</v>
      </c>
      <c r="I521" t="s">
        <v>7103</v>
      </c>
      <c r="J521" t="s">
        <v>7104</v>
      </c>
      <c r="O521" t="s">
        <v>7105</v>
      </c>
      <c r="Q521" s="3">
        <f t="shared" si="8"/>
        <v>56.36</v>
      </c>
    </row>
    <row r="522" spans="1:17" x14ac:dyDescent="0.35">
      <c r="A522" t="s">
        <v>35</v>
      </c>
      <c r="B522" t="s">
        <v>1884</v>
      </c>
      <c r="C522" t="s">
        <v>28</v>
      </c>
      <c r="D522" t="s">
        <v>25</v>
      </c>
      <c r="E522">
        <v>56.02</v>
      </c>
      <c r="F522" t="s">
        <v>88</v>
      </c>
      <c r="G522" s="19">
        <v>45446</v>
      </c>
      <c r="H522" t="s">
        <v>94</v>
      </c>
      <c r="I522" t="s">
        <v>6558</v>
      </c>
      <c r="J522" t="s">
        <v>6559</v>
      </c>
      <c r="O522" t="s">
        <v>1977</v>
      </c>
      <c r="Q522" s="3">
        <f t="shared" ref="Q522:Q585" si="9">ABS(E522)</f>
        <v>56.02</v>
      </c>
    </row>
    <row r="523" spans="1:17" x14ac:dyDescent="0.35">
      <c r="A523" t="s">
        <v>35</v>
      </c>
      <c r="B523" t="s">
        <v>6270</v>
      </c>
      <c r="C523" t="s">
        <v>28</v>
      </c>
      <c r="D523" t="s">
        <v>25</v>
      </c>
      <c r="E523">
        <v>55.95</v>
      </c>
      <c r="F523" t="s">
        <v>88</v>
      </c>
      <c r="G523" s="19">
        <v>45530</v>
      </c>
      <c r="H523" t="s">
        <v>94</v>
      </c>
      <c r="I523" t="s">
        <v>7057</v>
      </c>
      <c r="J523" t="s">
        <v>7060</v>
      </c>
      <c r="O523" t="s">
        <v>7061</v>
      </c>
      <c r="Q523" s="3">
        <f t="shared" si="9"/>
        <v>55.95</v>
      </c>
    </row>
    <row r="524" spans="1:17" x14ac:dyDescent="0.35">
      <c r="A524" t="s">
        <v>35</v>
      </c>
      <c r="B524" t="s">
        <v>6394</v>
      </c>
      <c r="C524" t="s">
        <v>28</v>
      </c>
      <c r="D524" t="s">
        <v>25</v>
      </c>
      <c r="E524">
        <v>54.55</v>
      </c>
      <c r="F524" t="s">
        <v>88</v>
      </c>
      <c r="G524" s="19">
        <v>45537</v>
      </c>
      <c r="H524" t="s">
        <v>94</v>
      </c>
      <c r="I524" t="s">
        <v>383</v>
      </c>
      <c r="J524" t="s">
        <v>7098</v>
      </c>
      <c r="O524" t="s">
        <v>7099</v>
      </c>
      <c r="Q524" s="3">
        <f t="shared" si="9"/>
        <v>54.55</v>
      </c>
    </row>
    <row r="525" spans="1:17" x14ac:dyDescent="0.35">
      <c r="A525" t="s">
        <v>35</v>
      </c>
      <c r="B525" t="s">
        <v>867</v>
      </c>
      <c r="C525" t="s">
        <v>28</v>
      </c>
      <c r="D525" t="s">
        <v>25</v>
      </c>
      <c r="E525">
        <v>54.55</v>
      </c>
      <c r="F525" t="s">
        <v>88</v>
      </c>
      <c r="G525" s="19">
        <v>45635</v>
      </c>
      <c r="H525" t="s">
        <v>94</v>
      </c>
      <c r="I525" t="s">
        <v>4811</v>
      </c>
      <c r="J525" t="s">
        <v>7449</v>
      </c>
      <c r="O525" t="s">
        <v>7450</v>
      </c>
      <c r="Q525" s="3">
        <f t="shared" si="9"/>
        <v>54.55</v>
      </c>
    </row>
    <row r="526" spans="1:17" x14ac:dyDescent="0.35">
      <c r="A526" t="s">
        <v>35</v>
      </c>
      <c r="B526" t="s">
        <v>6270</v>
      </c>
      <c r="C526" t="s">
        <v>28</v>
      </c>
      <c r="D526" t="s">
        <v>25</v>
      </c>
      <c r="E526">
        <v>54.5</v>
      </c>
      <c r="F526" t="s">
        <v>88</v>
      </c>
      <c r="G526" s="19">
        <v>45463</v>
      </c>
      <c r="H526" t="s">
        <v>94</v>
      </c>
      <c r="I526" t="s">
        <v>6663</v>
      </c>
      <c r="J526" t="s">
        <v>6664</v>
      </c>
      <c r="O526" t="s">
        <v>6665</v>
      </c>
      <c r="Q526" s="3">
        <f t="shared" si="9"/>
        <v>54.5</v>
      </c>
    </row>
    <row r="527" spans="1:17" x14ac:dyDescent="0.35">
      <c r="A527" t="s">
        <v>35</v>
      </c>
      <c r="B527" t="s">
        <v>6270</v>
      </c>
      <c r="C527" t="s">
        <v>28</v>
      </c>
      <c r="D527" t="s">
        <v>25</v>
      </c>
      <c r="E527">
        <v>54.43</v>
      </c>
      <c r="F527" t="s">
        <v>88</v>
      </c>
      <c r="G527" s="19">
        <v>45553</v>
      </c>
      <c r="H527" t="s">
        <v>94</v>
      </c>
      <c r="I527" t="s">
        <v>7220</v>
      </c>
      <c r="J527" t="s">
        <v>7221</v>
      </c>
      <c r="O527" t="s">
        <v>7222</v>
      </c>
      <c r="Q527" s="3">
        <f t="shared" si="9"/>
        <v>54.43</v>
      </c>
    </row>
    <row r="528" spans="1:17" x14ac:dyDescent="0.35">
      <c r="A528" t="s">
        <v>35</v>
      </c>
      <c r="B528" t="s">
        <v>6270</v>
      </c>
      <c r="C528" t="s">
        <v>28</v>
      </c>
      <c r="D528" t="s">
        <v>25</v>
      </c>
      <c r="E528">
        <v>53.92</v>
      </c>
      <c r="F528" t="s">
        <v>88</v>
      </c>
      <c r="G528" s="19">
        <v>45553</v>
      </c>
      <c r="H528" t="s">
        <v>94</v>
      </c>
      <c r="I528" t="s">
        <v>7205</v>
      </c>
      <c r="J528" t="s">
        <v>7206</v>
      </c>
      <c r="O528" t="s">
        <v>7207</v>
      </c>
      <c r="Q528" s="3">
        <f t="shared" si="9"/>
        <v>53.92</v>
      </c>
    </row>
    <row r="529" spans="1:17" x14ac:dyDescent="0.35">
      <c r="A529" t="s">
        <v>35</v>
      </c>
      <c r="B529" t="s">
        <v>6270</v>
      </c>
      <c r="C529" t="s">
        <v>28</v>
      </c>
      <c r="D529" t="s">
        <v>25</v>
      </c>
      <c r="E529">
        <v>53.34</v>
      </c>
      <c r="F529" t="s">
        <v>88</v>
      </c>
      <c r="G529" s="19">
        <v>45524</v>
      </c>
      <c r="H529" t="s">
        <v>94</v>
      </c>
      <c r="I529" t="s">
        <v>6811</v>
      </c>
      <c r="J529" t="s">
        <v>6993</v>
      </c>
      <c r="O529" t="s">
        <v>6994</v>
      </c>
      <c r="Q529" s="3">
        <f t="shared" si="9"/>
        <v>53.34</v>
      </c>
    </row>
    <row r="530" spans="1:17" x14ac:dyDescent="0.35">
      <c r="A530" t="s">
        <v>0</v>
      </c>
      <c r="B530" t="s">
        <v>6270</v>
      </c>
      <c r="C530" t="s">
        <v>28</v>
      </c>
      <c r="D530" t="s">
        <v>25</v>
      </c>
      <c r="E530">
        <v>53.19</v>
      </c>
      <c r="F530" t="s">
        <v>88</v>
      </c>
      <c r="G530" s="19">
        <v>45511</v>
      </c>
      <c r="H530" t="s">
        <v>181</v>
      </c>
      <c r="I530" t="s">
        <v>182</v>
      </c>
      <c r="J530"/>
      <c r="Q530" s="3">
        <f t="shared" si="9"/>
        <v>53.19</v>
      </c>
    </row>
    <row r="531" spans="1:17" x14ac:dyDescent="0.35">
      <c r="A531" t="s">
        <v>35</v>
      </c>
      <c r="B531" t="s">
        <v>6270</v>
      </c>
      <c r="C531" t="s">
        <v>28</v>
      </c>
      <c r="D531" t="s">
        <v>25</v>
      </c>
      <c r="E531">
        <v>52.75</v>
      </c>
      <c r="F531" t="s">
        <v>88</v>
      </c>
      <c r="G531" s="19">
        <v>45468</v>
      </c>
      <c r="H531" t="s">
        <v>94</v>
      </c>
      <c r="I531" t="s">
        <v>6683</v>
      </c>
      <c r="J531" t="s">
        <v>6684</v>
      </c>
      <c r="O531" t="s">
        <v>6685</v>
      </c>
      <c r="Q531" s="3">
        <f t="shared" si="9"/>
        <v>52.75</v>
      </c>
    </row>
    <row r="532" spans="1:17" x14ac:dyDescent="0.35">
      <c r="A532" t="s">
        <v>0</v>
      </c>
      <c r="B532" t="s">
        <v>599</v>
      </c>
      <c r="C532" t="s">
        <v>28</v>
      </c>
      <c r="D532" t="s">
        <v>25</v>
      </c>
      <c r="E532">
        <v>-52.52</v>
      </c>
      <c r="F532" t="s">
        <v>88</v>
      </c>
      <c r="G532" s="19">
        <v>45510</v>
      </c>
      <c r="H532" t="s">
        <v>181</v>
      </c>
      <c r="I532" t="s">
        <v>182</v>
      </c>
      <c r="J532"/>
      <c r="Q532" s="3">
        <f t="shared" si="9"/>
        <v>52.52</v>
      </c>
    </row>
    <row r="533" spans="1:17" x14ac:dyDescent="0.35">
      <c r="A533" t="s">
        <v>35</v>
      </c>
      <c r="B533" t="s">
        <v>649</v>
      </c>
      <c r="C533" t="s">
        <v>28</v>
      </c>
      <c r="D533" t="s">
        <v>25</v>
      </c>
      <c r="E533">
        <v>52.27</v>
      </c>
      <c r="F533" t="s">
        <v>88</v>
      </c>
      <c r="G533" s="19">
        <v>45453</v>
      </c>
      <c r="H533" t="s">
        <v>94</v>
      </c>
      <c r="I533" t="s">
        <v>5811</v>
      </c>
      <c r="J533" t="s">
        <v>6610</v>
      </c>
      <c r="O533" t="s">
        <v>5813</v>
      </c>
      <c r="Q533" s="3">
        <f t="shared" si="9"/>
        <v>52.27</v>
      </c>
    </row>
    <row r="534" spans="1:17" x14ac:dyDescent="0.35">
      <c r="A534" t="s">
        <v>35</v>
      </c>
      <c r="B534" t="s">
        <v>1423</v>
      </c>
      <c r="C534" t="s">
        <v>28</v>
      </c>
      <c r="D534" t="s">
        <v>25</v>
      </c>
      <c r="E534">
        <v>51.82</v>
      </c>
      <c r="F534" t="s">
        <v>88</v>
      </c>
      <c r="G534" s="19">
        <v>45450</v>
      </c>
      <c r="H534" t="s">
        <v>94</v>
      </c>
      <c r="I534" t="s">
        <v>249</v>
      </c>
      <c r="J534" t="s">
        <v>6588</v>
      </c>
      <c r="O534" t="s">
        <v>6589</v>
      </c>
      <c r="Q534" s="3">
        <f t="shared" si="9"/>
        <v>51.82</v>
      </c>
    </row>
    <row r="535" spans="1:17" x14ac:dyDescent="0.35">
      <c r="A535" t="s">
        <v>0</v>
      </c>
      <c r="B535" t="s">
        <v>599</v>
      </c>
      <c r="C535" t="s">
        <v>28</v>
      </c>
      <c r="D535" t="s">
        <v>25</v>
      </c>
      <c r="E535">
        <v>-51.2</v>
      </c>
      <c r="F535" t="s">
        <v>88</v>
      </c>
      <c r="G535" s="19">
        <v>45518</v>
      </c>
      <c r="H535" t="s">
        <v>181</v>
      </c>
      <c r="I535" t="s">
        <v>182</v>
      </c>
      <c r="J535"/>
      <c r="Q535" s="3">
        <f t="shared" si="9"/>
        <v>51.2</v>
      </c>
    </row>
    <row r="536" spans="1:17" x14ac:dyDescent="0.35">
      <c r="A536" t="s">
        <v>35</v>
      </c>
      <c r="B536" t="s">
        <v>1884</v>
      </c>
      <c r="C536" t="s">
        <v>28</v>
      </c>
      <c r="D536" t="s">
        <v>25</v>
      </c>
      <c r="E536">
        <v>50.86</v>
      </c>
      <c r="F536" t="s">
        <v>88</v>
      </c>
      <c r="G536" s="19">
        <v>45446</v>
      </c>
      <c r="H536" t="s">
        <v>94</v>
      </c>
      <c r="I536" t="s">
        <v>6549</v>
      </c>
      <c r="J536" t="s">
        <v>6552</v>
      </c>
      <c r="O536" t="s">
        <v>6553</v>
      </c>
      <c r="Q536" s="3">
        <f t="shared" si="9"/>
        <v>50.86</v>
      </c>
    </row>
    <row r="537" spans="1:17" x14ac:dyDescent="0.35">
      <c r="A537" t="s">
        <v>35</v>
      </c>
      <c r="B537" t="s">
        <v>6270</v>
      </c>
      <c r="C537" t="s">
        <v>28</v>
      </c>
      <c r="D537" t="s">
        <v>25</v>
      </c>
      <c r="E537">
        <v>49.99</v>
      </c>
      <c r="F537" t="s">
        <v>88</v>
      </c>
      <c r="G537" s="19">
        <v>45523</v>
      </c>
      <c r="H537" t="s">
        <v>94</v>
      </c>
      <c r="I537" t="s">
        <v>745</v>
      </c>
      <c r="J537" t="s">
        <v>6976</v>
      </c>
      <c r="O537" t="s">
        <v>6977</v>
      </c>
      <c r="Q537" s="3">
        <f t="shared" si="9"/>
        <v>49.99</v>
      </c>
    </row>
    <row r="538" spans="1:17" x14ac:dyDescent="0.35">
      <c r="A538" t="s">
        <v>35</v>
      </c>
      <c r="B538" t="s">
        <v>6270</v>
      </c>
      <c r="C538" t="s">
        <v>28</v>
      </c>
      <c r="D538" t="s">
        <v>25</v>
      </c>
      <c r="E538">
        <v>48.14</v>
      </c>
      <c r="F538" t="s">
        <v>88</v>
      </c>
      <c r="G538" s="19">
        <v>45524</v>
      </c>
      <c r="H538" t="s">
        <v>94</v>
      </c>
      <c r="I538" t="s">
        <v>6650</v>
      </c>
      <c r="J538" t="s">
        <v>6984</v>
      </c>
      <c r="O538" t="s">
        <v>6985</v>
      </c>
      <c r="Q538" s="3">
        <f t="shared" si="9"/>
        <v>48.14</v>
      </c>
    </row>
    <row r="539" spans="1:17" x14ac:dyDescent="0.35">
      <c r="A539" t="s">
        <v>35</v>
      </c>
      <c r="B539" t="s">
        <v>599</v>
      </c>
      <c r="C539" t="s">
        <v>28</v>
      </c>
      <c r="D539" t="s">
        <v>25</v>
      </c>
      <c r="E539">
        <v>47.8</v>
      </c>
      <c r="F539" t="s">
        <v>88</v>
      </c>
      <c r="G539" s="19">
        <v>45590</v>
      </c>
      <c r="H539" t="s">
        <v>94</v>
      </c>
      <c r="I539" t="s">
        <v>7329</v>
      </c>
      <c r="J539" t="s">
        <v>7330</v>
      </c>
      <c r="O539" t="s">
        <v>7331</v>
      </c>
      <c r="Q539" s="3">
        <f t="shared" si="9"/>
        <v>47.8</v>
      </c>
    </row>
    <row r="540" spans="1:17" x14ac:dyDescent="0.35">
      <c r="A540" t="s">
        <v>35</v>
      </c>
      <c r="B540" t="s">
        <v>633</v>
      </c>
      <c r="C540" t="s">
        <v>28</v>
      </c>
      <c r="D540" t="s">
        <v>25</v>
      </c>
      <c r="E540">
        <v>47.73</v>
      </c>
      <c r="F540" t="s">
        <v>88</v>
      </c>
      <c r="G540" s="19">
        <v>45436</v>
      </c>
      <c r="H540" t="s">
        <v>94</v>
      </c>
      <c r="I540" t="s">
        <v>386</v>
      </c>
      <c r="J540" t="s">
        <v>6522</v>
      </c>
      <c r="O540" t="s">
        <v>6523</v>
      </c>
      <c r="Q540" s="3">
        <f t="shared" si="9"/>
        <v>47.73</v>
      </c>
    </row>
    <row r="541" spans="1:17" x14ac:dyDescent="0.35">
      <c r="A541" t="s">
        <v>0</v>
      </c>
      <c r="B541" t="s">
        <v>6270</v>
      </c>
      <c r="C541" t="s">
        <v>28</v>
      </c>
      <c r="D541" t="s">
        <v>25</v>
      </c>
      <c r="E541">
        <v>-47.31</v>
      </c>
      <c r="F541" t="s">
        <v>88</v>
      </c>
      <c r="G541" s="19">
        <v>45574</v>
      </c>
      <c r="H541" t="s">
        <v>181</v>
      </c>
      <c r="I541" t="s">
        <v>182</v>
      </c>
      <c r="J541"/>
      <c r="Q541" s="3">
        <f t="shared" si="9"/>
        <v>47.31</v>
      </c>
    </row>
    <row r="542" spans="1:17" x14ac:dyDescent="0.35">
      <c r="A542" t="s">
        <v>35</v>
      </c>
      <c r="B542" t="s">
        <v>606</v>
      </c>
      <c r="C542" t="s">
        <v>28</v>
      </c>
      <c r="D542" t="s">
        <v>25</v>
      </c>
      <c r="E542">
        <v>47.27</v>
      </c>
      <c r="F542" t="s">
        <v>88</v>
      </c>
      <c r="G542" s="19">
        <v>45553</v>
      </c>
      <c r="H542" t="s">
        <v>94</v>
      </c>
      <c r="I542" t="s">
        <v>512</v>
      </c>
      <c r="J542" t="s">
        <v>7240</v>
      </c>
      <c r="O542" t="s">
        <v>6280</v>
      </c>
      <c r="Q542" s="3">
        <f t="shared" si="9"/>
        <v>47.27</v>
      </c>
    </row>
    <row r="543" spans="1:17" x14ac:dyDescent="0.35">
      <c r="A543" t="s">
        <v>35</v>
      </c>
      <c r="B543" t="s">
        <v>1423</v>
      </c>
      <c r="C543" t="s">
        <v>28</v>
      </c>
      <c r="D543" t="s">
        <v>25</v>
      </c>
      <c r="E543">
        <v>46.95</v>
      </c>
      <c r="F543" t="s">
        <v>88</v>
      </c>
      <c r="G543" s="19">
        <v>45639</v>
      </c>
      <c r="H543" t="s">
        <v>94</v>
      </c>
      <c r="I543" t="s">
        <v>375</v>
      </c>
      <c r="J543" t="s">
        <v>7491</v>
      </c>
      <c r="O543" t="s">
        <v>5116</v>
      </c>
      <c r="Q543" s="3">
        <f t="shared" si="9"/>
        <v>46.95</v>
      </c>
    </row>
    <row r="544" spans="1:17" x14ac:dyDescent="0.35">
      <c r="A544" t="s">
        <v>35</v>
      </c>
      <c r="B544" t="s">
        <v>6270</v>
      </c>
      <c r="C544" t="s">
        <v>28</v>
      </c>
      <c r="D544" t="s">
        <v>25</v>
      </c>
      <c r="E544">
        <v>46.57</v>
      </c>
      <c r="F544" t="s">
        <v>88</v>
      </c>
      <c r="G544" s="19">
        <v>45553</v>
      </c>
      <c r="H544" t="s">
        <v>94</v>
      </c>
      <c r="I544" t="s">
        <v>4947</v>
      </c>
      <c r="J544" t="s">
        <v>7215</v>
      </c>
      <c r="O544" t="s">
        <v>7216</v>
      </c>
      <c r="Q544" s="3">
        <f t="shared" si="9"/>
        <v>46.57</v>
      </c>
    </row>
    <row r="545" spans="1:17" x14ac:dyDescent="0.35">
      <c r="A545" t="s">
        <v>35</v>
      </c>
      <c r="B545" t="s">
        <v>805</v>
      </c>
      <c r="C545" t="s">
        <v>28</v>
      </c>
      <c r="D545" t="s">
        <v>25</v>
      </c>
      <c r="E545">
        <v>45.45</v>
      </c>
      <c r="F545" t="s">
        <v>88</v>
      </c>
      <c r="G545" s="19">
        <v>45446</v>
      </c>
      <c r="H545" t="s">
        <v>94</v>
      </c>
      <c r="I545" t="s">
        <v>6546</v>
      </c>
      <c r="J545" t="s">
        <v>6547</v>
      </c>
      <c r="O545" t="s">
        <v>6548</v>
      </c>
      <c r="Q545" s="3">
        <f t="shared" si="9"/>
        <v>45.45</v>
      </c>
    </row>
    <row r="546" spans="1:17" x14ac:dyDescent="0.35">
      <c r="A546" t="s">
        <v>35</v>
      </c>
      <c r="B546" t="s">
        <v>1884</v>
      </c>
      <c r="C546" t="s">
        <v>28</v>
      </c>
      <c r="D546" t="s">
        <v>25</v>
      </c>
      <c r="E546">
        <v>45.45</v>
      </c>
      <c r="F546" t="s">
        <v>88</v>
      </c>
      <c r="G546" s="19">
        <v>45446</v>
      </c>
      <c r="H546" t="s">
        <v>94</v>
      </c>
      <c r="I546" t="s">
        <v>6549</v>
      </c>
      <c r="J546" t="s">
        <v>6552</v>
      </c>
      <c r="O546" t="s">
        <v>6554</v>
      </c>
      <c r="Q546" s="3">
        <f t="shared" si="9"/>
        <v>45.45</v>
      </c>
    </row>
    <row r="547" spans="1:17" x14ac:dyDescent="0.35">
      <c r="A547" t="s">
        <v>35</v>
      </c>
      <c r="B547" t="s">
        <v>1884</v>
      </c>
      <c r="C547" t="s">
        <v>28</v>
      </c>
      <c r="D547" t="s">
        <v>25</v>
      </c>
      <c r="E547">
        <v>45.45</v>
      </c>
      <c r="F547" t="s">
        <v>88</v>
      </c>
      <c r="G547" s="19">
        <v>45446</v>
      </c>
      <c r="H547" t="s">
        <v>94</v>
      </c>
      <c r="I547" t="s">
        <v>6555</v>
      </c>
      <c r="J547" t="s">
        <v>6556</v>
      </c>
      <c r="O547" t="s">
        <v>6557</v>
      </c>
      <c r="Q547" s="3">
        <f t="shared" si="9"/>
        <v>45.45</v>
      </c>
    </row>
    <row r="548" spans="1:17" x14ac:dyDescent="0.35">
      <c r="A548" t="s">
        <v>35</v>
      </c>
      <c r="B548" t="s">
        <v>1280</v>
      </c>
      <c r="C548" t="s">
        <v>28</v>
      </c>
      <c r="D548" t="s">
        <v>25</v>
      </c>
      <c r="E548">
        <v>45.45</v>
      </c>
      <c r="F548" t="s">
        <v>88</v>
      </c>
      <c r="G548" s="19">
        <v>45594</v>
      </c>
      <c r="H548" t="s">
        <v>94</v>
      </c>
      <c r="I548" t="s">
        <v>7350</v>
      </c>
      <c r="J548" t="s">
        <v>7351</v>
      </c>
      <c r="O548" t="s">
        <v>7352</v>
      </c>
      <c r="Q548" s="3">
        <f t="shared" si="9"/>
        <v>45.45</v>
      </c>
    </row>
    <row r="549" spans="1:17" x14ac:dyDescent="0.35">
      <c r="A549" t="s">
        <v>35</v>
      </c>
      <c r="B549" t="s">
        <v>1423</v>
      </c>
      <c r="C549" t="s">
        <v>28</v>
      </c>
      <c r="D549" t="s">
        <v>25</v>
      </c>
      <c r="E549">
        <v>45</v>
      </c>
      <c r="F549" t="s">
        <v>88</v>
      </c>
      <c r="G549" s="19">
        <v>45582</v>
      </c>
      <c r="H549" t="s">
        <v>94</v>
      </c>
      <c r="I549" t="s">
        <v>249</v>
      </c>
      <c r="J549" t="s">
        <v>7316</v>
      </c>
      <c r="O549" t="s">
        <v>1257</v>
      </c>
      <c r="Q549" s="3">
        <f t="shared" si="9"/>
        <v>45</v>
      </c>
    </row>
    <row r="550" spans="1:17" x14ac:dyDescent="0.35">
      <c r="A550" t="s">
        <v>35</v>
      </c>
      <c r="B550" t="s">
        <v>6270</v>
      </c>
      <c r="C550" t="s">
        <v>28</v>
      </c>
      <c r="D550" t="s">
        <v>25</v>
      </c>
      <c r="E550">
        <v>44.75</v>
      </c>
      <c r="F550" t="s">
        <v>88</v>
      </c>
      <c r="G550" s="19">
        <v>45398</v>
      </c>
      <c r="H550" t="s">
        <v>94</v>
      </c>
      <c r="I550" t="s">
        <v>6339</v>
      </c>
      <c r="J550" t="s">
        <v>6340</v>
      </c>
      <c r="O550" t="s">
        <v>6341</v>
      </c>
      <c r="Q550" s="3">
        <f t="shared" si="9"/>
        <v>44.75</v>
      </c>
    </row>
    <row r="551" spans="1:17" x14ac:dyDescent="0.35">
      <c r="A551" t="s">
        <v>0</v>
      </c>
      <c r="B551" t="s">
        <v>6270</v>
      </c>
      <c r="C551" t="s">
        <v>28</v>
      </c>
      <c r="D551" t="s">
        <v>25</v>
      </c>
      <c r="E551">
        <v>-44.64</v>
      </c>
      <c r="F551" t="s">
        <v>88</v>
      </c>
      <c r="G551" s="19">
        <v>45502</v>
      </c>
      <c r="H551" t="s">
        <v>181</v>
      </c>
      <c r="I551" t="s">
        <v>182</v>
      </c>
      <c r="J551"/>
      <c r="Q551" s="3">
        <f t="shared" si="9"/>
        <v>44.64</v>
      </c>
    </row>
    <row r="552" spans="1:17" x14ac:dyDescent="0.35">
      <c r="A552" t="s">
        <v>35</v>
      </c>
      <c r="B552" t="s">
        <v>6270</v>
      </c>
      <c r="C552" t="s">
        <v>28</v>
      </c>
      <c r="D552" t="s">
        <v>25</v>
      </c>
      <c r="E552">
        <v>43.64</v>
      </c>
      <c r="F552" t="s">
        <v>88</v>
      </c>
      <c r="G552" s="19">
        <v>45524</v>
      </c>
      <c r="H552" t="s">
        <v>94</v>
      </c>
      <c r="I552" t="s">
        <v>7013</v>
      </c>
      <c r="J552" t="s">
        <v>7003</v>
      </c>
      <c r="O552" t="s">
        <v>7016</v>
      </c>
      <c r="Q552" s="3">
        <f t="shared" si="9"/>
        <v>43.64</v>
      </c>
    </row>
    <row r="553" spans="1:17" x14ac:dyDescent="0.35">
      <c r="A553" t="s">
        <v>35</v>
      </c>
      <c r="B553" t="s">
        <v>1280</v>
      </c>
      <c r="C553" t="s">
        <v>28</v>
      </c>
      <c r="D553" t="s">
        <v>25</v>
      </c>
      <c r="E553">
        <v>43.59</v>
      </c>
      <c r="F553" t="s">
        <v>88</v>
      </c>
      <c r="G553" s="19">
        <v>45594</v>
      </c>
      <c r="H553" t="s">
        <v>94</v>
      </c>
      <c r="I553" t="s">
        <v>378</v>
      </c>
      <c r="J553" t="s">
        <v>7348</v>
      </c>
      <c r="O553" t="s">
        <v>7349</v>
      </c>
      <c r="Q553" s="3">
        <f t="shared" si="9"/>
        <v>43.59</v>
      </c>
    </row>
    <row r="554" spans="1:17" x14ac:dyDescent="0.35">
      <c r="A554" t="s">
        <v>35</v>
      </c>
      <c r="B554" t="s">
        <v>915</v>
      </c>
      <c r="C554" t="s">
        <v>28</v>
      </c>
      <c r="D554" t="s">
        <v>25</v>
      </c>
      <c r="E554">
        <v>43.58</v>
      </c>
      <c r="F554" t="s">
        <v>88</v>
      </c>
      <c r="G554" s="19">
        <v>45525</v>
      </c>
      <c r="H554" t="s">
        <v>94</v>
      </c>
      <c r="I554" t="s">
        <v>7027</v>
      </c>
      <c r="J554" t="s">
        <v>7028</v>
      </c>
      <c r="O554" t="s">
        <v>7029</v>
      </c>
      <c r="Q554" s="3">
        <f t="shared" si="9"/>
        <v>43.58</v>
      </c>
    </row>
    <row r="555" spans="1:17" x14ac:dyDescent="0.35">
      <c r="A555" t="s">
        <v>0</v>
      </c>
      <c r="B555" t="s">
        <v>599</v>
      </c>
      <c r="C555" t="s">
        <v>28</v>
      </c>
      <c r="D555" t="s">
        <v>25</v>
      </c>
      <c r="E555">
        <v>43.31</v>
      </c>
      <c r="F555" t="s">
        <v>88</v>
      </c>
      <c r="G555" s="19">
        <v>45509</v>
      </c>
      <c r="H555" t="s">
        <v>181</v>
      </c>
      <c r="I555" t="s">
        <v>182</v>
      </c>
      <c r="J555"/>
      <c r="Q555" s="3">
        <f t="shared" si="9"/>
        <v>43.31</v>
      </c>
    </row>
    <row r="556" spans="1:17" x14ac:dyDescent="0.35">
      <c r="A556" t="s">
        <v>35</v>
      </c>
      <c r="B556" t="s">
        <v>6047</v>
      </c>
      <c r="C556" t="s">
        <v>28</v>
      </c>
      <c r="D556" t="s">
        <v>25</v>
      </c>
      <c r="E556">
        <v>42.85</v>
      </c>
      <c r="F556" t="s">
        <v>88</v>
      </c>
      <c r="G556" s="19">
        <v>45574</v>
      </c>
      <c r="H556" t="s">
        <v>89</v>
      </c>
      <c r="I556" t="s">
        <v>7295</v>
      </c>
      <c r="J556"/>
      <c r="K556" t="s">
        <v>7296</v>
      </c>
      <c r="L556" t="s">
        <v>7297</v>
      </c>
      <c r="M556" t="s">
        <v>7298</v>
      </c>
      <c r="Q556" s="3">
        <f t="shared" si="9"/>
        <v>42.85</v>
      </c>
    </row>
    <row r="557" spans="1:17" x14ac:dyDescent="0.35">
      <c r="A557" t="s">
        <v>35</v>
      </c>
      <c r="B557" t="s">
        <v>6047</v>
      </c>
      <c r="C557" t="s">
        <v>28</v>
      </c>
      <c r="D557" t="s">
        <v>25</v>
      </c>
      <c r="E557">
        <v>-42.85</v>
      </c>
      <c r="F557" t="s">
        <v>88</v>
      </c>
      <c r="G557" s="19">
        <v>45581</v>
      </c>
      <c r="H557" t="s">
        <v>89</v>
      </c>
      <c r="I557" t="s">
        <v>7295</v>
      </c>
      <c r="J557"/>
      <c r="K557" t="s">
        <v>7296</v>
      </c>
      <c r="L557" t="s">
        <v>7297</v>
      </c>
      <c r="M557" t="s">
        <v>7298</v>
      </c>
      <c r="Q557" s="3">
        <f t="shared" si="9"/>
        <v>42.85</v>
      </c>
    </row>
    <row r="558" spans="1:17" x14ac:dyDescent="0.35">
      <c r="A558" t="s">
        <v>35</v>
      </c>
      <c r="B558" t="s">
        <v>708</v>
      </c>
      <c r="C558" t="s">
        <v>28</v>
      </c>
      <c r="D558" t="s">
        <v>25</v>
      </c>
      <c r="E558">
        <v>42.84</v>
      </c>
      <c r="F558" t="s">
        <v>88</v>
      </c>
      <c r="G558" s="19">
        <v>45441</v>
      </c>
      <c r="H558" t="s">
        <v>6528</v>
      </c>
      <c r="I558" t="s">
        <v>6529</v>
      </c>
      <c r="J558"/>
      <c r="Q558" s="3">
        <f t="shared" si="9"/>
        <v>42.84</v>
      </c>
    </row>
    <row r="559" spans="1:17" x14ac:dyDescent="0.35">
      <c r="A559" t="s">
        <v>35</v>
      </c>
      <c r="B559" t="s">
        <v>915</v>
      </c>
      <c r="C559" t="s">
        <v>28</v>
      </c>
      <c r="D559" t="s">
        <v>25</v>
      </c>
      <c r="E559">
        <v>41.82</v>
      </c>
      <c r="F559" t="s">
        <v>88</v>
      </c>
      <c r="G559" s="19">
        <v>45530</v>
      </c>
      <c r="H559" t="s">
        <v>94</v>
      </c>
      <c r="I559" t="s">
        <v>296</v>
      </c>
      <c r="J559" t="s">
        <v>7077</v>
      </c>
      <c r="O559" t="s">
        <v>7078</v>
      </c>
      <c r="Q559" s="3">
        <f t="shared" si="9"/>
        <v>41.82</v>
      </c>
    </row>
    <row r="560" spans="1:17" x14ac:dyDescent="0.35">
      <c r="A560" t="s">
        <v>35</v>
      </c>
      <c r="B560" t="s">
        <v>600</v>
      </c>
      <c r="C560" t="s">
        <v>28</v>
      </c>
      <c r="D560" t="s">
        <v>25</v>
      </c>
      <c r="E560">
        <v>41.45</v>
      </c>
      <c r="F560" t="s">
        <v>88</v>
      </c>
      <c r="G560" s="19">
        <v>45537</v>
      </c>
      <c r="H560" t="s">
        <v>94</v>
      </c>
      <c r="I560" t="s">
        <v>7093</v>
      </c>
      <c r="J560" t="s">
        <v>7094</v>
      </c>
      <c r="O560" t="s">
        <v>7095</v>
      </c>
      <c r="Q560" s="3">
        <f t="shared" si="9"/>
        <v>41.45</v>
      </c>
    </row>
    <row r="561" spans="1:17" x14ac:dyDescent="0.35">
      <c r="A561" t="s">
        <v>35</v>
      </c>
      <c r="B561" t="s">
        <v>6270</v>
      </c>
      <c r="C561" t="s">
        <v>28</v>
      </c>
      <c r="D561" t="s">
        <v>25</v>
      </c>
      <c r="E561">
        <v>41.04</v>
      </c>
      <c r="F561" t="s">
        <v>88</v>
      </c>
      <c r="G561" s="19">
        <v>45553</v>
      </c>
      <c r="H561" t="s">
        <v>94</v>
      </c>
      <c r="I561" t="s">
        <v>7228</v>
      </c>
      <c r="J561" t="s">
        <v>7217</v>
      </c>
      <c r="O561" t="s">
        <v>7237</v>
      </c>
      <c r="Q561" s="3">
        <f t="shared" si="9"/>
        <v>41.04</v>
      </c>
    </row>
    <row r="562" spans="1:17" x14ac:dyDescent="0.35">
      <c r="A562" t="s">
        <v>35</v>
      </c>
      <c r="B562" t="s">
        <v>852</v>
      </c>
      <c r="C562" t="s">
        <v>28</v>
      </c>
      <c r="D562" t="s">
        <v>25</v>
      </c>
      <c r="E562">
        <v>-40.909999999999997</v>
      </c>
      <c r="F562" t="s">
        <v>88</v>
      </c>
      <c r="G562" s="19">
        <v>45587</v>
      </c>
      <c r="H562" t="s">
        <v>94</v>
      </c>
      <c r="I562" t="s">
        <v>1105</v>
      </c>
      <c r="J562" t="s">
        <v>7322</v>
      </c>
      <c r="O562" t="s">
        <v>348</v>
      </c>
      <c r="Q562" s="3">
        <f t="shared" si="9"/>
        <v>40.909999999999997</v>
      </c>
    </row>
    <row r="563" spans="1:17" x14ac:dyDescent="0.35">
      <c r="A563" t="s">
        <v>35</v>
      </c>
      <c r="B563" t="s">
        <v>893</v>
      </c>
      <c r="C563" t="s">
        <v>28</v>
      </c>
      <c r="D563" t="s">
        <v>25</v>
      </c>
      <c r="E563">
        <v>40.909999999999997</v>
      </c>
      <c r="F563" t="s">
        <v>88</v>
      </c>
      <c r="G563" s="19">
        <v>45639</v>
      </c>
      <c r="H563" t="s">
        <v>94</v>
      </c>
      <c r="I563" t="s">
        <v>457</v>
      </c>
      <c r="J563" t="s">
        <v>7484</v>
      </c>
      <c r="O563" t="s">
        <v>571</v>
      </c>
      <c r="Q563" s="3">
        <f t="shared" si="9"/>
        <v>40.909999999999997</v>
      </c>
    </row>
    <row r="564" spans="1:17" x14ac:dyDescent="0.35">
      <c r="A564" t="s">
        <v>35</v>
      </c>
      <c r="B564" t="s">
        <v>6270</v>
      </c>
      <c r="C564" t="s">
        <v>28</v>
      </c>
      <c r="D564" t="s">
        <v>25</v>
      </c>
      <c r="E564">
        <v>40.5</v>
      </c>
      <c r="F564" t="s">
        <v>88</v>
      </c>
      <c r="G564" s="19">
        <v>45553</v>
      </c>
      <c r="H564" t="s">
        <v>94</v>
      </c>
      <c r="I564" t="s">
        <v>4947</v>
      </c>
      <c r="J564" t="s">
        <v>7217</v>
      </c>
      <c r="O564" t="s">
        <v>7216</v>
      </c>
      <c r="Q564" s="3">
        <f t="shared" si="9"/>
        <v>40.5</v>
      </c>
    </row>
    <row r="565" spans="1:17" x14ac:dyDescent="0.35">
      <c r="A565" t="s">
        <v>35</v>
      </c>
      <c r="B565" t="s">
        <v>1279</v>
      </c>
      <c r="C565" t="s">
        <v>28</v>
      </c>
      <c r="D565" t="s">
        <v>25</v>
      </c>
      <c r="E565">
        <v>-40.39</v>
      </c>
      <c r="F565" t="s">
        <v>88</v>
      </c>
      <c r="G565" s="19">
        <v>45467</v>
      </c>
      <c r="H565" t="s">
        <v>181</v>
      </c>
      <c r="I565" t="s">
        <v>182</v>
      </c>
      <c r="J565"/>
      <c r="Q565" s="3">
        <f t="shared" si="9"/>
        <v>40.39</v>
      </c>
    </row>
    <row r="566" spans="1:17" x14ac:dyDescent="0.35">
      <c r="A566" t="s">
        <v>0</v>
      </c>
      <c r="B566" t="s">
        <v>1069</v>
      </c>
      <c r="C566" t="s">
        <v>28</v>
      </c>
      <c r="D566" t="s">
        <v>25</v>
      </c>
      <c r="E566">
        <v>39.6</v>
      </c>
      <c r="F566" t="s">
        <v>88</v>
      </c>
      <c r="G566" s="19">
        <v>45460</v>
      </c>
      <c r="H566" t="s">
        <v>89</v>
      </c>
      <c r="I566" t="s">
        <v>6628</v>
      </c>
      <c r="J566"/>
      <c r="K566" t="s">
        <v>101</v>
      </c>
      <c r="L566" t="s">
        <v>6629</v>
      </c>
      <c r="M566" t="s">
        <v>6630</v>
      </c>
      <c r="Q566" s="3">
        <f t="shared" si="9"/>
        <v>39.6</v>
      </c>
    </row>
    <row r="567" spans="1:17" x14ac:dyDescent="0.35">
      <c r="A567" t="s">
        <v>0</v>
      </c>
      <c r="B567" t="s">
        <v>6270</v>
      </c>
      <c r="C567" t="s">
        <v>28</v>
      </c>
      <c r="D567" t="s">
        <v>25</v>
      </c>
      <c r="E567">
        <v>39.46</v>
      </c>
      <c r="F567" t="s">
        <v>88</v>
      </c>
      <c r="G567" s="19">
        <v>45524</v>
      </c>
      <c r="H567" t="s">
        <v>181</v>
      </c>
      <c r="I567" t="s">
        <v>182</v>
      </c>
      <c r="J567"/>
      <c r="Q567" s="3">
        <f t="shared" si="9"/>
        <v>39.46</v>
      </c>
    </row>
    <row r="568" spans="1:17" x14ac:dyDescent="0.35">
      <c r="A568" t="s">
        <v>35</v>
      </c>
      <c r="B568" t="s">
        <v>5426</v>
      </c>
      <c r="C568" t="s">
        <v>28</v>
      </c>
      <c r="D568" t="s">
        <v>25</v>
      </c>
      <c r="E568">
        <v>39.340000000000003</v>
      </c>
      <c r="F568" t="s">
        <v>88</v>
      </c>
      <c r="G568" s="19">
        <v>45394</v>
      </c>
      <c r="H568" t="s">
        <v>94</v>
      </c>
      <c r="I568" t="s">
        <v>6297</v>
      </c>
      <c r="J568" t="s">
        <v>6298</v>
      </c>
      <c r="O568" t="s">
        <v>518</v>
      </c>
      <c r="Q568" s="3">
        <f t="shared" si="9"/>
        <v>39.340000000000003</v>
      </c>
    </row>
    <row r="569" spans="1:17" x14ac:dyDescent="0.35">
      <c r="A569" t="s">
        <v>0</v>
      </c>
      <c r="B569" t="s">
        <v>6270</v>
      </c>
      <c r="C569" t="s">
        <v>28</v>
      </c>
      <c r="D569" t="s">
        <v>25</v>
      </c>
      <c r="E569">
        <v>39.340000000000003</v>
      </c>
      <c r="F569" t="s">
        <v>88</v>
      </c>
      <c r="G569" s="19">
        <v>45533</v>
      </c>
      <c r="H569" t="s">
        <v>181</v>
      </c>
      <c r="I569" t="s">
        <v>182</v>
      </c>
      <c r="J569"/>
      <c r="Q569" s="3">
        <f t="shared" si="9"/>
        <v>39.340000000000003</v>
      </c>
    </row>
    <row r="570" spans="1:17" x14ac:dyDescent="0.35">
      <c r="A570" t="s">
        <v>0</v>
      </c>
      <c r="B570" t="s">
        <v>599</v>
      </c>
      <c r="C570" t="s">
        <v>28</v>
      </c>
      <c r="D570" t="s">
        <v>25</v>
      </c>
      <c r="E570">
        <v>39.15</v>
      </c>
      <c r="F570" t="s">
        <v>88</v>
      </c>
      <c r="G570" s="19">
        <v>45511</v>
      </c>
      <c r="H570" t="s">
        <v>181</v>
      </c>
      <c r="I570" t="s">
        <v>182</v>
      </c>
      <c r="J570"/>
      <c r="Q570" s="3">
        <f t="shared" si="9"/>
        <v>39.15</v>
      </c>
    </row>
    <row r="571" spans="1:17" x14ac:dyDescent="0.35">
      <c r="A571" t="s">
        <v>35</v>
      </c>
      <c r="B571" t="s">
        <v>6394</v>
      </c>
      <c r="C571" t="s">
        <v>28</v>
      </c>
      <c r="D571" t="s">
        <v>25</v>
      </c>
      <c r="E571">
        <v>38.11</v>
      </c>
      <c r="F571" t="s">
        <v>88</v>
      </c>
      <c r="G571" s="19">
        <v>45537</v>
      </c>
      <c r="H571" t="s">
        <v>94</v>
      </c>
      <c r="I571" t="s">
        <v>383</v>
      </c>
      <c r="J571" t="s">
        <v>7100</v>
      </c>
      <c r="O571" t="s">
        <v>7101</v>
      </c>
      <c r="Q571" s="3">
        <f t="shared" si="9"/>
        <v>38.11</v>
      </c>
    </row>
    <row r="572" spans="1:17" x14ac:dyDescent="0.35">
      <c r="A572" t="s">
        <v>35</v>
      </c>
      <c r="B572" t="s">
        <v>6270</v>
      </c>
      <c r="C572" t="s">
        <v>28</v>
      </c>
      <c r="D572" t="s">
        <v>25</v>
      </c>
      <c r="E572">
        <v>36.19</v>
      </c>
      <c r="F572" t="s">
        <v>88</v>
      </c>
      <c r="G572" s="19">
        <v>45498</v>
      </c>
      <c r="H572" t="s">
        <v>94</v>
      </c>
      <c r="I572" t="s">
        <v>6319</v>
      </c>
      <c r="J572" t="s">
        <v>6819</v>
      </c>
      <c r="O572" t="s">
        <v>6820</v>
      </c>
      <c r="Q572" s="3">
        <f t="shared" si="9"/>
        <v>36.19</v>
      </c>
    </row>
    <row r="573" spans="1:17" x14ac:dyDescent="0.35">
      <c r="A573" t="s">
        <v>0</v>
      </c>
      <c r="B573" t="s">
        <v>6270</v>
      </c>
      <c r="C573" t="s">
        <v>28</v>
      </c>
      <c r="D573" t="s">
        <v>25</v>
      </c>
      <c r="E573">
        <v>36.1</v>
      </c>
      <c r="F573" t="s">
        <v>88</v>
      </c>
      <c r="G573" s="19">
        <v>45573</v>
      </c>
      <c r="H573" t="s">
        <v>181</v>
      </c>
      <c r="I573" t="s">
        <v>182</v>
      </c>
      <c r="J573"/>
      <c r="Q573" s="3">
        <f t="shared" si="9"/>
        <v>36.1</v>
      </c>
    </row>
    <row r="574" spans="1:17" x14ac:dyDescent="0.35">
      <c r="A574" t="s">
        <v>0</v>
      </c>
      <c r="B574" t="s">
        <v>6270</v>
      </c>
      <c r="C574" t="s">
        <v>28</v>
      </c>
      <c r="D574" t="s">
        <v>25</v>
      </c>
      <c r="E574">
        <v>35.5</v>
      </c>
      <c r="F574" t="s">
        <v>88</v>
      </c>
      <c r="G574" s="19">
        <v>45594</v>
      </c>
      <c r="H574" t="s">
        <v>181</v>
      </c>
      <c r="I574" t="s">
        <v>182</v>
      </c>
      <c r="J574"/>
      <c r="Q574" s="3">
        <f t="shared" si="9"/>
        <v>35.5</v>
      </c>
    </row>
    <row r="575" spans="1:17" x14ac:dyDescent="0.35">
      <c r="A575" t="s">
        <v>35</v>
      </c>
      <c r="B575" t="s">
        <v>6270</v>
      </c>
      <c r="C575" t="s">
        <v>28</v>
      </c>
      <c r="D575" t="s">
        <v>25</v>
      </c>
      <c r="E575">
        <v>35.299999999999997</v>
      </c>
      <c r="F575" t="s">
        <v>88</v>
      </c>
      <c r="G575" s="19">
        <v>45553</v>
      </c>
      <c r="H575" t="s">
        <v>94</v>
      </c>
      <c r="I575" t="s">
        <v>7225</v>
      </c>
      <c r="J575" t="s">
        <v>7226</v>
      </c>
      <c r="O575" t="s">
        <v>7227</v>
      </c>
      <c r="Q575" s="3">
        <f t="shared" si="9"/>
        <v>35.299999999999997</v>
      </c>
    </row>
    <row r="576" spans="1:17" x14ac:dyDescent="0.35">
      <c r="A576" t="s">
        <v>35</v>
      </c>
      <c r="B576" t="s">
        <v>1423</v>
      </c>
      <c r="C576" t="s">
        <v>28</v>
      </c>
      <c r="D576" t="s">
        <v>25</v>
      </c>
      <c r="E576">
        <v>-34.549999999999997</v>
      </c>
      <c r="F576" t="s">
        <v>88</v>
      </c>
      <c r="G576" s="19">
        <v>45450</v>
      </c>
      <c r="H576" t="s">
        <v>94</v>
      </c>
      <c r="I576" t="s">
        <v>249</v>
      </c>
      <c r="J576" t="s">
        <v>6597</v>
      </c>
      <c r="O576" t="s">
        <v>6589</v>
      </c>
      <c r="Q576" s="3">
        <f t="shared" si="9"/>
        <v>34.549999999999997</v>
      </c>
    </row>
    <row r="577" spans="1:19" x14ac:dyDescent="0.35">
      <c r="A577" t="s">
        <v>35</v>
      </c>
      <c r="B577" t="s">
        <v>744</v>
      </c>
      <c r="C577" t="s">
        <v>28</v>
      </c>
      <c r="D577" t="s">
        <v>25</v>
      </c>
      <c r="E577">
        <v>-33.72</v>
      </c>
      <c r="F577" t="s">
        <v>88</v>
      </c>
      <c r="G577" s="19">
        <v>45593</v>
      </c>
      <c r="H577" t="s">
        <v>94</v>
      </c>
      <c r="I577" t="s">
        <v>7334</v>
      </c>
      <c r="J577" t="s">
        <v>7335</v>
      </c>
      <c r="O577" t="s">
        <v>7336</v>
      </c>
      <c r="Q577" s="3">
        <f t="shared" si="9"/>
        <v>33.72</v>
      </c>
    </row>
    <row r="578" spans="1:19" x14ac:dyDescent="0.35">
      <c r="A578" t="s">
        <v>35</v>
      </c>
      <c r="B578" t="s">
        <v>1423</v>
      </c>
      <c r="C578" t="s">
        <v>28</v>
      </c>
      <c r="D578" t="s">
        <v>25</v>
      </c>
      <c r="E578">
        <v>33.5</v>
      </c>
      <c r="F578" t="s">
        <v>88</v>
      </c>
      <c r="G578" s="19">
        <v>45583</v>
      </c>
      <c r="H578" t="s">
        <v>94</v>
      </c>
      <c r="I578" t="s">
        <v>249</v>
      </c>
      <c r="J578" t="s">
        <v>7321</v>
      </c>
      <c r="O578" t="s">
        <v>6358</v>
      </c>
      <c r="Q578" s="3">
        <f t="shared" si="9"/>
        <v>33.5</v>
      </c>
    </row>
    <row r="579" spans="1:19" x14ac:dyDescent="0.35">
      <c r="A579" t="s">
        <v>35</v>
      </c>
      <c r="B579" t="s">
        <v>6270</v>
      </c>
      <c r="C579" t="s">
        <v>28</v>
      </c>
      <c r="D579" t="s">
        <v>25</v>
      </c>
      <c r="E579">
        <v>33.18</v>
      </c>
      <c r="F579" t="s">
        <v>88</v>
      </c>
      <c r="G579" s="19">
        <v>45498</v>
      </c>
      <c r="H579" t="s">
        <v>94</v>
      </c>
      <c r="I579" t="s">
        <v>6339</v>
      </c>
      <c r="J579" t="s">
        <v>6834</v>
      </c>
      <c r="O579" t="s">
        <v>6835</v>
      </c>
      <c r="Q579" s="3">
        <f t="shared" si="9"/>
        <v>33.18</v>
      </c>
    </row>
    <row r="580" spans="1:19" x14ac:dyDescent="0.35">
      <c r="A580" t="s">
        <v>35</v>
      </c>
      <c r="B580" t="s">
        <v>6270</v>
      </c>
      <c r="C580" t="s">
        <v>28</v>
      </c>
      <c r="D580" t="s">
        <v>25</v>
      </c>
      <c r="E580">
        <v>32.43</v>
      </c>
      <c r="F580" t="s">
        <v>88</v>
      </c>
      <c r="G580" s="19">
        <v>45513</v>
      </c>
      <c r="H580" t="s">
        <v>94</v>
      </c>
      <c r="I580" t="s">
        <v>6936</v>
      </c>
      <c r="J580" t="s">
        <v>6937</v>
      </c>
      <c r="O580" t="s">
        <v>6938</v>
      </c>
      <c r="Q580" s="3">
        <f t="shared" si="9"/>
        <v>32.43</v>
      </c>
    </row>
    <row r="581" spans="1:19" x14ac:dyDescent="0.35">
      <c r="A581" t="s">
        <v>35</v>
      </c>
      <c r="B581" t="s">
        <v>6270</v>
      </c>
      <c r="C581" t="s">
        <v>28</v>
      </c>
      <c r="D581" t="s">
        <v>25</v>
      </c>
      <c r="E581">
        <v>32.36</v>
      </c>
      <c r="F581" t="s">
        <v>88</v>
      </c>
      <c r="G581" s="19">
        <v>45524</v>
      </c>
      <c r="H581" t="s">
        <v>94</v>
      </c>
      <c r="I581" t="s">
        <v>6936</v>
      </c>
      <c r="J581" t="s">
        <v>6937</v>
      </c>
      <c r="O581" t="s">
        <v>7012</v>
      </c>
      <c r="Q581" s="3">
        <f t="shared" si="9"/>
        <v>32.36</v>
      </c>
    </row>
    <row r="582" spans="1:19" x14ac:dyDescent="0.35">
      <c r="A582" t="s">
        <v>35</v>
      </c>
      <c r="B582" t="s">
        <v>599</v>
      </c>
      <c r="C582" t="s">
        <v>28</v>
      </c>
      <c r="D582" t="s">
        <v>25</v>
      </c>
      <c r="E582">
        <v>32.270000000000003</v>
      </c>
      <c r="F582" t="s">
        <v>88</v>
      </c>
      <c r="G582" s="19">
        <v>45646</v>
      </c>
      <c r="H582" t="s">
        <v>94</v>
      </c>
      <c r="I582" t="s">
        <v>7511</v>
      </c>
      <c r="J582" t="s">
        <v>7512</v>
      </c>
      <c r="O582" t="s">
        <v>7513</v>
      </c>
      <c r="Q582" s="3">
        <f t="shared" si="9"/>
        <v>32.270000000000003</v>
      </c>
    </row>
    <row r="583" spans="1:19" x14ac:dyDescent="0.35">
      <c r="A583" t="s">
        <v>35</v>
      </c>
      <c r="B583" t="s">
        <v>915</v>
      </c>
      <c r="C583" t="s">
        <v>28</v>
      </c>
      <c r="D583" t="s">
        <v>25</v>
      </c>
      <c r="E583">
        <v>31.12</v>
      </c>
      <c r="F583" t="s">
        <v>88</v>
      </c>
      <c r="G583" s="19">
        <v>45525</v>
      </c>
      <c r="H583" t="s">
        <v>94</v>
      </c>
      <c r="I583" t="s">
        <v>7030</v>
      </c>
      <c r="J583" t="s">
        <v>7031</v>
      </c>
      <c r="O583" t="s">
        <v>7032</v>
      </c>
      <c r="Q583" s="3">
        <f t="shared" si="9"/>
        <v>31.12</v>
      </c>
    </row>
    <row r="584" spans="1:19" x14ac:dyDescent="0.35">
      <c r="A584" t="s">
        <v>35</v>
      </c>
      <c r="B584" t="s">
        <v>6270</v>
      </c>
      <c r="C584" t="s">
        <v>28</v>
      </c>
      <c r="D584" t="s">
        <v>25</v>
      </c>
      <c r="E584">
        <v>29.6</v>
      </c>
      <c r="F584" t="s">
        <v>88</v>
      </c>
      <c r="G584" s="19">
        <v>45638</v>
      </c>
      <c r="H584" t="s">
        <v>94</v>
      </c>
      <c r="I584" t="s">
        <v>7474</v>
      </c>
      <c r="J584" t="s">
        <v>7475</v>
      </c>
      <c r="O584" t="s">
        <v>7476</v>
      </c>
      <c r="Q584" s="3">
        <f t="shared" si="9"/>
        <v>29.6</v>
      </c>
    </row>
    <row r="585" spans="1:19" ht="87" x14ac:dyDescent="0.35">
      <c r="A585" t="s">
        <v>35</v>
      </c>
      <c r="B585" t="s">
        <v>6270</v>
      </c>
      <c r="C585" t="s">
        <v>28</v>
      </c>
      <c r="D585" t="s">
        <v>25</v>
      </c>
      <c r="E585">
        <v>29.55</v>
      </c>
      <c r="F585" t="s">
        <v>88</v>
      </c>
      <c r="G585" s="19">
        <v>45638</v>
      </c>
      <c r="H585" t="s">
        <v>94</v>
      </c>
      <c r="I585" t="s">
        <v>7474</v>
      </c>
      <c r="J585" t="s">
        <v>7477</v>
      </c>
      <c r="O585" t="s">
        <v>7476</v>
      </c>
      <c r="Q585" s="3">
        <f t="shared" si="9"/>
        <v>29.55</v>
      </c>
      <c r="S585" s="55" t="s">
        <v>7519</v>
      </c>
    </row>
    <row r="586" spans="1:19" x14ac:dyDescent="0.35">
      <c r="A586" t="s">
        <v>35</v>
      </c>
      <c r="B586" t="s">
        <v>599</v>
      </c>
      <c r="C586" t="s">
        <v>28</v>
      </c>
      <c r="D586" t="s">
        <v>25</v>
      </c>
      <c r="E586">
        <v>29.48</v>
      </c>
      <c r="F586" t="s">
        <v>88</v>
      </c>
      <c r="G586" s="19">
        <v>45590</v>
      </c>
      <c r="H586" t="s">
        <v>94</v>
      </c>
      <c r="I586" t="s">
        <v>6233</v>
      </c>
      <c r="J586" t="s">
        <v>7325</v>
      </c>
      <c r="O586" t="s">
        <v>7326</v>
      </c>
      <c r="Q586" s="3">
        <f t="shared" ref="Q586:Q649" si="10">ABS(E586)</f>
        <v>29.48</v>
      </c>
    </row>
    <row r="587" spans="1:19" x14ac:dyDescent="0.35">
      <c r="A587" t="s">
        <v>0</v>
      </c>
      <c r="B587" t="s">
        <v>599</v>
      </c>
      <c r="C587" t="s">
        <v>28</v>
      </c>
      <c r="D587" t="s">
        <v>25</v>
      </c>
      <c r="E587">
        <v>29.04</v>
      </c>
      <c r="F587" t="s">
        <v>88</v>
      </c>
      <c r="G587" s="19">
        <v>45524</v>
      </c>
      <c r="H587" t="s">
        <v>181</v>
      </c>
      <c r="I587" t="s">
        <v>182</v>
      </c>
      <c r="J587"/>
      <c r="Q587" s="3">
        <f t="shared" si="10"/>
        <v>29.04</v>
      </c>
    </row>
    <row r="588" spans="1:19" x14ac:dyDescent="0.35">
      <c r="A588" t="s">
        <v>0</v>
      </c>
      <c r="B588" t="s">
        <v>6270</v>
      </c>
      <c r="C588" t="s">
        <v>28</v>
      </c>
      <c r="D588" t="s">
        <v>25</v>
      </c>
      <c r="E588">
        <v>-26.95</v>
      </c>
      <c r="F588" t="s">
        <v>88</v>
      </c>
      <c r="G588" s="19">
        <v>45561</v>
      </c>
      <c r="H588" t="s">
        <v>181</v>
      </c>
      <c r="I588" t="s">
        <v>182</v>
      </c>
      <c r="J588"/>
      <c r="Q588" s="3">
        <f t="shared" si="10"/>
        <v>26.95</v>
      </c>
    </row>
    <row r="589" spans="1:19" x14ac:dyDescent="0.35">
      <c r="A589" t="s">
        <v>35</v>
      </c>
      <c r="B589" t="s">
        <v>6270</v>
      </c>
      <c r="C589" t="s">
        <v>28</v>
      </c>
      <c r="D589" t="s">
        <v>25</v>
      </c>
      <c r="E589">
        <v>26.35</v>
      </c>
      <c r="F589" t="s">
        <v>88</v>
      </c>
      <c r="G589" s="19">
        <v>45565</v>
      </c>
      <c r="H589" t="s">
        <v>94</v>
      </c>
      <c r="I589" t="s">
        <v>745</v>
      </c>
      <c r="J589" t="s">
        <v>7263</v>
      </c>
      <c r="O589" t="s">
        <v>1104</v>
      </c>
      <c r="Q589" s="3">
        <f t="shared" si="10"/>
        <v>26.35</v>
      </c>
    </row>
    <row r="590" spans="1:19" x14ac:dyDescent="0.35">
      <c r="A590" t="s">
        <v>35</v>
      </c>
      <c r="B590" t="s">
        <v>649</v>
      </c>
      <c r="C590" t="s">
        <v>28</v>
      </c>
      <c r="D590" t="s">
        <v>25</v>
      </c>
      <c r="E590">
        <v>25.91</v>
      </c>
      <c r="F590" t="s">
        <v>88</v>
      </c>
      <c r="G590" s="19">
        <v>45463</v>
      </c>
      <c r="H590" t="s">
        <v>94</v>
      </c>
      <c r="I590" t="s">
        <v>373</v>
      </c>
      <c r="J590" t="s">
        <v>6666</v>
      </c>
      <c r="O590" t="s">
        <v>6667</v>
      </c>
      <c r="Q590" s="3">
        <f t="shared" si="10"/>
        <v>25.91</v>
      </c>
    </row>
    <row r="591" spans="1:19" x14ac:dyDescent="0.35">
      <c r="A591" t="s">
        <v>0</v>
      </c>
      <c r="B591" t="s">
        <v>6270</v>
      </c>
      <c r="C591" t="s">
        <v>28</v>
      </c>
      <c r="D591" t="s">
        <v>25</v>
      </c>
      <c r="E591">
        <v>-25.41</v>
      </c>
      <c r="F591" t="s">
        <v>88</v>
      </c>
      <c r="G591" s="19">
        <v>45568</v>
      </c>
      <c r="H591" t="s">
        <v>181</v>
      </c>
      <c r="I591" t="s">
        <v>182</v>
      </c>
      <c r="J591"/>
      <c r="Q591" s="3">
        <f t="shared" si="10"/>
        <v>25.41</v>
      </c>
    </row>
    <row r="592" spans="1:19" x14ac:dyDescent="0.35">
      <c r="A592" t="s">
        <v>35</v>
      </c>
      <c r="B592" t="s">
        <v>6270</v>
      </c>
      <c r="C592" t="s">
        <v>28</v>
      </c>
      <c r="D592" t="s">
        <v>25</v>
      </c>
      <c r="E592">
        <v>25.27</v>
      </c>
      <c r="F592" t="s">
        <v>88</v>
      </c>
      <c r="G592" s="19">
        <v>45498</v>
      </c>
      <c r="H592" t="s">
        <v>94</v>
      </c>
      <c r="I592" t="s">
        <v>6332</v>
      </c>
      <c r="J592" t="s">
        <v>6832</v>
      </c>
      <c r="O592" t="s">
        <v>6833</v>
      </c>
      <c r="Q592" s="3">
        <f t="shared" si="10"/>
        <v>25.27</v>
      </c>
    </row>
    <row r="593" spans="1:17" x14ac:dyDescent="0.35">
      <c r="A593" t="s">
        <v>35</v>
      </c>
      <c r="B593" t="s">
        <v>6270</v>
      </c>
      <c r="C593" t="s">
        <v>28</v>
      </c>
      <c r="D593" t="s">
        <v>25</v>
      </c>
      <c r="E593">
        <v>25</v>
      </c>
      <c r="F593" t="s">
        <v>88</v>
      </c>
      <c r="G593" s="19">
        <v>45513</v>
      </c>
      <c r="H593" t="s">
        <v>94</v>
      </c>
      <c r="I593" t="s">
        <v>6688</v>
      </c>
      <c r="J593" t="s">
        <v>6940</v>
      </c>
      <c r="O593" t="s">
        <v>6690</v>
      </c>
      <c r="Q593" s="3">
        <f t="shared" si="10"/>
        <v>25</v>
      </c>
    </row>
    <row r="594" spans="1:17" x14ac:dyDescent="0.35">
      <c r="A594" t="s">
        <v>0</v>
      </c>
      <c r="B594" t="s">
        <v>6270</v>
      </c>
      <c r="C594" t="s">
        <v>28</v>
      </c>
      <c r="D594" t="s">
        <v>25</v>
      </c>
      <c r="E594">
        <v>-24.950000000000003</v>
      </c>
      <c r="F594" t="s">
        <v>88</v>
      </c>
      <c r="G594" s="19">
        <v>45535</v>
      </c>
      <c r="H594" t="s">
        <v>181</v>
      </c>
      <c r="I594" t="s">
        <v>25</v>
      </c>
      <c r="J594"/>
      <c r="Q594" s="3">
        <f t="shared" si="10"/>
        <v>24.950000000000003</v>
      </c>
    </row>
    <row r="595" spans="1:17" x14ac:dyDescent="0.35">
      <c r="A595" t="s">
        <v>0</v>
      </c>
      <c r="B595" t="s">
        <v>6270</v>
      </c>
      <c r="C595" t="s">
        <v>28</v>
      </c>
      <c r="D595" t="s">
        <v>25</v>
      </c>
      <c r="E595">
        <v>24.92</v>
      </c>
      <c r="F595" t="s">
        <v>88</v>
      </c>
      <c r="G595" s="19">
        <v>45526</v>
      </c>
      <c r="H595" t="s">
        <v>181</v>
      </c>
      <c r="I595" t="s">
        <v>182</v>
      </c>
      <c r="J595"/>
      <c r="Q595" s="3">
        <f t="shared" si="10"/>
        <v>24.92</v>
      </c>
    </row>
    <row r="596" spans="1:17" x14ac:dyDescent="0.35">
      <c r="A596" t="s">
        <v>35</v>
      </c>
      <c r="B596" t="s">
        <v>805</v>
      </c>
      <c r="C596" t="s">
        <v>28</v>
      </c>
      <c r="D596" t="s">
        <v>25</v>
      </c>
      <c r="E596">
        <v>-24.79</v>
      </c>
      <c r="F596" t="s">
        <v>88</v>
      </c>
      <c r="G596" s="19">
        <v>45504</v>
      </c>
      <c r="H596" t="s">
        <v>6849</v>
      </c>
      <c r="I596" t="s">
        <v>6850</v>
      </c>
      <c r="J596"/>
      <c r="Q596" s="3">
        <f t="shared" si="10"/>
        <v>24.79</v>
      </c>
    </row>
    <row r="597" spans="1:17" x14ac:dyDescent="0.35">
      <c r="A597" t="s">
        <v>35</v>
      </c>
      <c r="B597" t="s">
        <v>6270</v>
      </c>
      <c r="C597" t="s">
        <v>28</v>
      </c>
      <c r="D597" t="s">
        <v>25</v>
      </c>
      <c r="E597">
        <v>24.52</v>
      </c>
      <c r="F597" t="s">
        <v>88</v>
      </c>
      <c r="G597" s="19">
        <v>45593</v>
      </c>
      <c r="H597" t="s">
        <v>94</v>
      </c>
      <c r="I597" t="s">
        <v>6650</v>
      </c>
      <c r="J597" t="s">
        <v>7337</v>
      </c>
      <c r="O597" t="s">
        <v>6989</v>
      </c>
      <c r="Q597" s="3">
        <f t="shared" si="10"/>
        <v>24.52</v>
      </c>
    </row>
    <row r="598" spans="1:17" x14ac:dyDescent="0.35">
      <c r="A598" t="s">
        <v>35</v>
      </c>
      <c r="B598" t="s">
        <v>6270</v>
      </c>
      <c r="C598" t="s">
        <v>28</v>
      </c>
      <c r="D598" t="s">
        <v>25</v>
      </c>
      <c r="E598">
        <v>23.75</v>
      </c>
      <c r="F598" t="s">
        <v>88</v>
      </c>
      <c r="G598" s="19">
        <v>45593</v>
      </c>
      <c r="H598" t="s">
        <v>94</v>
      </c>
      <c r="I598" t="s">
        <v>6642</v>
      </c>
      <c r="J598" t="s">
        <v>7332</v>
      </c>
      <c r="O598" t="s">
        <v>7333</v>
      </c>
      <c r="Q598" s="3">
        <f t="shared" si="10"/>
        <v>23.75</v>
      </c>
    </row>
    <row r="599" spans="1:17" x14ac:dyDescent="0.35">
      <c r="A599" t="s">
        <v>0</v>
      </c>
      <c r="B599" t="s">
        <v>6270</v>
      </c>
      <c r="C599" t="s">
        <v>28</v>
      </c>
      <c r="D599" t="s">
        <v>25</v>
      </c>
      <c r="E599">
        <v>23.53</v>
      </c>
      <c r="F599" t="s">
        <v>88</v>
      </c>
      <c r="G599" s="19">
        <v>45565</v>
      </c>
      <c r="H599" t="s">
        <v>181</v>
      </c>
      <c r="I599" t="s">
        <v>182</v>
      </c>
      <c r="J599"/>
      <c r="Q599" s="3">
        <f t="shared" si="10"/>
        <v>23.53</v>
      </c>
    </row>
    <row r="600" spans="1:17" x14ac:dyDescent="0.35">
      <c r="A600" t="s">
        <v>35</v>
      </c>
      <c r="B600" t="s">
        <v>6270</v>
      </c>
      <c r="C600" t="s">
        <v>28</v>
      </c>
      <c r="D600" t="s">
        <v>25</v>
      </c>
      <c r="E600">
        <v>23.28</v>
      </c>
      <c r="F600" t="s">
        <v>88</v>
      </c>
      <c r="G600" s="19">
        <v>45530</v>
      </c>
      <c r="H600" t="s">
        <v>94</v>
      </c>
      <c r="I600" t="s">
        <v>6642</v>
      </c>
      <c r="J600" t="s">
        <v>7055</v>
      </c>
      <c r="O600" t="s">
        <v>7056</v>
      </c>
      <c r="Q600" s="3">
        <f t="shared" si="10"/>
        <v>23.28</v>
      </c>
    </row>
    <row r="601" spans="1:17" x14ac:dyDescent="0.35">
      <c r="A601" t="s">
        <v>35</v>
      </c>
      <c r="B601" t="s">
        <v>633</v>
      </c>
      <c r="C601" t="s">
        <v>28</v>
      </c>
      <c r="D601" t="s">
        <v>25</v>
      </c>
      <c r="E601">
        <v>23</v>
      </c>
      <c r="F601" t="s">
        <v>88</v>
      </c>
      <c r="G601" s="19">
        <v>45469</v>
      </c>
      <c r="H601" t="s">
        <v>94</v>
      </c>
      <c r="I601" t="s">
        <v>6693</v>
      </c>
      <c r="J601" t="s">
        <v>6694</v>
      </c>
      <c r="O601" t="s">
        <v>6695</v>
      </c>
      <c r="Q601" s="3">
        <f t="shared" si="10"/>
        <v>23</v>
      </c>
    </row>
    <row r="602" spans="1:17" x14ac:dyDescent="0.35">
      <c r="A602" t="s">
        <v>0</v>
      </c>
      <c r="B602" t="s">
        <v>6270</v>
      </c>
      <c r="C602" t="s">
        <v>28</v>
      </c>
      <c r="D602" t="s">
        <v>25</v>
      </c>
      <c r="E602">
        <v>-22.57</v>
      </c>
      <c r="F602" t="s">
        <v>88</v>
      </c>
      <c r="G602" s="19">
        <v>45491</v>
      </c>
      <c r="H602" t="s">
        <v>181</v>
      </c>
      <c r="I602" t="s">
        <v>182</v>
      </c>
      <c r="J602"/>
      <c r="Q602" s="3">
        <f t="shared" si="10"/>
        <v>22.57</v>
      </c>
    </row>
    <row r="603" spans="1:17" x14ac:dyDescent="0.35">
      <c r="A603" t="s">
        <v>35</v>
      </c>
      <c r="B603" t="s">
        <v>672</v>
      </c>
      <c r="C603" t="s">
        <v>28</v>
      </c>
      <c r="D603" t="s">
        <v>25</v>
      </c>
      <c r="E603">
        <v>21.98</v>
      </c>
      <c r="F603" t="s">
        <v>88</v>
      </c>
      <c r="G603" s="19">
        <v>45485</v>
      </c>
      <c r="H603" t="s">
        <v>94</v>
      </c>
      <c r="I603" t="s">
        <v>6764</v>
      </c>
      <c r="J603" t="s">
        <v>6765</v>
      </c>
      <c r="O603" t="s">
        <v>2088</v>
      </c>
      <c r="Q603" s="3">
        <f t="shared" si="10"/>
        <v>21.98</v>
      </c>
    </row>
    <row r="604" spans="1:17" x14ac:dyDescent="0.35">
      <c r="A604" t="s">
        <v>0</v>
      </c>
      <c r="B604" t="s">
        <v>6270</v>
      </c>
      <c r="C604" t="s">
        <v>28</v>
      </c>
      <c r="D604" t="s">
        <v>25</v>
      </c>
      <c r="E604">
        <v>-21.23</v>
      </c>
      <c r="F604" t="s">
        <v>88</v>
      </c>
      <c r="G604" s="19">
        <v>45547</v>
      </c>
      <c r="H604" t="s">
        <v>181</v>
      </c>
      <c r="I604" t="s">
        <v>182</v>
      </c>
      <c r="J604"/>
      <c r="Q604" s="3">
        <f t="shared" si="10"/>
        <v>21.23</v>
      </c>
    </row>
    <row r="605" spans="1:17" x14ac:dyDescent="0.35">
      <c r="A605" t="s">
        <v>35</v>
      </c>
      <c r="B605" t="s">
        <v>1423</v>
      </c>
      <c r="C605" t="s">
        <v>28</v>
      </c>
      <c r="D605" t="s">
        <v>25</v>
      </c>
      <c r="E605">
        <v>20.91</v>
      </c>
      <c r="F605" t="s">
        <v>88</v>
      </c>
      <c r="G605" s="19">
        <v>45450</v>
      </c>
      <c r="H605" t="s">
        <v>94</v>
      </c>
      <c r="I605" t="s">
        <v>375</v>
      </c>
      <c r="J605" t="s">
        <v>6606</v>
      </c>
      <c r="O605" t="s">
        <v>3574</v>
      </c>
      <c r="Q605" s="3">
        <f t="shared" si="10"/>
        <v>20.91</v>
      </c>
    </row>
    <row r="606" spans="1:17" x14ac:dyDescent="0.35">
      <c r="A606" t="s">
        <v>35</v>
      </c>
      <c r="B606" t="s">
        <v>6270</v>
      </c>
      <c r="C606" t="s">
        <v>28</v>
      </c>
      <c r="D606" t="s">
        <v>25</v>
      </c>
      <c r="E606">
        <v>20.91</v>
      </c>
      <c r="F606" t="s">
        <v>88</v>
      </c>
      <c r="G606" s="19">
        <v>45524</v>
      </c>
      <c r="H606" t="s">
        <v>94</v>
      </c>
      <c r="I606" t="s">
        <v>6683</v>
      </c>
      <c r="J606" t="s">
        <v>7003</v>
      </c>
      <c r="O606" t="s">
        <v>7006</v>
      </c>
      <c r="Q606" s="3">
        <f t="shared" si="10"/>
        <v>20.91</v>
      </c>
    </row>
    <row r="607" spans="1:17" x14ac:dyDescent="0.35">
      <c r="A607" t="s">
        <v>0</v>
      </c>
      <c r="B607" t="s">
        <v>599</v>
      </c>
      <c r="C607" t="s">
        <v>28</v>
      </c>
      <c r="D607" t="s">
        <v>25</v>
      </c>
      <c r="E607">
        <v>20.84</v>
      </c>
      <c r="F607" t="s">
        <v>88</v>
      </c>
      <c r="G607" s="19">
        <v>45533</v>
      </c>
      <c r="H607" t="s">
        <v>181</v>
      </c>
      <c r="I607" t="s">
        <v>182</v>
      </c>
      <c r="J607"/>
      <c r="Q607" s="3">
        <f t="shared" si="10"/>
        <v>20.84</v>
      </c>
    </row>
    <row r="608" spans="1:17" x14ac:dyDescent="0.35">
      <c r="A608" t="s">
        <v>35</v>
      </c>
      <c r="B608" t="s">
        <v>6270</v>
      </c>
      <c r="C608" t="s">
        <v>28</v>
      </c>
      <c r="D608" t="s">
        <v>25</v>
      </c>
      <c r="E608">
        <v>20.05</v>
      </c>
      <c r="F608" t="s">
        <v>88</v>
      </c>
      <c r="G608" s="19">
        <v>45555</v>
      </c>
      <c r="H608" t="s">
        <v>94</v>
      </c>
      <c r="I608" t="s">
        <v>7220</v>
      </c>
      <c r="J608" t="s">
        <v>7221</v>
      </c>
      <c r="O608" t="s">
        <v>7223</v>
      </c>
      <c r="Q608" s="3">
        <f t="shared" si="10"/>
        <v>20.05</v>
      </c>
    </row>
    <row r="609" spans="1:17" x14ac:dyDescent="0.35">
      <c r="A609" t="s">
        <v>35</v>
      </c>
      <c r="B609" t="s">
        <v>6270</v>
      </c>
      <c r="C609" t="s">
        <v>28</v>
      </c>
      <c r="D609" t="s">
        <v>25</v>
      </c>
      <c r="E609">
        <v>19.899999999999999</v>
      </c>
      <c r="F609" t="s">
        <v>88</v>
      </c>
      <c r="G609" s="19">
        <v>45553</v>
      </c>
      <c r="H609" t="s">
        <v>94</v>
      </c>
      <c r="I609" t="s">
        <v>7220</v>
      </c>
      <c r="J609" t="s">
        <v>7221</v>
      </c>
      <c r="O609" t="s">
        <v>7224</v>
      </c>
      <c r="Q609" s="3">
        <f t="shared" si="10"/>
        <v>19.899999999999999</v>
      </c>
    </row>
    <row r="610" spans="1:17" x14ac:dyDescent="0.35">
      <c r="A610" t="s">
        <v>0</v>
      </c>
      <c r="B610" t="s">
        <v>6270</v>
      </c>
      <c r="C610" t="s">
        <v>28</v>
      </c>
      <c r="D610" t="s">
        <v>25</v>
      </c>
      <c r="E610">
        <v>19.689999999999998</v>
      </c>
      <c r="F610" t="s">
        <v>88</v>
      </c>
      <c r="G610" s="19">
        <v>45529</v>
      </c>
      <c r="H610" t="s">
        <v>181</v>
      </c>
      <c r="I610" t="s">
        <v>25</v>
      </c>
      <c r="J610"/>
      <c r="Q610" s="3">
        <f t="shared" si="10"/>
        <v>19.689999999999998</v>
      </c>
    </row>
    <row r="611" spans="1:17" x14ac:dyDescent="0.35">
      <c r="A611" t="s">
        <v>35</v>
      </c>
      <c r="B611" t="s">
        <v>805</v>
      </c>
      <c r="C611" t="s">
        <v>28</v>
      </c>
      <c r="D611" t="s">
        <v>25</v>
      </c>
      <c r="E611">
        <v>19.45</v>
      </c>
      <c r="F611" t="s">
        <v>88</v>
      </c>
      <c r="G611" s="19">
        <v>45477</v>
      </c>
      <c r="H611" t="s">
        <v>94</v>
      </c>
      <c r="I611" t="s">
        <v>6737</v>
      </c>
      <c r="J611" t="s">
        <v>6738</v>
      </c>
      <c r="O611" t="s">
        <v>575</v>
      </c>
      <c r="Q611" s="3">
        <f t="shared" si="10"/>
        <v>19.45</v>
      </c>
    </row>
    <row r="612" spans="1:17" x14ac:dyDescent="0.35">
      <c r="A612" t="s">
        <v>0</v>
      </c>
      <c r="B612" t="s">
        <v>6270</v>
      </c>
      <c r="C612" t="s">
        <v>28</v>
      </c>
      <c r="D612" t="s">
        <v>25</v>
      </c>
      <c r="E612">
        <v>19.18</v>
      </c>
      <c r="F612" t="s">
        <v>88</v>
      </c>
      <c r="G612" s="19">
        <v>45595</v>
      </c>
      <c r="H612" t="s">
        <v>181</v>
      </c>
      <c r="I612" t="s">
        <v>182</v>
      </c>
      <c r="J612"/>
      <c r="Q612" s="3">
        <f t="shared" si="10"/>
        <v>19.18</v>
      </c>
    </row>
    <row r="613" spans="1:17" x14ac:dyDescent="0.35">
      <c r="A613" t="s">
        <v>35</v>
      </c>
      <c r="B613" t="s">
        <v>6270</v>
      </c>
      <c r="C613" t="s">
        <v>28</v>
      </c>
      <c r="D613" t="s">
        <v>25</v>
      </c>
      <c r="E613">
        <v>18.91</v>
      </c>
      <c r="F613" t="s">
        <v>88</v>
      </c>
      <c r="G613" s="19">
        <v>45559</v>
      </c>
      <c r="H613" t="s">
        <v>94</v>
      </c>
      <c r="I613" t="s">
        <v>6816</v>
      </c>
      <c r="J613" t="s">
        <v>7245</v>
      </c>
      <c r="O613" t="s">
        <v>6818</v>
      </c>
      <c r="Q613" s="3">
        <f t="shared" si="10"/>
        <v>18.91</v>
      </c>
    </row>
    <row r="614" spans="1:17" x14ac:dyDescent="0.35">
      <c r="A614" t="s">
        <v>0</v>
      </c>
      <c r="B614" t="s">
        <v>6270</v>
      </c>
      <c r="C614" t="s">
        <v>28</v>
      </c>
      <c r="D614" t="s">
        <v>25</v>
      </c>
      <c r="E614">
        <v>18.899999999999999</v>
      </c>
      <c r="F614" t="s">
        <v>88</v>
      </c>
      <c r="G614" s="19">
        <v>45586</v>
      </c>
      <c r="H614" t="s">
        <v>181</v>
      </c>
      <c r="I614" t="s">
        <v>182</v>
      </c>
      <c r="J614"/>
      <c r="Q614" s="3">
        <f t="shared" si="10"/>
        <v>18.899999999999999</v>
      </c>
    </row>
    <row r="615" spans="1:17" x14ac:dyDescent="0.35">
      <c r="A615" t="s">
        <v>35</v>
      </c>
      <c r="B615" t="s">
        <v>605</v>
      </c>
      <c r="C615" t="s">
        <v>28</v>
      </c>
      <c r="D615" t="s">
        <v>25</v>
      </c>
      <c r="E615">
        <v>18.86</v>
      </c>
      <c r="F615" t="s">
        <v>88</v>
      </c>
      <c r="G615" s="19">
        <v>45636</v>
      </c>
      <c r="H615" t="s">
        <v>94</v>
      </c>
      <c r="I615" t="s">
        <v>125</v>
      </c>
      <c r="J615" t="s">
        <v>7464</v>
      </c>
      <c r="O615" t="s">
        <v>1104</v>
      </c>
      <c r="Q615" s="3">
        <f t="shared" si="10"/>
        <v>18.86</v>
      </c>
    </row>
    <row r="616" spans="1:17" x14ac:dyDescent="0.35">
      <c r="A616" t="s">
        <v>35</v>
      </c>
      <c r="B616" t="s">
        <v>6270</v>
      </c>
      <c r="C616" t="s">
        <v>28</v>
      </c>
      <c r="D616" t="s">
        <v>25</v>
      </c>
      <c r="E616">
        <v>18.440000000000001</v>
      </c>
      <c r="F616" t="s">
        <v>88</v>
      </c>
      <c r="G616" s="19">
        <v>45513</v>
      </c>
      <c r="H616" t="s">
        <v>94</v>
      </c>
      <c r="I616" t="s">
        <v>6642</v>
      </c>
      <c r="J616" t="s">
        <v>6926</v>
      </c>
      <c r="O616" t="s">
        <v>6927</v>
      </c>
      <c r="Q616" s="3">
        <f t="shared" si="10"/>
        <v>18.440000000000001</v>
      </c>
    </row>
    <row r="617" spans="1:17" x14ac:dyDescent="0.35">
      <c r="A617" t="s">
        <v>35</v>
      </c>
      <c r="B617" t="s">
        <v>6270</v>
      </c>
      <c r="C617" t="s">
        <v>28</v>
      </c>
      <c r="D617" t="s">
        <v>25</v>
      </c>
      <c r="E617">
        <v>18.170000000000002</v>
      </c>
      <c r="F617" t="s">
        <v>88</v>
      </c>
      <c r="G617" s="19">
        <v>45415</v>
      </c>
      <c r="H617" t="s">
        <v>94</v>
      </c>
      <c r="I617" t="s">
        <v>376</v>
      </c>
      <c r="J617" t="s">
        <v>6462</v>
      </c>
      <c r="O617" t="s">
        <v>6463</v>
      </c>
      <c r="Q617" s="3">
        <f t="shared" si="10"/>
        <v>18.170000000000002</v>
      </c>
    </row>
    <row r="618" spans="1:17" x14ac:dyDescent="0.35">
      <c r="A618" t="s">
        <v>0</v>
      </c>
      <c r="B618" t="s">
        <v>6270</v>
      </c>
      <c r="C618" t="s">
        <v>28</v>
      </c>
      <c r="D618" t="s">
        <v>25</v>
      </c>
      <c r="E618">
        <v>17.95</v>
      </c>
      <c r="F618" t="s">
        <v>88</v>
      </c>
      <c r="G618" s="19">
        <v>45489</v>
      </c>
      <c r="H618" t="s">
        <v>181</v>
      </c>
      <c r="I618" t="s">
        <v>182</v>
      </c>
      <c r="J618"/>
      <c r="Q618" s="3">
        <f t="shared" si="10"/>
        <v>17.95</v>
      </c>
    </row>
    <row r="619" spans="1:17" x14ac:dyDescent="0.35">
      <c r="A619" t="s">
        <v>35</v>
      </c>
      <c r="B619" t="s">
        <v>6394</v>
      </c>
      <c r="C619" t="s">
        <v>28</v>
      </c>
      <c r="D619" t="s">
        <v>25</v>
      </c>
      <c r="E619">
        <v>17.82</v>
      </c>
      <c r="F619" t="s">
        <v>88</v>
      </c>
      <c r="G619" s="19">
        <v>45456</v>
      </c>
      <c r="H619" t="s">
        <v>94</v>
      </c>
      <c r="I619" t="s">
        <v>383</v>
      </c>
      <c r="J619" t="s">
        <v>6623</v>
      </c>
      <c r="O619" t="s">
        <v>6624</v>
      </c>
      <c r="Q619" s="3">
        <f t="shared" si="10"/>
        <v>17.82</v>
      </c>
    </row>
    <row r="620" spans="1:17" x14ac:dyDescent="0.35">
      <c r="A620" t="s">
        <v>35</v>
      </c>
      <c r="B620" t="s">
        <v>6270</v>
      </c>
      <c r="C620" t="s">
        <v>28</v>
      </c>
      <c r="D620" t="s">
        <v>25</v>
      </c>
      <c r="E620">
        <v>17.68</v>
      </c>
      <c r="F620" t="s">
        <v>88</v>
      </c>
      <c r="G620" s="19">
        <v>45462</v>
      </c>
      <c r="H620" t="s">
        <v>94</v>
      </c>
      <c r="I620" t="s">
        <v>6642</v>
      </c>
      <c r="J620" t="s">
        <v>6645</v>
      </c>
      <c r="O620" t="s">
        <v>6646</v>
      </c>
      <c r="Q620" s="3">
        <f t="shared" si="10"/>
        <v>17.68</v>
      </c>
    </row>
    <row r="621" spans="1:17" x14ac:dyDescent="0.35">
      <c r="A621" t="s">
        <v>0</v>
      </c>
      <c r="B621" t="s">
        <v>6270</v>
      </c>
      <c r="C621" t="s">
        <v>28</v>
      </c>
      <c r="D621" t="s">
        <v>25</v>
      </c>
      <c r="E621">
        <v>-17.66</v>
      </c>
      <c r="F621" t="s">
        <v>88</v>
      </c>
      <c r="G621" s="19">
        <v>45512</v>
      </c>
      <c r="H621" t="s">
        <v>181</v>
      </c>
      <c r="I621" t="s">
        <v>182</v>
      </c>
      <c r="J621"/>
      <c r="Q621" s="3">
        <f t="shared" si="10"/>
        <v>17.66</v>
      </c>
    </row>
    <row r="622" spans="1:17" x14ac:dyDescent="0.35">
      <c r="A622" t="s">
        <v>0</v>
      </c>
      <c r="B622" t="s">
        <v>6270</v>
      </c>
      <c r="C622" t="s">
        <v>28</v>
      </c>
      <c r="D622" t="s">
        <v>25</v>
      </c>
      <c r="E622">
        <v>-17.5</v>
      </c>
      <c r="F622" t="s">
        <v>88</v>
      </c>
      <c r="G622" s="19">
        <v>45571</v>
      </c>
      <c r="H622" t="s">
        <v>181</v>
      </c>
      <c r="I622" t="s">
        <v>182</v>
      </c>
      <c r="J622"/>
      <c r="Q622" s="3">
        <f t="shared" si="10"/>
        <v>17.5</v>
      </c>
    </row>
    <row r="623" spans="1:17" x14ac:dyDescent="0.35">
      <c r="A623" t="s">
        <v>0</v>
      </c>
      <c r="B623" t="s">
        <v>6270</v>
      </c>
      <c r="C623" t="s">
        <v>28</v>
      </c>
      <c r="D623" t="s">
        <v>25</v>
      </c>
      <c r="E623">
        <v>-17.489999999999998</v>
      </c>
      <c r="F623" t="s">
        <v>88</v>
      </c>
      <c r="G623" s="19">
        <v>45585</v>
      </c>
      <c r="H623" t="s">
        <v>181</v>
      </c>
      <c r="I623" t="s">
        <v>182</v>
      </c>
      <c r="J623"/>
      <c r="Q623" s="3">
        <f t="shared" si="10"/>
        <v>17.489999999999998</v>
      </c>
    </row>
    <row r="624" spans="1:17" x14ac:dyDescent="0.35">
      <c r="A624" t="s">
        <v>0</v>
      </c>
      <c r="B624" t="s">
        <v>6270</v>
      </c>
      <c r="C624" t="s">
        <v>28</v>
      </c>
      <c r="D624" t="s">
        <v>25</v>
      </c>
      <c r="E624">
        <v>17.22</v>
      </c>
      <c r="F624" t="s">
        <v>88</v>
      </c>
      <c r="G624" s="19">
        <v>45559</v>
      </c>
      <c r="H624" t="s">
        <v>181</v>
      </c>
      <c r="I624" t="s">
        <v>182</v>
      </c>
      <c r="J624"/>
      <c r="Q624" s="3">
        <f t="shared" si="10"/>
        <v>17.22</v>
      </c>
    </row>
    <row r="625" spans="1:17" x14ac:dyDescent="0.35">
      <c r="A625" t="s">
        <v>35</v>
      </c>
      <c r="B625" t="s">
        <v>1423</v>
      </c>
      <c r="C625" t="s">
        <v>28</v>
      </c>
      <c r="D625" t="s">
        <v>25</v>
      </c>
      <c r="E625">
        <v>16.36</v>
      </c>
      <c r="F625" t="s">
        <v>88</v>
      </c>
      <c r="G625" s="19">
        <v>45517</v>
      </c>
      <c r="H625" t="s">
        <v>94</v>
      </c>
      <c r="I625" t="s">
        <v>375</v>
      </c>
      <c r="J625" t="s">
        <v>6962</v>
      </c>
      <c r="O625" t="s">
        <v>6605</v>
      </c>
      <c r="Q625" s="3">
        <f t="shared" si="10"/>
        <v>16.36</v>
      </c>
    </row>
    <row r="626" spans="1:17" x14ac:dyDescent="0.35">
      <c r="A626" t="s">
        <v>35</v>
      </c>
      <c r="B626" t="s">
        <v>605</v>
      </c>
      <c r="C626" t="s">
        <v>28</v>
      </c>
      <c r="D626" t="s">
        <v>25</v>
      </c>
      <c r="E626">
        <v>16.36</v>
      </c>
      <c r="F626" t="s">
        <v>88</v>
      </c>
      <c r="G626" s="19">
        <v>45636</v>
      </c>
      <c r="H626" t="s">
        <v>94</v>
      </c>
      <c r="I626" t="s">
        <v>125</v>
      </c>
      <c r="J626" t="s">
        <v>7464</v>
      </c>
      <c r="O626" t="s">
        <v>1277</v>
      </c>
      <c r="Q626" s="3">
        <f t="shared" si="10"/>
        <v>16.36</v>
      </c>
    </row>
    <row r="627" spans="1:17" x14ac:dyDescent="0.35">
      <c r="A627" t="s">
        <v>0</v>
      </c>
      <c r="B627" t="s">
        <v>6270</v>
      </c>
      <c r="C627" t="s">
        <v>28</v>
      </c>
      <c r="D627" t="s">
        <v>25</v>
      </c>
      <c r="E627">
        <v>-16.28</v>
      </c>
      <c r="F627" t="s">
        <v>88</v>
      </c>
      <c r="G627" s="19">
        <v>45596</v>
      </c>
      <c r="H627" t="s">
        <v>181</v>
      </c>
      <c r="I627" t="s">
        <v>182</v>
      </c>
      <c r="J627"/>
      <c r="Q627" s="3">
        <f t="shared" si="10"/>
        <v>16.28</v>
      </c>
    </row>
    <row r="628" spans="1:17" x14ac:dyDescent="0.35">
      <c r="A628" t="s">
        <v>0</v>
      </c>
      <c r="B628" t="s">
        <v>6270</v>
      </c>
      <c r="C628" t="s">
        <v>28</v>
      </c>
      <c r="D628" t="s">
        <v>25</v>
      </c>
      <c r="E628">
        <v>-16.239999999999998</v>
      </c>
      <c r="F628" t="s">
        <v>88</v>
      </c>
      <c r="G628" s="19">
        <v>45551</v>
      </c>
      <c r="H628" t="s">
        <v>181</v>
      </c>
      <c r="I628" t="s">
        <v>182</v>
      </c>
      <c r="J628"/>
      <c r="Q628" s="3">
        <f t="shared" si="10"/>
        <v>16.239999999999998</v>
      </c>
    </row>
    <row r="629" spans="1:17" x14ac:dyDescent="0.35">
      <c r="A629" t="s">
        <v>35</v>
      </c>
      <c r="B629" t="s">
        <v>6394</v>
      </c>
      <c r="C629" t="s">
        <v>28</v>
      </c>
      <c r="D629" t="s">
        <v>25</v>
      </c>
      <c r="E629">
        <v>16.2</v>
      </c>
      <c r="F629" t="s">
        <v>88</v>
      </c>
      <c r="G629" s="19">
        <v>45537</v>
      </c>
      <c r="H629" t="s">
        <v>94</v>
      </c>
      <c r="I629" t="s">
        <v>383</v>
      </c>
      <c r="J629" t="s">
        <v>7102</v>
      </c>
      <c r="O629" t="s">
        <v>6624</v>
      </c>
      <c r="Q629" s="3">
        <f t="shared" si="10"/>
        <v>16.2</v>
      </c>
    </row>
    <row r="630" spans="1:17" x14ac:dyDescent="0.35">
      <c r="A630" t="s">
        <v>0</v>
      </c>
      <c r="B630" t="s">
        <v>6270</v>
      </c>
      <c r="C630" t="s">
        <v>28</v>
      </c>
      <c r="D630" t="s">
        <v>25</v>
      </c>
      <c r="E630">
        <v>-15.6</v>
      </c>
      <c r="F630" t="s">
        <v>88</v>
      </c>
      <c r="G630" s="19">
        <v>45515</v>
      </c>
      <c r="H630" t="s">
        <v>181</v>
      </c>
      <c r="I630" t="s">
        <v>182</v>
      </c>
      <c r="J630"/>
      <c r="Q630" s="3">
        <f t="shared" si="10"/>
        <v>15.6</v>
      </c>
    </row>
    <row r="631" spans="1:17" x14ac:dyDescent="0.35">
      <c r="A631" t="s">
        <v>35</v>
      </c>
      <c r="B631" t="s">
        <v>633</v>
      </c>
      <c r="C631" t="s">
        <v>28</v>
      </c>
      <c r="D631" t="s">
        <v>25</v>
      </c>
      <c r="E631">
        <v>15.32</v>
      </c>
      <c r="F631" t="s">
        <v>88</v>
      </c>
      <c r="G631" s="19">
        <v>45639</v>
      </c>
      <c r="H631" t="s">
        <v>94</v>
      </c>
      <c r="I631" t="s">
        <v>243</v>
      </c>
      <c r="J631" t="s">
        <v>7485</v>
      </c>
      <c r="O631" t="s">
        <v>7486</v>
      </c>
      <c r="Q631" s="3">
        <f t="shared" si="10"/>
        <v>15.32</v>
      </c>
    </row>
    <row r="632" spans="1:17" x14ac:dyDescent="0.35">
      <c r="A632" t="s">
        <v>35</v>
      </c>
      <c r="B632" t="s">
        <v>6270</v>
      </c>
      <c r="C632" t="s">
        <v>28</v>
      </c>
      <c r="D632" t="s">
        <v>25</v>
      </c>
      <c r="E632">
        <v>15.15</v>
      </c>
      <c r="F632" t="s">
        <v>88</v>
      </c>
      <c r="G632" s="19">
        <v>45524</v>
      </c>
      <c r="H632" t="s">
        <v>94</v>
      </c>
      <c r="I632" t="s">
        <v>6683</v>
      </c>
      <c r="J632" t="s">
        <v>7003</v>
      </c>
      <c r="O632" t="s">
        <v>7008</v>
      </c>
      <c r="Q632" s="3">
        <f t="shared" si="10"/>
        <v>15.15</v>
      </c>
    </row>
    <row r="633" spans="1:17" x14ac:dyDescent="0.35">
      <c r="A633" t="s">
        <v>35</v>
      </c>
      <c r="B633" t="s">
        <v>1216</v>
      </c>
      <c r="C633" t="s">
        <v>28</v>
      </c>
      <c r="D633" t="s">
        <v>25</v>
      </c>
      <c r="E633">
        <v>15</v>
      </c>
      <c r="F633" t="s">
        <v>88</v>
      </c>
      <c r="G633" s="19">
        <v>45639</v>
      </c>
      <c r="H633" t="s">
        <v>94</v>
      </c>
      <c r="I633" t="s">
        <v>249</v>
      </c>
      <c r="J633" t="s">
        <v>7489</v>
      </c>
      <c r="O633" t="s">
        <v>7490</v>
      </c>
      <c r="Q633" s="3">
        <f t="shared" si="10"/>
        <v>15</v>
      </c>
    </row>
    <row r="634" spans="1:17" x14ac:dyDescent="0.35">
      <c r="A634" t="s">
        <v>35</v>
      </c>
      <c r="B634" t="s">
        <v>1216</v>
      </c>
      <c r="C634" t="s">
        <v>28</v>
      </c>
      <c r="D634" t="s">
        <v>25</v>
      </c>
      <c r="E634">
        <v>14.98</v>
      </c>
      <c r="F634" t="s">
        <v>88</v>
      </c>
      <c r="G634" s="19">
        <v>45639</v>
      </c>
      <c r="H634" t="s">
        <v>94</v>
      </c>
      <c r="I634" t="s">
        <v>249</v>
      </c>
      <c r="J634" t="s">
        <v>7487</v>
      </c>
      <c r="O634" t="s">
        <v>7488</v>
      </c>
      <c r="Q634" s="3">
        <f t="shared" si="10"/>
        <v>14.98</v>
      </c>
    </row>
    <row r="635" spans="1:17" x14ac:dyDescent="0.35">
      <c r="A635" t="s">
        <v>0</v>
      </c>
      <c r="B635" t="s">
        <v>6270</v>
      </c>
      <c r="C635" t="s">
        <v>28</v>
      </c>
      <c r="D635" t="s">
        <v>25</v>
      </c>
      <c r="E635">
        <v>14.84</v>
      </c>
      <c r="F635" t="s">
        <v>88</v>
      </c>
      <c r="G635" s="19">
        <v>45531</v>
      </c>
      <c r="H635" t="s">
        <v>181</v>
      </c>
      <c r="I635" t="s">
        <v>182</v>
      </c>
      <c r="J635"/>
      <c r="Q635" s="3">
        <f t="shared" si="10"/>
        <v>14.84</v>
      </c>
    </row>
    <row r="636" spans="1:17" x14ac:dyDescent="0.35">
      <c r="A636" t="s">
        <v>35</v>
      </c>
      <c r="B636" t="s">
        <v>768</v>
      </c>
      <c r="C636" t="s">
        <v>28</v>
      </c>
      <c r="D636" t="s">
        <v>25</v>
      </c>
      <c r="E636">
        <v>14.82</v>
      </c>
      <c r="F636" t="s">
        <v>88</v>
      </c>
      <c r="G636" s="19">
        <v>45615</v>
      </c>
      <c r="H636" t="s">
        <v>94</v>
      </c>
      <c r="I636" t="s">
        <v>357</v>
      </c>
      <c r="J636" t="s">
        <v>330</v>
      </c>
      <c r="O636" t="s">
        <v>534</v>
      </c>
      <c r="Q636" s="3">
        <f t="shared" si="10"/>
        <v>14.82</v>
      </c>
    </row>
    <row r="637" spans="1:17" x14ac:dyDescent="0.35">
      <c r="A637" t="s">
        <v>35</v>
      </c>
      <c r="B637" t="s">
        <v>852</v>
      </c>
      <c r="C637" t="s">
        <v>28</v>
      </c>
      <c r="D637" t="s">
        <v>25</v>
      </c>
      <c r="E637">
        <v>14.5</v>
      </c>
      <c r="F637" t="s">
        <v>88</v>
      </c>
      <c r="G637" s="19">
        <v>45594</v>
      </c>
      <c r="H637" t="s">
        <v>94</v>
      </c>
      <c r="I637" t="s">
        <v>7346</v>
      </c>
      <c r="J637" t="s">
        <v>218</v>
      </c>
      <c r="O637" t="s">
        <v>7347</v>
      </c>
      <c r="Q637" s="3">
        <f t="shared" si="10"/>
        <v>14.5</v>
      </c>
    </row>
    <row r="638" spans="1:17" x14ac:dyDescent="0.35">
      <c r="A638" t="s">
        <v>35</v>
      </c>
      <c r="B638" t="s">
        <v>1423</v>
      </c>
      <c r="C638" t="s">
        <v>28</v>
      </c>
      <c r="D638" t="s">
        <v>25</v>
      </c>
      <c r="E638">
        <v>14.45</v>
      </c>
      <c r="F638" t="s">
        <v>88</v>
      </c>
      <c r="G638" s="19">
        <v>45443</v>
      </c>
      <c r="H638" t="s">
        <v>94</v>
      </c>
      <c r="I638" t="s">
        <v>6535</v>
      </c>
      <c r="J638" t="s">
        <v>330</v>
      </c>
      <c r="O638" t="s">
        <v>534</v>
      </c>
      <c r="Q638" s="3">
        <f t="shared" si="10"/>
        <v>14.45</v>
      </c>
    </row>
    <row r="639" spans="1:17" x14ac:dyDescent="0.35">
      <c r="A639" t="s">
        <v>35</v>
      </c>
      <c r="B639" t="s">
        <v>768</v>
      </c>
      <c r="C639" t="s">
        <v>28</v>
      </c>
      <c r="D639" t="s">
        <v>25</v>
      </c>
      <c r="E639">
        <v>14.45</v>
      </c>
      <c r="F639" t="s">
        <v>88</v>
      </c>
      <c r="G639" s="19">
        <v>45475</v>
      </c>
      <c r="H639" t="s">
        <v>94</v>
      </c>
      <c r="I639" t="s">
        <v>357</v>
      </c>
      <c r="J639" t="s">
        <v>330</v>
      </c>
      <c r="O639" t="s">
        <v>534</v>
      </c>
      <c r="Q639" s="3">
        <f t="shared" si="10"/>
        <v>14.45</v>
      </c>
    </row>
    <row r="640" spans="1:17" x14ac:dyDescent="0.35">
      <c r="A640" t="s">
        <v>35</v>
      </c>
      <c r="B640" t="s">
        <v>1423</v>
      </c>
      <c r="C640" t="s">
        <v>28</v>
      </c>
      <c r="D640" t="s">
        <v>25</v>
      </c>
      <c r="E640">
        <v>14.44</v>
      </c>
      <c r="F640" t="s">
        <v>88</v>
      </c>
      <c r="G640" s="19">
        <v>45450</v>
      </c>
      <c r="H640" t="s">
        <v>94</v>
      </c>
      <c r="I640" t="s">
        <v>249</v>
      </c>
      <c r="J640" t="s">
        <v>6592</v>
      </c>
      <c r="O640" t="s">
        <v>6358</v>
      </c>
      <c r="Q640" s="3">
        <f t="shared" si="10"/>
        <v>14.44</v>
      </c>
    </row>
    <row r="641" spans="1:19" x14ac:dyDescent="0.35">
      <c r="A641" t="s">
        <v>0</v>
      </c>
      <c r="B641" t="s">
        <v>6270</v>
      </c>
      <c r="C641" t="s">
        <v>28</v>
      </c>
      <c r="D641" t="s">
        <v>25</v>
      </c>
      <c r="E641">
        <v>14.35</v>
      </c>
      <c r="F641" t="s">
        <v>88</v>
      </c>
      <c r="G641" s="19">
        <v>45580</v>
      </c>
      <c r="H641" t="s">
        <v>181</v>
      </c>
      <c r="I641" t="s">
        <v>182</v>
      </c>
      <c r="J641"/>
      <c r="Q641" s="3">
        <f t="shared" si="10"/>
        <v>14.35</v>
      </c>
    </row>
    <row r="642" spans="1:19" x14ac:dyDescent="0.35">
      <c r="A642" t="s">
        <v>35</v>
      </c>
      <c r="B642" t="s">
        <v>599</v>
      </c>
      <c r="C642" t="s">
        <v>28</v>
      </c>
      <c r="D642" t="s">
        <v>25</v>
      </c>
      <c r="E642">
        <v>14.21</v>
      </c>
      <c r="F642" t="s">
        <v>88</v>
      </c>
      <c r="G642" s="19">
        <v>45411</v>
      </c>
      <c r="H642" t="s">
        <v>6440</v>
      </c>
      <c r="I642" t="s">
        <v>6440</v>
      </c>
      <c r="J642"/>
      <c r="Q642" s="3">
        <f t="shared" si="10"/>
        <v>14.21</v>
      </c>
    </row>
    <row r="643" spans="1:19" x14ac:dyDescent="0.35">
      <c r="A643" t="s">
        <v>0</v>
      </c>
      <c r="B643" t="s">
        <v>6270</v>
      </c>
      <c r="C643" t="s">
        <v>28</v>
      </c>
      <c r="D643" t="s">
        <v>25</v>
      </c>
      <c r="E643">
        <v>14.049999999999999</v>
      </c>
      <c r="F643" t="s">
        <v>88</v>
      </c>
      <c r="G643" s="19">
        <v>45532</v>
      </c>
      <c r="H643" t="s">
        <v>181</v>
      </c>
      <c r="I643" t="s">
        <v>182</v>
      </c>
      <c r="J643"/>
      <c r="Q643" s="3">
        <f t="shared" si="10"/>
        <v>14.049999999999999</v>
      </c>
    </row>
    <row r="644" spans="1:19" x14ac:dyDescent="0.35">
      <c r="A644" t="s">
        <v>35</v>
      </c>
      <c r="B644" t="s">
        <v>6270</v>
      </c>
      <c r="C644" t="s">
        <v>28</v>
      </c>
      <c r="D644" t="s">
        <v>25</v>
      </c>
      <c r="E644">
        <v>13.82</v>
      </c>
      <c r="F644" t="s">
        <v>88</v>
      </c>
      <c r="G644" s="19">
        <v>45498</v>
      </c>
      <c r="H644" t="s">
        <v>94</v>
      </c>
      <c r="I644" t="s">
        <v>745</v>
      </c>
      <c r="J644" t="s">
        <v>6827</v>
      </c>
      <c r="O644" t="s">
        <v>1104</v>
      </c>
      <c r="Q644" s="3">
        <f t="shared" si="10"/>
        <v>13.82</v>
      </c>
    </row>
    <row r="645" spans="1:19" x14ac:dyDescent="0.35">
      <c r="A645" t="s">
        <v>35</v>
      </c>
      <c r="B645" t="s">
        <v>6270</v>
      </c>
      <c r="C645" t="s">
        <v>28</v>
      </c>
      <c r="D645" t="s">
        <v>25</v>
      </c>
      <c r="E645">
        <v>13.64</v>
      </c>
      <c r="F645" t="s">
        <v>88</v>
      </c>
      <c r="G645" s="19">
        <v>45498</v>
      </c>
      <c r="H645" t="s">
        <v>94</v>
      </c>
      <c r="I645" t="s">
        <v>6816</v>
      </c>
      <c r="J645" t="s">
        <v>6817</v>
      </c>
      <c r="O645" t="s">
        <v>6818</v>
      </c>
      <c r="Q645" s="3">
        <f t="shared" si="10"/>
        <v>13.64</v>
      </c>
    </row>
    <row r="646" spans="1:19" x14ac:dyDescent="0.35">
      <c r="A646" t="s">
        <v>35</v>
      </c>
      <c r="B646" t="s">
        <v>6270</v>
      </c>
      <c r="C646" t="s">
        <v>28</v>
      </c>
      <c r="D646" t="s">
        <v>25</v>
      </c>
      <c r="E646">
        <v>13.64</v>
      </c>
      <c r="F646" t="s">
        <v>88</v>
      </c>
      <c r="G646" s="19">
        <v>45559</v>
      </c>
      <c r="H646" t="s">
        <v>94</v>
      </c>
      <c r="I646" t="s">
        <v>6816</v>
      </c>
      <c r="J646" t="s">
        <v>7246</v>
      </c>
      <c r="O646" t="s">
        <v>6818</v>
      </c>
      <c r="Q646" s="3">
        <f t="shared" si="10"/>
        <v>13.64</v>
      </c>
    </row>
    <row r="647" spans="1:19" x14ac:dyDescent="0.35">
      <c r="A647" t="s">
        <v>0</v>
      </c>
      <c r="B647" t="s">
        <v>6270</v>
      </c>
      <c r="C647" t="s">
        <v>28</v>
      </c>
      <c r="D647" t="s">
        <v>25</v>
      </c>
      <c r="E647">
        <v>13.3</v>
      </c>
      <c r="F647" t="s">
        <v>88</v>
      </c>
      <c r="G647" s="19">
        <v>45578</v>
      </c>
      <c r="H647" t="s">
        <v>181</v>
      </c>
      <c r="I647" t="s">
        <v>182</v>
      </c>
      <c r="J647"/>
      <c r="Q647" s="3">
        <f t="shared" si="10"/>
        <v>13.3</v>
      </c>
    </row>
    <row r="648" spans="1:19" x14ac:dyDescent="0.35">
      <c r="A648" t="s">
        <v>0</v>
      </c>
      <c r="B648" t="s">
        <v>599</v>
      </c>
      <c r="C648" t="s">
        <v>28</v>
      </c>
      <c r="D648" t="s">
        <v>25</v>
      </c>
      <c r="E648">
        <v>-13.22</v>
      </c>
      <c r="F648" t="s">
        <v>88</v>
      </c>
      <c r="G648" s="19">
        <v>45535</v>
      </c>
      <c r="H648" t="s">
        <v>181</v>
      </c>
      <c r="I648" t="s">
        <v>25</v>
      </c>
      <c r="J648"/>
      <c r="Q648" s="3">
        <f t="shared" si="10"/>
        <v>13.22</v>
      </c>
    </row>
    <row r="649" spans="1:19" ht="87" x14ac:dyDescent="0.35">
      <c r="A649" t="s">
        <v>35</v>
      </c>
      <c r="B649" t="s">
        <v>6270</v>
      </c>
      <c r="C649" t="s">
        <v>28</v>
      </c>
      <c r="D649" t="s">
        <v>25</v>
      </c>
      <c r="E649">
        <v>13.19</v>
      </c>
      <c r="F649" t="s">
        <v>88</v>
      </c>
      <c r="G649" s="19">
        <v>45398</v>
      </c>
      <c r="H649" t="s">
        <v>94</v>
      </c>
      <c r="I649" t="s">
        <v>6332</v>
      </c>
      <c r="J649" t="s">
        <v>6338</v>
      </c>
      <c r="O649" t="s">
        <v>6334</v>
      </c>
      <c r="Q649" s="3">
        <f t="shared" si="10"/>
        <v>13.19</v>
      </c>
      <c r="S649" s="55" t="s">
        <v>7519</v>
      </c>
    </row>
    <row r="650" spans="1:19" x14ac:dyDescent="0.35">
      <c r="A650" t="s">
        <v>0</v>
      </c>
      <c r="B650" t="s">
        <v>599</v>
      </c>
      <c r="C650" t="s">
        <v>28</v>
      </c>
      <c r="D650" t="s">
        <v>25</v>
      </c>
      <c r="E650">
        <v>13.19</v>
      </c>
      <c r="F650" t="s">
        <v>88</v>
      </c>
      <c r="G650" s="19">
        <v>45526</v>
      </c>
      <c r="H650" t="s">
        <v>181</v>
      </c>
      <c r="I650" t="s">
        <v>182</v>
      </c>
      <c r="J650"/>
      <c r="Q650" s="3">
        <f t="shared" ref="Q650:Q713" si="11">ABS(E650)</f>
        <v>13.19</v>
      </c>
    </row>
    <row r="651" spans="1:19" x14ac:dyDescent="0.35">
      <c r="A651" t="s">
        <v>0</v>
      </c>
      <c r="B651" t="s">
        <v>6270</v>
      </c>
      <c r="C651" t="s">
        <v>28</v>
      </c>
      <c r="D651" t="s">
        <v>25</v>
      </c>
      <c r="E651">
        <v>13.040000000000001</v>
      </c>
      <c r="F651" t="s">
        <v>88</v>
      </c>
      <c r="G651" s="19">
        <v>45530</v>
      </c>
      <c r="H651" t="s">
        <v>181</v>
      </c>
      <c r="I651" t="s">
        <v>182</v>
      </c>
      <c r="J651"/>
      <c r="Q651" s="3">
        <f t="shared" si="11"/>
        <v>13.040000000000001</v>
      </c>
    </row>
    <row r="652" spans="1:19" x14ac:dyDescent="0.35">
      <c r="A652" t="s">
        <v>0</v>
      </c>
      <c r="B652" t="s">
        <v>599</v>
      </c>
      <c r="C652" t="s">
        <v>28</v>
      </c>
      <c r="D652" t="s">
        <v>25</v>
      </c>
      <c r="E652">
        <v>-13</v>
      </c>
      <c r="F652" t="s">
        <v>88</v>
      </c>
      <c r="G652" s="19">
        <v>45512</v>
      </c>
      <c r="H652" t="s">
        <v>181</v>
      </c>
      <c r="I652" t="s">
        <v>182</v>
      </c>
      <c r="J652"/>
      <c r="Q652" s="3">
        <f t="shared" si="11"/>
        <v>13</v>
      </c>
    </row>
    <row r="653" spans="1:19" x14ac:dyDescent="0.35">
      <c r="A653" t="s">
        <v>35</v>
      </c>
      <c r="B653" t="s">
        <v>6270</v>
      </c>
      <c r="C653" t="s">
        <v>28</v>
      </c>
      <c r="D653" t="s">
        <v>25</v>
      </c>
      <c r="E653">
        <v>12.76</v>
      </c>
      <c r="F653" t="s">
        <v>88</v>
      </c>
      <c r="G653" s="19">
        <v>45404</v>
      </c>
      <c r="H653" t="s">
        <v>94</v>
      </c>
      <c r="I653" t="s">
        <v>389</v>
      </c>
      <c r="J653" t="s">
        <v>6421</v>
      </c>
      <c r="O653" t="s">
        <v>6328</v>
      </c>
      <c r="Q653" s="3">
        <f t="shared" si="11"/>
        <v>12.76</v>
      </c>
    </row>
    <row r="654" spans="1:19" x14ac:dyDescent="0.35">
      <c r="A654" t="s">
        <v>35</v>
      </c>
      <c r="B654" t="s">
        <v>6270</v>
      </c>
      <c r="C654" t="s">
        <v>28</v>
      </c>
      <c r="D654" t="s">
        <v>25</v>
      </c>
      <c r="E654">
        <v>12.76</v>
      </c>
      <c r="F654" t="s">
        <v>88</v>
      </c>
      <c r="G654" s="19">
        <v>45404</v>
      </c>
      <c r="H654" t="s">
        <v>94</v>
      </c>
      <c r="I654" t="s">
        <v>389</v>
      </c>
      <c r="J654" t="s">
        <v>6422</v>
      </c>
      <c r="O654" t="s">
        <v>6328</v>
      </c>
      <c r="Q654" s="3">
        <f t="shared" si="11"/>
        <v>12.76</v>
      </c>
    </row>
    <row r="655" spans="1:19" x14ac:dyDescent="0.35">
      <c r="A655" t="s">
        <v>35</v>
      </c>
      <c r="B655" t="s">
        <v>6394</v>
      </c>
      <c r="C655" t="s">
        <v>28</v>
      </c>
      <c r="D655" t="s">
        <v>25</v>
      </c>
      <c r="E655">
        <v>12.73</v>
      </c>
      <c r="F655" t="s">
        <v>88</v>
      </c>
      <c r="G655" s="19">
        <v>45456</v>
      </c>
      <c r="H655" t="s">
        <v>94</v>
      </c>
      <c r="I655" t="s">
        <v>383</v>
      </c>
      <c r="J655" t="s">
        <v>6621</v>
      </c>
      <c r="O655" t="s">
        <v>6622</v>
      </c>
      <c r="Q655" s="3">
        <f t="shared" si="11"/>
        <v>12.73</v>
      </c>
    </row>
    <row r="656" spans="1:19" x14ac:dyDescent="0.35">
      <c r="A656" t="s">
        <v>35</v>
      </c>
      <c r="B656" t="s">
        <v>6270</v>
      </c>
      <c r="C656" t="s">
        <v>28</v>
      </c>
      <c r="D656" t="s">
        <v>25</v>
      </c>
      <c r="E656">
        <v>12.72</v>
      </c>
      <c r="F656" t="s">
        <v>88</v>
      </c>
      <c r="G656" s="19">
        <v>45636</v>
      </c>
      <c r="H656" t="s">
        <v>94</v>
      </c>
      <c r="I656" t="s">
        <v>7459</v>
      </c>
      <c r="J656" t="s">
        <v>7003</v>
      </c>
      <c r="O656" t="s">
        <v>7460</v>
      </c>
      <c r="Q656" s="3">
        <f t="shared" si="11"/>
        <v>12.72</v>
      </c>
    </row>
    <row r="657" spans="1:17" x14ac:dyDescent="0.35">
      <c r="A657" t="s">
        <v>35</v>
      </c>
      <c r="B657" t="s">
        <v>633</v>
      </c>
      <c r="C657" t="s">
        <v>28</v>
      </c>
      <c r="D657" t="s">
        <v>25</v>
      </c>
      <c r="E657">
        <v>12.71</v>
      </c>
      <c r="F657" t="s">
        <v>88</v>
      </c>
      <c r="G657" s="19">
        <v>45477</v>
      </c>
      <c r="H657" t="s">
        <v>94</v>
      </c>
      <c r="I657" t="s">
        <v>374</v>
      </c>
      <c r="J657" t="s">
        <v>6742</v>
      </c>
      <c r="O657" t="s">
        <v>6743</v>
      </c>
      <c r="Q657" s="3">
        <f t="shared" si="11"/>
        <v>12.71</v>
      </c>
    </row>
    <row r="658" spans="1:17" x14ac:dyDescent="0.35">
      <c r="A658" t="s">
        <v>0</v>
      </c>
      <c r="B658" t="s">
        <v>6270</v>
      </c>
      <c r="C658" t="s">
        <v>28</v>
      </c>
      <c r="D658" t="s">
        <v>25</v>
      </c>
      <c r="E658">
        <v>12.71</v>
      </c>
      <c r="F658" t="s">
        <v>88</v>
      </c>
      <c r="G658" s="19">
        <v>45517</v>
      </c>
      <c r="H658" t="s">
        <v>181</v>
      </c>
      <c r="I658" t="s">
        <v>182</v>
      </c>
      <c r="J658"/>
      <c r="Q658" s="3">
        <f t="shared" si="11"/>
        <v>12.71</v>
      </c>
    </row>
    <row r="659" spans="1:17" x14ac:dyDescent="0.35">
      <c r="A659" t="s">
        <v>35</v>
      </c>
      <c r="B659" t="s">
        <v>2728</v>
      </c>
      <c r="C659" t="s">
        <v>28</v>
      </c>
      <c r="D659" t="s">
        <v>25</v>
      </c>
      <c r="E659">
        <v>12.68</v>
      </c>
      <c r="F659" t="s">
        <v>88</v>
      </c>
      <c r="G659" s="19">
        <v>45639</v>
      </c>
      <c r="H659" t="s">
        <v>94</v>
      </c>
      <c r="I659" t="s">
        <v>7494</v>
      </c>
      <c r="J659" t="s">
        <v>7495</v>
      </c>
      <c r="O659" t="s">
        <v>7496</v>
      </c>
      <c r="Q659" s="3">
        <f t="shared" si="11"/>
        <v>12.68</v>
      </c>
    </row>
    <row r="660" spans="1:17" x14ac:dyDescent="0.35">
      <c r="A660" t="s">
        <v>35</v>
      </c>
      <c r="B660" t="s">
        <v>1423</v>
      </c>
      <c r="C660" t="s">
        <v>28</v>
      </c>
      <c r="D660" t="s">
        <v>25</v>
      </c>
      <c r="E660">
        <v>12.64</v>
      </c>
      <c r="F660" t="s">
        <v>88</v>
      </c>
      <c r="G660" s="19">
        <v>45474</v>
      </c>
      <c r="H660" t="s">
        <v>94</v>
      </c>
      <c r="I660" t="s">
        <v>249</v>
      </c>
      <c r="J660" t="s">
        <v>6704</v>
      </c>
      <c r="O660" t="s">
        <v>6358</v>
      </c>
      <c r="Q660" s="3">
        <f t="shared" si="11"/>
        <v>12.64</v>
      </c>
    </row>
    <row r="661" spans="1:17" x14ac:dyDescent="0.35">
      <c r="A661" t="s">
        <v>35</v>
      </c>
      <c r="B661" t="s">
        <v>6270</v>
      </c>
      <c r="C661" t="s">
        <v>28</v>
      </c>
      <c r="D661" t="s">
        <v>25</v>
      </c>
      <c r="E661">
        <v>12.5</v>
      </c>
      <c r="F661" t="s">
        <v>88</v>
      </c>
      <c r="G661" s="19">
        <v>45498</v>
      </c>
      <c r="H661" t="s">
        <v>94</v>
      </c>
      <c r="I661" t="s">
        <v>333</v>
      </c>
      <c r="J661" t="s">
        <v>6840</v>
      </c>
      <c r="O661" t="s">
        <v>6841</v>
      </c>
      <c r="Q661" s="3">
        <f t="shared" si="11"/>
        <v>12.5</v>
      </c>
    </row>
    <row r="662" spans="1:17" x14ac:dyDescent="0.35">
      <c r="A662" t="s">
        <v>35</v>
      </c>
      <c r="B662" t="s">
        <v>649</v>
      </c>
      <c r="C662" t="s">
        <v>28</v>
      </c>
      <c r="D662" t="s">
        <v>25</v>
      </c>
      <c r="E662">
        <v>12.26</v>
      </c>
      <c r="F662" t="s">
        <v>88</v>
      </c>
      <c r="G662" s="19">
        <v>45463</v>
      </c>
      <c r="H662" t="s">
        <v>94</v>
      </c>
      <c r="I662" t="s">
        <v>6668</v>
      </c>
      <c r="J662" t="s">
        <v>6669</v>
      </c>
      <c r="O662" t="s">
        <v>6670</v>
      </c>
      <c r="Q662" s="3">
        <f t="shared" si="11"/>
        <v>12.26</v>
      </c>
    </row>
    <row r="663" spans="1:17" x14ac:dyDescent="0.35">
      <c r="A663" t="s">
        <v>35</v>
      </c>
      <c r="B663" t="s">
        <v>6270</v>
      </c>
      <c r="C663" t="s">
        <v>28</v>
      </c>
      <c r="D663" t="s">
        <v>25</v>
      </c>
      <c r="E663">
        <v>12.07</v>
      </c>
      <c r="F663" t="s">
        <v>88</v>
      </c>
      <c r="G663" s="19">
        <v>45498</v>
      </c>
      <c r="H663" t="s">
        <v>94</v>
      </c>
      <c r="I663" t="s">
        <v>745</v>
      </c>
      <c r="J663" t="s">
        <v>6825</v>
      </c>
      <c r="O663" t="s">
        <v>6826</v>
      </c>
      <c r="Q663" s="3">
        <f t="shared" si="11"/>
        <v>12.07</v>
      </c>
    </row>
    <row r="664" spans="1:17" x14ac:dyDescent="0.35">
      <c r="A664" t="s">
        <v>0</v>
      </c>
      <c r="B664" t="s">
        <v>6270</v>
      </c>
      <c r="C664" t="s">
        <v>28</v>
      </c>
      <c r="D664" t="s">
        <v>25</v>
      </c>
      <c r="E664">
        <v>-11.97</v>
      </c>
      <c r="F664" t="s">
        <v>88</v>
      </c>
      <c r="G664" s="19">
        <v>45588</v>
      </c>
      <c r="H664" t="s">
        <v>181</v>
      </c>
      <c r="I664" t="s">
        <v>182</v>
      </c>
      <c r="J664"/>
      <c r="Q664" s="3">
        <f t="shared" si="11"/>
        <v>11.97</v>
      </c>
    </row>
    <row r="665" spans="1:17" x14ac:dyDescent="0.35">
      <c r="A665" t="s">
        <v>35</v>
      </c>
      <c r="B665" t="s">
        <v>852</v>
      </c>
      <c r="C665" t="s">
        <v>28</v>
      </c>
      <c r="D665" t="s">
        <v>25</v>
      </c>
      <c r="E665">
        <v>11.82</v>
      </c>
      <c r="F665" t="s">
        <v>88</v>
      </c>
      <c r="G665" s="19">
        <v>45639</v>
      </c>
      <c r="H665" t="s">
        <v>94</v>
      </c>
      <c r="I665" t="s">
        <v>1113</v>
      </c>
      <c r="J665" t="s">
        <v>7492</v>
      </c>
      <c r="O665" t="s">
        <v>7493</v>
      </c>
      <c r="Q665" s="3">
        <f t="shared" si="11"/>
        <v>11.82</v>
      </c>
    </row>
    <row r="666" spans="1:17" x14ac:dyDescent="0.35">
      <c r="A666" t="s">
        <v>0</v>
      </c>
      <c r="B666" t="s">
        <v>6270</v>
      </c>
      <c r="C666" t="s">
        <v>28</v>
      </c>
      <c r="D666" t="s">
        <v>25</v>
      </c>
      <c r="E666">
        <v>-11.78</v>
      </c>
      <c r="F666" t="s">
        <v>88</v>
      </c>
      <c r="G666" s="19">
        <v>45554</v>
      </c>
      <c r="H666" t="s">
        <v>181</v>
      </c>
      <c r="I666" t="s">
        <v>182</v>
      </c>
      <c r="J666"/>
      <c r="Q666" s="3">
        <f t="shared" si="11"/>
        <v>11.78</v>
      </c>
    </row>
    <row r="667" spans="1:17" x14ac:dyDescent="0.35">
      <c r="A667" t="s">
        <v>0</v>
      </c>
      <c r="B667" t="s">
        <v>6270</v>
      </c>
      <c r="C667" t="s">
        <v>28</v>
      </c>
      <c r="D667" t="s">
        <v>25</v>
      </c>
      <c r="E667">
        <v>11.49</v>
      </c>
      <c r="F667" t="s">
        <v>88</v>
      </c>
      <c r="G667" s="19">
        <v>45550</v>
      </c>
      <c r="H667" t="s">
        <v>181</v>
      </c>
      <c r="I667" t="s">
        <v>182</v>
      </c>
      <c r="J667"/>
      <c r="Q667" s="3">
        <f t="shared" si="11"/>
        <v>11.49</v>
      </c>
    </row>
    <row r="668" spans="1:17" x14ac:dyDescent="0.35">
      <c r="A668" t="s">
        <v>0</v>
      </c>
      <c r="B668" t="s">
        <v>599</v>
      </c>
      <c r="C668" t="s">
        <v>28</v>
      </c>
      <c r="D668" t="s">
        <v>25</v>
      </c>
      <c r="E668">
        <v>-11.48</v>
      </c>
      <c r="F668" t="s">
        <v>88</v>
      </c>
      <c r="G668" s="19">
        <v>45515</v>
      </c>
      <c r="H668" t="s">
        <v>181</v>
      </c>
      <c r="I668" t="s">
        <v>182</v>
      </c>
      <c r="J668"/>
      <c r="Q668" s="3">
        <f t="shared" si="11"/>
        <v>11.48</v>
      </c>
    </row>
    <row r="669" spans="1:17" x14ac:dyDescent="0.35">
      <c r="A669" t="s">
        <v>0</v>
      </c>
      <c r="B669" t="s">
        <v>6270</v>
      </c>
      <c r="C669" t="s">
        <v>28</v>
      </c>
      <c r="D669" t="s">
        <v>25</v>
      </c>
      <c r="E669">
        <v>11.19</v>
      </c>
      <c r="F669" t="s">
        <v>88</v>
      </c>
      <c r="G669" s="19">
        <v>45525</v>
      </c>
      <c r="H669" t="s">
        <v>181</v>
      </c>
      <c r="I669" t="s">
        <v>182</v>
      </c>
      <c r="J669"/>
      <c r="Q669" s="3">
        <f t="shared" si="11"/>
        <v>11.19</v>
      </c>
    </row>
    <row r="670" spans="1:17" x14ac:dyDescent="0.35">
      <c r="A670" t="s">
        <v>35</v>
      </c>
      <c r="B670" t="s">
        <v>605</v>
      </c>
      <c r="C670" t="s">
        <v>28</v>
      </c>
      <c r="D670" t="s">
        <v>25</v>
      </c>
      <c r="E670">
        <v>10.91</v>
      </c>
      <c r="F670" t="s">
        <v>88</v>
      </c>
      <c r="G670" s="19">
        <v>45636</v>
      </c>
      <c r="H670" t="s">
        <v>94</v>
      </c>
      <c r="I670" t="s">
        <v>125</v>
      </c>
      <c r="J670" t="s">
        <v>7464</v>
      </c>
      <c r="O670" t="s">
        <v>6667</v>
      </c>
      <c r="Q670" s="3">
        <f t="shared" si="11"/>
        <v>10.91</v>
      </c>
    </row>
    <row r="671" spans="1:17" x14ac:dyDescent="0.35">
      <c r="A671" t="s">
        <v>35</v>
      </c>
      <c r="B671" t="s">
        <v>6270</v>
      </c>
      <c r="C671" t="s">
        <v>28</v>
      </c>
      <c r="D671" t="s">
        <v>25</v>
      </c>
      <c r="E671">
        <v>10.6</v>
      </c>
      <c r="F671" t="s">
        <v>88</v>
      </c>
      <c r="G671" s="19">
        <v>45404</v>
      </c>
      <c r="H671" t="s">
        <v>94</v>
      </c>
      <c r="I671" t="s">
        <v>390</v>
      </c>
      <c r="J671" t="s">
        <v>6423</v>
      </c>
      <c r="O671" t="s">
        <v>6424</v>
      </c>
      <c r="Q671" s="3">
        <f t="shared" si="11"/>
        <v>10.6</v>
      </c>
    </row>
    <row r="672" spans="1:17" x14ac:dyDescent="0.35">
      <c r="A672" t="s">
        <v>0</v>
      </c>
      <c r="B672" t="s">
        <v>599</v>
      </c>
      <c r="C672" t="s">
        <v>28</v>
      </c>
      <c r="D672" t="s">
        <v>25</v>
      </c>
      <c r="E672">
        <v>10.43</v>
      </c>
      <c r="F672" t="s">
        <v>88</v>
      </c>
      <c r="G672" s="19">
        <v>45529</v>
      </c>
      <c r="H672" t="s">
        <v>181</v>
      </c>
      <c r="I672" t="s">
        <v>25</v>
      </c>
      <c r="J672"/>
      <c r="Q672" s="3">
        <f t="shared" si="11"/>
        <v>10.43</v>
      </c>
    </row>
    <row r="673" spans="1:17" x14ac:dyDescent="0.35">
      <c r="A673" t="s">
        <v>0</v>
      </c>
      <c r="B673" t="s">
        <v>6270</v>
      </c>
      <c r="C673" t="s">
        <v>28</v>
      </c>
      <c r="D673" t="s">
        <v>25</v>
      </c>
      <c r="E673">
        <v>-9.99</v>
      </c>
      <c r="F673" t="s">
        <v>88</v>
      </c>
      <c r="G673" s="19">
        <v>45553</v>
      </c>
      <c r="H673" t="s">
        <v>181</v>
      </c>
      <c r="I673" t="s">
        <v>182</v>
      </c>
      <c r="J673"/>
      <c r="Q673" s="3">
        <f t="shared" si="11"/>
        <v>9.99</v>
      </c>
    </row>
    <row r="674" spans="1:17" x14ac:dyDescent="0.35">
      <c r="A674" t="s">
        <v>35</v>
      </c>
      <c r="B674" t="s">
        <v>1423</v>
      </c>
      <c r="C674" t="s">
        <v>28</v>
      </c>
      <c r="D674" t="s">
        <v>25</v>
      </c>
      <c r="E674">
        <v>9.9499999999999993</v>
      </c>
      <c r="F674" t="s">
        <v>88</v>
      </c>
      <c r="G674" s="19">
        <v>45398</v>
      </c>
      <c r="H674" t="s">
        <v>94</v>
      </c>
      <c r="I674" t="s">
        <v>249</v>
      </c>
      <c r="J674" t="s">
        <v>6357</v>
      </c>
      <c r="O674" t="s">
        <v>6358</v>
      </c>
      <c r="Q674" s="3">
        <f t="shared" si="11"/>
        <v>9.9499999999999993</v>
      </c>
    </row>
    <row r="675" spans="1:17" x14ac:dyDescent="0.35">
      <c r="A675" t="s">
        <v>35</v>
      </c>
      <c r="B675" t="s">
        <v>707</v>
      </c>
      <c r="C675" t="s">
        <v>28</v>
      </c>
      <c r="D675" t="s">
        <v>25</v>
      </c>
      <c r="E675">
        <v>9.5500000000000007</v>
      </c>
      <c r="F675" t="s">
        <v>88</v>
      </c>
      <c r="G675" s="19">
        <v>45455</v>
      </c>
      <c r="H675" t="s">
        <v>94</v>
      </c>
      <c r="I675" t="s">
        <v>6613</v>
      </c>
      <c r="J675" t="s">
        <v>6616</v>
      </c>
      <c r="O675" t="s">
        <v>6617</v>
      </c>
      <c r="Q675" s="3">
        <f t="shared" si="11"/>
        <v>9.5500000000000007</v>
      </c>
    </row>
    <row r="676" spans="1:17" x14ac:dyDescent="0.35">
      <c r="A676" t="s">
        <v>35</v>
      </c>
      <c r="B676" t="s">
        <v>805</v>
      </c>
      <c r="C676" t="s">
        <v>28</v>
      </c>
      <c r="D676" t="s">
        <v>25</v>
      </c>
      <c r="E676">
        <v>9.5500000000000007</v>
      </c>
      <c r="F676" t="s">
        <v>88</v>
      </c>
      <c r="G676" s="19">
        <v>45562</v>
      </c>
      <c r="H676" t="s">
        <v>94</v>
      </c>
      <c r="I676" t="s">
        <v>286</v>
      </c>
      <c r="J676" t="s">
        <v>7255</v>
      </c>
      <c r="O676" t="s">
        <v>7256</v>
      </c>
      <c r="Q676" s="3">
        <f t="shared" si="11"/>
        <v>9.5500000000000007</v>
      </c>
    </row>
    <row r="677" spans="1:17" x14ac:dyDescent="0.35">
      <c r="A677" t="s">
        <v>0</v>
      </c>
      <c r="B677" t="s">
        <v>6270</v>
      </c>
      <c r="C677" t="s">
        <v>28</v>
      </c>
      <c r="D677" t="s">
        <v>25</v>
      </c>
      <c r="E677">
        <v>-9.4499999999999993</v>
      </c>
      <c r="F677" t="s">
        <v>88</v>
      </c>
      <c r="G677" s="19">
        <v>45572</v>
      </c>
      <c r="H677" t="s">
        <v>181</v>
      </c>
      <c r="I677" t="s">
        <v>182</v>
      </c>
      <c r="J677"/>
      <c r="Q677" s="3">
        <f t="shared" si="11"/>
        <v>9.4499999999999993</v>
      </c>
    </row>
    <row r="678" spans="1:17" x14ac:dyDescent="0.35">
      <c r="A678" t="s">
        <v>35</v>
      </c>
      <c r="B678" t="s">
        <v>6270</v>
      </c>
      <c r="C678" t="s">
        <v>28</v>
      </c>
      <c r="D678" t="s">
        <v>25</v>
      </c>
      <c r="E678">
        <v>9.4</v>
      </c>
      <c r="F678" t="s">
        <v>88</v>
      </c>
      <c r="G678" s="19">
        <v>45553</v>
      </c>
      <c r="H678" t="s">
        <v>94</v>
      </c>
      <c r="I678" t="s">
        <v>7220</v>
      </c>
      <c r="J678" t="s">
        <v>7221</v>
      </c>
      <c r="O678" t="s">
        <v>7223</v>
      </c>
      <c r="Q678" s="3">
        <f t="shared" si="11"/>
        <v>9.4</v>
      </c>
    </row>
    <row r="679" spans="1:17" x14ac:dyDescent="0.35">
      <c r="A679" t="s">
        <v>0</v>
      </c>
      <c r="B679" t="s">
        <v>599</v>
      </c>
      <c r="C679" t="s">
        <v>28</v>
      </c>
      <c r="D679" t="s">
        <v>25</v>
      </c>
      <c r="E679">
        <v>9.36</v>
      </c>
      <c r="F679" t="s">
        <v>88</v>
      </c>
      <c r="G679" s="19">
        <v>45517</v>
      </c>
      <c r="H679" t="s">
        <v>181</v>
      </c>
      <c r="I679" t="s">
        <v>182</v>
      </c>
      <c r="J679"/>
      <c r="Q679" s="3">
        <f t="shared" si="11"/>
        <v>9.36</v>
      </c>
    </row>
    <row r="680" spans="1:17" x14ac:dyDescent="0.35">
      <c r="A680" t="s">
        <v>35</v>
      </c>
      <c r="B680" t="s">
        <v>623</v>
      </c>
      <c r="C680" t="s">
        <v>28</v>
      </c>
      <c r="D680" t="s">
        <v>25</v>
      </c>
      <c r="E680">
        <v>9.09</v>
      </c>
      <c r="F680" t="s">
        <v>88</v>
      </c>
      <c r="G680" s="19">
        <v>45462</v>
      </c>
      <c r="H680" t="s">
        <v>94</v>
      </c>
      <c r="I680" t="s">
        <v>249</v>
      </c>
      <c r="J680" t="s">
        <v>6662</v>
      </c>
      <c r="O680" t="s">
        <v>6601</v>
      </c>
      <c r="Q680" s="3">
        <f t="shared" si="11"/>
        <v>9.09</v>
      </c>
    </row>
    <row r="681" spans="1:17" x14ac:dyDescent="0.35">
      <c r="A681" t="s">
        <v>35</v>
      </c>
      <c r="B681" t="s">
        <v>732</v>
      </c>
      <c r="C681" t="s">
        <v>28</v>
      </c>
      <c r="D681" t="s">
        <v>25</v>
      </c>
      <c r="E681">
        <v>9.08</v>
      </c>
      <c r="F681" t="s">
        <v>88</v>
      </c>
      <c r="G681" s="19">
        <v>45552</v>
      </c>
      <c r="H681" t="s">
        <v>94</v>
      </c>
      <c r="I681" t="s">
        <v>97</v>
      </c>
      <c r="J681" t="s">
        <v>7204</v>
      </c>
      <c r="O681" t="s">
        <v>5845</v>
      </c>
      <c r="Q681" s="3">
        <f t="shared" si="11"/>
        <v>9.08</v>
      </c>
    </row>
    <row r="682" spans="1:17" x14ac:dyDescent="0.35">
      <c r="A682" t="s">
        <v>35</v>
      </c>
      <c r="B682" t="s">
        <v>893</v>
      </c>
      <c r="C682" t="s">
        <v>28</v>
      </c>
      <c r="D682" t="s">
        <v>25</v>
      </c>
      <c r="E682">
        <v>9.08</v>
      </c>
      <c r="F682" t="s">
        <v>88</v>
      </c>
      <c r="G682" s="19">
        <v>45639</v>
      </c>
      <c r="H682" t="s">
        <v>94</v>
      </c>
      <c r="I682" t="s">
        <v>232</v>
      </c>
      <c r="J682" t="s">
        <v>7482</v>
      </c>
      <c r="O682" t="s">
        <v>7483</v>
      </c>
      <c r="Q682" s="3">
        <f t="shared" si="11"/>
        <v>9.08</v>
      </c>
    </row>
    <row r="683" spans="1:17" x14ac:dyDescent="0.35">
      <c r="A683" t="s">
        <v>35</v>
      </c>
      <c r="B683" t="s">
        <v>969</v>
      </c>
      <c r="C683" t="s">
        <v>28</v>
      </c>
      <c r="D683" t="s">
        <v>25</v>
      </c>
      <c r="E683">
        <v>8.64</v>
      </c>
      <c r="F683" t="s">
        <v>88</v>
      </c>
      <c r="G683" s="19">
        <v>45474</v>
      </c>
      <c r="H683" t="s">
        <v>94</v>
      </c>
      <c r="I683" t="s">
        <v>249</v>
      </c>
      <c r="J683" t="s">
        <v>6705</v>
      </c>
      <c r="O683" t="s">
        <v>6706</v>
      </c>
      <c r="Q683" s="3">
        <f t="shared" si="11"/>
        <v>8.64</v>
      </c>
    </row>
    <row r="684" spans="1:17" x14ac:dyDescent="0.35">
      <c r="A684" t="s">
        <v>0</v>
      </c>
      <c r="B684" t="s">
        <v>6270</v>
      </c>
      <c r="C684" t="s">
        <v>28</v>
      </c>
      <c r="D684" t="s">
        <v>25</v>
      </c>
      <c r="E684">
        <v>8.4600000000000009</v>
      </c>
      <c r="F684" t="s">
        <v>88</v>
      </c>
      <c r="G684" s="19">
        <v>45508</v>
      </c>
      <c r="H684" t="s">
        <v>181</v>
      </c>
      <c r="I684" t="s">
        <v>182</v>
      </c>
      <c r="J684"/>
      <c r="Q684" s="3">
        <f t="shared" si="11"/>
        <v>8.4600000000000009</v>
      </c>
    </row>
    <row r="685" spans="1:17" x14ac:dyDescent="0.35">
      <c r="A685" t="s">
        <v>35</v>
      </c>
      <c r="B685" t="s">
        <v>6270</v>
      </c>
      <c r="C685" t="s">
        <v>28</v>
      </c>
      <c r="D685" t="s">
        <v>25</v>
      </c>
      <c r="E685">
        <v>8.4499999999999993</v>
      </c>
      <c r="F685" t="s">
        <v>88</v>
      </c>
      <c r="G685" s="19">
        <v>45398</v>
      </c>
      <c r="H685" t="s">
        <v>94</v>
      </c>
      <c r="I685" t="s">
        <v>6332</v>
      </c>
      <c r="J685" t="s">
        <v>6333</v>
      </c>
      <c r="O685" t="s">
        <v>6334</v>
      </c>
      <c r="Q685" s="3">
        <f t="shared" si="11"/>
        <v>8.4499999999999993</v>
      </c>
    </row>
    <row r="686" spans="1:17" x14ac:dyDescent="0.35">
      <c r="A686" t="s">
        <v>35</v>
      </c>
      <c r="B686" t="s">
        <v>6270</v>
      </c>
      <c r="C686" t="s">
        <v>28</v>
      </c>
      <c r="D686" t="s">
        <v>25</v>
      </c>
      <c r="E686">
        <v>8.41</v>
      </c>
      <c r="F686" t="s">
        <v>88</v>
      </c>
      <c r="G686" s="19">
        <v>45498</v>
      </c>
      <c r="H686" t="s">
        <v>94</v>
      </c>
      <c r="I686" t="s">
        <v>333</v>
      </c>
      <c r="J686" t="s">
        <v>6838</v>
      </c>
      <c r="O686" t="s">
        <v>6839</v>
      </c>
      <c r="Q686" s="3">
        <f t="shared" si="11"/>
        <v>8.41</v>
      </c>
    </row>
    <row r="687" spans="1:17" x14ac:dyDescent="0.35">
      <c r="A687" t="s">
        <v>35</v>
      </c>
      <c r="B687" t="s">
        <v>6270</v>
      </c>
      <c r="C687" t="s">
        <v>28</v>
      </c>
      <c r="D687" t="s">
        <v>25</v>
      </c>
      <c r="E687">
        <v>-8.4</v>
      </c>
      <c r="F687" t="s">
        <v>88</v>
      </c>
      <c r="G687" s="19">
        <v>45398</v>
      </c>
      <c r="H687" t="s">
        <v>94</v>
      </c>
      <c r="I687" t="s">
        <v>6332</v>
      </c>
      <c r="J687" t="s">
        <v>6336</v>
      </c>
      <c r="O687" t="s">
        <v>6334</v>
      </c>
      <c r="Q687" s="3">
        <f t="shared" si="11"/>
        <v>8.4</v>
      </c>
    </row>
    <row r="688" spans="1:17" x14ac:dyDescent="0.35">
      <c r="A688" t="s">
        <v>0</v>
      </c>
      <c r="B688" t="s">
        <v>6270</v>
      </c>
      <c r="C688" t="s">
        <v>28</v>
      </c>
      <c r="D688" t="s">
        <v>25</v>
      </c>
      <c r="E688">
        <v>-8.26</v>
      </c>
      <c r="F688" t="s">
        <v>88</v>
      </c>
      <c r="G688" s="19">
        <v>45582</v>
      </c>
      <c r="H688" t="s">
        <v>181</v>
      </c>
      <c r="I688" t="s">
        <v>182</v>
      </c>
      <c r="J688"/>
      <c r="Q688" s="3">
        <f t="shared" si="11"/>
        <v>8.26</v>
      </c>
    </row>
    <row r="689" spans="1:17" x14ac:dyDescent="0.35">
      <c r="A689" t="s">
        <v>35</v>
      </c>
      <c r="B689" t="s">
        <v>681</v>
      </c>
      <c r="C689" t="s">
        <v>28</v>
      </c>
      <c r="D689" t="s">
        <v>25</v>
      </c>
      <c r="E689">
        <v>8.18</v>
      </c>
      <c r="F689" t="s">
        <v>88</v>
      </c>
      <c r="G689" s="19">
        <v>45594</v>
      </c>
      <c r="H689" t="s">
        <v>94</v>
      </c>
      <c r="I689" t="s">
        <v>7344</v>
      </c>
      <c r="J689" t="s">
        <v>7345</v>
      </c>
      <c r="O689" t="s">
        <v>575</v>
      </c>
      <c r="Q689" s="3">
        <f t="shared" si="11"/>
        <v>8.18</v>
      </c>
    </row>
    <row r="690" spans="1:17" x14ac:dyDescent="0.35">
      <c r="A690" t="s">
        <v>35</v>
      </c>
      <c r="B690" t="s">
        <v>6270</v>
      </c>
      <c r="C690" t="s">
        <v>28</v>
      </c>
      <c r="D690" t="s">
        <v>25</v>
      </c>
      <c r="E690">
        <v>8.17</v>
      </c>
      <c r="F690" t="s">
        <v>88</v>
      </c>
      <c r="G690" s="19">
        <v>45524</v>
      </c>
      <c r="H690" t="s">
        <v>94</v>
      </c>
      <c r="I690" t="s">
        <v>6650</v>
      </c>
      <c r="J690" t="s">
        <v>6988</v>
      </c>
      <c r="O690" t="s">
        <v>6989</v>
      </c>
      <c r="Q690" s="3">
        <f t="shared" si="11"/>
        <v>8.17</v>
      </c>
    </row>
    <row r="691" spans="1:17" x14ac:dyDescent="0.35">
      <c r="A691" t="s">
        <v>35</v>
      </c>
      <c r="B691" t="s">
        <v>6270</v>
      </c>
      <c r="C691" t="s">
        <v>28</v>
      </c>
      <c r="D691" t="s">
        <v>25</v>
      </c>
      <c r="E691">
        <v>8.17</v>
      </c>
      <c r="F691" t="s">
        <v>88</v>
      </c>
      <c r="G691" s="19">
        <v>45530</v>
      </c>
      <c r="H691" t="s">
        <v>94</v>
      </c>
      <c r="I691" t="s">
        <v>6811</v>
      </c>
      <c r="J691" t="s">
        <v>7073</v>
      </c>
      <c r="O691" t="s">
        <v>7074</v>
      </c>
      <c r="Q691" s="3">
        <f t="shared" si="11"/>
        <v>8.17</v>
      </c>
    </row>
    <row r="692" spans="1:17" x14ac:dyDescent="0.35">
      <c r="A692" t="s">
        <v>35</v>
      </c>
      <c r="B692" t="s">
        <v>6270</v>
      </c>
      <c r="C692" t="s">
        <v>28</v>
      </c>
      <c r="D692" t="s">
        <v>25</v>
      </c>
      <c r="E692">
        <v>8.07</v>
      </c>
      <c r="F692" t="s">
        <v>88</v>
      </c>
      <c r="G692" s="19">
        <v>45533</v>
      </c>
      <c r="H692" t="s">
        <v>7088</v>
      </c>
      <c r="I692" t="s">
        <v>7090</v>
      </c>
      <c r="J692"/>
      <c r="Q692" s="3">
        <f t="shared" si="11"/>
        <v>8.07</v>
      </c>
    </row>
    <row r="693" spans="1:17" x14ac:dyDescent="0.35">
      <c r="A693" t="s">
        <v>35</v>
      </c>
      <c r="B693" t="s">
        <v>1279</v>
      </c>
      <c r="C693" t="s">
        <v>28</v>
      </c>
      <c r="D693" t="s">
        <v>25</v>
      </c>
      <c r="E693">
        <v>8.02</v>
      </c>
      <c r="F693" t="s">
        <v>88</v>
      </c>
      <c r="G693" s="19">
        <v>45473</v>
      </c>
      <c r="H693" t="s">
        <v>181</v>
      </c>
      <c r="I693" t="s">
        <v>182</v>
      </c>
      <c r="J693"/>
      <c r="Q693" s="3">
        <f t="shared" si="11"/>
        <v>8.02</v>
      </c>
    </row>
    <row r="694" spans="1:17" x14ac:dyDescent="0.35">
      <c r="A694" t="s">
        <v>0</v>
      </c>
      <c r="B694" t="s">
        <v>6270</v>
      </c>
      <c r="C694" t="s">
        <v>28</v>
      </c>
      <c r="D694" t="s">
        <v>25</v>
      </c>
      <c r="E694">
        <v>7.94</v>
      </c>
      <c r="F694" t="s">
        <v>88</v>
      </c>
      <c r="G694" s="19">
        <v>45560</v>
      </c>
      <c r="H694" t="s">
        <v>181</v>
      </c>
      <c r="I694" t="s">
        <v>182</v>
      </c>
      <c r="J694"/>
      <c r="Q694" s="3">
        <f t="shared" si="11"/>
        <v>7.94</v>
      </c>
    </row>
    <row r="695" spans="1:17" x14ac:dyDescent="0.35">
      <c r="A695" t="s">
        <v>0</v>
      </c>
      <c r="B695" t="s">
        <v>599</v>
      </c>
      <c r="C695" t="s">
        <v>28</v>
      </c>
      <c r="D695" t="s">
        <v>25</v>
      </c>
      <c r="E695">
        <v>7.86</v>
      </c>
      <c r="F695" t="s">
        <v>88</v>
      </c>
      <c r="G695" s="19">
        <v>45531</v>
      </c>
      <c r="H695" t="s">
        <v>181</v>
      </c>
      <c r="I695" t="s">
        <v>182</v>
      </c>
      <c r="J695"/>
      <c r="Q695" s="3">
        <f t="shared" si="11"/>
        <v>7.86</v>
      </c>
    </row>
    <row r="696" spans="1:17" x14ac:dyDescent="0.35">
      <c r="A696" t="s">
        <v>0</v>
      </c>
      <c r="B696" t="s">
        <v>6270</v>
      </c>
      <c r="C696" t="s">
        <v>28</v>
      </c>
      <c r="D696" t="s">
        <v>25</v>
      </c>
      <c r="E696">
        <v>7.73</v>
      </c>
      <c r="F696" t="s">
        <v>88</v>
      </c>
      <c r="G696" s="19">
        <v>45522</v>
      </c>
      <c r="H696" t="s">
        <v>181</v>
      </c>
      <c r="I696" t="s">
        <v>182</v>
      </c>
      <c r="J696"/>
      <c r="Q696" s="3">
        <f t="shared" si="11"/>
        <v>7.73</v>
      </c>
    </row>
    <row r="697" spans="1:17" x14ac:dyDescent="0.35">
      <c r="A697" t="s">
        <v>35</v>
      </c>
      <c r="B697" t="s">
        <v>681</v>
      </c>
      <c r="C697" t="s">
        <v>28</v>
      </c>
      <c r="D697" t="s">
        <v>25</v>
      </c>
      <c r="E697">
        <v>7.54</v>
      </c>
      <c r="F697" t="s">
        <v>88</v>
      </c>
      <c r="G697" s="19">
        <v>45544</v>
      </c>
      <c r="H697" t="s">
        <v>94</v>
      </c>
      <c r="I697" t="s">
        <v>7166</v>
      </c>
      <c r="J697" t="s">
        <v>7167</v>
      </c>
      <c r="O697" t="s">
        <v>7168</v>
      </c>
      <c r="Q697" s="3">
        <f t="shared" si="11"/>
        <v>7.54</v>
      </c>
    </row>
    <row r="698" spans="1:17" x14ac:dyDescent="0.35">
      <c r="A698" t="s">
        <v>0</v>
      </c>
      <c r="B698" t="s">
        <v>599</v>
      </c>
      <c r="C698" t="s">
        <v>28</v>
      </c>
      <c r="D698" t="s">
        <v>25</v>
      </c>
      <c r="E698">
        <v>7.45</v>
      </c>
      <c r="F698" t="s">
        <v>88</v>
      </c>
      <c r="G698" s="19">
        <v>45532</v>
      </c>
      <c r="H698" t="s">
        <v>181</v>
      </c>
      <c r="I698" t="s">
        <v>182</v>
      </c>
      <c r="J698"/>
      <c r="Q698" s="3">
        <f t="shared" si="11"/>
        <v>7.45</v>
      </c>
    </row>
    <row r="699" spans="1:17" x14ac:dyDescent="0.35">
      <c r="A699" t="s">
        <v>35</v>
      </c>
      <c r="B699" t="s">
        <v>1069</v>
      </c>
      <c r="C699" t="s">
        <v>28</v>
      </c>
      <c r="D699" t="s">
        <v>25</v>
      </c>
      <c r="E699">
        <v>7.27</v>
      </c>
      <c r="F699" t="s">
        <v>88</v>
      </c>
      <c r="G699" s="19">
        <v>45448</v>
      </c>
      <c r="H699" t="s">
        <v>94</v>
      </c>
      <c r="I699" t="s">
        <v>1174</v>
      </c>
      <c r="J699" t="s">
        <v>6572</v>
      </c>
      <c r="O699" t="s">
        <v>6573</v>
      </c>
      <c r="Q699" s="3">
        <f t="shared" si="11"/>
        <v>7.27</v>
      </c>
    </row>
    <row r="700" spans="1:17" x14ac:dyDescent="0.35">
      <c r="A700" t="s">
        <v>35</v>
      </c>
      <c r="B700" t="s">
        <v>969</v>
      </c>
      <c r="C700" t="s">
        <v>28</v>
      </c>
      <c r="D700" t="s">
        <v>25</v>
      </c>
      <c r="E700">
        <v>7.27</v>
      </c>
      <c r="F700" t="s">
        <v>88</v>
      </c>
      <c r="G700" s="19">
        <v>45450</v>
      </c>
      <c r="H700" t="s">
        <v>94</v>
      </c>
      <c r="I700" t="s">
        <v>249</v>
      </c>
      <c r="J700" t="s">
        <v>6600</v>
      </c>
      <c r="O700" t="s">
        <v>6601</v>
      </c>
      <c r="Q700" s="3">
        <f t="shared" si="11"/>
        <v>7.27</v>
      </c>
    </row>
    <row r="701" spans="1:17" x14ac:dyDescent="0.35">
      <c r="A701" t="s">
        <v>0</v>
      </c>
      <c r="B701" t="s">
        <v>599</v>
      </c>
      <c r="C701" t="s">
        <v>28</v>
      </c>
      <c r="D701" t="s">
        <v>25</v>
      </c>
      <c r="E701">
        <v>6.91</v>
      </c>
      <c r="F701" t="s">
        <v>88</v>
      </c>
      <c r="G701" s="19">
        <v>45530</v>
      </c>
      <c r="H701" t="s">
        <v>181</v>
      </c>
      <c r="I701" t="s">
        <v>182</v>
      </c>
      <c r="J701"/>
      <c r="Q701" s="3">
        <f t="shared" si="11"/>
        <v>6.91</v>
      </c>
    </row>
    <row r="702" spans="1:17" x14ac:dyDescent="0.35">
      <c r="A702" t="s">
        <v>0</v>
      </c>
      <c r="B702" t="s">
        <v>6270</v>
      </c>
      <c r="C702" t="s">
        <v>28</v>
      </c>
      <c r="D702" t="s">
        <v>25</v>
      </c>
      <c r="E702">
        <v>-6.75</v>
      </c>
      <c r="F702" t="s">
        <v>88</v>
      </c>
      <c r="G702" s="19">
        <v>45575</v>
      </c>
      <c r="H702" t="s">
        <v>181</v>
      </c>
      <c r="I702" t="s">
        <v>182</v>
      </c>
      <c r="J702"/>
      <c r="Q702" s="3">
        <f t="shared" si="11"/>
        <v>6.75</v>
      </c>
    </row>
    <row r="703" spans="1:17" x14ac:dyDescent="0.35">
      <c r="A703" t="s">
        <v>0</v>
      </c>
      <c r="B703" t="s">
        <v>599</v>
      </c>
      <c r="C703" t="s">
        <v>28</v>
      </c>
      <c r="D703" t="s">
        <v>25</v>
      </c>
      <c r="E703">
        <v>6.22</v>
      </c>
      <c r="F703" t="s">
        <v>88</v>
      </c>
      <c r="G703" s="19">
        <v>45508</v>
      </c>
      <c r="H703" t="s">
        <v>181</v>
      </c>
      <c r="I703" t="s">
        <v>182</v>
      </c>
      <c r="J703"/>
      <c r="Q703" s="3">
        <f t="shared" si="11"/>
        <v>6.22</v>
      </c>
    </row>
    <row r="704" spans="1:17" x14ac:dyDescent="0.35">
      <c r="A704" t="s">
        <v>35</v>
      </c>
      <c r="B704" t="s">
        <v>805</v>
      </c>
      <c r="C704" t="s">
        <v>28</v>
      </c>
      <c r="D704" t="s">
        <v>25</v>
      </c>
      <c r="E704">
        <v>6.16</v>
      </c>
      <c r="F704" t="s">
        <v>88</v>
      </c>
      <c r="G704" s="19">
        <v>45404</v>
      </c>
      <c r="H704" t="s">
        <v>94</v>
      </c>
      <c r="I704" t="s">
        <v>286</v>
      </c>
      <c r="J704" t="s">
        <v>6418</v>
      </c>
      <c r="O704" t="s">
        <v>6419</v>
      </c>
      <c r="Q704" s="3">
        <f t="shared" si="11"/>
        <v>6.16</v>
      </c>
    </row>
    <row r="705" spans="1:17" x14ac:dyDescent="0.35">
      <c r="A705" t="s">
        <v>35</v>
      </c>
      <c r="B705" t="s">
        <v>1106</v>
      </c>
      <c r="C705" t="s">
        <v>28</v>
      </c>
      <c r="D705" t="s">
        <v>25</v>
      </c>
      <c r="E705">
        <v>6.16</v>
      </c>
      <c r="F705" t="s">
        <v>88</v>
      </c>
      <c r="G705" s="19">
        <v>45566</v>
      </c>
      <c r="H705" t="s">
        <v>94</v>
      </c>
      <c r="I705" t="s">
        <v>325</v>
      </c>
      <c r="J705" t="s">
        <v>7266</v>
      </c>
      <c r="O705" t="s">
        <v>7267</v>
      </c>
      <c r="Q705" s="3">
        <f t="shared" si="11"/>
        <v>6.16</v>
      </c>
    </row>
    <row r="706" spans="1:17" x14ac:dyDescent="0.35">
      <c r="A706" t="s">
        <v>35</v>
      </c>
      <c r="B706" t="s">
        <v>6270</v>
      </c>
      <c r="C706" t="s">
        <v>28</v>
      </c>
      <c r="D706" t="s">
        <v>25</v>
      </c>
      <c r="E706">
        <v>5.97</v>
      </c>
      <c r="F706" t="s">
        <v>88</v>
      </c>
      <c r="G706" s="19">
        <v>45488</v>
      </c>
      <c r="H706" t="s">
        <v>94</v>
      </c>
      <c r="I706" t="s">
        <v>6650</v>
      </c>
      <c r="J706" t="s">
        <v>6774</v>
      </c>
      <c r="O706" t="s">
        <v>6775</v>
      </c>
      <c r="Q706" s="3">
        <f t="shared" si="11"/>
        <v>5.97</v>
      </c>
    </row>
    <row r="707" spans="1:17" x14ac:dyDescent="0.35">
      <c r="A707" t="s">
        <v>0</v>
      </c>
      <c r="B707" t="s">
        <v>6270</v>
      </c>
      <c r="C707" t="s">
        <v>28</v>
      </c>
      <c r="D707" t="s">
        <v>25</v>
      </c>
      <c r="E707">
        <v>-5.74</v>
      </c>
      <c r="F707" t="s">
        <v>88</v>
      </c>
      <c r="G707" s="19">
        <v>45558</v>
      </c>
      <c r="H707" t="s">
        <v>181</v>
      </c>
      <c r="I707" t="s">
        <v>182</v>
      </c>
      <c r="J707"/>
      <c r="Q707" s="3">
        <f t="shared" si="11"/>
        <v>5.74</v>
      </c>
    </row>
    <row r="708" spans="1:17" x14ac:dyDescent="0.35">
      <c r="A708" t="s">
        <v>0</v>
      </c>
      <c r="B708" t="s">
        <v>599</v>
      </c>
      <c r="C708" t="s">
        <v>28</v>
      </c>
      <c r="D708" t="s">
        <v>25</v>
      </c>
      <c r="E708">
        <v>5.69</v>
      </c>
      <c r="F708" t="s">
        <v>88</v>
      </c>
      <c r="G708" s="19">
        <v>45522</v>
      </c>
      <c r="H708" t="s">
        <v>181</v>
      </c>
      <c r="I708" t="s">
        <v>182</v>
      </c>
      <c r="J708"/>
      <c r="Q708" s="3">
        <f t="shared" si="11"/>
        <v>5.69</v>
      </c>
    </row>
    <row r="709" spans="1:17" x14ac:dyDescent="0.35">
      <c r="A709" t="s">
        <v>35</v>
      </c>
      <c r="B709" t="s">
        <v>1106</v>
      </c>
      <c r="C709" t="s">
        <v>28</v>
      </c>
      <c r="D709" t="s">
        <v>25</v>
      </c>
      <c r="E709">
        <v>5.5</v>
      </c>
      <c r="F709" t="s">
        <v>88</v>
      </c>
      <c r="G709" s="19">
        <v>45566</v>
      </c>
      <c r="H709" t="s">
        <v>94</v>
      </c>
      <c r="I709" t="s">
        <v>7270</v>
      </c>
      <c r="J709" t="s">
        <v>7271</v>
      </c>
      <c r="O709" t="s">
        <v>7272</v>
      </c>
      <c r="Q709" s="3">
        <f t="shared" si="11"/>
        <v>5.5</v>
      </c>
    </row>
    <row r="710" spans="1:17" x14ac:dyDescent="0.35">
      <c r="A710" t="s">
        <v>35</v>
      </c>
      <c r="B710" t="s">
        <v>852</v>
      </c>
      <c r="C710" t="s">
        <v>28</v>
      </c>
      <c r="D710" t="s">
        <v>25</v>
      </c>
      <c r="E710">
        <v>5.4</v>
      </c>
      <c r="F710" t="s">
        <v>88</v>
      </c>
      <c r="G710" s="19">
        <v>45397</v>
      </c>
      <c r="H710" t="s">
        <v>89</v>
      </c>
      <c r="I710" t="s">
        <v>6308</v>
      </c>
      <c r="J710"/>
      <c r="K710" t="s">
        <v>347</v>
      </c>
      <c r="L710" t="s">
        <v>6309</v>
      </c>
      <c r="M710" t="s">
        <v>348</v>
      </c>
      <c r="Q710" s="3">
        <f t="shared" si="11"/>
        <v>5.4</v>
      </c>
    </row>
    <row r="711" spans="1:17" x14ac:dyDescent="0.35">
      <c r="A711" t="s">
        <v>0</v>
      </c>
      <c r="B711" t="s">
        <v>6270</v>
      </c>
      <c r="C711" t="s">
        <v>28</v>
      </c>
      <c r="D711" t="s">
        <v>25</v>
      </c>
      <c r="E711">
        <v>5.24</v>
      </c>
      <c r="F711" t="s">
        <v>88</v>
      </c>
      <c r="G711" s="19">
        <v>45487</v>
      </c>
      <c r="H711" t="s">
        <v>181</v>
      </c>
      <c r="I711" t="s">
        <v>182</v>
      </c>
      <c r="J711"/>
      <c r="Q711" s="3">
        <f t="shared" si="11"/>
        <v>5.24</v>
      </c>
    </row>
    <row r="712" spans="1:17" x14ac:dyDescent="0.35">
      <c r="A712" t="s">
        <v>0</v>
      </c>
      <c r="B712" t="s">
        <v>6270</v>
      </c>
      <c r="C712" t="s">
        <v>28</v>
      </c>
      <c r="D712" t="s">
        <v>25</v>
      </c>
      <c r="E712">
        <v>5.16</v>
      </c>
      <c r="F712" t="s">
        <v>88</v>
      </c>
      <c r="G712" s="19">
        <v>45589</v>
      </c>
      <c r="H712" t="s">
        <v>181</v>
      </c>
      <c r="I712" t="s">
        <v>182</v>
      </c>
      <c r="J712"/>
      <c r="Q712" s="3">
        <f t="shared" si="11"/>
        <v>5.16</v>
      </c>
    </row>
    <row r="713" spans="1:17" x14ac:dyDescent="0.35">
      <c r="A713" t="s">
        <v>0</v>
      </c>
      <c r="B713" t="s">
        <v>6270</v>
      </c>
      <c r="C713" t="s">
        <v>28</v>
      </c>
      <c r="D713" t="s">
        <v>25</v>
      </c>
      <c r="E713">
        <v>-4.78</v>
      </c>
      <c r="F713" t="s">
        <v>88</v>
      </c>
      <c r="G713" s="19">
        <v>45496</v>
      </c>
      <c r="H713" t="s">
        <v>181</v>
      </c>
      <c r="I713" t="s">
        <v>182</v>
      </c>
      <c r="J713"/>
      <c r="Q713" s="3">
        <f t="shared" si="11"/>
        <v>4.78</v>
      </c>
    </row>
    <row r="714" spans="1:17" x14ac:dyDescent="0.35">
      <c r="A714" t="s">
        <v>0</v>
      </c>
      <c r="B714" t="s">
        <v>6270</v>
      </c>
      <c r="C714" t="s">
        <v>28</v>
      </c>
      <c r="D714" t="s">
        <v>25</v>
      </c>
      <c r="E714">
        <v>-4.1900000000000004</v>
      </c>
      <c r="F714" t="s">
        <v>88</v>
      </c>
      <c r="G714" s="19">
        <v>45552</v>
      </c>
      <c r="H714" t="s">
        <v>181</v>
      </c>
      <c r="I714" t="s">
        <v>182</v>
      </c>
      <c r="J714"/>
      <c r="Q714" s="3">
        <f t="shared" ref="Q714:Q777" si="12">ABS(E714)</f>
        <v>4.1900000000000004</v>
      </c>
    </row>
    <row r="715" spans="1:17" x14ac:dyDescent="0.35">
      <c r="A715" t="s">
        <v>35</v>
      </c>
      <c r="B715" t="s">
        <v>633</v>
      </c>
      <c r="C715" t="s">
        <v>28</v>
      </c>
      <c r="D715" t="s">
        <v>25</v>
      </c>
      <c r="E715">
        <v>4.08</v>
      </c>
      <c r="F715" t="s">
        <v>88</v>
      </c>
      <c r="G715" s="19">
        <v>45442</v>
      </c>
      <c r="H715" t="s">
        <v>94</v>
      </c>
      <c r="I715" t="s">
        <v>340</v>
      </c>
      <c r="J715" t="s">
        <v>6533</v>
      </c>
      <c r="O715" t="s">
        <v>6534</v>
      </c>
      <c r="Q715" s="3">
        <f t="shared" si="12"/>
        <v>4.08</v>
      </c>
    </row>
    <row r="716" spans="1:17" x14ac:dyDescent="0.35">
      <c r="A716" t="s">
        <v>35</v>
      </c>
      <c r="B716" t="s">
        <v>633</v>
      </c>
      <c r="C716" t="s">
        <v>28</v>
      </c>
      <c r="D716" t="s">
        <v>25</v>
      </c>
      <c r="E716">
        <v>4.08</v>
      </c>
      <c r="F716" t="s">
        <v>88</v>
      </c>
      <c r="G716" s="19">
        <v>45565</v>
      </c>
      <c r="H716" t="s">
        <v>94</v>
      </c>
      <c r="I716" t="s">
        <v>340</v>
      </c>
      <c r="J716" t="s">
        <v>7261</v>
      </c>
      <c r="O716" t="s">
        <v>6534</v>
      </c>
      <c r="Q716" s="3">
        <f t="shared" si="12"/>
        <v>4.08</v>
      </c>
    </row>
    <row r="717" spans="1:17" x14ac:dyDescent="0.35">
      <c r="A717" t="s">
        <v>35</v>
      </c>
      <c r="B717" t="s">
        <v>633</v>
      </c>
      <c r="C717" t="s">
        <v>28</v>
      </c>
      <c r="D717" t="s">
        <v>25</v>
      </c>
      <c r="E717">
        <v>4.08</v>
      </c>
      <c r="F717" t="s">
        <v>88</v>
      </c>
      <c r="G717" s="19">
        <v>45565</v>
      </c>
      <c r="H717" t="s">
        <v>94</v>
      </c>
      <c r="I717" t="s">
        <v>340</v>
      </c>
      <c r="J717" t="s">
        <v>7262</v>
      </c>
      <c r="O717" t="s">
        <v>6534</v>
      </c>
      <c r="Q717" s="3">
        <f t="shared" si="12"/>
        <v>4.08</v>
      </c>
    </row>
    <row r="718" spans="1:17" x14ac:dyDescent="0.35">
      <c r="A718" t="s">
        <v>0</v>
      </c>
      <c r="B718" t="s">
        <v>6270</v>
      </c>
      <c r="C718" t="s">
        <v>28</v>
      </c>
      <c r="D718" t="s">
        <v>25</v>
      </c>
      <c r="E718">
        <v>4.0599999999999996</v>
      </c>
      <c r="F718" t="s">
        <v>88</v>
      </c>
      <c r="G718" s="19">
        <v>45546</v>
      </c>
      <c r="H718" t="s">
        <v>181</v>
      </c>
      <c r="I718" t="s">
        <v>182</v>
      </c>
      <c r="J718"/>
      <c r="Q718" s="3">
        <f t="shared" si="12"/>
        <v>4.0599999999999996</v>
      </c>
    </row>
    <row r="719" spans="1:17" x14ac:dyDescent="0.35">
      <c r="A719" t="s">
        <v>35</v>
      </c>
      <c r="B719" t="s">
        <v>6270</v>
      </c>
      <c r="C719" t="s">
        <v>28</v>
      </c>
      <c r="D719" t="s">
        <v>25</v>
      </c>
      <c r="E719">
        <v>3.64</v>
      </c>
      <c r="F719" t="s">
        <v>88</v>
      </c>
      <c r="G719" s="19">
        <v>45530</v>
      </c>
      <c r="H719" t="s">
        <v>94</v>
      </c>
      <c r="I719" t="s">
        <v>7067</v>
      </c>
      <c r="J719" t="s">
        <v>7068</v>
      </c>
      <c r="O719" t="s">
        <v>6916</v>
      </c>
      <c r="Q719" s="3">
        <f t="shared" si="12"/>
        <v>3.64</v>
      </c>
    </row>
    <row r="720" spans="1:17" x14ac:dyDescent="0.35">
      <c r="A720" t="s">
        <v>35</v>
      </c>
      <c r="B720" t="s">
        <v>6270</v>
      </c>
      <c r="C720" t="s">
        <v>28</v>
      </c>
      <c r="D720" t="s">
        <v>25</v>
      </c>
      <c r="E720">
        <v>3.64</v>
      </c>
      <c r="F720" t="s">
        <v>88</v>
      </c>
      <c r="G720" s="19">
        <v>45559</v>
      </c>
      <c r="H720" t="s">
        <v>94</v>
      </c>
      <c r="I720" t="s">
        <v>333</v>
      </c>
      <c r="J720" t="s">
        <v>7248</v>
      </c>
      <c r="O720" t="s">
        <v>7249</v>
      </c>
      <c r="Q720" s="3">
        <f t="shared" si="12"/>
        <v>3.64</v>
      </c>
    </row>
    <row r="721" spans="1:17" x14ac:dyDescent="0.35">
      <c r="A721" t="s">
        <v>35</v>
      </c>
      <c r="B721" t="s">
        <v>6270</v>
      </c>
      <c r="C721" t="s">
        <v>28</v>
      </c>
      <c r="D721" t="s">
        <v>25</v>
      </c>
      <c r="E721">
        <v>3.64</v>
      </c>
      <c r="F721" t="s">
        <v>88</v>
      </c>
      <c r="G721" s="19">
        <v>45559</v>
      </c>
      <c r="H721" t="s">
        <v>94</v>
      </c>
      <c r="I721" t="s">
        <v>333</v>
      </c>
      <c r="J721" t="s">
        <v>7248</v>
      </c>
      <c r="O721" t="s">
        <v>7250</v>
      </c>
      <c r="Q721" s="3">
        <f t="shared" si="12"/>
        <v>3.64</v>
      </c>
    </row>
    <row r="722" spans="1:17" x14ac:dyDescent="0.35">
      <c r="A722" t="s">
        <v>0</v>
      </c>
      <c r="B722" t="s">
        <v>6270</v>
      </c>
      <c r="C722" t="s">
        <v>28</v>
      </c>
      <c r="D722" t="s">
        <v>25</v>
      </c>
      <c r="E722">
        <v>3.58</v>
      </c>
      <c r="F722" t="s">
        <v>88</v>
      </c>
      <c r="G722" s="19">
        <v>45581</v>
      </c>
      <c r="H722" t="s">
        <v>181</v>
      </c>
      <c r="I722" t="s">
        <v>182</v>
      </c>
      <c r="J722"/>
      <c r="Q722" s="3">
        <f t="shared" si="12"/>
        <v>3.58</v>
      </c>
    </row>
    <row r="723" spans="1:17" x14ac:dyDescent="0.35">
      <c r="A723" t="s">
        <v>0</v>
      </c>
      <c r="B723" t="s">
        <v>6270</v>
      </c>
      <c r="C723" t="s">
        <v>28</v>
      </c>
      <c r="D723" t="s">
        <v>25</v>
      </c>
      <c r="E723">
        <v>-3.34</v>
      </c>
      <c r="F723" t="s">
        <v>88</v>
      </c>
      <c r="G723" s="19">
        <v>45592</v>
      </c>
      <c r="H723" t="s">
        <v>181</v>
      </c>
      <c r="I723" t="s">
        <v>182</v>
      </c>
      <c r="J723"/>
      <c r="Q723" s="3">
        <f t="shared" si="12"/>
        <v>3.34</v>
      </c>
    </row>
    <row r="724" spans="1:17" x14ac:dyDescent="0.35">
      <c r="A724" t="s">
        <v>35</v>
      </c>
      <c r="B724" t="s">
        <v>672</v>
      </c>
      <c r="C724" t="s">
        <v>28</v>
      </c>
      <c r="D724" t="s">
        <v>25</v>
      </c>
      <c r="E724">
        <v>3.18</v>
      </c>
      <c r="F724" t="s">
        <v>88</v>
      </c>
      <c r="G724" s="19">
        <v>45485</v>
      </c>
      <c r="H724" t="s">
        <v>94</v>
      </c>
      <c r="I724" t="s">
        <v>6761</v>
      </c>
      <c r="J724" t="s">
        <v>6762</v>
      </c>
      <c r="O724" t="s">
        <v>6763</v>
      </c>
      <c r="Q724" s="3">
        <f t="shared" si="12"/>
        <v>3.18</v>
      </c>
    </row>
    <row r="725" spans="1:17" x14ac:dyDescent="0.35">
      <c r="A725" t="s">
        <v>0</v>
      </c>
      <c r="B725" t="s">
        <v>6270</v>
      </c>
      <c r="C725" t="s">
        <v>28</v>
      </c>
      <c r="D725" t="s">
        <v>25</v>
      </c>
      <c r="E725">
        <v>-3.07</v>
      </c>
      <c r="F725" t="s">
        <v>88</v>
      </c>
      <c r="G725" s="19">
        <v>45516</v>
      </c>
      <c r="H725" t="s">
        <v>181</v>
      </c>
      <c r="I725" t="s">
        <v>182</v>
      </c>
      <c r="J725"/>
      <c r="Q725" s="3">
        <f t="shared" si="12"/>
        <v>3.07</v>
      </c>
    </row>
    <row r="726" spans="1:17" x14ac:dyDescent="0.35">
      <c r="A726" t="s">
        <v>0</v>
      </c>
      <c r="B726" t="s">
        <v>6270</v>
      </c>
      <c r="C726" t="s">
        <v>28</v>
      </c>
      <c r="D726" t="s">
        <v>25</v>
      </c>
      <c r="E726">
        <v>-3.02</v>
      </c>
      <c r="F726" t="s">
        <v>88</v>
      </c>
      <c r="G726" s="19">
        <v>45523</v>
      </c>
      <c r="H726" t="s">
        <v>181</v>
      </c>
      <c r="I726" t="s">
        <v>182</v>
      </c>
      <c r="J726"/>
      <c r="Q726" s="3">
        <f t="shared" si="12"/>
        <v>3.02</v>
      </c>
    </row>
    <row r="727" spans="1:17" x14ac:dyDescent="0.35">
      <c r="A727" t="s">
        <v>0</v>
      </c>
      <c r="B727" t="s">
        <v>6270</v>
      </c>
      <c r="C727" t="s">
        <v>28</v>
      </c>
      <c r="D727" t="s">
        <v>25</v>
      </c>
      <c r="E727">
        <v>2.5299999999999998</v>
      </c>
      <c r="F727" t="s">
        <v>88</v>
      </c>
      <c r="G727" s="19">
        <v>45557</v>
      </c>
      <c r="H727" t="s">
        <v>181</v>
      </c>
      <c r="I727" t="s">
        <v>182</v>
      </c>
      <c r="J727"/>
      <c r="Q727" s="3">
        <f t="shared" si="12"/>
        <v>2.5299999999999998</v>
      </c>
    </row>
    <row r="728" spans="1:17" x14ac:dyDescent="0.35">
      <c r="A728" t="s">
        <v>0</v>
      </c>
      <c r="B728" t="s">
        <v>6270</v>
      </c>
      <c r="C728" t="s">
        <v>28</v>
      </c>
      <c r="D728" t="s">
        <v>25</v>
      </c>
      <c r="E728">
        <v>2.44</v>
      </c>
      <c r="F728" t="s">
        <v>88</v>
      </c>
      <c r="G728" s="19">
        <v>45484</v>
      </c>
      <c r="H728" t="s">
        <v>181</v>
      </c>
      <c r="I728" t="s">
        <v>182</v>
      </c>
      <c r="J728"/>
      <c r="Q728" s="3">
        <f t="shared" si="12"/>
        <v>2.44</v>
      </c>
    </row>
    <row r="729" spans="1:17" x14ac:dyDescent="0.35">
      <c r="A729" t="s">
        <v>0</v>
      </c>
      <c r="B729" t="s">
        <v>599</v>
      </c>
      <c r="C729" t="s">
        <v>28</v>
      </c>
      <c r="D729" t="s">
        <v>25</v>
      </c>
      <c r="E729">
        <v>-2.2599999999999998</v>
      </c>
      <c r="F729" t="s">
        <v>88</v>
      </c>
      <c r="G729" s="19">
        <v>45516</v>
      </c>
      <c r="H729" t="s">
        <v>181</v>
      </c>
      <c r="I729" t="s">
        <v>182</v>
      </c>
      <c r="J729"/>
      <c r="Q729" s="3">
        <f t="shared" si="12"/>
        <v>2.2599999999999998</v>
      </c>
    </row>
    <row r="730" spans="1:17" x14ac:dyDescent="0.35">
      <c r="A730" t="s">
        <v>0</v>
      </c>
      <c r="B730" t="s">
        <v>599</v>
      </c>
      <c r="C730" t="s">
        <v>28</v>
      </c>
      <c r="D730" t="s">
        <v>25</v>
      </c>
      <c r="E730">
        <v>-2.2200000000000002</v>
      </c>
      <c r="F730" t="s">
        <v>88</v>
      </c>
      <c r="G730" s="19">
        <v>45523</v>
      </c>
      <c r="H730" t="s">
        <v>181</v>
      </c>
      <c r="I730" t="s">
        <v>182</v>
      </c>
      <c r="J730"/>
      <c r="Q730" s="3">
        <f t="shared" si="12"/>
        <v>2.2200000000000002</v>
      </c>
    </row>
    <row r="731" spans="1:17" x14ac:dyDescent="0.35">
      <c r="A731" t="s">
        <v>0</v>
      </c>
      <c r="B731" t="s">
        <v>599</v>
      </c>
      <c r="C731" t="s">
        <v>28</v>
      </c>
      <c r="D731" t="s">
        <v>25</v>
      </c>
      <c r="E731">
        <v>-2.21</v>
      </c>
      <c r="F731" t="s">
        <v>88</v>
      </c>
      <c r="G731" s="19">
        <v>45525</v>
      </c>
      <c r="H731" t="s">
        <v>181</v>
      </c>
      <c r="I731" t="s">
        <v>182</v>
      </c>
      <c r="J731"/>
      <c r="Q731" s="3">
        <f t="shared" si="12"/>
        <v>2.21</v>
      </c>
    </row>
    <row r="732" spans="1:17" x14ac:dyDescent="0.35">
      <c r="A732" t="s">
        <v>35</v>
      </c>
      <c r="B732" t="s">
        <v>728</v>
      </c>
      <c r="C732" t="s">
        <v>28</v>
      </c>
      <c r="D732" t="s">
        <v>25</v>
      </c>
      <c r="E732">
        <v>2.17</v>
      </c>
      <c r="F732" t="s">
        <v>88</v>
      </c>
      <c r="G732" s="19">
        <v>45533</v>
      </c>
      <c r="H732" t="s">
        <v>7088</v>
      </c>
      <c r="I732" t="s">
        <v>7089</v>
      </c>
      <c r="J732"/>
      <c r="Q732" s="3">
        <f t="shared" si="12"/>
        <v>2.17</v>
      </c>
    </row>
    <row r="733" spans="1:17" x14ac:dyDescent="0.35">
      <c r="A733" t="s">
        <v>0</v>
      </c>
      <c r="B733" t="s">
        <v>6270</v>
      </c>
      <c r="C733" t="s">
        <v>28</v>
      </c>
      <c r="D733" t="s">
        <v>25</v>
      </c>
      <c r="E733">
        <v>2</v>
      </c>
      <c r="F733" t="s">
        <v>88</v>
      </c>
      <c r="G733" s="19">
        <v>45587</v>
      </c>
      <c r="H733" t="s">
        <v>181</v>
      </c>
      <c r="I733" t="s">
        <v>182</v>
      </c>
      <c r="J733"/>
      <c r="Q733" s="3">
        <f t="shared" si="12"/>
        <v>2</v>
      </c>
    </row>
    <row r="734" spans="1:17" x14ac:dyDescent="0.35">
      <c r="A734" t="s">
        <v>0</v>
      </c>
      <c r="B734" t="s">
        <v>6270</v>
      </c>
      <c r="C734" t="s">
        <v>28</v>
      </c>
      <c r="D734" t="s">
        <v>25</v>
      </c>
      <c r="E734">
        <v>1.96</v>
      </c>
      <c r="F734" t="s">
        <v>88</v>
      </c>
      <c r="G734" s="19">
        <v>45564</v>
      </c>
      <c r="H734" t="s">
        <v>181</v>
      </c>
      <c r="I734" t="s">
        <v>182</v>
      </c>
      <c r="J734"/>
      <c r="Q734" s="3">
        <f t="shared" si="12"/>
        <v>1.96</v>
      </c>
    </row>
    <row r="735" spans="1:17" x14ac:dyDescent="0.35">
      <c r="A735" t="s">
        <v>35</v>
      </c>
      <c r="B735" t="s">
        <v>703</v>
      </c>
      <c r="C735" t="s">
        <v>28</v>
      </c>
      <c r="D735" t="s">
        <v>25</v>
      </c>
      <c r="E735">
        <v>-1.54</v>
      </c>
      <c r="F735" t="s">
        <v>88</v>
      </c>
      <c r="G735" s="19">
        <v>45533</v>
      </c>
      <c r="H735" t="s">
        <v>7085</v>
      </c>
      <c r="I735" t="s">
        <v>6200</v>
      </c>
      <c r="J735"/>
      <c r="Q735" s="3">
        <f t="shared" si="12"/>
        <v>1.54</v>
      </c>
    </row>
    <row r="736" spans="1:17" x14ac:dyDescent="0.35">
      <c r="A736" t="s">
        <v>35</v>
      </c>
      <c r="B736" t="s">
        <v>633</v>
      </c>
      <c r="C736" t="s">
        <v>28</v>
      </c>
      <c r="D736" t="s">
        <v>25</v>
      </c>
      <c r="E736">
        <v>1.35</v>
      </c>
      <c r="F736" t="s">
        <v>88</v>
      </c>
      <c r="G736" s="19">
        <v>45464</v>
      </c>
      <c r="H736" t="s">
        <v>94</v>
      </c>
      <c r="I736" t="s">
        <v>243</v>
      </c>
      <c r="J736" t="s">
        <v>6675</v>
      </c>
      <c r="O736" t="s">
        <v>6676</v>
      </c>
      <c r="Q736" s="3">
        <f t="shared" si="12"/>
        <v>1.35</v>
      </c>
    </row>
    <row r="737" spans="1:17" x14ac:dyDescent="0.35">
      <c r="A737" t="s">
        <v>35</v>
      </c>
      <c r="B737" t="s">
        <v>633</v>
      </c>
      <c r="C737" t="s">
        <v>28</v>
      </c>
      <c r="D737" t="s">
        <v>25</v>
      </c>
      <c r="E737">
        <v>1.35</v>
      </c>
      <c r="F737" t="s">
        <v>88</v>
      </c>
      <c r="G737" s="19">
        <v>45464</v>
      </c>
      <c r="H737" t="s">
        <v>94</v>
      </c>
      <c r="I737" t="s">
        <v>243</v>
      </c>
      <c r="J737" t="s">
        <v>6677</v>
      </c>
      <c r="O737" t="s">
        <v>6678</v>
      </c>
      <c r="Q737" s="3">
        <f t="shared" si="12"/>
        <v>1.35</v>
      </c>
    </row>
    <row r="738" spans="1:17" x14ac:dyDescent="0.35">
      <c r="A738" t="s">
        <v>35</v>
      </c>
      <c r="B738" t="s">
        <v>633</v>
      </c>
      <c r="C738" t="s">
        <v>28</v>
      </c>
      <c r="D738" t="s">
        <v>25</v>
      </c>
      <c r="E738">
        <v>1.35</v>
      </c>
      <c r="F738" t="s">
        <v>88</v>
      </c>
      <c r="G738" s="19">
        <v>45464</v>
      </c>
      <c r="H738" t="s">
        <v>94</v>
      </c>
      <c r="I738" t="s">
        <v>243</v>
      </c>
      <c r="J738" t="s">
        <v>6679</v>
      </c>
      <c r="O738" t="s">
        <v>6680</v>
      </c>
      <c r="Q738" s="3">
        <f t="shared" si="12"/>
        <v>1.35</v>
      </c>
    </row>
    <row r="739" spans="1:17" x14ac:dyDescent="0.35">
      <c r="A739" t="s">
        <v>35</v>
      </c>
      <c r="B739" t="s">
        <v>633</v>
      </c>
      <c r="C739" t="s">
        <v>28</v>
      </c>
      <c r="D739" t="s">
        <v>25</v>
      </c>
      <c r="E739">
        <v>1.35</v>
      </c>
      <c r="F739" t="s">
        <v>88</v>
      </c>
      <c r="G739" s="19">
        <v>45477</v>
      </c>
      <c r="H739" t="s">
        <v>94</v>
      </c>
      <c r="I739" t="s">
        <v>243</v>
      </c>
      <c r="J739" t="s">
        <v>6741</v>
      </c>
      <c r="O739" t="s">
        <v>6534</v>
      </c>
      <c r="Q739" s="3">
        <f t="shared" si="12"/>
        <v>1.35</v>
      </c>
    </row>
    <row r="740" spans="1:17" x14ac:dyDescent="0.35">
      <c r="A740" t="s">
        <v>35</v>
      </c>
      <c r="B740" t="s">
        <v>599</v>
      </c>
      <c r="C740" t="s">
        <v>28</v>
      </c>
      <c r="D740" t="s">
        <v>25</v>
      </c>
      <c r="E740">
        <v>1.35</v>
      </c>
      <c r="F740" t="s">
        <v>88</v>
      </c>
      <c r="G740" s="19">
        <v>45590</v>
      </c>
      <c r="H740" t="s">
        <v>94</v>
      </c>
      <c r="I740" t="s">
        <v>6233</v>
      </c>
      <c r="J740" t="s">
        <v>7327</v>
      </c>
      <c r="O740" t="s">
        <v>7328</v>
      </c>
      <c r="Q740" s="3">
        <f t="shared" si="12"/>
        <v>1.35</v>
      </c>
    </row>
    <row r="741" spans="1:17" x14ac:dyDescent="0.35">
      <c r="A741" t="s">
        <v>35</v>
      </c>
      <c r="B741" t="s">
        <v>633</v>
      </c>
      <c r="C741" t="s">
        <v>28</v>
      </c>
      <c r="D741" t="s">
        <v>25</v>
      </c>
      <c r="E741">
        <v>1.35</v>
      </c>
      <c r="F741" t="s">
        <v>88</v>
      </c>
      <c r="G741" s="19">
        <v>45608</v>
      </c>
      <c r="H741" t="s">
        <v>94</v>
      </c>
      <c r="I741" t="s">
        <v>243</v>
      </c>
      <c r="J741" t="s">
        <v>7375</v>
      </c>
      <c r="O741" t="s">
        <v>6534</v>
      </c>
      <c r="Q741" s="3">
        <f t="shared" si="12"/>
        <v>1.35</v>
      </c>
    </row>
    <row r="742" spans="1:17" x14ac:dyDescent="0.35">
      <c r="A742" t="s">
        <v>35</v>
      </c>
      <c r="B742" t="s">
        <v>633</v>
      </c>
      <c r="C742" t="s">
        <v>28</v>
      </c>
      <c r="D742" t="s">
        <v>25</v>
      </c>
      <c r="E742">
        <v>1.35</v>
      </c>
      <c r="F742" t="s">
        <v>88</v>
      </c>
      <c r="G742" s="19">
        <v>45608</v>
      </c>
      <c r="H742" t="s">
        <v>94</v>
      </c>
      <c r="I742" t="s">
        <v>243</v>
      </c>
      <c r="J742" t="s">
        <v>7376</v>
      </c>
      <c r="O742" t="s">
        <v>6534</v>
      </c>
      <c r="Q742" s="3">
        <f t="shared" si="12"/>
        <v>1.35</v>
      </c>
    </row>
    <row r="743" spans="1:17" x14ac:dyDescent="0.35">
      <c r="A743" t="s">
        <v>35</v>
      </c>
      <c r="B743" t="s">
        <v>633</v>
      </c>
      <c r="C743" t="s">
        <v>28</v>
      </c>
      <c r="D743" t="s">
        <v>25</v>
      </c>
      <c r="E743">
        <v>1.35</v>
      </c>
      <c r="F743" t="s">
        <v>88</v>
      </c>
      <c r="G743" s="19">
        <v>45608</v>
      </c>
      <c r="H743" t="s">
        <v>94</v>
      </c>
      <c r="I743" t="s">
        <v>243</v>
      </c>
      <c r="J743" t="s">
        <v>7377</v>
      </c>
      <c r="O743" t="s">
        <v>7378</v>
      </c>
      <c r="Q743" s="3">
        <f t="shared" si="12"/>
        <v>1.35</v>
      </c>
    </row>
    <row r="744" spans="1:17" x14ac:dyDescent="0.35">
      <c r="A744" t="s">
        <v>35</v>
      </c>
      <c r="B744" t="s">
        <v>633</v>
      </c>
      <c r="C744" t="s">
        <v>28</v>
      </c>
      <c r="D744" t="s">
        <v>25</v>
      </c>
      <c r="E744">
        <v>1.35</v>
      </c>
      <c r="F744" t="s">
        <v>88</v>
      </c>
      <c r="G744" s="19">
        <v>45608</v>
      </c>
      <c r="H744" t="s">
        <v>94</v>
      </c>
      <c r="I744" t="s">
        <v>243</v>
      </c>
      <c r="J744" t="s">
        <v>7379</v>
      </c>
      <c r="O744" t="s">
        <v>6534</v>
      </c>
      <c r="Q744" s="3">
        <f t="shared" si="12"/>
        <v>1.35</v>
      </c>
    </row>
    <row r="745" spans="1:17" x14ac:dyDescent="0.35">
      <c r="A745" t="s">
        <v>35</v>
      </c>
      <c r="B745" t="s">
        <v>599</v>
      </c>
      <c r="C745" t="s">
        <v>28</v>
      </c>
      <c r="D745" t="s">
        <v>25</v>
      </c>
      <c r="E745">
        <v>1.35</v>
      </c>
      <c r="F745" t="s">
        <v>88</v>
      </c>
      <c r="G745" s="19">
        <v>45631</v>
      </c>
      <c r="H745" t="s">
        <v>94</v>
      </c>
      <c r="I745" t="s">
        <v>7427</v>
      </c>
      <c r="J745" t="s">
        <v>7430</v>
      </c>
      <c r="O745" t="s">
        <v>7431</v>
      </c>
      <c r="Q745" s="3">
        <f t="shared" si="12"/>
        <v>1.35</v>
      </c>
    </row>
    <row r="746" spans="1:17" x14ac:dyDescent="0.35">
      <c r="A746" t="s">
        <v>0</v>
      </c>
      <c r="B746" t="s">
        <v>6270</v>
      </c>
      <c r="C746" t="s">
        <v>28</v>
      </c>
      <c r="D746" t="s">
        <v>25</v>
      </c>
      <c r="E746">
        <v>-1.1599999999999999</v>
      </c>
      <c r="F746" t="s">
        <v>88</v>
      </c>
      <c r="G746" s="19">
        <v>45495</v>
      </c>
      <c r="H746" t="s">
        <v>181</v>
      </c>
      <c r="I746" t="s">
        <v>182</v>
      </c>
      <c r="J746"/>
      <c r="Q746" s="3">
        <f t="shared" si="12"/>
        <v>1.1599999999999999</v>
      </c>
    </row>
    <row r="747" spans="1:17" x14ac:dyDescent="0.35">
      <c r="A747" t="s">
        <v>0</v>
      </c>
      <c r="B747" t="s">
        <v>6270</v>
      </c>
      <c r="C747" t="s">
        <v>28</v>
      </c>
      <c r="D747" t="s">
        <v>25</v>
      </c>
      <c r="E747">
        <v>-0.9</v>
      </c>
      <c r="F747" t="s">
        <v>88</v>
      </c>
      <c r="G747" s="19">
        <v>45593</v>
      </c>
      <c r="H747" t="s">
        <v>181</v>
      </c>
      <c r="I747" t="s">
        <v>182</v>
      </c>
      <c r="J747"/>
      <c r="Q747" s="3">
        <f t="shared" si="12"/>
        <v>0.9</v>
      </c>
    </row>
    <row r="748" spans="1:17" x14ac:dyDescent="0.35">
      <c r="A748" t="s">
        <v>35</v>
      </c>
      <c r="B748" t="s">
        <v>703</v>
      </c>
      <c r="C748" t="s">
        <v>28</v>
      </c>
      <c r="D748" t="s">
        <v>25</v>
      </c>
      <c r="E748">
        <v>-0.79</v>
      </c>
      <c r="F748" t="s">
        <v>88</v>
      </c>
      <c r="G748" s="19">
        <v>45403</v>
      </c>
      <c r="H748" t="s">
        <v>637</v>
      </c>
      <c r="I748" t="s">
        <v>6384</v>
      </c>
      <c r="J748"/>
      <c r="Q748" s="3">
        <f t="shared" si="12"/>
        <v>0.79</v>
      </c>
    </row>
    <row r="749" spans="1:17" x14ac:dyDescent="0.35">
      <c r="A749" t="s">
        <v>0</v>
      </c>
      <c r="B749" t="s">
        <v>6270</v>
      </c>
      <c r="C749" t="s">
        <v>28</v>
      </c>
      <c r="D749" t="s">
        <v>25</v>
      </c>
      <c r="E749">
        <v>-0.54</v>
      </c>
      <c r="F749" t="s">
        <v>88</v>
      </c>
      <c r="G749" s="19">
        <v>45519</v>
      </c>
      <c r="H749" t="s">
        <v>181</v>
      </c>
      <c r="I749" t="s">
        <v>182</v>
      </c>
      <c r="J749"/>
      <c r="Q749" s="3">
        <f t="shared" si="12"/>
        <v>0.54</v>
      </c>
    </row>
    <row r="750" spans="1:17" x14ac:dyDescent="0.35">
      <c r="A750" t="s">
        <v>0</v>
      </c>
      <c r="B750" t="s">
        <v>599</v>
      </c>
      <c r="C750" t="s">
        <v>28</v>
      </c>
      <c r="D750" t="s">
        <v>25</v>
      </c>
      <c r="E750">
        <v>-0.39</v>
      </c>
      <c r="F750" t="s">
        <v>88</v>
      </c>
      <c r="G750" s="19">
        <v>45519</v>
      </c>
      <c r="H750" t="s">
        <v>181</v>
      </c>
      <c r="I750" t="s">
        <v>182</v>
      </c>
      <c r="J750"/>
      <c r="Q750" s="3">
        <f t="shared" si="12"/>
        <v>0.39</v>
      </c>
    </row>
    <row r="751" spans="1:17" x14ac:dyDescent="0.35">
      <c r="A751" t="s">
        <v>35</v>
      </c>
      <c r="B751" t="s">
        <v>866</v>
      </c>
      <c r="C751" t="s">
        <v>28</v>
      </c>
      <c r="D751" t="s">
        <v>25</v>
      </c>
      <c r="E751">
        <v>0.34</v>
      </c>
      <c r="F751" t="s">
        <v>88</v>
      </c>
      <c r="G751" s="19">
        <v>45403</v>
      </c>
      <c r="H751" t="s">
        <v>637</v>
      </c>
      <c r="I751" t="s">
        <v>6384</v>
      </c>
      <c r="J751"/>
      <c r="Q751" s="3">
        <f t="shared" si="12"/>
        <v>0.34</v>
      </c>
    </row>
    <row r="752" spans="1:17" x14ac:dyDescent="0.35">
      <c r="A752" t="s">
        <v>35</v>
      </c>
      <c r="B752" t="s">
        <v>6386</v>
      </c>
      <c r="C752" t="s">
        <v>28</v>
      </c>
      <c r="D752" t="s">
        <v>25</v>
      </c>
      <c r="E752">
        <v>-0.28000000000000003</v>
      </c>
      <c r="F752" t="s">
        <v>88</v>
      </c>
      <c r="G752" s="19">
        <v>45533</v>
      </c>
      <c r="H752" t="s">
        <v>7085</v>
      </c>
      <c r="I752" t="s">
        <v>6200</v>
      </c>
      <c r="J752"/>
      <c r="Q752" s="3">
        <f t="shared" si="12"/>
        <v>0.28000000000000003</v>
      </c>
    </row>
    <row r="753" spans="1:17" x14ac:dyDescent="0.35">
      <c r="A753" t="s">
        <v>35</v>
      </c>
      <c r="B753" t="s">
        <v>5393</v>
      </c>
      <c r="C753" t="s">
        <v>28</v>
      </c>
      <c r="D753" t="s">
        <v>25</v>
      </c>
      <c r="E753">
        <v>-0.27</v>
      </c>
      <c r="F753" t="s">
        <v>88</v>
      </c>
      <c r="G753" s="19">
        <v>45533</v>
      </c>
      <c r="H753" t="s">
        <v>7085</v>
      </c>
      <c r="I753" t="s">
        <v>6200</v>
      </c>
      <c r="J753"/>
      <c r="Q753" s="3">
        <f t="shared" si="12"/>
        <v>0.27</v>
      </c>
    </row>
    <row r="754" spans="1:17" x14ac:dyDescent="0.35">
      <c r="A754" t="s">
        <v>35</v>
      </c>
      <c r="B754" t="s">
        <v>677</v>
      </c>
      <c r="C754" t="s">
        <v>28</v>
      </c>
      <c r="D754" t="s">
        <v>25</v>
      </c>
      <c r="E754">
        <v>-0.26</v>
      </c>
      <c r="F754" t="s">
        <v>88</v>
      </c>
      <c r="G754" s="19">
        <v>45533</v>
      </c>
      <c r="H754" t="s">
        <v>7085</v>
      </c>
      <c r="I754" t="s">
        <v>6200</v>
      </c>
      <c r="J754"/>
      <c r="Q754" s="3">
        <f t="shared" si="12"/>
        <v>0.26</v>
      </c>
    </row>
    <row r="755" spans="1:17" x14ac:dyDescent="0.35">
      <c r="A755" t="s">
        <v>35</v>
      </c>
      <c r="B755" t="s">
        <v>1279</v>
      </c>
      <c r="C755" t="s">
        <v>28</v>
      </c>
      <c r="D755" t="s">
        <v>25</v>
      </c>
      <c r="E755">
        <v>0.24</v>
      </c>
      <c r="F755" t="s">
        <v>88</v>
      </c>
      <c r="G755" s="19">
        <v>45470</v>
      </c>
      <c r="H755" t="s">
        <v>181</v>
      </c>
      <c r="I755" t="s">
        <v>182</v>
      </c>
      <c r="J755"/>
      <c r="Q755" s="3">
        <f t="shared" si="12"/>
        <v>0.24</v>
      </c>
    </row>
    <row r="756" spans="1:17" x14ac:dyDescent="0.35">
      <c r="A756" t="s">
        <v>35</v>
      </c>
      <c r="B756" t="s">
        <v>6098</v>
      </c>
      <c r="C756" t="s">
        <v>28</v>
      </c>
      <c r="D756" t="s">
        <v>25</v>
      </c>
      <c r="E756">
        <v>-0.22999999999999998</v>
      </c>
      <c r="F756" t="s">
        <v>88</v>
      </c>
      <c r="G756" s="19">
        <v>45533</v>
      </c>
      <c r="H756" t="s">
        <v>7085</v>
      </c>
      <c r="I756" t="s">
        <v>6200</v>
      </c>
      <c r="J756"/>
      <c r="Q756" s="3">
        <f t="shared" si="12"/>
        <v>0.22999999999999998</v>
      </c>
    </row>
    <row r="757" spans="1:17" x14ac:dyDescent="0.35">
      <c r="A757" t="s">
        <v>35</v>
      </c>
      <c r="B757" t="s">
        <v>622</v>
      </c>
      <c r="C757" t="s">
        <v>28</v>
      </c>
      <c r="D757" t="s">
        <v>25</v>
      </c>
      <c r="E757">
        <v>-0.22999999999999998</v>
      </c>
      <c r="F757" t="s">
        <v>88</v>
      </c>
      <c r="G757" s="19">
        <v>45533</v>
      </c>
      <c r="H757" t="s">
        <v>7085</v>
      </c>
      <c r="I757" t="s">
        <v>6200</v>
      </c>
      <c r="J757"/>
      <c r="Q757" s="3">
        <f t="shared" si="12"/>
        <v>0.22999999999999998</v>
      </c>
    </row>
    <row r="758" spans="1:17" x14ac:dyDescent="0.35">
      <c r="A758" t="s">
        <v>35</v>
      </c>
      <c r="B758" t="s">
        <v>1566</v>
      </c>
      <c r="C758" t="s">
        <v>28</v>
      </c>
      <c r="D758" t="s">
        <v>25</v>
      </c>
      <c r="E758">
        <v>-0.2</v>
      </c>
      <c r="F758" t="s">
        <v>88</v>
      </c>
      <c r="G758" s="19">
        <v>45533</v>
      </c>
      <c r="H758" t="s">
        <v>7085</v>
      </c>
      <c r="I758" t="s">
        <v>6200</v>
      </c>
      <c r="J758"/>
      <c r="Q758" s="3">
        <f t="shared" si="12"/>
        <v>0.2</v>
      </c>
    </row>
    <row r="759" spans="1:17" x14ac:dyDescent="0.35">
      <c r="A759" t="s">
        <v>35</v>
      </c>
      <c r="B759" t="s">
        <v>6402</v>
      </c>
      <c r="C759" t="s">
        <v>28</v>
      </c>
      <c r="D759" t="s">
        <v>25</v>
      </c>
      <c r="E759">
        <v>0.18</v>
      </c>
      <c r="F759" t="s">
        <v>88</v>
      </c>
      <c r="G759" s="19">
        <v>45403</v>
      </c>
      <c r="H759" t="s">
        <v>637</v>
      </c>
      <c r="I759" t="s">
        <v>6384</v>
      </c>
      <c r="J759"/>
      <c r="Q759" s="3">
        <f t="shared" si="12"/>
        <v>0.18</v>
      </c>
    </row>
    <row r="760" spans="1:17" x14ac:dyDescent="0.35">
      <c r="A760" t="s">
        <v>35</v>
      </c>
      <c r="B760" t="s">
        <v>6397</v>
      </c>
      <c r="C760" t="s">
        <v>28</v>
      </c>
      <c r="D760" t="s">
        <v>25</v>
      </c>
      <c r="E760">
        <v>-0.18</v>
      </c>
      <c r="F760" t="s">
        <v>88</v>
      </c>
      <c r="G760" s="19">
        <v>45533</v>
      </c>
      <c r="H760" t="s">
        <v>7085</v>
      </c>
      <c r="I760" t="s">
        <v>6200</v>
      </c>
      <c r="J760"/>
      <c r="Q760" s="3">
        <f t="shared" si="12"/>
        <v>0.18</v>
      </c>
    </row>
    <row r="761" spans="1:17" x14ac:dyDescent="0.35">
      <c r="A761" t="s">
        <v>35</v>
      </c>
      <c r="B761" t="s">
        <v>868</v>
      </c>
      <c r="C761" t="s">
        <v>28</v>
      </c>
      <c r="D761" t="s">
        <v>25</v>
      </c>
      <c r="E761">
        <v>-0.18</v>
      </c>
      <c r="F761" t="s">
        <v>88</v>
      </c>
      <c r="G761" s="19">
        <v>45533</v>
      </c>
      <c r="H761" t="s">
        <v>7085</v>
      </c>
      <c r="I761" t="s">
        <v>6200</v>
      </c>
      <c r="J761"/>
      <c r="Q761" s="3">
        <f t="shared" si="12"/>
        <v>0.18</v>
      </c>
    </row>
    <row r="762" spans="1:17" x14ac:dyDescent="0.35">
      <c r="A762" t="s">
        <v>0</v>
      </c>
      <c r="B762" t="s">
        <v>599</v>
      </c>
      <c r="C762" t="s">
        <v>28</v>
      </c>
      <c r="D762" t="s">
        <v>25</v>
      </c>
      <c r="E762">
        <v>-0.17</v>
      </c>
      <c r="F762" t="s">
        <v>88</v>
      </c>
      <c r="G762" s="19">
        <v>45403</v>
      </c>
      <c r="H762" t="s">
        <v>637</v>
      </c>
      <c r="I762" t="s">
        <v>6384</v>
      </c>
      <c r="J762"/>
      <c r="Q762" s="3">
        <f t="shared" si="12"/>
        <v>0.17</v>
      </c>
    </row>
    <row r="763" spans="1:17" x14ac:dyDescent="0.35">
      <c r="A763" t="s">
        <v>35</v>
      </c>
      <c r="B763" t="s">
        <v>7087</v>
      </c>
      <c r="C763" t="s">
        <v>28</v>
      </c>
      <c r="D763" t="s">
        <v>25</v>
      </c>
      <c r="E763">
        <v>0.16999999999999998</v>
      </c>
      <c r="F763" t="s">
        <v>88</v>
      </c>
      <c r="G763" s="19">
        <v>45533</v>
      </c>
      <c r="H763" t="s">
        <v>7085</v>
      </c>
      <c r="I763" t="s">
        <v>6200</v>
      </c>
      <c r="J763"/>
      <c r="Q763" s="3">
        <f t="shared" si="12"/>
        <v>0.16999999999999998</v>
      </c>
    </row>
    <row r="764" spans="1:17" x14ac:dyDescent="0.35">
      <c r="A764" t="s">
        <v>35</v>
      </c>
      <c r="B764" t="s">
        <v>6400</v>
      </c>
      <c r="C764" t="s">
        <v>28</v>
      </c>
      <c r="D764" t="s">
        <v>25</v>
      </c>
      <c r="E764">
        <v>-0.15000000000000002</v>
      </c>
      <c r="F764" t="s">
        <v>88</v>
      </c>
      <c r="G764" s="19">
        <v>45533</v>
      </c>
      <c r="H764" t="s">
        <v>7085</v>
      </c>
      <c r="I764" t="s">
        <v>6200</v>
      </c>
      <c r="J764"/>
      <c r="Q764" s="3">
        <f t="shared" si="12"/>
        <v>0.15000000000000002</v>
      </c>
    </row>
    <row r="765" spans="1:17" x14ac:dyDescent="0.35">
      <c r="A765" t="s">
        <v>35</v>
      </c>
      <c r="B765" t="s">
        <v>1043</v>
      </c>
      <c r="C765" t="s">
        <v>28</v>
      </c>
      <c r="D765" t="s">
        <v>25</v>
      </c>
      <c r="E765">
        <v>-0.15</v>
      </c>
      <c r="F765" t="s">
        <v>88</v>
      </c>
      <c r="G765" s="19">
        <v>45533</v>
      </c>
      <c r="H765" t="s">
        <v>7085</v>
      </c>
      <c r="I765" t="s">
        <v>6200</v>
      </c>
      <c r="J765"/>
      <c r="Q765" s="3">
        <f t="shared" si="12"/>
        <v>0.15</v>
      </c>
    </row>
    <row r="766" spans="1:17" x14ac:dyDescent="0.35">
      <c r="A766" t="s">
        <v>35</v>
      </c>
      <c r="B766" t="s">
        <v>788</v>
      </c>
      <c r="C766" t="s">
        <v>28</v>
      </c>
      <c r="D766" t="s">
        <v>25</v>
      </c>
      <c r="E766">
        <v>0.15</v>
      </c>
      <c r="F766" t="s">
        <v>88</v>
      </c>
      <c r="G766" s="19">
        <v>45533</v>
      </c>
      <c r="H766" t="s">
        <v>7085</v>
      </c>
      <c r="I766" t="s">
        <v>6200</v>
      </c>
      <c r="J766"/>
      <c r="Q766" s="3">
        <f t="shared" si="12"/>
        <v>0.15</v>
      </c>
    </row>
    <row r="767" spans="1:17" x14ac:dyDescent="0.35">
      <c r="A767" t="s">
        <v>35</v>
      </c>
      <c r="B767" t="s">
        <v>1411</v>
      </c>
      <c r="C767" t="s">
        <v>28</v>
      </c>
      <c r="D767" t="s">
        <v>25</v>
      </c>
      <c r="E767">
        <v>0.15</v>
      </c>
      <c r="F767" t="s">
        <v>88</v>
      </c>
      <c r="G767" s="19">
        <v>45533</v>
      </c>
      <c r="H767" t="s">
        <v>7085</v>
      </c>
      <c r="I767" t="s">
        <v>6200</v>
      </c>
      <c r="J767"/>
      <c r="Q767" s="3">
        <f t="shared" si="12"/>
        <v>0.15</v>
      </c>
    </row>
    <row r="768" spans="1:17" x14ac:dyDescent="0.35">
      <c r="A768" t="s">
        <v>0</v>
      </c>
      <c r="B768" t="s">
        <v>1627</v>
      </c>
      <c r="C768" t="s">
        <v>28</v>
      </c>
      <c r="D768" t="s">
        <v>25</v>
      </c>
      <c r="E768">
        <v>-0.14000000000000001</v>
      </c>
      <c r="F768" t="s">
        <v>88</v>
      </c>
      <c r="G768" s="19">
        <v>45403</v>
      </c>
      <c r="H768" t="s">
        <v>6384</v>
      </c>
      <c r="I768" t="s">
        <v>6384</v>
      </c>
      <c r="J768"/>
      <c r="Q768" s="3">
        <f t="shared" si="12"/>
        <v>0.14000000000000001</v>
      </c>
    </row>
    <row r="769" spans="1:17" x14ac:dyDescent="0.35">
      <c r="A769" t="s">
        <v>35</v>
      </c>
      <c r="B769" t="s">
        <v>1041</v>
      </c>
      <c r="C769" t="s">
        <v>28</v>
      </c>
      <c r="D769" t="s">
        <v>25</v>
      </c>
      <c r="E769">
        <v>0.14000000000000001</v>
      </c>
      <c r="F769" t="s">
        <v>88</v>
      </c>
      <c r="G769" s="19">
        <v>45533</v>
      </c>
      <c r="H769" t="s">
        <v>7085</v>
      </c>
      <c r="I769" t="s">
        <v>6200</v>
      </c>
      <c r="J769"/>
      <c r="Q769" s="3">
        <f t="shared" si="12"/>
        <v>0.14000000000000001</v>
      </c>
    </row>
    <row r="770" spans="1:17" x14ac:dyDescent="0.35">
      <c r="A770" t="s">
        <v>35</v>
      </c>
      <c r="B770" t="s">
        <v>825</v>
      </c>
      <c r="C770" t="s">
        <v>28</v>
      </c>
      <c r="D770" t="s">
        <v>25</v>
      </c>
      <c r="E770">
        <v>-0.14000000000000001</v>
      </c>
      <c r="F770" t="s">
        <v>88</v>
      </c>
      <c r="G770" s="19">
        <v>45533</v>
      </c>
      <c r="H770" t="s">
        <v>7085</v>
      </c>
      <c r="I770" t="s">
        <v>6200</v>
      </c>
      <c r="J770"/>
      <c r="Q770" s="3">
        <f t="shared" si="12"/>
        <v>0.14000000000000001</v>
      </c>
    </row>
    <row r="771" spans="1:17" x14ac:dyDescent="0.35">
      <c r="A771" t="s">
        <v>35</v>
      </c>
      <c r="B771" t="s">
        <v>740</v>
      </c>
      <c r="C771" t="s">
        <v>28</v>
      </c>
      <c r="D771" t="s">
        <v>25</v>
      </c>
      <c r="E771">
        <v>0.13999999999999999</v>
      </c>
      <c r="F771" t="s">
        <v>88</v>
      </c>
      <c r="G771" s="19">
        <v>45533</v>
      </c>
      <c r="H771" t="s">
        <v>7085</v>
      </c>
      <c r="I771" t="s">
        <v>6200</v>
      </c>
      <c r="J771"/>
      <c r="Q771" s="3">
        <f t="shared" si="12"/>
        <v>0.13999999999999999</v>
      </c>
    </row>
    <row r="772" spans="1:17" x14ac:dyDescent="0.35">
      <c r="A772" t="s">
        <v>35</v>
      </c>
      <c r="B772" t="s">
        <v>6394</v>
      </c>
      <c r="C772" t="s">
        <v>28</v>
      </c>
      <c r="D772" t="s">
        <v>25</v>
      </c>
      <c r="E772">
        <v>-0.13</v>
      </c>
      <c r="F772" t="s">
        <v>88</v>
      </c>
      <c r="G772" s="19">
        <v>45533</v>
      </c>
      <c r="H772" t="s">
        <v>7085</v>
      </c>
      <c r="I772" t="s">
        <v>6200</v>
      </c>
      <c r="J772"/>
      <c r="Q772" s="3">
        <f t="shared" si="12"/>
        <v>0.13</v>
      </c>
    </row>
    <row r="773" spans="1:17" x14ac:dyDescent="0.35">
      <c r="A773" t="s">
        <v>35</v>
      </c>
      <c r="B773" t="s">
        <v>633</v>
      </c>
      <c r="C773" t="s">
        <v>28</v>
      </c>
      <c r="D773" t="s">
        <v>25</v>
      </c>
      <c r="E773">
        <v>-0.13</v>
      </c>
      <c r="F773" t="s">
        <v>88</v>
      </c>
      <c r="G773" s="19">
        <v>45533</v>
      </c>
      <c r="H773" t="s">
        <v>7085</v>
      </c>
      <c r="I773" t="s">
        <v>6200</v>
      </c>
      <c r="J773"/>
      <c r="Q773" s="3">
        <f t="shared" si="12"/>
        <v>0.13</v>
      </c>
    </row>
    <row r="774" spans="1:17" x14ac:dyDescent="0.35">
      <c r="A774" t="s">
        <v>35</v>
      </c>
      <c r="B774" t="s">
        <v>5994</v>
      </c>
      <c r="C774" t="s">
        <v>28</v>
      </c>
      <c r="D774" t="s">
        <v>25</v>
      </c>
      <c r="E774">
        <v>0.13</v>
      </c>
      <c r="F774" t="s">
        <v>88</v>
      </c>
      <c r="G774" s="19">
        <v>45533</v>
      </c>
      <c r="H774" t="s">
        <v>7085</v>
      </c>
      <c r="I774" t="s">
        <v>6200</v>
      </c>
      <c r="J774"/>
      <c r="Q774" s="3">
        <f t="shared" si="12"/>
        <v>0.13</v>
      </c>
    </row>
    <row r="775" spans="1:17" x14ac:dyDescent="0.35">
      <c r="A775" t="s">
        <v>35</v>
      </c>
      <c r="B775" t="s">
        <v>5696</v>
      </c>
      <c r="C775" t="s">
        <v>28</v>
      </c>
      <c r="D775" t="s">
        <v>25</v>
      </c>
      <c r="E775">
        <v>0.13</v>
      </c>
      <c r="F775" t="s">
        <v>88</v>
      </c>
      <c r="G775" s="19">
        <v>45533</v>
      </c>
      <c r="H775" t="s">
        <v>7085</v>
      </c>
      <c r="I775" t="s">
        <v>6200</v>
      </c>
      <c r="J775"/>
      <c r="Q775" s="3">
        <f t="shared" si="12"/>
        <v>0.13</v>
      </c>
    </row>
    <row r="776" spans="1:17" x14ac:dyDescent="0.35">
      <c r="A776" t="s">
        <v>35</v>
      </c>
      <c r="B776" t="s">
        <v>6405</v>
      </c>
      <c r="C776" t="s">
        <v>28</v>
      </c>
      <c r="D776" t="s">
        <v>25</v>
      </c>
      <c r="E776">
        <v>-0.12000000000000001</v>
      </c>
      <c r="F776" t="s">
        <v>88</v>
      </c>
      <c r="G776" s="19">
        <v>45533</v>
      </c>
      <c r="H776" t="s">
        <v>7085</v>
      </c>
      <c r="I776" t="s">
        <v>6200</v>
      </c>
      <c r="J776"/>
      <c r="Q776" s="3">
        <f t="shared" si="12"/>
        <v>0.12000000000000001</v>
      </c>
    </row>
    <row r="777" spans="1:17" x14ac:dyDescent="0.35">
      <c r="A777" t="s">
        <v>0</v>
      </c>
      <c r="B777" t="s">
        <v>1627</v>
      </c>
      <c r="C777" t="s">
        <v>28</v>
      </c>
      <c r="D777" t="s">
        <v>25</v>
      </c>
      <c r="E777">
        <v>0.12</v>
      </c>
      <c r="F777" t="s">
        <v>88</v>
      </c>
      <c r="G777" s="19">
        <v>45403</v>
      </c>
      <c r="H777" t="s">
        <v>637</v>
      </c>
      <c r="I777" t="s">
        <v>6384</v>
      </c>
      <c r="J777"/>
      <c r="Q777" s="3">
        <f t="shared" si="12"/>
        <v>0.12</v>
      </c>
    </row>
    <row r="778" spans="1:17" x14ac:dyDescent="0.35">
      <c r="A778" t="s">
        <v>35</v>
      </c>
      <c r="B778" t="s">
        <v>1280</v>
      </c>
      <c r="C778" t="s">
        <v>28</v>
      </c>
      <c r="D778" t="s">
        <v>25</v>
      </c>
      <c r="E778">
        <v>0.12</v>
      </c>
      <c r="F778" t="s">
        <v>88</v>
      </c>
      <c r="G778" s="19">
        <v>45533</v>
      </c>
      <c r="H778" t="s">
        <v>7085</v>
      </c>
      <c r="I778" t="s">
        <v>6200</v>
      </c>
      <c r="J778"/>
      <c r="Q778" s="3">
        <f t="shared" ref="Q778:Q841" si="13">ABS(E778)</f>
        <v>0.12</v>
      </c>
    </row>
    <row r="779" spans="1:17" x14ac:dyDescent="0.35">
      <c r="A779" t="s">
        <v>35</v>
      </c>
      <c r="B779" t="s">
        <v>6057</v>
      </c>
      <c r="C779" t="s">
        <v>28</v>
      </c>
      <c r="D779" t="s">
        <v>25</v>
      </c>
      <c r="E779">
        <v>-0.12</v>
      </c>
      <c r="F779" t="s">
        <v>88</v>
      </c>
      <c r="G779" s="19">
        <v>45533</v>
      </c>
      <c r="H779" t="s">
        <v>7085</v>
      </c>
      <c r="I779" t="s">
        <v>6200</v>
      </c>
      <c r="J779"/>
      <c r="Q779" s="3">
        <f t="shared" si="13"/>
        <v>0.12</v>
      </c>
    </row>
    <row r="780" spans="1:17" x14ac:dyDescent="0.35">
      <c r="A780" t="s">
        <v>35</v>
      </c>
      <c r="B780" t="s">
        <v>1487</v>
      </c>
      <c r="C780" t="s">
        <v>28</v>
      </c>
      <c r="D780" t="s">
        <v>25</v>
      </c>
      <c r="E780">
        <v>0.12</v>
      </c>
      <c r="F780" t="s">
        <v>88</v>
      </c>
      <c r="G780" s="19">
        <v>45533</v>
      </c>
      <c r="H780" t="s">
        <v>7085</v>
      </c>
      <c r="I780" t="s">
        <v>6200</v>
      </c>
      <c r="J780"/>
      <c r="Q780" s="3">
        <f t="shared" si="13"/>
        <v>0.12</v>
      </c>
    </row>
    <row r="781" spans="1:17" x14ac:dyDescent="0.35">
      <c r="A781" t="s">
        <v>0</v>
      </c>
      <c r="B781" t="s">
        <v>6270</v>
      </c>
      <c r="C781" t="s">
        <v>28</v>
      </c>
      <c r="D781" t="s">
        <v>25</v>
      </c>
      <c r="E781">
        <v>0.12</v>
      </c>
      <c r="F781" t="s">
        <v>88</v>
      </c>
      <c r="G781" s="19">
        <v>45579</v>
      </c>
      <c r="H781" t="s">
        <v>181</v>
      </c>
      <c r="I781" t="s">
        <v>182</v>
      </c>
      <c r="J781"/>
      <c r="Q781" s="3">
        <f t="shared" si="13"/>
        <v>0.12</v>
      </c>
    </row>
    <row r="782" spans="1:17" x14ac:dyDescent="0.35">
      <c r="A782" t="s">
        <v>35</v>
      </c>
      <c r="B782" t="s">
        <v>5927</v>
      </c>
      <c r="C782" t="s">
        <v>28</v>
      </c>
      <c r="D782" t="s">
        <v>25</v>
      </c>
      <c r="E782">
        <v>-0.11000000000000001</v>
      </c>
      <c r="F782" t="s">
        <v>88</v>
      </c>
      <c r="G782" s="19">
        <v>45533</v>
      </c>
      <c r="H782" t="s">
        <v>7085</v>
      </c>
      <c r="I782" t="s">
        <v>6200</v>
      </c>
      <c r="J782"/>
      <c r="Q782" s="3">
        <f t="shared" si="13"/>
        <v>0.11000000000000001</v>
      </c>
    </row>
    <row r="783" spans="1:17" x14ac:dyDescent="0.35">
      <c r="A783" t="s">
        <v>35</v>
      </c>
      <c r="B783" t="s">
        <v>6145</v>
      </c>
      <c r="C783" t="s">
        <v>28</v>
      </c>
      <c r="D783" t="s">
        <v>25</v>
      </c>
      <c r="E783">
        <v>-0.11000000000000001</v>
      </c>
      <c r="F783" t="s">
        <v>88</v>
      </c>
      <c r="G783" s="19">
        <v>45533</v>
      </c>
      <c r="H783" t="s">
        <v>7085</v>
      </c>
      <c r="I783" t="s">
        <v>6200</v>
      </c>
      <c r="J783"/>
      <c r="Q783" s="3">
        <f t="shared" si="13"/>
        <v>0.11000000000000001</v>
      </c>
    </row>
    <row r="784" spans="1:17" x14ac:dyDescent="0.35">
      <c r="A784" t="s">
        <v>0</v>
      </c>
      <c r="B784" t="s">
        <v>7087</v>
      </c>
      <c r="C784" t="s">
        <v>28</v>
      </c>
      <c r="D784" t="s">
        <v>25</v>
      </c>
      <c r="E784">
        <v>-0.11</v>
      </c>
      <c r="F784" t="s">
        <v>88</v>
      </c>
      <c r="G784" s="19">
        <v>45533</v>
      </c>
      <c r="H784" t="s">
        <v>7085</v>
      </c>
      <c r="I784" t="s">
        <v>6200</v>
      </c>
      <c r="J784"/>
      <c r="Q784" s="3">
        <f t="shared" si="13"/>
        <v>0.11</v>
      </c>
    </row>
    <row r="785" spans="1:17" x14ac:dyDescent="0.35">
      <c r="A785" t="s">
        <v>35</v>
      </c>
      <c r="B785" t="s">
        <v>1221</v>
      </c>
      <c r="C785" t="s">
        <v>28</v>
      </c>
      <c r="D785" t="s">
        <v>25</v>
      </c>
      <c r="E785">
        <v>0.11</v>
      </c>
      <c r="F785" t="s">
        <v>88</v>
      </c>
      <c r="G785" s="19">
        <v>45533</v>
      </c>
      <c r="H785" t="s">
        <v>7085</v>
      </c>
      <c r="I785" t="s">
        <v>6200</v>
      </c>
      <c r="J785"/>
      <c r="Q785" s="3">
        <f t="shared" si="13"/>
        <v>0.11</v>
      </c>
    </row>
    <row r="786" spans="1:17" x14ac:dyDescent="0.35">
      <c r="A786" t="s">
        <v>35</v>
      </c>
      <c r="B786" t="s">
        <v>7086</v>
      </c>
      <c r="C786" t="s">
        <v>28</v>
      </c>
      <c r="D786" t="s">
        <v>25</v>
      </c>
      <c r="E786">
        <v>-0.11</v>
      </c>
      <c r="F786" t="s">
        <v>88</v>
      </c>
      <c r="G786" s="19">
        <v>45533</v>
      </c>
      <c r="H786" t="s">
        <v>7085</v>
      </c>
      <c r="I786" t="s">
        <v>6200</v>
      </c>
      <c r="J786"/>
      <c r="Q786" s="3">
        <f t="shared" si="13"/>
        <v>0.11</v>
      </c>
    </row>
    <row r="787" spans="1:17" x14ac:dyDescent="0.35">
      <c r="A787" t="s">
        <v>35</v>
      </c>
      <c r="B787" t="s">
        <v>1092</v>
      </c>
      <c r="C787" t="s">
        <v>28</v>
      </c>
      <c r="D787" t="s">
        <v>25</v>
      </c>
      <c r="E787">
        <v>0.11</v>
      </c>
      <c r="F787" t="s">
        <v>88</v>
      </c>
      <c r="G787" s="19">
        <v>45533</v>
      </c>
      <c r="H787" t="s">
        <v>7085</v>
      </c>
      <c r="I787" t="s">
        <v>6200</v>
      </c>
      <c r="J787"/>
      <c r="Q787" s="3">
        <f t="shared" si="13"/>
        <v>0.11</v>
      </c>
    </row>
    <row r="788" spans="1:17" x14ac:dyDescent="0.35">
      <c r="A788" t="s">
        <v>35</v>
      </c>
      <c r="B788" t="s">
        <v>6402</v>
      </c>
      <c r="C788" t="s">
        <v>28</v>
      </c>
      <c r="D788" t="s">
        <v>25</v>
      </c>
      <c r="E788">
        <v>0.11</v>
      </c>
      <c r="F788" t="s">
        <v>88</v>
      </c>
      <c r="G788" s="19">
        <v>45533</v>
      </c>
      <c r="H788" t="s">
        <v>7085</v>
      </c>
      <c r="I788" t="s">
        <v>6200</v>
      </c>
      <c r="J788"/>
      <c r="Q788" s="3">
        <f t="shared" si="13"/>
        <v>0.11</v>
      </c>
    </row>
    <row r="789" spans="1:17" x14ac:dyDescent="0.35">
      <c r="A789" t="s">
        <v>35</v>
      </c>
      <c r="B789" t="s">
        <v>2226</v>
      </c>
      <c r="C789" t="s">
        <v>28</v>
      </c>
      <c r="D789" t="s">
        <v>25</v>
      </c>
      <c r="E789">
        <v>-0.11</v>
      </c>
      <c r="F789" t="s">
        <v>88</v>
      </c>
      <c r="G789" s="19">
        <v>45533</v>
      </c>
      <c r="H789" t="s">
        <v>7085</v>
      </c>
      <c r="I789" t="s">
        <v>6200</v>
      </c>
      <c r="J789"/>
      <c r="Q789" s="3">
        <f t="shared" si="13"/>
        <v>0.11</v>
      </c>
    </row>
    <row r="790" spans="1:17" x14ac:dyDescent="0.35">
      <c r="A790" t="s">
        <v>35</v>
      </c>
      <c r="B790" t="s">
        <v>642</v>
      </c>
      <c r="C790" t="s">
        <v>28</v>
      </c>
      <c r="D790" t="s">
        <v>25</v>
      </c>
      <c r="E790">
        <v>0.11</v>
      </c>
      <c r="F790" t="s">
        <v>88</v>
      </c>
      <c r="G790" s="19">
        <v>45533</v>
      </c>
      <c r="H790" t="s">
        <v>7085</v>
      </c>
      <c r="I790" t="s">
        <v>6200</v>
      </c>
      <c r="J790"/>
      <c r="Q790" s="3">
        <f t="shared" si="13"/>
        <v>0.11</v>
      </c>
    </row>
    <row r="791" spans="1:17" x14ac:dyDescent="0.35">
      <c r="A791" t="s">
        <v>0</v>
      </c>
      <c r="B791" t="s">
        <v>6098</v>
      </c>
      <c r="C791" t="s">
        <v>28</v>
      </c>
      <c r="D791" t="s">
        <v>25</v>
      </c>
      <c r="E791">
        <v>-0.10000000000000009</v>
      </c>
      <c r="F791" t="s">
        <v>88</v>
      </c>
      <c r="G791" s="19">
        <v>45533</v>
      </c>
      <c r="H791" t="s">
        <v>7085</v>
      </c>
      <c r="I791" t="s">
        <v>6200</v>
      </c>
      <c r="J791"/>
      <c r="Q791" s="3">
        <f t="shared" si="13"/>
        <v>0.10000000000000009</v>
      </c>
    </row>
    <row r="792" spans="1:17" x14ac:dyDescent="0.35">
      <c r="A792" t="s">
        <v>0</v>
      </c>
      <c r="B792" t="s">
        <v>893</v>
      </c>
      <c r="C792" t="s">
        <v>28</v>
      </c>
      <c r="D792" t="s">
        <v>25</v>
      </c>
      <c r="E792">
        <v>-0.1</v>
      </c>
      <c r="F792" t="s">
        <v>88</v>
      </c>
      <c r="G792" s="19">
        <v>45403</v>
      </c>
      <c r="H792" t="s">
        <v>6384</v>
      </c>
      <c r="I792" t="s">
        <v>6384</v>
      </c>
      <c r="J792"/>
      <c r="Q792" s="3">
        <f t="shared" si="13"/>
        <v>0.1</v>
      </c>
    </row>
    <row r="793" spans="1:17" x14ac:dyDescent="0.35">
      <c r="A793" t="s">
        <v>0</v>
      </c>
      <c r="B793" t="s">
        <v>868</v>
      </c>
      <c r="C793" t="s">
        <v>28</v>
      </c>
      <c r="D793" t="s">
        <v>25</v>
      </c>
      <c r="E793">
        <v>-0.1</v>
      </c>
      <c r="F793" t="s">
        <v>88</v>
      </c>
      <c r="G793" s="19">
        <v>45403</v>
      </c>
      <c r="H793" t="s">
        <v>6384</v>
      </c>
      <c r="I793" t="s">
        <v>6384</v>
      </c>
      <c r="J793"/>
      <c r="Q793" s="3">
        <f t="shared" si="13"/>
        <v>0.1</v>
      </c>
    </row>
    <row r="794" spans="1:17" x14ac:dyDescent="0.35">
      <c r="A794" t="s">
        <v>0</v>
      </c>
      <c r="B794" t="s">
        <v>1041</v>
      </c>
      <c r="C794" t="s">
        <v>28</v>
      </c>
      <c r="D794" t="s">
        <v>25</v>
      </c>
      <c r="E794">
        <v>-0.1</v>
      </c>
      <c r="F794" t="s">
        <v>88</v>
      </c>
      <c r="G794" s="19">
        <v>45533</v>
      </c>
      <c r="H794" t="s">
        <v>7085</v>
      </c>
      <c r="I794" t="s">
        <v>6200</v>
      </c>
      <c r="J794"/>
      <c r="Q794" s="3">
        <f t="shared" si="13"/>
        <v>0.1</v>
      </c>
    </row>
    <row r="795" spans="1:17" x14ac:dyDescent="0.35">
      <c r="A795" t="s">
        <v>0</v>
      </c>
      <c r="B795" t="s">
        <v>865</v>
      </c>
      <c r="C795" t="s">
        <v>28</v>
      </c>
      <c r="D795" t="s">
        <v>25</v>
      </c>
      <c r="E795">
        <v>-0.1</v>
      </c>
      <c r="F795" t="s">
        <v>88</v>
      </c>
      <c r="G795" s="19">
        <v>45533</v>
      </c>
      <c r="H795" t="s">
        <v>7085</v>
      </c>
      <c r="I795" t="s">
        <v>6200</v>
      </c>
      <c r="J795"/>
      <c r="Q795" s="3">
        <f t="shared" si="13"/>
        <v>0.1</v>
      </c>
    </row>
    <row r="796" spans="1:17" x14ac:dyDescent="0.35">
      <c r="A796" t="s">
        <v>0</v>
      </c>
      <c r="B796" t="s">
        <v>1032</v>
      </c>
      <c r="C796" t="s">
        <v>28</v>
      </c>
      <c r="D796" t="s">
        <v>25</v>
      </c>
      <c r="E796">
        <v>-0.1</v>
      </c>
      <c r="F796" t="s">
        <v>88</v>
      </c>
      <c r="G796" s="19">
        <v>45533</v>
      </c>
      <c r="H796" t="s">
        <v>7085</v>
      </c>
      <c r="I796" t="s">
        <v>6200</v>
      </c>
      <c r="J796"/>
      <c r="Q796" s="3">
        <f t="shared" si="13"/>
        <v>0.1</v>
      </c>
    </row>
    <row r="797" spans="1:17" x14ac:dyDescent="0.35">
      <c r="A797" t="s">
        <v>35</v>
      </c>
      <c r="B797" t="s">
        <v>728</v>
      </c>
      <c r="C797" t="s">
        <v>28</v>
      </c>
      <c r="D797" t="s">
        <v>25</v>
      </c>
      <c r="E797">
        <v>-0.1</v>
      </c>
      <c r="F797" t="s">
        <v>88</v>
      </c>
      <c r="G797" s="19">
        <v>45533</v>
      </c>
      <c r="H797" t="s">
        <v>7085</v>
      </c>
      <c r="I797" t="s">
        <v>6200</v>
      </c>
      <c r="J797"/>
      <c r="Q797" s="3">
        <f t="shared" si="13"/>
        <v>0.1</v>
      </c>
    </row>
    <row r="798" spans="1:17" x14ac:dyDescent="0.35">
      <c r="A798" t="s">
        <v>35</v>
      </c>
      <c r="B798" t="s">
        <v>1194</v>
      </c>
      <c r="C798" t="s">
        <v>28</v>
      </c>
      <c r="D798" t="s">
        <v>25</v>
      </c>
      <c r="E798">
        <v>0.1</v>
      </c>
      <c r="F798" t="s">
        <v>88</v>
      </c>
      <c r="G798" s="19">
        <v>45533</v>
      </c>
      <c r="H798" t="s">
        <v>7085</v>
      </c>
      <c r="I798" t="s">
        <v>6200</v>
      </c>
      <c r="J798"/>
      <c r="Q798" s="3">
        <f t="shared" si="13"/>
        <v>0.1</v>
      </c>
    </row>
    <row r="799" spans="1:17" x14ac:dyDescent="0.35">
      <c r="A799" t="s">
        <v>35</v>
      </c>
      <c r="B799" t="s">
        <v>601</v>
      </c>
      <c r="C799" t="s">
        <v>28</v>
      </c>
      <c r="D799" t="s">
        <v>25</v>
      </c>
      <c r="E799">
        <v>0.1</v>
      </c>
      <c r="F799" t="s">
        <v>88</v>
      </c>
      <c r="G799" s="19">
        <v>45533</v>
      </c>
      <c r="H799" t="s">
        <v>7085</v>
      </c>
      <c r="I799" t="s">
        <v>6200</v>
      </c>
      <c r="J799"/>
      <c r="Q799" s="3">
        <f t="shared" si="13"/>
        <v>0.1</v>
      </c>
    </row>
    <row r="800" spans="1:17" x14ac:dyDescent="0.35">
      <c r="A800" t="s">
        <v>35</v>
      </c>
      <c r="B800" t="s">
        <v>1075</v>
      </c>
      <c r="C800" t="s">
        <v>28</v>
      </c>
      <c r="D800" t="s">
        <v>25</v>
      </c>
      <c r="E800">
        <v>-0.1</v>
      </c>
      <c r="F800" t="s">
        <v>88</v>
      </c>
      <c r="G800" s="19">
        <v>45533</v>
      </c>
      <c r="H800" t="s">
        <v>7085</v>
      </c>
      <c r="I800" t="s">
        <v>6200</v>
      </c>
      <c r="J800"/>
      <c r="Q800" s="3">
        <f t="shared" si="13"/>
        <v>0.1</v>
      </c>
    </row>
    <row r="801" spans="1:17" x14ac:dyDescent="0.35">
      <c r="A801" t="s">
        <v>35</v>
      </c>
      <c r="B801" t="s">
        <v>790</v>
      </c>
      <c r="C801" t="s">
        <v>28</v>
      </c>
      <c r="D801" t="s">
        <v>25</v>
      </c>
      <c r="E801">
        <v>-0.1</v>
      </c>
      <c r="F801" t="s">
        <v>88</v>
      </c>
      <c r="G801" s="19">
        <v>45533</v>
      </c>
      <c r="H801" t="s">
        <v>7085</v>
      </c>
      <c r="I801" t="s">
        <v>6200</v>
      </c>
      <c r="J801"/>
      <c r="Q801" s="3">
        <f t="shared" si="13"/>
        <v>0.1</v>
      </c>
    </row>
    <row r="802" spans="1:17" x14ac:dyDescent="0.35">
      <c r="A802" t="s">
        <v>35</v>
      </c>
      <c r="B802" t="s">
        <v>866</v>
      </c>
      <c r="C802" t="s">
        <v>28</v>
      </c>
      <c r="D802" t="s">
        <v>25</v>
      </c>
      <c r="E802">
        <v>-9.9999999999999992E-2</v>
      </c>
      <c r="F802" t="s">
        <v>88</v>
      </c>
      <c r="G802" s="19">
        <v>45533</v>
      </c>
      <c r="H802" t="s">
        <v>7085</v>
      </c>
      <c r="I802" t="s">
        <v>6200</v>
      </c>
      <c r="J802"/>
      <c r="Q802" s="3">
        <f t="shared" si="13"/>
        <v>9.9999999999999992E-2</v>
      </c>
    </row>
    <row r="803" spans="1:17" x14ac:dyDescent="0.35">
      <c r="A803" t="s">
        <v>35</v>
      </c>
      <c r="B803" t="s">
        <v>881</v>
      </c>
      <c r="C803" t="s">
        <v>28</v>
      </c>
      <c r="D803" t="s">
        <v>25</v>
      </c>
      <c r="E803">
        <v>9.9999999999999992E-2</v>
      </c>
      <c r="F803" t="s">
        <v>88</v>
      </c>
      <c r="G803" s="19">
        <v>45533</v>
      </c>
      <c r="H803" t="s">
        <v>7085</v>
      </c>
      <c r="I803" t="s">
        <v>6200</v>
      </c>
      <c r="J803"/>
      <c r="Q803" s="3">
        <f t="shared" si="13"/>
        <v>9.9999999999999992E-2</v>
      </c>
    </row>
    <row r="804" spans="1:17" x14ac:dyDescent="0.35">
      <c r="A804" t="s">
        <v>0</v>
      </c>
      <c r="B804" t="s">
        <v>6392</v>
      </c>
      <c r="C804" t="s">
        <v>28</v>
      </c>
      <c r="D804" t="s">
        <v>25</v>
      </c>
      <c r="E804">
        <v>-9.9999999999999978E-2</v>
      </c>
      <c r="F804" t="s">
        <v>88</v>
      </c>
      <c r="G804" s="19">
        <v>45533</v>
      </c>
      <c r="H804" t="s">
        <v>7085</v>
      </c>
      <c r="I804" t="s">
        <v>6200</v>
      </c>
      <c r="J804"/>
      <c r="Q804" s="3">
        <f t="shared" si="13"/>
        <v>9.9999999999999978E-2</v>
      </c>
    </row>
    <row r="805" spans="1:17" x14ac:dyDescent="0.35">
      <c r="A805" t="s">
        <v>35</v>
      </c>
      <c r="B805" t="s">
        <v>952</v>
      </c>
      <c r="C805" t="s">
        <v>28</v>
      </c>
      <c r="D805" t="s">
        <v>25</v>
      </c>
      <c r="E805">
        <v>-9.0000000000000011E-2</v>
      </c>
      <c r="F805" t="s">
        <v>88</v>
      </c>
      <c r="G805" s="19">
        <v>45533</v>
      </c>
      <c r="H805" t="s">
        <v>7085</v>
      </c>
      <c r="I805" t="s">
        <v>6200</v>
      </c>
      <c r="J805"/>
      <c r="Q805" s="3">
        <f t="shared" si="13"/>
        <v>9.0000000000000011E-2</v>
      </c>
    </row>
    <row r="806" spans="1:17" x14ac:dyDescent="0.35">
      <c r="A806" t="s">
        <v>35</v>
      </c>
      <c r="B806" t="s">
        <v>1216</v>
      </c>
      <c r="C806" t="s">
        <v>28</v>
      </c>
      <c r="D806" t="s">
        <v>25</v>
      </c>
      <c r="E806">
        <v>-9.0000000000000011E-2</v>
      </c>
      <c r="F806" t="s">
        <v>88</v>
      </c>
      <c r="G806" s="19">
        <v>45533</v>
      </c>
      <c r="H806" t="s">
        <v>7085</v>
      </c>
      <c r="I806" t="s">
        <v>6200</v>
      </c>
      <c r="J806"/>
      <c r="Q806" s="3">
        <f t="shared" si="13"/>
        <v>9.0000000000000011E-2</v>
      </c>
    </row>
    <row r="807" spans="1:17" x14ac:dyDescent="0.35">
      <c r="A807" t="s">
        <v>35</v>
      </c>
      <c r="B807" t="s">
        <v>1279</v>
      </c>
      <c r="C807" t="s">
        <v>28</v>
      </c>
      <c r="D807" t="s">
        <v>25</v>
      </c>
      <c r="E807">
        <v>-9.0000000000000011E-2</v>
      </c>
      <c r="F807" t="s">
        <v>88</v>
      </c>
      <c r="G807" s="19">
        <v>45533</v>
      </c>
      <c r="H807" t="s">
        <v>7085</v>
      </c>
      <c r="I807" t="s">
        <v>6200</v>
      </c>
      <c r="J807"/>
      <c r="Q807" s="3">
        <f t="shared" si="13"/>
        <v>9.0000000000000011E-2</v>
      </c>
    </row>
    <row r="808" spans="1:17" x14ac:dyDescent="0.35">
      <c r="A808" t="s">
        <v>0</v>
      </c>
      <c r="B808" t="s">
        <v>694</v>
      </c>
      <c r="C808" t="s">
        <v>28</v>
      </c>
      <c r="D808" t="s">
        <v>25</v>
      </c>
      <c r="E808">
        <v>0.09</v>
      </c>
      <c r="F808" t="s">
        <v>88</v>
      </c>
      <c r="G808" s="19">
        <v>45403</v>
      </c>
      <c r="H808" t="s">
        <v>637</v>
      </c>
      <c r="I808" t="s">
        <v>6384</v>
      </c>
      <c r="J808"/>
      <c r="Q808" s="3">
        <f t="shared" si="13"/>
        <v>0.09</v>
      </c>
    </row>
    <row r="809" spans="1:17" x14ac:dyDescent="0.35">
      <c r="A809" t="s">
        <v>0</v>
      </c>
      <c r="B809" t="s">
        <v>861</v>
      </c>
      <c r="C809" t="s">
        <v>28</v>
      </c>
      <c r="D809" t="s">
        <v>25</v>
      </c>
      <c r="E809">
        <v>-0.09</v>
      </c>
      <c r="F809" t="s">
        <v>88</v>
      </c>
      <c r="G809" s="19">
        <v>45403</v>
      </c>
      <c r="H809" t="s">
        <v>6384</v>
      </c>
      <c r="I809" t="s">
        <v>6384</v>
      </c>
      <c r="J809"/>
      <c r="Q809" s="3">
        <f t="shared" si="13"/>
        <v>0.09</v>
      </c>
    </row>
    <row r="810" spans="1:17" x14ac:dyDescent="0.35">
      <c r="A810" t="s">
        <v>0</v>
      </c>
      <c r="B810" t="s">
        <v>3422</v>
      </c>
      <c r="C810" t="s">
        <v>28</v>
      </c>
      <c r="D810" t="s">
        <v>25</v>
      </c>
      <c r="E810">
        <v>-0.09</v>
      </c>
      <c r="F810" t="s">
        <v>88</v>
      </c>
      <c r="G810" s="19">
        <v>45403</v>
      </c>
      <c r="H810" t="s">
        <v>6384</v>
      </c>
      <c r="I810" t="s">
        <v>6384</v>
      </c>
      <c r="J810"/>
      <c r="Q810" s="3">
        <f t="shared" si="13"/>
        <v>0.09</v>
      </c>
    </row>
    <row r="811" spans="1:17" x14ac:dyDescent="0.35">
      <c r="A811" t="s">
        <v>0</v>
      </c>
      <c r="B811" t="s">
        <v>852</v>
      </c>
      <c r="C811" t="s">
        <v>28</v>
      </c>
      <c r="D811" t="s">
        <v>25</v>
      </c>
      <c r="E811">
        <v>-0.09</v>
      </c>
      <c r="F811" t="s">
        <v>88</v>
      </c>
      <c r="G811" s="19">
        <v>45403</v>
      </c>
      <c r="H811" t="s">
        <v>6384</v>
      </c>
      <c r="I811" t="s">
        <v>6384</v>
      </c>
      <c r="J811"/>
      <c r="Q811" s="3">
        <f t="shared" si="13"/>
        <v>0.09</v>
      </c>
    </row>
    <row r="812" spans="1:17" x14ac:dyDescent="0.35">
      <c r="A812" t="s">
        <v>0</v>
      </c>
      <c r="B812" t="s">
        <v>825</v>
      </c>
      <c r="C812" t="s">
        <v>28</v>
      </c>
      <c r="D812" t="s">
        <v>25</v>
      </c>
      <c r="E812">
        <v>-0.09</v>
      </c>
      <c r="F812" t="s">
        <v>88</v>
      </c>
      <c r="G812" s="19">
        <v>45403</v>
      </c>
      <c r="H812" t="s">
        <v>6384</v>
      </c>
      <c r="I812" t="s">
        <v>6384</v>
      </c>
      <c r="J812"/>
      <c r="Q812" s="3">
        <f t="shared" si="13"/>
        <v>0.09</v>
      </c>
    </row>
    <row r="813" spans="1:17" x14ac:dyDescent="0.35">
      <c r="A813" t="s">
        <v>0</v>
      </c>
      <c r="B813" t="s">
        <v>615</v>
      </c>
      <c r="C813" t="s">
        <v>28</v>
      </c>
      <c r="D813" t="s">
        <v>25</v>
      </c>
      <c r="E813">
        <v>-0.09</v>
      </c>
      <c r="F813" t="s">
        <v>88</v>
      </c>
      <c r="G813" s="19">
        <v>45403</v>
      </c>
      <c r="H813" t="s">
        <v>6384</v>
      </c>
      <c r="I813" t="s">
        <v>6384</v>
      </c>
      <c r="J813"/>
      <c r="Q813" s="3">
        <f t="shared" si="13"/>
        <v>0.09</v>
      </c>
    </row>
    <row r="814" spans="1:17" x14ac:dyDescent="0.35">
      <c r="A814" t="s">
        <v>0</v>
      </c>
      <c r="B814" t="s">
        <v>677</v>
      </c>
      <c r="C814" t="s">
        <v>28</v>
      </c>
      <c r="D814" t="s">
        <v>25</v>
      </c>
      <c r="E814">
        <v>-0.09</v>
      </c>
      <c r="F814" t="s">
        <v>88</v>
      </c>
      <c r="G814" s="19">
        <v>45403</v>
      </c>
      <c r="H814" t="s">
        <v>6384</v>
      </c>
      <c r="I814" t="s">
        <v>6384</v>
      </c>
      <c r="J814"/>
      <c r="Q814" s="3">
        <f t="shared" si="13"/>
        <v>0.09</v>
      </c>
    </row>
    <row r="815" spans="1:17" x14ac:dyDescent="0.35">
      <c r="A815" t="s">
        <v>0</v>
      </c>
      <c r="B815" t="s">
        <v>638</v>
      </c>
      <c r="C815" t="s">
        <v>28</v>
      </c>
      <c r="D815" t="s">
        <v>25</v>
      </c>
      <c r="E815">
        <v>-0.09</v>
      </c>
      <c r="F815" t="s">
        <v>88</v>
      </c>
      <c r="G815" s="19">
        <v>45533</v>
      </c>
      <c r="H815" t="s">
        <v>7085</v>
      </c>
      <c r="I815" t="s">
        <v>6200</v>
      </c>
      <c r="J815"/>
      <c r="Q815" s="3">
        <f t="shared" si="13"/>
        <v>0.09</v>
      </c>
    </row>
    <row r="816" spans="1:17" x14ac:dyDescent="0.35">
      <c r="A816" t="s">
        <v>0</v>
      </c>
      <c r="B816" t="s">
        <v>618</v>
      </c>
      <c r="C816" t="s">
        <v>28</v>
      </c>
      <c r="D816" t="s">
        <v>25</v>
      </c>
      <c r="E816">
        <v>0.09</v>
      </c>
      <c r="F816" t="s">
        <v>88</v>
      </c>
      <c r="G816" s="19">
        <v>45533</v>
      </c>
      <c r="H816" t="s">
        <v>7085</v>
      </c>
      <c r="I816" t="s">
        <v>6200</v>
      </c>
      <c r="J816"/>
      <c r="Q816" s="3">
        <f t="shared" si="13"/>
        <v>0.09</v>
      </c>
    </row>
    <row r="817" spans="1:17" x14ac:dyDescent="0.35">
      <c r="A817" t="s">
        <v>0</v>
      </c>
      <c r="B817" t="s">
        <v>842</v>
      </c>
      <c r="C817" t="s">
        <v>28</v>
      </c>
      <c r="D817" t="s">
        <v>25</v>
      </c>
      <c r="E817">
        <v>-0.09</v>
      </c>
      <c r="F817" t="s">
        <v>88</v>
      </c>
      <c r="G817" s="19">
        <v>45533</v>
      </c>
      <c r="H817" t="s">
        <v>7085</v>
      </c>
      <c r="I817" t="s">
        <v>6200</v>
      </c>
      <c r="J817"/>
      <c r="Q817" s="3">
        <f t="shared" si="13"/>
        <v>0.09</v>
      </c>
    </row>
    <row r="818" spans="1:17" x14ac:dyDescent="0.35">
      <c r="A818" t="s">
        <v>35</v>
      </c>
      <c r="B818" t="s">
        <v>1423</v>
      </c>
      <c r="C818" t="s">
        <v>28</v>
      </c>
      <c r="D818" t="s">
        <v>25</v>
      </c>
      <c r="E818">
        <v>0.09</v>
      </c>
      <c r="F818" t="s">
        <v>88</v>
      </c>
      <c r="G818" s="19">
        <v>45533</v>
      </c>
      <c r="H818" t="s">
        <v>7085</v>
      </c>
      <c r="I818" t="s">
        <v>6200</v>
      </c>
      <c r="J818"/>
      <c r="Q818" s="3">
        <f t="shared" si="13"/>
        <v>0.09</v>
      </c>
    </row>
    <row r="819" spans="1:17" x14ac:dyDescent="0.35">
      <c r="A819" t="s">
        <v>35</v>
      </c>
      <c r="B819" t="s">
        <v>5701</v>
      </c>
      <c r="C819" t="s">
        <v>28</v>
      </c>
      <c r="D819" t="s">
        <v>25</v>
      </c>
      <c r="E819">
        <v>0.09</v>
      </c>
      <c r="F819" t="s">
        <v>88</v>
      </c>
      <c r="G819" s="19">
        <v>45533</v>
      </c>
      <c r="H819" t="s">
        <v>7085</v>
      </c>
      <c r="I819" t="s">
        <v>6200</v>
      </c>
      <c r="J819"/>
      <c r="Q819" s="3">
        <f t="shared" si="13"/>
        <v>0.09</v>
      </c>
    </row>
    <row r="820" spans="1:17" x14ac:dyDescent="0.35">
      <c r="A820" t="s">
        <v>35</v>
      </c>
      <c r="B820" t="s">
        <v>780</v>
      </c>
      <c r="C820" t="s">
        <v>28</v>
      </c>
      <c r="D820" t="s">
        <v>25</v>
      </c>
      <c r="E820">
        <v>0.09</v>
      </c>
      <c r="F820" t="s">
        <v>88</v>
      </c>
      <c r="G820" s="19">
        <v>45533</v>
      </c>
      <c r="H820" t="s">
        <v>7085</v>
      </c>
      <c r="I820" t="s">
        <v>6200</v>
      </c>
      <c r="J820"/>
      <c r="Q820" s="3">
        <f t="shared" si="13"/>
        <v>0.09</v>
      </c>
    </row>
    <row r="821" spans="1:17" x14ac:dyDescent="0.35">
      <c r="A821" t="s">
        <v>35</v>
      </c>
      <c r="B821" t="s">
        <v>770</v>
      </c>
      <c r="C821" t="s">
        <v>28</v>
      </c>
      <c r="D821" t="s">
        <v>25</v>
      </c>
      <c r="E821">
        <v>-0.09</v>
      </c>
      <c r="F821" t="s">
        <v>88</v>
      </c>
      <c r="G821" s="19">
        <v>45533</v>
      </c>
      <c r="H821" t="s">
        <v>7085</v>
      </c>
      <c r="I821" t="s">
        <v>6200</v>
      </c>
      <c r="J821"/>
      <c r="Q821" s="3">
        <f t="shared" si="13"/>
        <v>0.09</v>
      </c>
    </row>
    <row r="822" spans="1:17" x14ac:dyDescent="0.35">
      <c r="A822" t="s">
        <v>35</v>
      </c>
      <c r="B822" t="s">
        <v>713</v>
      </c>
      <c r="C822" t="s">
        <v>28</v>
      </c>
      <c r="D822" t="s">
        <v>25</v>
      </c>
      <c r="E822">
        <v>0.09</v>
      </c>
      <c r="F822" t="s">
        <v>88</v>
      </c>
      <c r="G822" s="19">
        <v>45533</v>
      </c>
      <c r="H822" t="s">
        <v>7085</v>
      </c>
      <c r="I822" t="s">
        <v>6200</v>
      </c>
      <c r="J822"/>
      <c r="Q822" s="3">
        <f t="shared" si="13"/>
        <v>0.09</v>
      </c>
    </row>
    <row r="823" spans="1:17" x14ac:dyDescent="0.35">
      <c r="A823" t="s">
        <v>35</v>
      </c>
      <c r="B823" t="s">
        <v>6156</v>
      </c>
      <c r="C823" t="s">
        <v>28</v>
      </c>
      <c r="D823" t="s">
        <v>25</v>
      </c>
      <c r="E823">
        <v>0.09</v>
      </c>
      <c r="F823" t="s">
        <v>88</v>
      </c>
      <c r="G823" s="19">
        <v>45533</v>
      </c>
      <c r="H823" t="s">
        <v>7085</v>
      </c>
      <c r="I823" t="s">
        <v>6200</v>
      </c>
      <c r="J823"/>
      <c r="Q823" s="3">
        <f t="shared" si="13"/>
        <v>0.09</v>
      </c>
    </row>
    <row r="824" spans="1:17" x14ac:dyDescent="0.35">
      <c r="A824" t="s">
        <v>0</v>
      </c>
      <c r="B824" t="s">
        <v>768</v>
      </c>
      <c r="C824" t="s">
        <v>28</v>
      </c>
      <c r="D824" t="s">
        <v>25</v>
      </c>
      <c r="E824">
        <v>-0.08</v>
      </c>
      <c r="F824" t="s">
        <v>88</v>
      </c>
      <c r="G824" s="19">
        <v>45403</v>
      </c>
      <c r="H824" t="s">
        <v>6384</v>
      </c>
      <c r="I824" t="s">
        <v>6384</v>
      </c>
      <c r="J824"/>
      <c r="Q824" s="3">
        <f t="shared" si="13"/>
        <v>0.08</v>
      </c>
    </row>
    <row r="825" spans="1:17" x14ac:dyDescent="0.35">
      <c r="A825" t="s">
        <v>0</v>
      </c>
      <c r="B825" t="s">
        <v>1069</v>
      </c>
      <c r="C825" t="s">
        <v>28</v>
      </c>
      <c r="D825" t="s">
        <v>25</v>
      </c>
      <c r="E825">
        <v>-0.08</v>
      </c>
      <c r="F825" t="s">
        <v>88</v>
      </c>
      <c r="G825" s="19">
        <v>45403</v>
      </c>
      <c r="H825" t="s">
        <v>6384</v>
      </c>
      <c r="I825" t="s">
        <v>6384</v>
      </c>
      <c r="J825"/>
      <c r="Q825" s="3">
        <f t="shared" si="13"/>
        <v>0.08</v>
      </c>
    </row>
    <row r="826" spans="1:17" x14ac:dyDescent="0.35">
      <c r="A826" t="s">
        <v>0</v>
      </c>
      <c r="B826" t="s">
        <v>867</v>
      </c>
      <c r="C826" t="s">
        <v>28</v>
      </c>
      <c r="D826" t="s">
        <v>25</v>
      </c>
      <c r="E826">
        <v>-0.08</v>
      </c>
      <c r="F826" t="s">
        <v>88</v>
      </c>
      <c r="G826" s="19">
        <v>45403</v>
      </c>
      <c r="H826" t="s">
        <v>6384</v>
      </c>
      <c r="I826" t="s">
        <v>6384</v>
      </c>
      <c r="J826"/>
      <c r="Q826" s="3">
        <f t="shared" si="13"/>
        <v>0.08</v>
      </c>
    </row>
    <row r="827" spans="1:17" x14ac:dyDescent="0.35">
      <c r="A827" t="s">
        <v>0</v>
      </c>
      <c r="B827" t="s">
        <v>881</v>
      </c>
      <c r="C827" t="s">
        <v>28</v>
      </c>
      <c r="D827" t="s">
        <v>25</v>
      </c>
      <c r="E827">
        <v>-0.08</v>
      </c>
      <c r="F827" t="s">
        <v>88</v>
      </c>
      <c r="G827" s="19">
        <v>45403</v>
      </c>
      <c r="H827" t="s">
        <v>6384</v>
      </c>
      <c r="I827" t="s">
        <v>6384</v>
      </c>
      <c r="J827"/>
      <c r="Q827" s="3">
        <f t="shared" si="13"/>
        <v>0.08</v>
      </c>
    </row>
    <row r="828" spans="1:17" x14ac:dyDescent="0.35">
      <c r="A828" t="s">
        <v>35</v>
      </c>
      <c r="B828" t="s">
        <v>6396</v>
      </c>
      <c r="C828" t="s">
        <v>28</v>
      </c>
      <c r="D828" t="s">
        <v>25</v>
      </c>
      <c r="E828">
        <v>-0.08</v>
      </c>
      <c r="F828" t="s">
        <v>88</v>
      </c>
      <c r="G828" s="19">
        <v>45403</v>
      </c>
      <c r="H828" t="s">
        <v>637</v>
      </c>
      <c r="I828" t="s">
        <v>6384</v>
      </c>
      <c r="J828"/>
      <c r="Q828" s="3">
        <f t="shared" si="13"/>
        <v>0.08</v>
      </c>
    </row>
    <row r="829" spans="1:17" x14ac:dyDescent="0.35">
      <c r="A829" t="s">
        <v>0</v>
      </c>
      <c r="B829" t="s">
        <v>6394</v>
      </c>
      <c r="C829" t="s">
        <v>28</v>
      </c>
      <c r="D829" t="s">
        <v>25</v>
      </c>
      <c r="E829">
        <v>-0.08</v>
      </c>
      <c r="F829" t="s">
        <v>88</v>
      </c>
      <c r="G829" s="19">
        <v>45533</v>
      </c>
      <c r="H829" t="s">
        <v>7085</v>
      </c>
      <c r="I829" t="s">
        <v>6200</v>
      </c>
      <c r="J829"/>
      <c r="Q829" s="3">
        <f t="shared" si="13"/>
        <v>0.08</v>
      </c>
    </row>
    <row r="830" spans="1:17" x14ac:dyDescent="0.35">
      <c r="A830" t="s">
        <v>0</v>
      </c>
      <c r="B830" t="s">
        <v>6400</v>
      </c>
      <c r="C830" t="s">
        <v>28</v>
      </c>
      <c r="D830" t="s">
        <v>25</v>
      </c>
      <c r="E830">
        <v>-0.08</v>
      </c>
      <c r="F830" t="s">
        <v>88</v>
      </c>
      <c r="G830" s="19">
        <v>45533</v>
      </c>
      <c r="H830" t="s">
        <v>7085</v>
      </c>
      <c r="I830" t="s">
        <v>6200</v>
      </c>
      <c r="J830"/>
      <c r="Q830" s="3">
        <f t="shared" si="13"/>
        <v>0.08</v>
      </c>
    </row>
    <row r="831" spans="1:17" x14ac:dyDescent="0.35">
      <c r="A831" t="s">
        <v>0</v>
      </c>
      <c r="B831" t="s">
        <v>599</v>
      </c>
      <c r="C831" t="s">
        <v>28</v>
      </c>
      <c r="D831" t="s">
        <v>25</v>
      </c>
      <c r="E831">
        <v>0.08</v>
      </c>
      <c r="F831" t="s">
        <v>88</v>
      </c>
      <c r="G831" s="19">
        <v>45533</v>
      </c>
      <c r="H831" t="s">
        <v>7085</v>
      </c>
      <c r="I831" t="s">
        <v>6200</v>
      </c>
      <c r="J831"/>
      <c r="Q831" s="3">
        <f t="shared" si="13"/>
        <v>0.08</v>
      </c>
    </row>
    <row r="832" spans="1:17" x14ac:dyDescent="0.35">
      <c r="A832" t="s">
        <v>0</v>
      </c>
      <c r="B832" t="s">
        <v>1123</v>
      </c>
      <c r="C832" t="s">
        <v>28</v>
      </c>
      <c r="D832" t="s">
        <v>25</v>
      </c>
      <c r="E832">
        <v>-0.08</v>
      </c>
      <c r="F832" t="s">
        <v>88</v>
      </c>
      <c r="G832" s="19">
        <v>45533</v>
      </c>
      <c r="H832" t="s">
        <v>7085</v>
      </c>
      <c r="I832" t="s">
        <v>6200</v>
      </c>
      <c r="J832"/>
      <c r="Q832" s="3">
        <f t="shared" si="13"/>
        <v>0.08</v>
      </c>
    </row>
    <row r="833" spans="1:17" x14ac:dyDescent="0.35">
      <c r="A833" t="s">
        <v>0</v>
      </c>
      <c r="B833" t="s">
        <v>2543</v>
      </c>
      <c r="C833" t="s">
        <v>28</v>
      </c>
      <c r="D833" t="s">
        <v>25</v>
      </c>
      <c r="E833">
        <v>0.08</v>
      </c>
      <c r="F833" t="s">
        <v>88</v>
      </c>
      <c r="G833" s="19">
        <v>45533</v>
      </c>
      <c r="H833" t="s">
        <v>7085</v>
      </c>
      <c r="I833" t="s">
        <v>6200</v>
      </c>
      <c r="J833"/>
      <c r="Q833" s="3">
        <f t="shared" si="13"/>
        <v>0.08</v>
      </c>
    </row>
    <row r="834" spans="1:17" x14ac:dyDescent="0.35">
      <c r="A834" t="s">
        <v>35</v>
      </c>
      <c r="B834" t="s">
        <v>605</v>
      </c>
      <c r="C834" t="s">
        <v>28</v>
      </c>
      <c r="D834" t="s">
        <v>25</v>
      </c>
      <c r="E834">
        <v>-0.08</v>
      </c>
      <c r="F834" t="s">
        <v>88</v>
      </c>
      <c r="G834" s="19">
        <v>45533</v>
      </c>
      <c r="H834" t="s">
        <v>7085</v>
      </c>
      <c r="I834" t="s">
        <v>6200</v>
      </c>
      <c r="J834"/>
      <c r="Q834" s="3">
        <f t="shared" si="13"/>
        <v>0.08</v>
      </c>
    </row>
    <row r="835" spans="1:17" x14ac:dyDescent="0.35">
      <c r="A835" t="s">
        <v>35</v>
      </c>
      <c r="B835" t="s">
        <v>869</v>
      </c>
      <c r="C835" t="s">
        <v>28</v>
      </c>
      <c r="D835" t="s">
        <v>25</v>
      </c>
      <c r="E835">
        <v>0.08</v>
      </c>
      <c r="F835" t="s">
        <v>88</v>
      </c>
      <c r="G835" s="19">
        <v>45533</v>
      </c>
      <c r="H835" t="s">
        <v>7085</v>
      </c>
      <c r="I835" t="s">
        <v>6200</v>
      </c>
      <c r="J835"/>
      <c r="Q835" s="3">
        <f t="shared" si="13"/>
        <v>0.08</v>
      </c>
    </row>
    <row r="836" spans="1:17" x14ac:dyDescent="0.35">
      <c r="A836" t="s">
        <v>35</v>
      </c>
      <c r="B836" t="s">
        <v>789</v>
      </c>
      <c r="C836" t="s">
        <v>28</v>
      </c>
      <c r="D836" t="s">
        <v>25</v>
      </c>
      <c r="E836">
        <v>-0.08</v>
      </c>
      <c r="F836" t="s">
        <v>88</v>
      </c>
      <c r="G836" s="19">
        <v>45533</v>
      </c>
      <c r="H836" t="s">
        <v>7085</v>
      </c>
      <c r="I836" t="s">
        <v>6200</v>
      </c>
      <c r="J836"/>
      <c r="Q836" s="3">
        <f t="shared" si="13"/>
        <v>0.08</v>
      </c>
    </row>
    <row r="837" spans="1:17" x14ac:dyDescent="0.35">
      <c r="A837" t="s">
        <v>35</v>
      </c>
      <c r="B837" t="s">
        <v>2208</v>
      </c>
      <c r="C837" t="s">
        <v>28</v>
      </c>
      <c r="D837" t="s">
        <v>25</v>
      </c>
      <c r="E837">
        <v>0.08</v>
      </c>
      <c r="F837" t="s">
        <v>88</v>
      </c>
      <c r="G837" s="19">
        <v>45533</v>
      </c>
      <c r="H837" t="s">
        <v>7085</v>
      </c>
      <c r="I837" t="s">
        <v>6200</v>
      </c>
      <c r="J837"/>
      <c r="Q837" s="3">
        <f t="shared" si="13"/>
        <v>0.08</v>
      </c>
    </row>
    <row r="838" spans="1:17" x14ac:dyDescent="0.35">
      <c r="A838" t="s">
        <v>35</v>
      </c>
      <c r="B838" t="s">
        <v>638</v>
      </c>
      <c r="C838" t="s">
        <v>28</v>
      </c>
      <c r="D838" t="s">
        <v>25</v>
      </c>
      <c r="E838">
        <v>0.08</v>
      </c>
      <c r="F838" t="s">
        <v>88</v>
      </c>
      <c r="G838" s="19">
        <v>45639</v>
      </c>
      <c r="H838" t="s">
        <v>7497</v>
      </c>
      <c r="I838" t="s">
        <v>7498</v>
      </c>
      <c r="J838"/>
      <c r="Q838" s="3">
        <f t="shared" si="13"/>
        <v>0.08</v>
      </c>
    </row>
    <row r="839" spans="1:17" x14ac:dyDescent="0.35">
      <c r="A839" t="s">
        <v>35</v>
      </c>
      <c r="B839" t="s">
        <v>1152</v>
      </c>
      <c r="C839" t="s">
        <v>28</v>
      </c>
      <c r="D839" t="s">
        <v>25</v>
      </c>
      <c r="E839">
        <v>7.9999999999999988E-2</v>
      </c>
      <c r="F839" t="s">
        <v>88</v>
      </c>
      <c r="G839" s="19">
        <v>45533</v>
      </c>
      <c r="H839" t="s">
        <v>7085</v>
      </c>
      <c r="I839" t="s">
        <v>6200</v>
      </c>
      <c r="J839"/>
      <c r="Q839" s="3">
        <f t="shared" si="13"/>
        <v>7.9999999999999988E-2</v>
      </c>
    </row>
    <row r="840" spans="1:17" x14ac:dyDescent="0.35">
      <c r="A840" t="s">
        <v>0</v>
      </c>
      <c r="B840" t="s">
        <v>5426</v>
      </c>
      <c r="C840" t="s">
        <v>28</v>
      </c>
      <c r="D840" t="s">
        <v>25</v>
      </c>
      <c r="E840">
        <v>-7.0000000000000007E-2</v>
      </c>
      <c r="F840" t="s">
        <v>88</v>
      </c>
      <c r="G840" s="19">
        <v>45403</v>
      </c>
      <c r="H840" t="s">
        <v>6384</v>
      </c>
      <c r="I840" t="s">
        <v>6384</v>
      </c>
      <c r="J840"/>
      <c r="Q840" s="3">
        <f t="shared" si="13"/>
        <v>7.0000000000000007E-2</v>
      </c>
    </row>
    <row r="841" spans="1:17" x14ac:dyDescent="0.35">
      <c r="A841" t="s">
        <v>0</v>
      </c>
      <c r="B841" t="s">
        <v>788</v>
      </c>
      <c r="C841" t="s">
        <v>28</v>
      </c>
      <c r="D841" t="s">
        <v>25</v>
      </c>
      <c r="E841">
        <v>-7.0000000000000007E-2</v>
      </c>
      <c r="F841" t="s">
        <v>88</v>
      </c>
      <c r="G841" s="19">
        <v>45403</v>
      </c>
      <c r="H841" t="s">
        <v>6384</v>
      </c>
      <c r="I841" t="s">
        <v>6384</v>
      </c>
      <c r="J841"/>
      <c r="Q841" s="3">
        <f t="shared" si="13"/>
        <v>7.0000000000000007E-2</v>
      </c>
    </row>
    <row r="842" spans="1:17" x14ac:dyDescent="0.35">
      <c r="A842" t="s">
        <v>0</v>
      </c>
      <c r="B842" t="s">
        <v>1533</v>
      </c>
      <c r="C842" t="s">
        <v>28</v>
      </c>
      <c r="D842" t="s">
        <v>25</v>
      </c>
      <c r="E842">
        <v>-7.0000000000000007E-2</v>
      </c>
      <c r="F842" t="s">
        <v>88</v>
      </c>
      <c r="G842" s="19">
        <v>45403</v>
      </c>
      <c r="H842" t="s">
        <v>6384</v>
      </c>
      <c r="I842" t="s">
        <v>6384</v>
      </c>
      <c r="J842"/>
      <c r="Q842" s="3">
        <f t="shared" ref="Q842:Q905" si="14">ABS(E842)</f>
        <v>7.0000000000000007E-2</v>
      </c>
    </row>
    <row r="843" spans="1:17" x14ac:dyDescent="0.35">
      <c r="A843" t="s">
        <v>0</v>
      </c>
      <c r="B843" t="s">
        <v>934</v>
      </c>
      <c r="C843" t="s">
        <v>28</v>
      </c>
      <c r="D843" t="s">
        <v>25</v>
      </c>
      <c r="E843">
        <v>-7.0000000000000007E-2</v>
      </c>
      <c r="F843" t="s">
        <v>88</v>
      </c>
      <c r="G843" s="19">
        <v>45403</v>
      </c>
      <c r="H843" t="s">
        <v>6384</v>
      </c>
      <c r="I843" t="s">
        <v>6384</v>
      </c>
      <c r="J843"/>
      <c r="Q843" s="3">
        <f t="shared" si="14"/>
        <v>7.0000000000000007E-2</v>
      </c>
    </row>
    <row r="844" spans="1:17" x14ac:dyDescent="0.35">
      <c r="A844" t="s">
        <v>35</v>
      </c>
      <c r="B844" t="s">
        <v>6386</v>
      </c>
      <c r="C844" t="s">
        <v>28</v>
      </c>
      <c r="D844" t="s">
        <v>25</v>
      </c>
      <c r="E844">
        <v>-7.0000000000000007E-2</v>
      </c>
      <c r="F844" t="s">
        <v>88</v>
      </c>
      <c r="G844" s="19">
        <v>45403</v>
      </c>
      <c r="H844" t="s">
        <v>637</v>
      </c>
      <c r="I844" t="s">
        <v>6384</v>
      </c>
      <c r="J844"/>
      <c r="Q844" s="3">
        <f t="shared" si="14"/>
        <v>7.0000000000000007E-2</v>
      </c>
    </row>
    <row r="845" spans="1:17" x14ac:dyDescent="0.35">
      <c r="A845" t="s">
        <v>0</v>
      </c>
      <c r="B845" t="s">
        <v>614</v>
      </c>
      <c r="C845" t="s">
        <v>28</v>
      </c>
      <c r="D845" t="s">
        <v>25</v>
      </c>
      <c r="E845">
        <v>7.0000000000000007E-2</v>
      </c>
      <c r="F845" t="s">
        <v>88</v>
      </c>
      <c r="G845" s="19">
        <v>45533</v>
      </c>
      <c r="H845" t="s">
        <v>7085</v>
      </c>
      <c r="I845" t="s">
        <v>6200</v>
      </c>
      <c r="J845"/>
      <c r="Q845" s="3">
        <f t="shared" si="14"/>
        <v>7.0000000000000007E-2</v>
      </c>
    </row>
    <row r="846" spans="1:17" x14ac:dyDescent="0.35">
      <c r="A846" t="s">
        <v>0</v>
      </c>
      <c r="B846" t="s">
        <v>1152</v>
      </c>
      <c r="C846" t="s">
        <v>28</v>
      </c>
      <c r="D846" t="s">
        <v>25</v>
      </c>
      <c r="E846">
        <v>7.0000000000000007E-2</v>
      </c>
      <c r="F846" t="s">
        <v>88</v>
      </c>
      <c r="G846" s="19">
        <v>45533</v>
      </c>
      <c r="H846" t="s">
        <v>7085</v>
      </c>
      <c r="I846" t="s">
        <v>6200</v>
      </c>
      <c r="J846"/>
      <c r="Q846" s="3">
        <f t="shared" si="14"/>
        <v>7.0000000000000007E-2</v>
      </c>
    </row>
    <row r="847" spans="1:17" x14ac:dyDescent="0.35">
      <c r="A847" t="s">
        <v>0</v>
      </c>
      <c r="B847" t="s">
        <v>6386</v>
      </c>
      <c r="C847" t="s">
        <v>28</v>
      </c>
      <c r="D847" t="s">
        <v>25</v>
      </c>
      <c r="E847">
        <v>-7.0000000000000007E-2</v>
      </c>
      <c r="F847" t="s">
        <v>88</v>
      </c>
      <c r="G847" s="19">
        <v>45533</v>
      </c>
      <c r="H847" t="s">
        <v>7085</v>
      </c>
      <c r="I847" t="s">
        <v>6200</v>
      </c>
      <c r="J847"/>
      <c r="Q847" s="3">
        <f t="shared" si="14"/>
        <v>7.0000000000000007E-2</v>
      </c>
    </row>
    <row r="848" spans="1:17" x14ac:dyDescent="0.35">
      <c r="A848" t="s">
        <v>0</v>
      </c>
      <c r="B848" t="s">
        <v>1244</v>
      </c>
      <c r="C848" t="s">
        <v>28</v>
      </c>
      <c r="D848" t="s">
        <v>25</v>
      </c>
      <c r="E848">
        <v>-7.0000000000000007E-2</v>
      </c>
      <c r="F848" t="s">
        <v>88</v>
      </c>
      <c r="G848" s="19">
        <v>45533</v>
      </c>
      <c r="H848" t="s">
        <v>7085</v>
      </c>
      <c r="I848" t="s">
        <v>6200</v>
      </c>
      <c r="J848"/>
      <c r="Q848" s="3">
        <f t="shared" si="14"/>
        <v>7.0000000000000007E-2</v>
      </c>
    </row>
    <row r="849" spans="1:17" x14ac:dyDescent="0.35">
      <c r="A849" t="s">
        <v>0</v>
      </c>
      <c r="B849" t="s">
        <v>1431</v>
      </c>
      <c r="C849" t="s">
        <v>28</v>
      </c>
      <c r="D849" t="s">
        <v>25</v>
      </c>
      <c r="E849">
        <v>-7.0000000000000007E-2</v>
      </c>
      <c r="F849" t="s">
        <v>88</v>
      </c>
      <c r="G849" s="19">
        <v>45533</v>
      </c>
      <c r="H849" t="s">
        <v>7085</v>
      </c>
      <c r="I849" t="s">
        <v>6200</v>
      </c>
      <c r="J849"/>
      <c r="Q849" s="3">
        <f t="shared" si="14"/>
        <v>7.0000000000000007E-2</v>
      </c>
    </row>
    <row r="850" spans="1:17" x14ac:dyDescent="0.35">
      <c r="A850" t="s">
        <v>0</v>
      </c>
      <c r="B850" t="s">
        <v>780</v>
      </c>
      <c r="C850" t="s">
        <v>28</v>
      </c>
      <c r="D850" t="s">
        <v>25</v>
      </c>
      <c r="E850">
        <v>-7.0000000000000007E-2</v>
      </c>
      <c r="F850" t="s">
        <v>88</v>
      </c>
      <c r="G850" s="19">
        <v>45533</v>
      </c>
      <c r="H850" t="s">
        <v>7085</v>
      </c>
      <c r="I850" t="s">
        <v>6200</v>
      </c>
      <c r="J850"/>
      <c r="Q850" s="3">
        <f t="shared" si="14"/>
        <v>7.0000000000000007E-2</v>
      </c>
    </row>
    <row r="851" spans="1:17" x14ac:dyDescent="0.35">
      <c r="A851" t="s">
        <v>0</v>
      </c>
      <c r="B851" t="s">
        <v>642</v>
      </c>
      <c r="C851" t="s">
        <v>28</v>
      </c>
      <c r="D851" t="s">
        <v>25</v>
      </c>
      <c r="E851">
        <v>7.0000000000000007E-2</v>
      </c>
      <c r="F851" t="s">
        <v>88</v>
      </c>
      <c r="G851" s="19">
        <v>45533</v>
      </c>
      <c r="H851" t="s">
        <v>7085</v>
      </c>
      <c r="I851" t="s">
        <v>6200</v>
      </c>
      <c r="J851"/>
      <c r="Q851" s="3">
        <f t="shared" si="14"/>
        <v>7.0000000000000007E-2</v>
      </c>
    </row>
    <row r="852" spans="1:17" x14ac:dyDescent="0.35">
      <c r="A852" t="s">
        <v>35</v>
      </c>
      <c r="B852" t="s">
        <v>6266</v>
      </c>
      <c r="C852" t="s">
        <v>28</v>
      </c>
      <c r="D852" t="s">
        <v>25</v>
      </c>
      <c r="E852">
        <v>-7.0000000000000007E-2</v>
      </c>
      <c r="F852" t="s">
        <v>88</v>
      </c>
      <c r="G852" s="19">
        <v>45533</v>
      </c>
      <c r="H852" t="s">
        <v>7085</v>
      </c>
      <c r="I852" t="s">
        <v>6200</v>
      </c>
      <c r="J852"/>
      <c r="Q852" s="3">
        <f t="shared" si="14"/>
        <v>7.0000000000000007E-2</v>
      </c>
    </row>
    <row r="853" spans="1:17" x14ac:dyDescent="0.35">
      <c r="A853" t="s">
        <v>35</v>
      </c>
      <c r="B853" t="s">
        <v>598</v>
      </c>
      <c r="C853" t="s">
        <v>28</v>
      </c>
      <c r="D853" t="s">
        <v>25</v>
      </c>
      <c r="E853">
        <v>7.0000000000000007E-2</v>
      </c>
      <c r="F853" t="s">
        <v>88</v>
      </c>
      <c r="G853" s="19">
        <v>45533</v>
      </c>
      <c r="H853" t="s">
        <v>7085</v>
      </c>
      <c r="I853" t="s">
        <v>6200</v>
      </c>
      <c r="J853"/>
      <c r="Q853" s="3">
        <f t="shared" si="14"/>
        <v>7.0000000000000007E-2</v>
      </c>
    </row>
    <row r="854" spans="1:17" x14ac:dyDescent="0.35">
      <c r="A854" t="s">
        <v>35</v>
      </c>
      <c r="B854" t="s">
        <v>664</v>
      </c>
      <c r="C854" t="s">
        <v>28</v>
      </c>
      <c r="D854" t="s">
        <v>25</v>
      </c>
      <c r="E854">
        <v>7.0000000000000007E-2</v>
      </c>
      <c r="F854" t="s">
        <v>88</v>
      </c>
      <c r="G854" s="19">
        <v>45533</v>
      </c>
      <c r="H854" t="s">
        <v>7085</v>
      </c>
      <c r="I854" t="s">
        <v>6200</v>
      </c>
      <c r="J854"/>
      <c r="Q854" s="3">
        <f t="shared" si="14"/>
        <v>7.0000000000000007E-2</v>
      </c>
    </row>
    <row r="855" spans="1:17" x14ac:dyDescent="0.35">
      <c r="A855" t="s">
        <v>35</v>
      </c>
      <c r="B855" t="s">
        <v>610</v>
      </c>
      <c r="C855" t="s">
        <v>28</v>
      </c>
      <c r="D855" t="s">
        <v>25</v>
      </c>
      <c r="E855">
        <v>7.0000000000000007E-2</v>
      </c>
      <c r="F855" t="s">
        <v>88</v>
      </c>
      <c r="G855" s="19">
        <v>45533</v>
      </c>
      <c r="H855" t="s">
        <v>7085</v>
      </c>
      <c r="I855" t="s">
        <v>6200</v>
      </c>
      <c r="J855"/>
      <c r="Q855" s="3">
        <f t="shared" si="14"/>
        <v>7.0000000000000007E-2</v>
      </c>
    </row>
    <row r="856" spans="1:17" x14ac:dyDescent="0.35">
      <c r="A856" t="s">
        <v>35</v>
      </c>
      <c r="B856" t="s">
        <v>6401</v>
      </c>
      <c r="C856" t="s">
        <v>28</v>
      </c>
      <c r="D856" t="s">
        <v>25</v>
      </c>
      <c r="E856">
        <v>7.0000000000000007E-2</v>
      </c>
      <c r="F856" t="s">
        <v>88</v>
      </c>
      <c r="G856" s="19">
        <v>45533</v>
      </c>
      <c r="H856" t="s">
        <v>7085</v>
      </c>
      <c r="I856" t="s">
        <v>6200</v>
      </c>
      <c r="J856"/>
      <c r="Q856" s="3">
        <f t="shared" si="14"/>
        <v>7.0000000000000007E-2</v>
      </c>
    </row>
    <row r="857" spans="1:17" x14ac:dyDescent="0.35">
      <c r="A857" t="s">
        <v>35</v>
      </c>
      <c r="B857" t="s">
        <v>606</v>
      </c>
      <c r="C857" t="s">
        <v>28</v>
      </c>
      <c r="D857" t="s">
        <v>25</v>
      </c>
      <c r="E857">
        <v>-7.0000000000000007E-2</v>
      </c>
      <c r="F857" t="s">
        <v>88</v>
      </c>
      <c r="G857" s="19">
        <v>45533</v>
      </c>
      <c r="H857" t="s">
        <v>7085</v>
      </c>
      <c r="I857" t="s">
        <v>6200</v>
      </c>
      <c r="J857"/>
      <c r="Q857" s="3">
        <f t="shared" si="14"/>
        <v>7.0000000000000007E-2</v>
      </c>
    </row>
    <row r="858" spans="1:17" x14ac:dyDescent="0.35">
      <c r="A858" t="s">
        <v>35</v>
      </c>
      <c r="B858" t="s">
        <v>4583</v>
      </c>
      <c r="C858" t="s">
        <v>28</v>
      </c>
      <c r="D858" t="s">
        <v>25</v>
      </c>
      <c r="E858">
        <v>-7.0000000000000007E-2</v>
      </c>
      <c r="F858" t="s">
        <v>88</v>
      </c>
      <c r="G858" s="19">
        <v>45533</v>
      </c>
      <c r="H858" t="s">
        <v>7085</v>
      </c>
      <c r="I858" t="s">
        <v>6200</v>
      </c>
      <c r="J858"/>
      <c r="Q858" s="3">
        <f t="shared" si="14"/>
        <v>7.0000000000000007E-2</v>
      </c>
    </row>
    <row r="859" spans="1:17" x14ac:dyDescent="0.35">
      <c r="A859" t="s">
        <v>35</v>
      </c>
      <c r="B859" t="s">
        <v>2629</v>
      </c>
      <c r="C859" t="s">
        <v>28</v>
      </c>
      <c r="D859" t="s">
        <v>25</v>
      </c>
      <c r="E859">
        <v>-7.0000000000000007E-2</v>
      </c>
      <c r="F859" t="s">
        <v>88</v>
      </c>
      <c r="G859" s="19">
        <v>45533</v>
      </c>
      <c r="H859" t="s">
        <v>7085</v>
      </c>
      <c r="I859" t="s">
        <v>6200</v>
      </c>
      <c r="J859"/>
      <c r="Q859" s="3">
        <f t="shared" si="14"/>
        <v>7.0000000000000007E-2</v>
      </c>
    </row>
    <row r="860" spans="1:17" x14ac:dyDescent="0.35">
      <c r="A860" t="s">
        <v>35</v>
      </c>
      <c r="B860" t="s">
        <v>2473</v>
      </c>
      <c r="C860" t="s">
        <v>28</v>
      </c>
      <c r="D860" t="s">
        <v>25</v>
      </c>
      <c r="E860">
        <v>7.0000000000000007E-2</v>
      </c>
      <c r="F860" t="s">
        <v>88</v>
      </c>
      <c r="G860" s="19">
        <v>45533</v>
      </c>
      <c r="H860" t="s">
        <v>7085</v>
      </c>
      <c r="I860" t="s">
        <v>6200</v>
      </c>
      <c r="J860"/>
      <c r="Q860" s="3">
        <f t="shared" si="14"/>
        <v>7.0000000000000007E-2</v>
      </c>
    </row>
    <row r="861" spans="1:17" x14ac:dyDescent="0.35">
      <c r="A861" t="s">
        <v>35</v>
      </c>
      <c r="B861" t="s">
        <v>867</v>
      </c>
      <c r="C861" t="s">
        <v>28</v>
      </c>
      <c r="D861" t="s">
        <v>25</v>
      </c>
      <c r="E861">
        <v>-7.0000000000000007E-2</v>
      </c>
      <c r="F861" t="s">
        <v>88</v>
      </c>
      <c r="G861" s="19">
        <v>45533</v>
      </c>
      <c r="H861" t="s">
        <v>7085</v>
      </c>
      <c r="I861" t="s">
        <v>6200</v>
      </c>
      <c r="J861"/>
      <c r="Q861" s="3">
        <f t="shared" si="14"/>
        <v>7.0000000000000007E-2</v>
      </c>
    </row>
    <row r="862" spans="1:17" x14ac:dyDescent="0.35">
      <c r="A862" t="s">
        <v>35</v>
      </c>
      <c r="B862" t="s">
        <v>909</v>
      </c>
      <c r="C862" t="s">
        <v>28</v>
      </c>
      <c r="D862" t="s">
        <v>25</v>
      </c>
      <c r="E862">
        <v>7.0000000000000007E-2</v>
      </c>
      <c r="F862" t="s">
        <v>88</v>
      </c>
      <c r="G862" s="19">
        <v>45533</v>
      </c>
      <c r="H862" t="s">
        <v>7085</v>
      </c>
      <c r="I862" t="s">
        <v>6200</v>
      </c>
      <c r="J862"/>
      <c r="Q862" s="3">
        <f t="shared" si="14"/>
        <v>7.0000000000000007E-2</v>
      </c>
    </row>
    <row r="863" spans="1:17" x14ac:dyDescent="0.35">
      <c r="A863" t="s">
        <v>35</v>
      </c>
      <c r="B863" t="s">
        <v>1032</v>
      </c>
      <c r="C863" t="s">
        <v>28</v>
      </c>
      <c r="D863" t="s">
        <v>25</v>
      </c>
      <c r="E863">
        <v>-7.0000000000000007E-2</v>
      </c>
      <c r="F863" t="s">
        <v>88</v>
      </c>
      <c r="G863" s="19">
        <v>45533</v>
      </c>
      <c r="H863" t="s">
        <v>7085</v>
      </c>
      <c r="I863" t="s">
        <v>6200</v>
      </c>
      <c r="J863"/>
      <c r="Q863" s="3">
        <f t="shared" si="14"/>
        <v>7.0000000000000007E-2</v>
      </c>
    </row>
    <row r="864" spans="1:17" x14ac:dyDescent="0.35">
      <c r="A864" t="s">
        <v>35</v>
      </c>
      <c r="B864" t="s">
        <v>6406</v>
      </c>
      <c r="C864" t="s">
        <v>28</v>
      </c>
      <c r="D864" t="s">
        <v>25</v>
      </c>
      <c r="E864">
        <v>-7.0000000000000007E-2</v>
      </c>
      <c r="F864" t="s">
        <v>88</v>
      </c>
      <c r="G864" s="19">
        <v>45533</v>
      </c>
      <c r="H864" t="s">
        <v>7085</v>
      </c>
      <c r="I864" t="s">
        <v>6200</v>
      </c>
      <c r="J864"/>
      <c r="Q864" s="3">
        <f t="shared" si="14"/>
        <v>7.0000000000000007E-2</v>
      </c>
    </row>
    <row r="865" spans="1:17" x14ac:dyDescent="0.35">
      <c r="A865" t="s">
        <v>35</v>
      </c>
      <c r="B865" t="s">
        <v>1053</v>
      </c>
      <c r="C865" t="s">
        <v>28</v>
      </c>
      <c r="D865" t="s">
        <v>25</v>
      </c>
      <c r="E865">
        <v>-6.9999999999999993E-2</v>
      </c>
      <c r="F865" t="s">
        <v>88</v>
      </c>
      <c r="G865" s="19">
        <v>45533</v>
      </c>
      <c r="H865" t="s">
        <v>7085</v>
      </c>
      <c r="I865" t="s">
        <v>6200</v>
      </c>
      <c r="J865"/>
      <c r="Q865" s="3">
        <f t="shared" si="14"/>
        <v>6.9999999999999993E-2</v>
      </c>
    </row>
    <row r="866" spans="1:17" x14ac:dyDescent="0.35">
      <c r="A866" t="s">
        <v>35</v>
      </c>
      <c r="B866" t="s">
        <v>744</v>
      </c>
      <c r="C866" t="s">
        <v>28</v>
      </c>
      <c r="D866" t="s">
        <v>25</v>
      </c>
      <c r="E866">
        <v>-6.9999999999999993E-2</v>
      </c>
      <c r="F866" t="s">
        <v>88</v>
      </c>
      <c r="G866" s="19">
        <v>45533</v>
      </c>
      <c r="H866" t="s">
        <v>7085</v>
      </c>
      <c r="I866" t="s">
        <v>6200</v>
      </c>
      <c r="J866"/>
      <c r="Q866" s="3">
        <f t="shared" si="14"/>
        <v>6.9999999999999993E-2</v>
      </c>
    </row>
    <row r="867" spans="1:17" x14ac:dyDescent="0.35">
      <c r="A867" t="s">
        <v>35</v>
      </c>
      <c r="B867" t="s">
        <v>797</v>
      </c>
      <c r="C867" t="s">
        <v>28</v>
      </c>
      <c r="D867" t="s">
        <v>25</v>
      </c>
      <c r="E867">
        <v>6.9999999999999993E-2</v>
      </c>
      <c r="F867" t="s">
        <v>88</v>
      </c>
      <c r="G867" s="19">
        <v>45533</v>
      </c>
      <c r="H867" t="s">
        <v>7085</v>
      </c>
      <c r="I867" t="s">
        <v>6200</v>
      </c>
      <c r="J867"/>
      <c r="Q867" s="3">
        <f t="shared" si="14"/>
        <v>6.9999999999999993E-2</v>
      </c>
    </row>
    <row r="868" spans="1:17" x14ac:dyDescent="0.35">
      <c r="A868" t="s">
        <v>35</v>
      </c>
      <c r="B868" t="s">
        <v>883</v>
      </c>
      <c r="C868" t="s">
        <v>28</v>
      </c>
      <c r="D868" t="s">
        <v>25</v>
      </c>
      <c r="E868">
        <v>-6.0000000000000005E-2</v>
      </c>
      <c r="F868" t="s">
        <v>88</v>
      </c>
      <c r="G868" s="19">
        <v>45533</v>
      </c>
      <c r="H868" t="s">
        <v>7085</v>
      </c>
      <c r="I868" t="s">
        <v>6200</v>
      </c>
      <c r="J868"/>
      <c r="Q868" s="3">
        <f t="shared" si="14"/>
        <v>6.0000000000000005E-2</v>
      </c>
    </row>
    <row r="869" spans="1:17" x14ac:dyDescent="0.35">
      <c r="A869" t="s">
        <v>35</v>
      </c>
      <c r="B869" t="s">
        <v>6393</v>
      </c>
      <c r="C869" t="s">
        <v>28</v>
      </c>
      <c r="D869" t="s">
        <v>25</v>
      </c>
      <c r="E869">
        <v>-6.0000000000000005E-2</v>
      </c>
      <c r="F869" t="s">
        <v>88</v>
      </c>
      <c r="G869" s="19">
        <v>45533</v>
      </c>
      <c r="H869" t="s">
        <v>7085</v>
      </c>
      <c r="I869" t="s">
        <v>6200</v>
      </c>
      <c r="J869"/>
      <c r="Q869" s="3">
        <f t="shared" si="14"/>
        <v>6.0000000000000005E-2</v>
      </c>
    </row>
    <row r="870" spans="1:17" x14ac:dyDescent="0.35">
      <c r="A870" t="s">
        <v>35</v>
      </c>
      <c r="B870" t="s">
        <v>893</v>
      </c>
      <c r="C870" t="s">
        <v>28</v>
      </c>
      <c r="D870" t="s">
        <v>25</v>
      </c>
      <c r="E870">
        <v>6.0000000000000005E-2</v>
      </c>
      <c r="F870" t="s">
        <v>88</v>
      </c>
      <c r="G870" s="19">
        <v>45533</v>
      </c>
      <c r="H870" t="s">
        <v>7085</v>
      </c>
      <c r="I870" t="s">
        <v>6200</v>
      </c>
      <c r="J870"/>
      <c r="Q870" s="3">
        <f t="shared" si="14"/>
        <v>6.0000000000000005E-2</v>
      </c>
    </row>
    <row r="871" spans="1:17" x14ac:dyDescent="0.35">
      <c r="A871" t="s">
        <v>35</v>
      </c>
      <c r="B871" t="s">
        <v>624</v>
      </c>
      <c r="C871" t="s">
        <v>28</v>
      </c>
      <c r="D871" t="s">
        <v>25</v>
      </c>
      <c r="E871">
        <v>-6.0000000000000005E-2</v>
      </c>
      <c r="F871" t="s">
        <v>88</v>
      </c>
      <c r="G871" s="19">
        <v>45533</v>
      </c>
      <c r="H871" t="s">
        <v>7085</v>
      </c>
      <c r="I871" t="s">
        <v>6200</v>
      </c>
      <c r="J871"/>
      <c r="Q871" s="3">
        <f t="shared" si="14"/>
        <v>6.0000000000000005E-2</v>
      </c>
    </row>
    <row r="872" spans="1:17" x14ac:dyDescent="0.35">
      <c r="A872" t="s">
        <v>0</v>
      </c>
      <c r="B872" t="s">
        <v>770</v>
      </c>
      <c r="C872" t="s">
        <v>28</v>
      </c>
      <c r="D872" t="s">
        <v>25</v>
      </c>
      <c r="E872">
        <v>-0.06</v>
      </c>
      <c r="F872" t="s">
        <v>88</v>
      </c>
      <c r="G872" s="19">
        <v>45403</v>
      </c>
      <c r="H872" t="s">
        <v>637</v>
      </c>
      <c r="I872" t="s">
        <v>6384</v>
      </c>
      <c r="J872"/>
      <c r="Q872" s="3">
        <f t="shared" si="14"/>
        <v>0.06</v>
      </c>
    </row>
    <row r="873" spans="1:17" x14ac:dyDescent="0.35">
      <c r="A873" t="s">
        <v>0</v>
      </c>
      <c r="B873" t="s">
        <v>6386</v>
      </c>
      <c r="C873" t="s">
        <v>28</v>
      </c>
      <c r="D873" t="s">
        <v>25</v>
      </c>
      <c r="E873">
        <v>-0.06</v>
      </c>
      <c r="F873" t="s">
        <v>88</v>
      </c>
      <c r="G873" s="19">
        <v>45403</v>
      </c>
      <c r="H873" t="s">
        <v>6384</v>
      </c>
      <c r="I873" t="s">
        <v>6384</v>
      </c>
      <c r="J873"/>
      <c r="Q873" s="3">
        <f t="shared" si="14"/>
        <v>0.06</v>
      </c>
    </row>
    <row r="874" spans="1:17" x14ac:dyDescent="0.35">
      <c r="A874" t="s">
        <v>0</v>
      </c>
      <c r="B874" t="s">
        <v>6388</v>
      </c>
      <c r="C874" t="s">
        <v>28</v>
      </c>
      <c r="D874" t="s">
        <v>25</v>
      </c>
      <c r="E874">
        <v>0.06</v>
      </c>
      <c r="F874" t="s">
        <v>88</v>
      </c>
      <c r="G874" s="19">
        <v>45403</v>
      </c>
      <c r="H874" t="s">
        <v>6384</v>
      </c>
      <c r="I874" t="s">
        <v>6384</v>
      </c>
      <c r="J874"/>
      <c r="Q874" s="3">
        <f t="shared" si="14"/>
        <v>0.06</v>
      </c>
    </row>
    <row r="875" spans="1:17" x14ac:dyDescent="0.35">
      <c r="A875" t="s">
        <v>0</v>
      </c>
      <c r="B875" t="s">
        <v>2543</v>
      </c>
      <c r="C875" t="s">
        <v>28</v>
      </c>
      <c r="D875" t="s">
        <v>25</v>
      </c>
      <c r="E875">
        <v>-0.06</v>
      </c>
      <c r="F875" t="s">
        <v>88</v>
      </c>
      <c r="G875" s="19">
        <v>45403</v>
      </c>
      <c r="H875" t="s">
        <v>6384</v>
      </c>
      <c r="I875" t="s">
        <v>6384</v>
      </c>
      <c r="J875"/>
      <c r="Q875" s="3">
        <f t="shared" si="14"/>
        <v>0.06</v>
      </c>
    </row>
    <row r="876" spans="1:17" x14ac:dyDescent="0.35">
      <c r="A876" t="s">
        <v>0</v>
      </c>
      <c r="B876" t="s">
        <v>1216</v>
      </c>
      <c r="C876" t="s">
        <v>28</v>
      </c>
      <c r="D876" t="s">
        <v>25</v>
      </c>
      <c r="E876">
        <v>-0.06</v>
      </c>
      <c r="F876" t="s">
        <v>88</v>
      </c>
      <c r="G876" s="19">
        <v>45403</v>
      </c>
      <c r="H876" t="s">
        <v>6384</v>
      </c>
      <c r="I876" t="s">
        <v>6384</v>
      </c>
      <c r="J876"/>
      <c r="Q876" s="3">
        <f t="shared" si="14"/>
        <v>0.06</v>
      </c>
    </row>
    <row r="877" spans="1:17" x14ac:dyDescent="0.35">
      <c r="A877" t="s">
        <v>0</v>
      </c>
      <c r="B877" t="s">
        <v>1411</v>
      </c>
      <c r="C877" t="s">
        <v>28</v>
      </c>
      <c r="D877" t="s">
        <v>25</v>
      </c>
      <c r="E877">
        <v>-0.06</v>
      </c>
      <c r="F877" t="s">
        <v>88</v>
      </c>
      <c r="G877" s="19">
        <v>45403</v>
      </c>
      <c r="H877" t="s">
        <v>6384</v>
      </c>
      <c r="I877" t="s">
        <v>6384</v>
      </c>
      <c r="J877"/>
      <c r="Q877" s="3">
        <f t="shared" si="14"/>
        <v>0.06</v>
      </c>
    </row>
    <row r="878" spans="1:17" x14ac:dyDescent="0.35">
      <c r="A878" t="s">
        <v>35</v>
      </c>
      <c r="B878" t="s">
        <v>638</v>
      </c>
      <c r="C878" t="s">
        <v>28</v>
      </c>
      <c r="D878" t="s">
        <v>25</v>
      </c>
      <c r="E878">
        <v>-0.06</v>
      </c>
      <c r="F878" t="s">
        <v>88</v>
      </c>
      <c r="G878" s="19">
        <v>45403</v>
      </c>
      <c r="H878" t="s">
        <v>637</v>
      </c>
      <c r="I878" t="s">
        <v>6384</v>
      </c>
      <c r="J878"/>
      <c r="Q878" s="3">
        <f t="shared" si="14"/>
        <v>0.06</v>
      </c>
    </row>
    <row r="879" spans="1:17" x14ac:dyDescent="0.35">
      <c r="A879" t="s">
        <v>35</v>
      </c>
      <c r="B879" t="s">
        <v>6390</v>
      </c>
      <c r="C879" t="s">
        <v>28</v>
      </c>
      <c r="D879" t="s">
        <v>25</v>
      </c>
      <c r="E879">
        <v>-0.06</v>
      </c>
      <c r="F879" t="s">
        <v>88</v>
      </c>
      <c r="G879" s="19">
        <v>45403</v>
      </c>
      <c r="H879" t="s">
        <v>637</v>
      </c>
      <c r="I879" t="s">
        <v>6384</v>
      </c>
      <c r="J879"/>
      <c r="Q879" s="3">
        <f t="shared" si="14"/>
        <v>0.06</v>
      </c>
    </row>
    <row r="880" spans="1:17" x14ac:dyDescent="0.35">
      <c r="A880" t="s">
        <v>35</v>
      </c>
      <c r="B880" t="s">
        <v>1041</v>
      </c>
      <c r="C880" t="s">
        <v>28</v>
      </c>
      <c r="D880" t="s">
        <v>25</v>
      </c>
      <c r="E880">
        <v>-0.06</v>
      </c>
      <c r="F880" t="s">
        <v>88</v>
      </c>
      <c r="G880" s="19">
        <v>45403</v>
      </c>
      <c r="H880" t="s">
        <v>637</v>
      </c>
      <c r="I880" t="s">
        <v>6384</v>
      </c>
      <c r="J880"/>
      <c r="Q880" s="3">
        <f t="shared" si="14"/>
        <v>0.06</v>
      </c>
    </row>
    <row r="881" spans="1:17" x14ac:dyDescent="0.35">
      <c r="A881" t="s">
        <v>35</v>
      </c>
      <c r="B881" t="s">
        <v>618</v>
      </c>
      <c r="C881" t="s">
        <v>28</v>
      </c>
      <c r="D881" t="s">
        <v>25</v>
      </c>
      <c r="E881">
        <v>-0.06</v>
      </c>
      <c r="F881" t="s">
        <v>88</v>
      </c>
      <c r="G881" s="19">
        <v>45403</v>
      </c>
      <c r="H881" t="s">
        <v>637</v>
      </c>
      <c r="I881" t="s">
        <v>6384</v>
      </c>
      <c r="J881"/>
      <c r="Q881" s="3">
        <f t="shared" si="14"/>
        <v>0.06</v>
      </c>
    </row>
    <row r="882" spans="1:17" x14ac:dyDescent="0.35">
      <c r="A882" t="s">
        <v>35</v>
      </c>
      <c r="B882" t="s">
        <v>842</v>
      </c>
      <c r="C882" t="s">
        <v>28</v>
      </c>
      <c r="D882" t="s">
        <v>25</v>
      </c>
      <c r="E882">
        <v>0.06</v>
      </c>
      <c r="F882" t="s">
        <v>88</v>
      </c>
      <c r="G882" s="19">
        <v>45403</v>
      </c>
      <c r="H882" t="s">
        <v>637</v>
      </c>
      <c r="I882" t="s">
        <v>6384</v>
      </c>
      <c r="J882"/>
      <c r="Q882" s="3">
        <f t="shared" si="14"/>
        <v>0.06</v>
      </c>
    </row>
    <row r="883" spans="1:17" x14ac:dyDescent="0.35">
      <c r="A883" t="s">
        <v>35</v>
      </c>
      <c r="B883" t="s">
        <v>6405</v>
      </c>
      <c r="C883" t="s">
        <v>28</v>
      </c>
      <c r="D883" t="s">
        <v>25</v>
      </c>
      <c r="E883">
        <v>-0.06</v>
      </c>
      <c r="F883" t="s">
        <v>88</v>
      </c>
      <c r="G883" s="19">
        <v>45403</v>
      </c>
      <c r="H883" t="s">
        <v>637</v>
      </c>
      <c r="I883" t="s">
        <v>6384</v>
      </c>
      <c r="J883"/>
      <c r="Q883" s="3">
        <f t="shared" si="14"/>
        <v>0.06</v>
      </c>
    </row>
    <row r="884" spans="1:17" x14ac:dyDescent="0.35">
      <c r="A884" t="s">
        <v>35</v>
      </c>
      <c r="B884" t="s">
        <v>1411</v>
      </c>
      <c r="C884" t="s">
        <v>28</v>
      </c>
      <c r="D884" t="s">
        <v>25</v>
      </c>
      <c r="E884">
        <v>-0.06</v>
      </c>
      <c r="F884" t="s">
        <v>88</v>
      </c>
      <c r="G884" s="19">
        <v>45403</v>
      </c>
      <c r="H884" t="s">
        <v>637</v>
      </c>
      <c r="I884" t="s">
        <v>6384</v>
      </c>
      <c r="J884"/>
      <c r="Q884" s="3">
        <f t="shared" si="14"/>
        <v>0.06</v>
      </c>
    </row>
    <row r="885" spans="1:17" x14ac:dyDescent="0.35">
      <c r="A885" t="s">
        <v>35</v>
      </c>
      <c r="B885" t="s">
        <v>852</v>
      </c>
      <c r="C885" t="s">
        <v>28</v>
      </c>
      <c r="D885" t="s">
        <v>25</v>
      </c>
      <c r="E885">
        <v>-0.06</v>
      </c>
      <c r="F885" t="s">
        <v>88</v>
      </c>
      <c r="G885" s="19">
        <v>45403</v>
      </c>
      <c r="H885" t="s">
        <v>637</v>
      </c>
      <c r="I885" t="s">
        <v>6384</v>
      </c>
      <c r="J885"/>
      <c r="Q885" s="3">
        <f t="shared" si="14"/>
        <v>0.06</v>
      </c>
    </row>
    <row r="886" spans="1:17" x14ac:dyDescent="0.35">
      <c r="A886" t="s">
        <v>35</v>
      </c>
      <c r="B886" t="s">
        <v>797</v>
      </c>
      <c r="C886" t="s">
        <v>28</v>
      </c>
      <c r="D886" t="s">
        <v>25</v>
      </c>
      <c r="E886">
        <v>-0.06</v>
      </c>
      <c r="F886" t="s">
        <v>88</v>
      </c>
      <c r="G886" s="19">
        <v>45403</v>
      </c>
      <c r="H886" t="s">
        <v>637</v>
      </c>
      <c r="I886" t="s">
        <v>6384</v>
      </c>
      <c r="J886"/>
      <c r="Q886" s="3">
        <f t="shared" si="14"/>
        <v>0.06</v>
      </c>
    </row>
    <row r="887" spans="1:17" x14ac:dyDescent="0.35">
      <c r="A887" t="s">
        <v>35</v>
      </c>
      <c r="B887" t="s">
        <v>655</v>
      </c>
      <c r="C887" t="s">
        <v>28</v>
      </c>
      <c r="D887" t="s">
        <v>25</v>
      </c>
      <c r="E887">
        <v>-0.06</v>
      </c>
      <c r="F887" t="s">
        <v>88</v>
      </c>
      <c r="G887" s="19">
        <v>45403</v>
      </c>
      <c r="H887" t="s">
        <v>637</v>
      </c>
      <c r="I887" t="s">
        <v>6384</v>
      </c>
      <c r="J887"/>
      <c r="Q887" s="3">
        <f t="shared" si="14"/>
        <v>0.06</v>
      </c>
    </row>
    <row r="888" spans="1:17" x14ac:dyDescent="0.35">
      <c r="A888" t="s">
        <v>0</v>
      </c>
      <c r="B888" t="s">
        <v>6395</v>
      </c>
      <c r="C888" t="s">
        <v>28</v>
      </c>
      <c r="D888" t="s">
        <v>25</v>
      </c>
      <c r="E888">
        <v>-0.06</v>
      </c>
      <c r="F888" t="s">
        <v>88</v>
      </c>
      <c r="G888" s="19">
        <v>45533</v>
      </c>
      <c r="H888" t="s">
        <v>7085</v>
      </c>
      <c r="I888" t="s">
        <v>6200</v>
      </c>
      <c r="J888"/>
      <c r="Q888" s="3">
        <f t="shared" si="14"/>
        <v>0.06</v>
      </c>
    </row>
    <row r="889" spans="1:17" x14ac:dyDescent="0.35">
      <c r="A889" t="s">
        <v>0</v>
      </c>
      <c r="B889" t="s">
        <v>703</v>
      </c>
      <c r="C889" t="s">
        <v>28</v>
      </c>
      <c r="D889" t="s">
        <v>25</v>
      </c>
      <c r="E889">
        <v>-0.06</v>
      </c>
      <c r="F889" t="s">
        <v>88</v>
      </c>
      <c r="G889" s="19">
        <v>45533</v>
      </c>
      <c r="H889" t="s">
        <v>7085</v>
      </c>
      <c r="I889" t="s">
        <v>6200</v>
      </c>
      <c r="J889"/>
      <c r="Q889" s="3">
        <f t="shared" si="14"/>
        <v>0.06</v>
      </c>
    </row>
    <row r="890" spans="1:17" x14ac:dyDescent="0.35">
      <c r="A890" t="s">
        <v>0</v>
      </c>
      <c r="B890" t="s">
        <v>5980</v>
      </c>
      <c r="C890" t="s">
        <v>28</v>
      </c>
      <c r="D890" t="s">
        <v>25</v>
      </c>
      <c r="E890">
        <v>-0.06</v>
      </c>
      <c r="F890" t="s">
        <v>88</v>
      </c>
      <c r="G890" s="19">
        <v>45533</v>
      </c>
      <c r="H890" t="s">
        <v>7085</v>
      </c>
      <c r="I890" t="s">
        <v>6200</v>
      </c>
      <c r="J890"/>
      <c r="Q890" s="3">
        <f t="shared" si="14"/>
        <v>0.06</v>
      </c>
    </row>
    <row r="891" spans="1:17" x14ac:dyDescent="0.35">
      <c r="A891" t="s">
        <v>0</v>
      </c>
      <c r="B891" t="s">
        <v>3466</v>
      </c>
      <c r="C891" t="s">
        <v>28</v>
      </c>
      <c r="D891" t="s">
        <v>25</v>
      </c>
      <c r="E891">
        <v>0.06</v>
      </c>
      <c r="F891" t="s">
        <v>88</v>
      </c>
      <c r="G891" s="19">
        <v>45533</v>
      </c>
      <c r="H891" t="s">
        <v>7085</v>
      </c>
      <c r="I891" t="s">
        <v>6200</v>
      </c>
      <c r="J891"/>
      <c r="Q891" s="3">
        <f t="shared" si="14"/>
        <v>0.06</v>
      </c>
    </row>
    <row r="892" spans="1:17" x14ac:dyDescent="0.35">
      <c r="A892" t="s">
        <v>0</v>
      </c>
      <c r="B892" t="s">
        <v>606</v>
      </c>
      <c r="C892" t="s">
        <v>28</v>
      </c>
      <c r="D892" t="s">
        <v>25</v>
      </c>
      <c r="E892">
        <v>-0.06</v>
      </c>
      <c r="F892" t="s">
        <v>88</v>
      </c>
      <c r="G892" s="19">
        <v>45533</v>
      </c>
      <c r="H892" t="s">
        <v>7085</v>
      </c>
      <c r="I892" t="s">
        <v>6200</v>
      </c>
      <c r="J892"/>
      <c r="Q892" s="3">
        <f t="shared" si="14"/>
        <v>0.06</v>
      </c>
    </row>
    <row r="893" spans="1:17" x14ac:dyDescent="0.35">
      <c r="A893" t="s">
        <v>0</v>
      </c>
      <c r="B893" t="s">
        <v>708</v>
      </c>
      <c r="C893" t="s">
        <v>28</v>
      </c>
      <c r="D893" t="s">
        <v>25</v>
      </c>
      <c r="E893">
        <v>-0.06</v>
      </c>
      <c r="F893" t="s">
        <v>88</v>
      </c>
      <c r="G893" s="19">
        <v>45533</v>
      </c>
      <c r="H893" t="s">
        <v>7085</v>
      </c>
      <c r="I893" t="s">
        <v>6200</v>
      </c>
      <c r="J893"/>
      <c r="Q893" s="3">
        <f t="shared" si="14"/>
        <v>0.06</v>
      </c>
    </row>
    <row r="894" spans="1:17" x14ac:dyDescent="0.35">
      <c r="A894" t="s">
        <v>0</v>
      </c>
      <c r="B894" t="s">
        <v>1053</v>
      </c>
      <c r="C894" t="s">
        <v>28</v>
      </c>
      <c r="D894" t="s">
        <v>25</v>
      </c>
      <c r="E894">
        <v>-0.06</v>
      </c>
      <c r="F894" t="s">
        <v>88</v>
      </c>
      <c r="G894" s="19">
        <v>45533</v>
      </c>
      <c r="H894" t="s">
        <v>7085</v>
      </c>
      <c r="I894" t="s">
        <v>6200</v>
      </c>
      <c r="J894"/>
      <c r="Q894" s="3">
        <f t="shared" si="14"/>
        <v>0.06</v>
      </c>
    </row>
    <row r="895" spans="1:17" x14ac:dyDescent="0.35">
      <c r="A895" t="s">
        <v>0</v>
      </c>
      <c r="B895" t="s">
        <v>934</v>
      </c>
      <c r="C895" t="s">
        <v>28</v>
      </c>
      <c r="D895" t="s">
        <v>25</v>
      </c>
      <c r="E895">
        <v>-0.06</v>
      </c>
      <c r="F895" t="s">
        <v>88</v>
      </c>
      <c r="G895" s="19">
        <v>45533</v>
      </c>
      <c r="H895" t="s">
        <v>7085</v>
      </c>
      <c r="I895" t="s">
        <v>6200</v>
      </c>
      <c r="J895"/>
      <c r="Q895" s="3">
        <f t="shared" si="14"/>
        <v>0.06</v>
      </c>
    </row>
    <row r="896" spans="1:17" x14ac:dyDescent="0.35">
      <c r="A896" t="s">
        <v>0</v>
      </c>
      <c r="B896" t="s">
        <v>5994</v>
      </c>
      <c r="C896" t="s">
        <v>28</v>
      </c>
      <c r="D896" t="s">
        <v>25</v>
      </c>
      <c r="E896">
        <v>-0.06</v>
      </c>
      <c r="F896" t="s">
        <v>88</v>
      </c>
      <c r="G896" s="19">
        <v>45533</v>
      </c>
      <c r="H896" t="s">
        <v>7085</v>
      </c>
      <c r="I896" t="s">
        <v>6200</v>
      </c>
      <c r="J896"/>
      <c r="Q896" s="3">
        <f t="shared" si="14"/>
        <v>0.06</v>
      </c>
    </row>
    <row r="897" spans="1:17" x14ac:dyDescent="0.35">
      <c r="A897" t="s">
        <v>0</v>
      </c>
      <c r="B897" t="s">
        <v>5696</v>
      </c>
      <c r="C897" t="s">
        <v>28</v>
      </c>
      <c r="D897" t="s">
        <v>25</v>
      </c>
      <c r="E897">
        <v>-0.06</v>
      </c>
      <c r="F897" t="s">
        <v>88</v>
      </c>
      <c r="G897" s="19">
        <v>45533</v>
      </c>
      <c r="H897" t="s">
        <v>7085</v>
      </c>
      <c r="I897" t="s">
        <v>6200</v>
      </c>
      <c r="J897"/>
      <c r="Q897" s="3">
        <f t="shared" si="14"/>
        <v>0.06</v>
      </c>
    </row>
    <row r="898" spans="1:17" x14ac:dyDescent="0.35">
      <c r="A898" t="s">
        <v>0</v>
      </c>
      <c r="B898" t="s">
        <v>655</v>
      </c>
      <c r="C898" t="s">
        <v>28</v>
      </c>
      <c r="D898" t="s">
        <v>25</v>
      </c>
      <c r="E898">
        <v>-0.06</v>
      </c>
      <c r="F898" t="s">
        <v>88</v>
      </c>
      <c r="G898" s="19">
        <v>45533</v>
      </c>
      <c r="H898" t="s">
        <v>7085</v>
      </c>
      <c r="I898" t="s">
        <v>6200</v>
      </c>
      <c r="J898"/>
      <c r="Q898" s="3">
        <f t="shared" si="14"/>
        <v>0.06</v>
      </c>
    </row>
    <row r="899" spans="1:17" x14ac:dyDescent="0.35">
      <c r="A899" t="s">
        <v>35</v>
      </c>
      <c r="B899" t="s">
        <v>764</v>
      </c>
      <c r="C899" t="s">
        <v>28</v>
      </c>
      <c r="D899" t="s">
        <v>25</v>
      </c>
      <c r="E899">
        <v>-0.06</v>
      </c>
      <c r="F899" t="s">
        <v>88</v>
      </c>
      <c r="G899" s="19">
        <v>45533</v>
      </c>
      <c r="H899" t="s">
        <v>7085</v>
      </c>
      <c r="I899" t="s">
        <v>6200</v>
      </c>
      <c r="J899"/>
      <c r="Q899" s="3">
        <f t="shared" si="14"/>
        <v>0.06</v>
      </c>
    </row>
    <row r="900" spans="1:17" x14ac:dyDescent="0.35">
      <c r="A900" t="s">
        <v>35</v>
      </c>
      <c r="B900" t="s">
        <v>947</v>
      </c>
      <c r="C900" t="s">
        <v>28</v>
      </c>
      <c r="D900" t="s">
        <v>25</v>
      </c>
      <c r="E900">
        <v>0.06</v>
      </c>
      <c r="F900" t="s">
        <v>88</v>
      </c>
      <c r="G900" s="19">
        <v>45533</v>
      </c>
      <c r="H900" t="s">
        <v>7085</v>
      </c>
      <c r="I900" t="s">
        <v>6200</v>
      </c>
      <c r="J900"/>
      <c r="Q900" s="3">
        <f t="shared" si="14"/>
        <v>0.06</v>
      </c>
    </row>
    <row r="901" spans="1:17" x14ac:dyDescent="0.35">
      <c r="A901" t="s">
        <v>0</v>
      </c>
      <c r="B901" t="s">
        <v>1123</v>
      </c>
      <c r="C901" t="s">
        <v>28</v>
      </c>
      <c r="D901" t="s">
        <v>25</v>
      </c>
      <c r="E901">
        <v>-0.05</v>
      </c>
      <c r="F901" t="s">
        <v>88</v>
      </c>
      <c r="G901" s="19">
        <v>45403</v>
      </c>
      <c r="H901" t="s">
        <v>6384</v>
      </c>
      <c r="I901" t="s">
        <v>6384</v>
      </c>
      <c r="J901"/>
      <c r="Q901" s="3">
        <f t="shared" si="14"/>
        <v>0.05</v>
      </c>
    </row>
    <row r="902" spans="1:17" x14ac:dyDescent="0.35">
      <c r="A902" t="s">
        <v>0</v>
      </c>
      <c r="B902" t="s">
        <v>953</v>
      </c>
      <c r="C902" t="s">
        <v>28</v>
      </c>
      <c r="D902" t="s">
        <v>25</v>
      </c>
      <c r="E902">
        <v>-0.05</v>
      </c>
      <c r="F902" t="s">
        <v>88</v>
      </c>
      <c r="G902" s="19">
        <v>45403</v>
      </c>
      <c r="H902" t="s">
        <v>6384</v>
      </c>
      <c r="I902" t="s">
        <v>6384</v>
      </c>
      <c r="J902"/>
      <c r="Q902" s="3">
        <f t="shared" si="14"/>
        <v>0.05</v>
      </c>
    </row>
    <row r="903" spans="1:17" x14ac:dyDescent="0.35">
      <c r="A903" t="s">
        <v>35</v>
      </c>
      <c r="B903" t="s">
        <v>1884</v>
      </c>
      <c r="C903" t="s">
        <v>28</v>
      </c>
      <c r="D903" t="s">
        <v>25</v>
      </c>
      <c r="E903">
        <v>-0.05</v>
      </c>
      <c r="F903" t="s">
        <v>88</v>
      </c>
      <c r="G903" s="19">
        <v>45403</v>
      </c>
      <c r="H903" t="s">
        <v>637</v>
      </c>
      <c r="I903" t="s">
        <v>6384</v>
      </c>
      <c r="J903"/>
      <c r="Q903" s="3">
        <f t="shared" si="14"/>
        <v>0.05</v>
      </c>
    </row>
    <row r="904" spans="1:17" x14ac:dyDescent="0.35">
      <c r="A904" t="s">
        <v>35</v>
      </c>
      <c r="B904" t="s">
        <v>598</v>
      </c>
      <c r="C904" t="s">
        <v>28</v>
      </c>
      <c r="D904" t="s">
        <v>25</v>
      </c>
      <c r="E904">
        <v>0.05</v>
      </c>
      <c r="F904" t="s">
        <v>88</v>
      </c>
      <c r="G904" s="19">
        <v>45403</v>
      </c>
      <c r="H904" t="s">
        <v>637</v>
      </c>
      <c r="I904" t="s">
        <v>6384</v>
      </c>
      <c r="J904"/>
      <c r="Q904" s="3">
        <f t="shared" si="14"/>
        <v>0.05</v>
      </c>
    </row>
    <row r="905" spans="1:17" x14ac:dyDescent="0.35">
      <c r="A905" t="s">
        <v>35</v>
      </c>
      <c r="B905" t="s">
        <v>614</v>
      </c>
      <c r="C905" t="s">
        <v>28</v>
      </c>
      <c r="D905" t="s">
        <v>25</v>
      </c>
      <c r="E905">
        <v>-0.05</v>
      </c>
      <c r="F905" t="s">
        <v>88</v>
      </c>
      <c r="G905" s="19">
        <v>45403</v>
      </c>
      <c r="H905" t="s">
        <v>637</v>
      </c>
      <c r="I905" t="s">
        <v>6384</v>
      </c>
      <c r="J905"/>
      <c r="Q905" s="3">
        <f t="shared" si="14"/>
        <v>0.05</v>
      </c>
    </row>
    <row r="906" spans="1:17" x14ac:dyDescent="0.35">
      <c r="A906" t="s">
        <v>35</v>
      </c>
      <c r="B906" t="s">
        <v>1221</v>
      </c>
      <c r="C906" t="s">
        <v>28</v>
      </c>
      <c r="D906" t="s">
        <v>25</v>
      </c>
      <c r="E906">
        <v>-0.05</v>
      </c>
      <c r="F906" t="s">
        <v>88</v>
      </c>
      <c r="G906" s="19">
        <v>45403</v>
      </c>
      <c r="H906" t="s">
        <v>637</v>
      </c>
      <c r="I906" t="s">
        <v>6384</v>
      </c>
      <c r="J906"/>
      <c r="Q906" s="3">
        <f t="shared" ref="Q906:Q969" si="15">ABS(E906)</f>
        <v>0.05</v>
      </c>
    </row>
    <row r="907" spans="1:17" x14ac:dyDescent="0.35">
      <c r="A907" t="s">
        <v>35</v>
      </c>
      <c r="B907" t="s">
        <v>6392</v>
      </c>
      <c r="C907" t="s">
        <v>28</v>
      </c>
      <c r="D907" t="s">
        <v>25</v>
      </c>
      <c r="E907">
        <v>0.05</v>
      </c>
      <c r="F907" t="s">
        <v>88</v>
      </c>
      <c r="G907" s="19">
        <v>45403</v>
      </c>
      <c r="H907" t="s">
        <v>637</v>
      </c>
      <c r="I907" t="s">
        <v>6384</v>
      </c>
      <c r="J907"/>
      <c r="Q907" s="3">
        <f t="shared" si="15"/>
        <v>0.05</v>
      </c>
    </row>
    <row r="908" spans="1:17" x14ac:dyDescent="0.35">
      <c r="A908" t="s">
        <v>35</v>
      </c>
      <c r="B908" t="s">
        <v>6393</v>
      </c>
      <c r="C908" t="s">
        <v>28</v>
      </c>
      <c r="D908" t="s">
        <v>25</v>
      </c>
      <c r="E908">
        <v>-0.05</v>
      </c>
      <c r="F908" t="s">
        <v>88</v>
      </c>
      <c r="G908" s="19">
        <v>45403</v>
      </c>
      <c r="H908" t="s">
        <v>637</v>
      </c>
      <c r="I908" t="s">
        <v>6384</v>
      </c>
      <c r="J908"/>
      <c r="Q908" s="3">
        <f t="shared" si="15"/>
        <v>0.05</v>
      </c>
    </row>
    <row r="909" spans="1:17" x14ac:dyDescent="0.35">
      <c r="A909" t="s">
        <v>35</v>
      </c>
      <c r="B909" t="s">
        <v>933</v>
      </c>
      <c r="C909" t="s">
        <v>28</v>
      </c>
      <c r="D909" t="s">
        <v>25</v>
      </c>
      <c r="E909">
        <v>-0.05</v>
      </c>
      <c r="F909" t="s">
        <v>88</v>
      </c>
      <c r="G909" s="19">
        <v>45403</v>
      </c>
      <c r="H909" t="s">
        <v>637</v>
      </c>
      <c r="I909" t="s">
        <v>6384</v>
      </c>
      <c r="J909"/>
      <c r="Q909" s="3">
        <f t="shared" si="15"/>
        <v>0.05</v>
      </c>
    </row>
    <row r="910" spans="1:17" x14ac:dyDescent="0.35">
      <c r="A910" t="s">
        <v>35</v>
      </c>
      <c r="B910" t="s">
        <v>740</v>
      </c>
      <c r="C910" t="s">
        <v>28</v>
      </c>
      <c r="D910" t="s">
        <v>25</v>
      </c>
      <c r="E910">
        <v>-0.05</v>
      </c>
      <c r="F910" t="s">
        <v>88</v>
      </c>
      <c r="G910" s="19">
        <v>45403</v>
      </c>
      <c r="H910" t="s">
        <v>637</v>
      </c>
      <c r="I910" t="s">
        <v>6384</v>
      </c>
      <c r="J910"/>
      <c r="Q910" s="3">
        <f t="shared" si="15"/>
        <v>0.05</v>
      </c>
    </row>
    <row r="911" spans="1:17" x14ac:dyDescent="0.35">
      <c r="A911" t="s">
        <v>35</v>
      </c>
      <c r="B911" t="s">
        <v>1189</v>
      </c>
      <c r="C911" t="s">
        <v>28</v>
      </c>
      <c r="D911" t="s">
        <v>25</v>
      </c>
      <c r="E911">
        <v>-0.05</v>
      </c>
      <c r="F911" t="s">
        <v>88</v>
      </c>
      <c r="G911" s="19">
        <v>45403</v>
      </c>
      <c r="H911" t="s">
        <v>637</v>
      </c>
      <c r="I911" t="s">
        <v>6384</v>
      </c>
      <c r="J911"/>
      <c r="Q911" s="3">
        <f t="shared" si="15"/>
        <v>0.05</v>
      </c>
    </row>
    <row r="912" spans="1:17" x14ac:dyDescent="0.35">
      <c r="A912" t="s">
        <v>35</v>
      </c>
      <c r="B912" t="s">
        <v>6395</v>
      </c>
      <c r="C912" t="s">
        <v>28</v>
      </c>
      <c r="D912" t="s">
        <v>25</v>
      </c>
      <c r="E912">
        <v>-0.05</v>
      </c>
      <c r="F912" t="s">
        <v>88</v>
      </c>
      <c r="G912" s="19">
        <v>45403</v>
      </c>
      <c r="H912" t="s">
        <v>637</v>
      </c>
      <c r="I912" t="s">
        <v>6384</v>
      </c>
      <c r="J912"/>
      <c r="Q912" s="3">
        <f t="shared" si="15"/>
        <v>0.05</v>
      </c>
    </row>
    <row r="913" spans="1:17" x14ac:dyDescent="0.35">
      <c r="A913" t="s">
        <v>35</v>
      </c>
      <c r="B913" t="s">
        <v>6398</v>
      </c>
      <c r="C913" t="s">
        <v>28</v>
      </c>
      <c r="D913" t="s">
        <v>25</v>
      </c>
      <c r="E913">
        <v>-0.05</v>
      </c>
      <c r="F913" t="s">
        <v>88</v>
      </c>
      <c r="G913" s="19">
        <v>45403</v>
      </c>
      <c r="H913" t="s">
        <v>637</v>
      </c>
      <c r="I913" t="s">
        <v>6384</v>
      </c>
      <c r="J913"/>
      <c r="Q913" s="3">
        <f t="shared" si="15"/>
        <v>0.05</v>
      </c>
    </row>
    <row r="914" spans="1:17" x14ac:dyDescent="0.35">
      <c r="A914" t="s">
        <v>35</v>
      </c>
      <c r="B914" t="s">
        <v>3466</v>
      </c>
      <c r="C914" t="s">
        <v>28</v>
      </c>
      <c r="D914" t="s">
        <v>25</v>
      </c>
      <c r="E914">
        <v>-0.05</v>
      </c>
      <c r="F914" t="s">
        <v>88</v>
      </c>
      <c r="G914" s="19">
        <v>45403</v>
      </c>
      <c r="H914" t="s">
        <v>637</v>
      </c>
      <c r="I914" t="s">
        <v>6384</v>
      </c>
      <c r="J914"/>
      <c r="Q914" s="3">
        <f t="shared" si="15"/>
        <v>0.05</v>
      </c>
    </row>
    <row r="915" spans="1:17" x14ac:dyDescent="0.35">
      <c r="A915" t="s">
        <v>35</v>
      </c>
      <c r="B915" t="s">
        <v>768</v>
      </c>
      <c r="C915" t="s">
        <v>28</v>
      </c>
      <c r="D915" t="s">
        <v>25</v>
      </c>
      <c r="E915">
        <v>0.05</v>
      </c>
      <c r="F915" t="s">
        <v>88</v>
      </c>
      <c r="G915" s="19">
        <v>45403</v>
      </c>
      <c r="H915" t="s">
        <v>637</v>
      </c>
      <c r="I915" t="s">
        <v>6384</v>
      </c>
      <c r="J915"/>
      <c r="Q915" s="3">
        <f t="shared" si="15"/>
        <v>0.05</v>
      </c>
    </row>
    <row r="916" spans="1:17" x14ac:dyDescent="0.35">
      <c r="A916" t="s">
        <v>35</v>
      </c>
      <c r="B916" t="s">
        <v>764</v>
      </c>
      <c r="C916" t="s">
        <v>28</v>
      </c>
      <c r="D916" t="s">
        <v>25</v>
      </c>
      <c r="E916">
        <v>0.05</v>
      </c>
      <c r="F916" t="s">
        <v>88</v>
      </c>
      <c r="G916" s="19">
        <v>45403</v>
      </c>
      <c r="H916" t="s">
        <v>637</v>
      </c>
      <c r="I916" t="s">
        <v>6384</v>
      </c>
      <c r="J916"/>
      <c r="Q916" s="3">
        <f t="shared" si="15"/>
        <v>0.05</v>
      </c>
    </row>
    <row r="917" spans="1:17" x14ac:dyDescent="0.35">
      <c r="A917" t="s">
        <v>35</v>
      </c>
      <c r="B917" t="s">
        <v>2629</v>
      </c>
      <c r="C917" t="s">
        <v>28</v>
      </c>
      <c r="D917" t="s">
        <v>25</v>
      </c>
      <c r="E917">
        <v>-0.05</v>
      </c>
      <c r="F917" t="s">
        <v>88</v>
      </c>
      <c r="G917" s="19">
        <v>45403</v>
      </c>
      <c r="H917" t="s">
        <v>637</v>
      </c>
      <c r="I917" t="s">
        <v>6384</v>
      </c>
      <c r="J917"/>
      <c r="Q917" s="3">
        <f t="shared" si="15"/>
        <v>0.05</v>
      </c>
    </row>
    <row r="918" spans="1:17" x14ac:dyDescent="0.35">
      <c r="A918" t="s">
        <v>35</v>
      </c>
      <c r="B918" t="s">
        <v>5927</v>
      </c>
      <c r="C918" t="s">
        <v>28</v>
      </c>
      <c r="D918" t="s">
        <v>25</v>
      </c>
      <c r="E918">
        <v>0.05</v>
      </c>
      <c r="F918" t="s">
        <v>88</v>
      </c>
      <c r="G918" s="19">
        <v>45403</v>
      </c>
      <c r="H918" t="s">
        <v>637</v>
      </c>
      <c r="I918" t="s">
        <v>6384</v>
      </c>
      <c r="J918"/>
      <c r="Q918" s="3">
        <f t="shared" si="15"/>
        <v>0.05</v>
      </c>
    </row>
    <row r="919" spans="1:17" x14ac:dyDescent="0.35">
      <c r="A919" t="s">
        <v>35</v>
      </c>
      <c r="B919" t="s">
        <v>6044</v>
      </c>
      <c r="C919" t="s">
        <v>28</v>
      </c>
      <c r="D919" t="s">
        <v>25</v>
      </c>
      <c r="E919">
        <v>-0.05</v>
      </c>
      <c r="F919" t="s">
        <v>88</v>
      </c>
      <c r="G919" s="19">
        <v>45403</v>
      </c>
      <c r="H919" t="s">
        <v>637</v>
      </c>
      <c r="I919" t="s">
        <v>6384</v>
      </c>
      <c r="J919"/>
      <c r="Q919" s="3">
        <f t="shared" si="15"/>
        <v>0.05</v>
      </c>
    </row>
    <row r="920" spans="1:17" x14ac:dyDescent="0.35">
      <c r="A920" t="s">
        <v>35</v>
      </c>
      <c r="B920" t="s">
        <v>633</v>
      </c>
      <c r="C920" t="s">
        <v>28</v>
      </c>
      <c r="D920" t="s">
        <v>25</v>
      </c>
      <c r="E920">
        <v>-0.05</v>
      </c>
      <c r="F920" t="s">
        <v>88</v>
      </c>
      <c r="G920" s="19">
        <v>45403</v>
      </c>
      <c r="H920" t="s">
        <v>637</v>
      </c>
      <c r="I920" t="s">
        <v>6384</v>
      </c>
      <c r="J920"/>
      <c r="Q920" s="3">
        <f t="shared" si="15"/>
        <v>0.05</v>
      </c>
    </row>
    <row r="921" spans="1:17" x14ac:dyDescent="0.35">
      <c r="A921" t="s">
        <v>35</v>
      </c>
      <c r="B921" t="s">
        <v>2031</v>
      </c>
      <c r="C921" t="s">
        <v>28</v>
      </c>
      <c r="D921" t="s">
        <v>25</v>
      </c>
      <c r="E921">
        <v>0.05</v>
      </c>
      <c r="F921" t="s">
        <v>88</v>
      </c>
      <c r="G921" s="19">
        <v>45403</v>
      </c>
      <c r="H921" t="s">
        <v>637</v>
      </c>
      <c r="I921" t="s">
        <v>6384</v>
      </c>
      <c r="J921"/>
      <c r="Q921" s="3">
        <f t="shared" si="15"/>
        <v>0.05</v>
      </c>
    </row>
    <row r="922" spans="1:17" x14ac:dyDescent="0.35">
      <c r="A922" t="s">
        <v>35</v>
      </c>
      <c r="B922" t="s">
        <v>881</v>
      </c>
      <c r="C922" t="s">
        <v>28</v>
      </c>
      <c r="D922" t="s">
        <v>25</v>
      </c>
      <c r="E922">
        <v>-0.05</v>
      </c>
      <c r="F922" t="s">
        <v>88</v>
      </c>
      <c r="G922" s="19">
        <v>45403</v>
      </c>
      <c r="H922" t="s">
        <v>637</v>
      </c>
      <c r="I922" t="s">
        <v>6384</v>
      </c>
      <c r="J922"/>
      <c r="Q922" s="3">
        <f t="shared" si="15"/>
        <v>0.05</v>
      </c>
    </row>
    <row r="923" spans="1:17" x14ac:dyDescent="0.35">
      <c r="A923" t="s">
        <v>35</v>
      </c>
      <c r="B923" t="s">
        <v>5701</v>
      </c>
      <c r="C923" t="s">
        <v>28</v>
      </c>
      <c r="D923" t="s">
        <v>25</v>
      </c>
      <c r="E923">
        <v>-0.05</v>
      </c>
      <c r="F923" t="s">
        <v>88</v>
      </c>
      <c r="G923" s="19">
        <v>45403</v>
      </c>
      <c r="H923" t="s">
        <v>637</v>
      </c>
      <c r="I923" t="s">
        <v>6384</v>
      </c>
      <c r="J923"/>
      <c r="Q923" s="3">
        <f t="shared" si="15"/>
        <v>0.05</v>
      </c>
    </row>
    <row r="924" spans="1:17" x14ac:dyDescent="0.35">
      <c r="A924" t="s">
        <v>35</v>
      </c>
      <c r="B924" t="s">
        <v>1543</v>
      </c>
      <c r="C924" t="s">
        <v>28</v>
      </c>
      <c r="D924" t="s">
        <v>25</v>
      </c>
      <c r="E924">
        <v>-0.05</v>
      </c>
      <c r="F924" t="s">
        <v>88</v>
      </c>
      <c r="G924" s="19">
        <v>45403</v>
      </c>
      <c r="H924" t="s">
        <v>637</v>
      </c>
      <c r="I924" t="s">
        <v>6384</v>
      </c>
      <c r="J924"/>
      <c r="Q924" s="3">
        <f t="shared" si="15"/>
        <v>0.05</v>
      </c>
    </row>
    <row r="925" spans="1:17" x14ac:dyDescent="0.35">
      <c r="A925" t="s">
        <v>35</v>
      </c>
      <c r="B925" t="s">
        <v>1279</v>
      </c>
      <c r="C925" t="s">
        <v>28</v>
      </c>
      <c r="D925" t="s">
        <v>25</v>
      </c>
      <c r="E925">
        <v>0.05</v>
      </c>
      <c r="F925" t="s">
        <v>88</v>
      </c>
      <c r="G925" s="19">
        <v>45403</v>
      </c>
      <c r="H925" t="s">
        <v>637</v>
      </c>
      <c r="I925" t="s">
        <v>6384</v>
      </c>
      <c r="J925"/>
      <c r="Q925" s="3">
        <f t="shared" si="15"/>
        <v>0.05</v>
      </c>
    </row>
    <row r="926" spans="1:17" x14ac:dyDescent="0.35">
      <c r="A926" t="s">
        <v>35</v>
      </c>
      <c r="B926" t="s">
        <v>653</v>
      </c>
      <c r="C926" t="s">
        <v>28</v>
      </c>
      <c r="D926" t="s">
        <v>25</v>
      </c>
      <c r="E926">
        <v>-0.05</v>
      </c>
      <c r="F926" t="s">
        <v>88</v>
      </c>
      <c r="G926" s="19">
        <v>45403</v>
      </c>
      <c r="H926" t="s">
        <v>637</v>
      </c>
      <c r="I926" t="s">
        <v>6384</v>
      </c>
      <c r="J926"/>
      <c r="Q926" s="3">
        <f t="shared" si="15"/>
        <v>0.05</v>
      </c>
    </row>
    <row r="927" spans="1:17" x14ac:dyDescent="0.35">
      <c r="A927" t="s">
        <v>35</v>
      </c>
      <c r="B927" t="s">
        <v>703</v>
      </c>
      <c r="C927" t="s">
        <v>28</v>
      </c>
      <c r="D927" t="s">
        <v>25</v>
      </c>
      <c r="E927">
        <v>0.05</v>
      </c>
      <c r="F927" t="s">
        <v>88</v>
      </c>
      <c r="G927" s="19">
        <v>45403</v>
      </c>
      <c r="H927" t="s">
        <v>6384</v>
      </c>
      <c r="I927" t="s">
        <v>6384</v>
      </c>
      <c r="J927"/>
      <c r="Q927" s="3">
        <f t="shared" si="15"/>
        <v>0.05</v>
      </c>
    </row>
    <row r="928" spans="1:17" x14ac:dyDescent="0.35">
      <c r="A928" t="s">
        <v>35</v>
      </c>
      <c r="B928" t="s">
        <v>653</v>
      </c>
      <c r="C928" t="s">
        <v>28</v>
      </c>
      <c r="D928" t="s">
        <v>25</v>
      </c>
      <c r="E928">
        <v>0.05</v>
      </c>
      <c r="F928" t="s">
        <v>88</v>
      </c>
      <c r="G928" s="19">
        <v>45412</v>
      </c>
      <c r="H928" t="s">
        <v>654</v>
      </c>
      <c r="I928" t="s">
        <v>6384</v>
      </c>
      <c r="J928"/>
      <c r="Q928" s="3">
        <f t="shared" si="15"/>
        <v>0.05</v>
      </c>
    </row>
    <row r="929" spans="1:17" x14ac:dyDescent="0.35">
      <c r="A929" t="s">
        <v>35</v>
      </c>
      <c r="B929" t="s">
        <v>655</v>
      </c>
      <c r="C929" t="s">
        <v>28</v>
      </c>
      <c r="D929" t="s">
        <v>25</v>
      </c>
      <c r="E929">
        <v>-0.05</v>
      </c>
      <c r="F929" t="s">
        <v>88</v>
      </c>
      <c r="G929" s="19">
        <v>45412</v>
      </c>
      <c r="H929" t="s">
        <v>654</v>
      </c>
      <c r="I929" t="s">
        <v>6384</v>
      </c>
      <c r="J929"/>
      <c r="Q929" s="3">
        <f t="shared" si="15"/>
        <v>0.05</v>
      </c>
    </row>
    <row r="930" spans="1:17" x14ac:dyDescent="0.35">
      <c r="A930" t="s">
        <v>0</v>
      </c>
      <c r="B930" t="s">
        <v>6390</v>
      </c>
      <c r="C930" t="s">
        <v>28</v>
      </c>
      <c r="D930" t="s">
        <v>25</v>
      </c>
      <c r="E930">
        <v>-0.05</v>
      </c>
      <c r="F930" t="s">
        <v>88</v>
      </c>
      <c r="G930" s="19">
        <v>45533</v>
      </c>
      <c r="H930" t="s">
        <v>7085</v>
      </c>
      <c r="I930" t="s">
        <v>6200</v>
      </c>
      <c r="J930"/>
      <c r="Q930" s="3">
        <f t="shared" si="15"/>
        <v>0.05</v>
      </c>
    </row>
    <row r="931" spans="1:17" x14ac:dyDescent="0.35">
      <c r="A931" t="s">
        <v>0</v>
      </c>
      <c r="B931" t="s">
        <v>693</v>
      </c>
      <c r="C931" t="s">
        <v>28</v>
      </c>
      <c r="D931" t="s">
        <v>25</v>
      </c>
      <c r="E931">
        <v>-0.05</v>
      </c>
      <c r="F931" t="s">
        <v>88</v>
      </c>
      <c r="G931" s="19">
        <v>45533</v>
      </c>
      <c r="H931" t="s">
        <v>7085</v>
      </c>
      <c r="I931" t="s">
        <v>6200</v>
      </c>
      <c r="J931"/>
      <c r="Q931" s="3">
        <f t="shared" si="15"/>
        <v>0.05</v>
      </c>
    </row>
    <row r="932" spans="1:17" x14ac:dyDescent="0.35">
      <c r="A932" t="s">
        <v>0</v>
      </c>
      <c r="B932" t="s">
        <v>1189</v>
      </c>
      <c r="C932" t="s">
        <v>28</v>
      </c>
      <c r="D932" t="s">
        <v>25</v>
      </c>
      <c r="E932">
        <v>0.05</v>
      </c>
      <c r="F932" t="s">
        <v>88</v>
      </c>
      <c r="G932" s="19">
        <v>45533</v>
      </c>
      <c r="H932" t="s">
        <v>7085</v>
      </c>
      <c r="I932" t="s">
        <v>6200</v>
      </c>
      <c r="J932"/>
      <c r="Q932" s="3">
        <f t="shared" si="15"/>
        <v>0.05</v>
      </c>
    </row>
    <row r="933" spans="1:17" x14ac:dyDescent="0.35">
      <c r="A933" t="s">
        <v>0</v>
      </c>
      <c r="B933" t="s">
        <v>1280</v>
      </c>
      <c r="C933" t="s">
        <v>28</v>
      </c>
      <c r="D933" t="s">
        <v>25</v>
      </c>
      <c r="E933">
        <v>0.05</v>
      </c>
      <c r="F933" t="s">
        <v>88</v>
      </c>
      <c r="G933" s="19">
        <v>45533</v>
      </c>
      <c r="H933" t="s">
        <v>7085</v>
      </c>
      <c r="I933" t="s">
        <v>6200</v>
      </c>
      <c r="J933"/>
      <c r="Q933" s="3">
        <f t="shared" si="15"/>
        <v>0.05</v>
      </c>
    </row>
    <row r="934" spans="1:17" x14ac:dyDescent="0.35">
      <c r="A934" t="s">
        <v>0</v>
      </c>
      <c r="B934" t="s">
        <v>6403</v>
      </c>
      <c r="C934" t="s">
        <v>28</v>
      </c>
      <c r="D934" t="s">
        <v>25</v>
      </c>
      <c r="E934">
        <v>0.05</v>
      </c>
      <c r="F934" t="s">
        <v>88</v>
      </c>
      <c r="G934" s="19">
        <v>45533</v>
      </c>
      <c r="H934" t="s">
        <v>7085</v>
      </c>
      <c r="I934" t="s">
        <v>6200</v>
      </c>
      <c r="J934"/>
      <c r="Q934" s="3">
        <f t="shared" si="15"/>
        <v>0.05</v>
      </c>
    </row>
    <row r="935" spans="1:17" x14ac:dyDescent="0.35">
      <c r="A935" t="s">
        <v>0</v>
      </c>
      <c r="B935" t="s">
        <v>698</v>
      </c>
      <c r="C935" t="s">
        <v>28</v>
      </c>
      <c r="D935" t="s">
        <v>25</v>
      </c>
      <c r="E935">
        <v>0.05</v>
      </c>
      <c r="F935" t="s">
        <v>88</v>
      </c>
      <c r="G935" s="19">
        <v>45533</v>
      </c>
      <c r="H935" t="s">
        <v>7085</v>
      </c>
      <c r="I935" t="s">
        <v>6200</v>
      </c>
      <c r="J935"/>
      <c r="Q935" s="3">
        <f t="shared" si="15"/>
        <v>0.05</v>
      </c>
    </row>
    <row r="936" spans="1:17" x14ac:dyDescent="0.35">
      <c r="A936" t="s">
        <v>0</v>
      </c>
      <c r="B936" t="s">
        <v>789</v>
      </c>
      <c r="C936" t="s">
        <v>28</v>
      </c>
      <c r="D936" t="s">
        <v>25</v>
      </c>
      <c r="E936">
        <v>-0.05</v>
      </c>
      <c r="F936" t="s">
        <v>88</v>
      </c>
      <c r="G936" s="19">
        <v>45533</v>
      </c>
      <c r="H936" t="s">
        <v>7085</v>
      </c>
      <c r="I936" t="s">
        <v>6200</v>
      </c>
      <c r="J936"/>
      <c r="Q936" s="3">
        <f t="shared" si="15"/>
        <v>0.05</v>
      </c>
    </row>
    <row r="937" spans="1:17" x14ac:dyDescent="0.35">
      <c r="A937" t="s">
        <v>0</v>
      </c>
      <c r="B937" t="s">
        <v>868</v>
      </c>
      <c r="C937" t="s">
        <v>28</v>
      </c>
      <c r="D937" t="s">
        <v>25</v>
      </c>
      <c r="E937">
        <v>-0.05</v>
      </c>
      <c r="F937" t="s">
        <v>88</v>
      </c>
      <c r="G937" s="19">
        <v>45533</v>
      </c>
      <c r="H937" t="s">
        <v>7085</v>
      </c>
      <c r="I937" t="s">
        <v>6200</v>
      </c>
      <c r="J937"/>
      <c r="Q937" s="3">
        <f t="shared" si="15"/>
        <v>0.05</v>
      </c>
    </row>
    <row r="938" spans="1:17" x14ac:dyDescent="0.35">
      <c r="A938" t="s">
        <v>0</v>
      </c>
      <c r="B938" t="s">
        <v>2629</v>
      </c>
      <c r="C938" t="s">
        <v>28</v>
      </c>
      <c r="D938" t="s">
        <v>25</v>
      </c>
      <c r="E938">
        <v>0.05</v>
      </c>
      <c r="F938" t="s">
        <v>88</v>
      </c>
      <c r="G938" s="19">
        <v>45533</v>
      </c>
      <c r="H938" t="s">
        <v>7085</v>
      </c>
      <c r="I938" t="s">
        <v>6200</v>
      </c>
      <c r="J938"/>
      <c r="Q938" s="3">
        <f t="shared" si="15"/>
        <v>0.05</v>
      </c>
    </row>
    <row r="939" spans="1:17" x14ac:dyDescent="0.35">
      <c r="A939" t="s">
        <v>0</v>
      </c>
      <c r="B939" t="s">
        <v>1216</v>
      </c>
      <c r="C939" t="s">
        <v>28</v>
      </c>
      <c r="D939" t="s">
        <v>25</v>
      </c>
      <c r="E939">
        <v>0.05</v>
      </c>
      <c r="F939" t="s">
        <v>88</v>
      </c>
      <c r="G939" s="19">
        <v>45533</v>
      </c>
      <c r="H939" t="s">
        <v>7085</v>
      </c>
      <c r="I939" t="s">
        <v>6200</v>
      </c>
      <c r="J939"/>
      <c r="Q939" s="3">
        <f t="shared" si="15"/>
        <v>0.05</v>
      </c>
    </row>
    <row r="940" spans="1:17" x14ac:dyDescent="0.35">
      <c r="A940" t="s">
        <v>0</v>
      </c>
      <c r="B940" t="s">
        <v>6044</v>
      </c>
      <c r="C940" t="s">
        <v>28</v>
      </c>
      <c r="D940" t="s">
        <v>25</v>
      </c>
      <c r="E940">
        <v>0.05</v>
      </c>
      <c r="F940" t="s">
        <v>88</v>
      </c>
      <c r="G940" s="19">
        <v>45533</v>
      </c>
      <c r="H940" t="s">
        <v>7085</v>
      </c>
      <c r="I940" t="s">
        <v>6200</v>
      </c>
      <c r="J940"/>
      <c r="Q940" s="3">
        <f t="shared" si="15"/>
        <v>0.05</v>
      </c>
    </row>
    <row r="941" spans="1:17" x14ac:dyDescent="0.35">
      <c r="A941" t="s">
        <v>0</v>
      </c>
      <c r="B941" t="s">
        <v>6145</v>
      </c>
      <c r="C941" t="s">
        <v>28</v>
      </c>
      <c r="D941" t="s">
        <v>25</v>
      </c>
      <c r="E941">
        <v>0.05</v>
      </c>
      <c r="F941" t="s">
        <v>88</v>
      </c>
      <c r="G941" s="19">
        <v>45533</v>
      </c>
      <c r="H941" t="s">
        <v>7085</v>
      </c>
      <c r="I941" t="s">
        <v>6200</v>
      </c>
      <c r="J941"/>
      <c r="Q941" s="3">
        <f t="shared" si="15"/>
        <v>0.05</v>
      </c>
    </row>
    <row r="942" spans="1:17" x14ac:dyDescent="0.35">
      <c r="A942" t="s">
        <v>0</v>
      </c>
      <c r="B942" t="s">
        <v>1566</v>
      </c>
      <c r="C942" t="s">
        <v>28</v>
      </c>
      <c r="D942" t="s">
        <v>25</v>
      </c>
      <c r="E942">
        <v>0.05</v>
      </c>
      <c r="F942" t="s">
        <v>88</v>
      </c>
      <c r="G942" s="19">
        <v>45533</v>
      </c>
      <c r="H942" t="s">
        <v>7085</v>
      </c>
      <c r="I942" t="s">
        <v>6200</v>
      </c>
      <c r="J942"/>
      <c r="Q942" s="3">
        <f t="shared" si="15"/>
        <v>0.05</v>
      </c>
    </row>
    <row r="943" spans="1:17" x14ac:dyDescent="0.35">
      <c r="A943" t="s">
        <v>35</v>
      </c>
      <c r="B943" t="s">
        <v>681</v>
      </c>
      <c r="C943" t="s">
        <v>28</v>
      </c>
      <c r="D943" t="s">
        <v>25</v>
      </c>
      <c r="E943">
        <v>0.05</v>
      </c>
      <c r="F943" t="s">
        <v>88</v>
      </c>
      <c r="G943" s="19">
        <v>45533</v>
      </c>
      <c r="H943" t="s">
        <v>7085</v>
      </c>
      <c r="I943" t="s">
        <v>6200</v>
      </c>
      <c r="J943"/>
      <c r="Q943" s="3">
        <f t="shared" si="15"/>
        <v>0.05</v>
      </c>
    </row>
    <row r="944" spans="1:17" x14ac:dyDescent="0.35">
      <c r="A944" t="s">
        <v>35</v>
      </c>
      <c r="B944" t="s">
        <v>618</v>
      </c>
      <c r="C944" t="s">
        <v>28</v>
      </c>
      <c r="D944" t="s">
        <v>25</v>
      </c>
      <c r="E944">
        <v>-0.05</v>
      </c>
      <c r="F944" t="s">
        <v>88</v>
      </c>
      <c r="G944" s="19">
        <v>45533</v>
      </c>
      <c r="H944" t="s">
        <v>7085</v>
      </c>
      <c r="I944" t="s">
        <v>6200</v>
      </c>
      <c r="J944"/>
      <c r="Q944" s="3">
        <f t="shared" si="15"/>
        <v>0.05</v>
      </c>
    </row>
    <row r="945" spans="1:17" x14ac:dyDescent="0.35">
      <c r="A945" t="s">
        <v>35</v>
      </c>
      <c r="B945" t="s">
        <v>865</v>
      </c>
      <c r="C945" t="s">
        <v>28</v>
      </c>
      <c r="D945" t="s">
        <v>25</v>
      </c>
      <c r="E945">
        <v>-0.05</v>
      </c>
      <c r="F945" t="s">
        <v>88</v>
      </c>
      <c r="G945" s="19">
        <v>45533</v>
      </c>
      <c r="H945" t="s">
        <v>7085</v>
      </c>
      <c r="I945" t="s">
        <v>6200</v>
      </c>
      <c r="J945"/>
      <c r="Q945" s="3">
        <f t="shared" si="15"/>
        <v>0.05</v>
      </c>
    </row>
    <row r="946" spans="1:17" x14ac:dyDescent="0.35">
      <c r="A946" t="s">
        <v>35</v>
      </c>
      <c r="B946" t="s">
        <v>1416</v>
      </c>
      <c r="C946" t="s">
        <v>28</v>
      </c>
      <c r="D946" t="s">
        <v>25</v>
      </c>
      <c r="E946">
        <v>0.05</v>
      </c>
      <c r="F946" t="s">
        <v>88</v>
      </c>
      <c r="G946" s="19">
        <v>45533</v>
      </c>
      <c r="H946" t="s">
        <v>7085</v>
      </c>
      <c r="I946" t="s">
        <v>6200</v>
      </c>
      <c r="J946"/>
      <c r="Q946" s="3">
        <f t="shared" si="15"/>
        <v>0.05</v>
      </c>
    </row>
    <row r="947" spans="1:17" x14ac:dyDescent="0.35">
      <c r="A947" t="s">
        <v>35</v>
      </c>
      <c r="B947" t="s">
        <v>672</v>
      </c>
      <c r="C947" t="s">
        <v>28</v>
      </c>
      <c r="D947" t="s">
        <v>25</v>
      </c>
      <c r="E947">
        <v>-0.05</v>
      </c>
      <c r="F947" t="s">
        <v>88</v>
      </c>
      <c r="G947" s="19">
        <v>45533</v>
      </c>
      <c r="H947" t="s">
        <v>7085</v>
      </c>
      <c r="I947" t="s">
        <v>6200</v>
      </c>
      <c r="J947"/>
      <c r="Q947" s="3">
        <f t="shared" si="15"/>
        <v>0.05</v>
      </c>
    </row>
    <row r="948" spans="1:17" x14ac:dyDescent="0.35">
      <c r="A948" t="s">
        <v>35</v>
      </c>
      <c r="B948" t="s">
        <v>3422</v>
      </c>
      <c r="C948" t="s">
        <v>28</v>
      </c>
      <c r="D948" t="s">
        <v>25</v>
      </c>
      <c r="E948">
        <v>-0.05</v>
      </c>
      <c r="F948" t="s">
        <v>88</v>
      </c>
      <c r="G948" s="19">
        <v>45533</v>
      </c>
      <c r="H948" t="s">
        <v>7085</v>
      </c>
      <c r="I948" t="s">
        <v>6200</v>
      </c>
      <c r="J948"/>
      <c r="Q948" s="3">
        <f t="shared" si="15"/>
        <v>0.05</v>
      </c>
    </row>
    <row r="949" spans="1:17" x14ac:dyDescent="0.35">
      <c r="A949" t="s">
        <v>35</v>
      </c>
      <c r="B949" t="s">
        <v>819</v>
      </c>
      <c r="C949" t="s">
        <v>28</v>
      </c>
      <c r="D949" t="s">
        <v>25</v>
      </c>
      <c r="E949">
        <v>0.05</v>
      </c>
      <c r="F949" t="s">
        <v>88</v>
      </c>
      <c r="G949" s="19">
        <v>45533</v>
      </c>
      <c r="H949" t="s">
        <v>7085</v>
      </c>
      <c r="I949" t="s">
        <v>6200</v>
      </c>
      <c r="J949"/>
      <c r="Q949" s="3">
        <f t="shared" si="15"/>
        <v>0.05</v>
      </c>
    </row>
    <row r="950" spans="1:17" x14ac:dyDescent="0.35">
      <c r="A950" t="s">
        <v>35</v>
      </c>
      <c r="B950" t="s">
        <v>1995</v>
      </c>
      <c r="C950" t="s">
        <v>28</v>
      </c>
      <c r="D950" t="s">
        <v>25</v>
      </c>
      <c r="E950">
        <v>0.05</v>
      </c>
      <c r="F950" t="s">
        <v>88</v>
      </c>
      <c r="G950" s="19">
        <v>45533</v>
      </c>
      <c r="H950" t="s">
        <v>7085</v>
      </c>
      <c r="I950" t="s">
        <v>6200</v>
      </c>
      <c r="J950"/>
      <c r="Q950" s="3">
        <f t="shared" si="15"/>
        <v>0.05</v>
      </c>
    </row>
    <row r="951" spans="1:17" x14ac:dyDescent="0.35">
      <c r="A951" t="s">
        <v>35</v>
      </c>
      <c r="B951" t="s">
        <v>1431</v>
      </c>
      <c r="C951" t="s">
        <v>28</v>
      </c>
      <c r="D951" t="s">
        <v>25</v>
      </c>
      <c r="E951">
        <v>0.05</v>
      </c>
      <c r="F951" t="s">
        <v>88</v>
      </c>
      <c r="G951" s="19">
        <v>45533</v>
      </c>
      <c r="H951" t="s">
        <v>7085</v>
      </c>
      <c r="I951" t="s">
        <v>6200</v>
      </c>
      <c r="J951"/>
      <c r="Q951" s="3">
        <f t="shared" si="15"/>
        <v>0.05</v>
      </c>
    </row>
    <row r="952" spans="1:17" x14ac:dyDescent="0.35">
      <c r="A952" t="s">
        <v>35</v>
      </c>
      <c r="B952" t="s">
        <v>805</v>
      </c>
      <c r="C952" t="s">
        <v>28</v>
      </c>
      <c r="D952" t="s">
        <v>25</v>
      </c>
      <c r="E952">
        <v>-0.05</v>
      </c>
      <c r="F952" t="s">
        <v>88</v>
      </c>
      <c r="G952" s="19">
        <v>45533</v>
      </c>
      <c r="H952" t="s">
        <v>7085</v>
      </c>
      <c r="I952" t="s">
        <v>6200</v>
      </c>
      <c r="J952"/>
      <c r="Q952" s="3">
        <f t="shared" si="15"/>
        <v>0.05</v>
      </c>
    </row>
    <row r="953" spans="1:17" x14ac:dyDescent="0.35">
      <c r="A953" t="s">
        <v>35</v>
      </c>
      <c r="B953" t="s">
        <v>698</v>
      </c>
      <c r="C953" t="s">
        <v>28</v>
      </c>
      <c r="D953" t="s">
        <v>25</v>
      </c>
      <c r="E953">
        <v>-4.9999999999999996E-2</v>
      </c>
      <c r="F953" t="s">
        <v>88</v>
      </c>
      <c r="G953" s="19">
        <v>45533</v>
      </c>
      <c r="H953" t="s">
        <v>7085</v>
      </c>
      <c r="I953" t="s">
        <v>6200</v>
      </c>
      <c r="J953"/>
      <c r="Q953" s="3">
        <f t="shared" si="15"/>
        <v>4.9999999999999996E-2</v>
      </c>
    </row>
    <row r="954" spans="1:17" x14ac:dyDescent="0.35">
      <c r="A954" t="s">
        <v>35</v>
      </c>
      <c r="B954" t="s">
        <v>646</v>
      </c>
      <c r="C954" t="s">
        <v>28</v>
      </c>
      <c r="D954" t="s">
        <v>25</v>
      </c>
      <c r="E954">
        <v>4.9999999999999996E-2</v>
      </c>
      <c r="F954" t="s">
        <v>88</v>
      </c>
      <c r="G954" s="19">
        <v>45533</v>
      </c>
      <c r="H954" t="s">
        <v>7085</v>
      </c>
      <c r="I954" t="s">
        <v>6200</v>
      </c>
      <c r="J954"/>
      <c r="Q954" s="3">
        <f t="shared" si="15"/>
        <v>4.9999999999999996E-2</v>
      </c>
    </row>
    <row r="955" spans="1:17" x14ac:dyDescent="0.35">
      <c r="A955" t="s">
        <v>0</v>
      </c>
      <c r="B955" t="s">
        <v>6402</v>
      </c>
      <c r="C955" t="s">
        <v>28</v>
      </c>
      <c r="D955" t="s">
        <v>25</v>
      </c>
      <c r="E955">
        <v>-4.0000000000000008E-2</v>
      </c>
      <c r="F955" t="s">
        <v>88</v>
      </c>
      <c r="G955" s="19">
        <v>45533</v>
      </c>
      <c r="H955" t="s">
        <v>7085</v>
      </c>
      <c r="I955" t="s">
        <v>6200</v>
      </c>
      <c r="J955"/>
      <c r="Q955" s="3">
        <f t="shared" si="15"/>
        <v>4.0000000000000008E-2</v>
      </c>
    </row>
    <row r="956" spans="1:17" x14ac:dyDescent="0.35">
      <c r="A956" t="s">
        <v>0</v>
      </c>
      <c r="B956" t="s">
        <v>694</v>
      </c>
      <c r="C956" t="s">
        <v>28</v>
      </c>
      <c r="D956" t="s">
        <v>25</v>
      </c>
      <c r="E956">
        <v>-4.0000000000000008E-2</v>
      </c>
      <c r="F956" t="s">
        <v>88</v>
      </c>
      <c r="G956" s="19">
        <v>45533</v>
      </c>
      <c r="H956" t="s">
        <v>7085</v>
      </c>
      <c r="I956" t="s">
        <v>6200</v>
      </c>
      <c r="J956"/>
      <c r="Q956" s="3">
        <f t="shared" si="15"/>
        <v>4.0000000000000008E-2</v>
      </c>
    </row>
    <row r="957" spans="1:17" x14ac:dyDescent="0.35">
      <c r="A957" t="s">
        <v>35</v>
      </c>
      <c r="B957" t="s">
        <v>5394</v>
      </c>
      <c r="C957" t="s">
        <v>28</v>
      </c>
      <c r="D957" t="s">
        <v>25</v>
      </c>
      <c r="E957">
        <v>-4.0000000000000008E-2</v>
      </c>
      <c r="F957" t="s">
        <v>88</v>
      </c>
      <c r="G957" s="19">
        <v>45533</v>
      </c>
      <c r="H957" t="s">
        <v>7085</v>
      </c>
      <c r="I957" t="s">
        <v>6200</v>
      </c>
      <c r="J957"/>
      <c r="Q957" s="3">
        <f t="shared" si="15"/>
        <v>4.0000000000000008E-2</v>
      </c>
    </row>
    <row r="958" spans="1:17" x14ac:dyDescent="0.35">
      <c r="A958" t="s">
        <v>35</v>
      </c>
      <c r="B958" t="s">
        <v>5980</v>
      </c>
      <c r="C958" t="s">
        <v>28</v>
      </c>
      <c r="D958" t="s">
        <v>25</v>
      </c>
      <c r="E958">
        <v>-4.0000000000000008E-2</v>
      </c>
      <c r="F958" t="s">
        <v>88</v>
      </c>
      <c r="G958" s="19">
        <v>45533</v>
      </c>
      <c r="H958" t="s">
        <v>7085</v>
      </c>
      <c r="I958" t="s">
        <v>6200</v>
      </c>
      <c r="J958"/>
      <c r="Q958" s="3">
        <f t="shared" si="15"/>
        <v>4.0000000000000008E-2</v>
      </c>
    </row>
    <row r="959" spans="1:17" x14ac:dyDescent="0.35">
      <c r="A959" t="s">
        <v>0</v>
      </c>
      <c r="B959" t="s">
        <v>6386</v>
      </c>
      <c r="C959" t="s">
        <v>28</v>
      </c>
      <c r="D959" t="s">
        <v>25</v>
      </c>
      <c r="E959">
        <v>-0.04</v>
      </c>
      <c r="F959" t="s">
        <v>88</v>
      </c>
      <c r="G959" s="19">
        <v>45403</v>
      </c>
      <c r="H959" t="s">
        <v>637</v>
      </c>
      <c r="I959" t="s">
        <v>6384</v>
      </c>
      <c r="J959"/>
      <c r="Q959" s="3">
        <f t="shared" si="15"/>
        <v>0.04</v>
      </c>
    </row>
    <row r="960" spans="1:17" x14ac:dyDescent="0.35">
      <c r="A960" t="s">
        <v>0</v>
      </c>
      <c r="B960" t="s">
        <v>638</v>
      </c>
      <c r="C960" t="s">
        <v>28</v>
      </c>
      <c r="D960" t="s">
        <v>25</v>
      </c>
      <c r="E960">
        <v>-0.04</v>
      </c>
      <c r="F960" t="s">
        <v>88</v>
      </c>
      <c r="G960" s="19">
        <v>45403</v>
      </c>
      <c r="H960" t="s">
        <v>6384</v>
      </c>
      <c r="I960" t="s">
        <v>6384</v>
      </c>
      <c r="J960"/>
      <c r="Q960" s="3">
        <f t="shared" si="15"/>
        <v>0.04</v>
      </c>
    </row>
    <row r="961" spans="1:17" x14ac:dyDescent="0.35">
      <c r="A961" t="s">
        <v>0</v>
      </c>
      <c r="B961" t="s">
        <v>3466</v>
      </c>
      <c r="C961" t="s">
        <v>28</v>
      </c>
      <c r="D961" t="s">
        <v>25</v>
      </c>
      <c r="E961">
        <v>0.04</v>
      </c>
      <c r="F961" t="s">
        <v>88</v>
      </c>
      <c r="G961" s="19">
        <v>45403</v>
      </c>
      <c r="H961" t="s">
        <v>6384</v>
      </c>
      <c r="I961" t="s">
        <v>6384</v>
      </c>
      <c r="J961"/>
      <c r="Q961" s="3">
        <f t="shared" si="15"/>
        <v>0.04</v>
      </c>
    </row>
    <row r="962" spans="1:17" x14ac:dyDescent="0.35">
      <c r="A962" t="s">
        <v>0</v>
      </c>
      <c r="B962" t="s">
        <v>1244</v>
      </c>
      <c r="C962" t="s">
        <v>28</v>
      </c>
      <c r="D962" t="s">
        <v>25</v>
      </c>
      <c r="E962">
        <v>-0.04</v>
      </c>
      <c r="F962" t="s">
        <v>88</v>
      </c>
      <c r="G962" s="19">
        <v>45403</v>
      </c>
      <c r="H962" t="s">
        <v>6384</v>
      </c>
      <c r="I962" t="s">
        <v>6384</v>
      </c>
      <c r="J962"/>
      <c r="Q962" s="3">
        <f t="shared" si="15"/>
        <v>0.04</v>
      </c>
    </row>
    <row r="963" spans="1:17" x14ac:dyDescent="0.35">
      <c r="A963" t="s">
        <v>0</v>
      </c>
      <c r="B963" t="s">
        <v>764</v>
      </c>
      <c r="C963" t="s">
        <v>28</v>
      </c>
      <c r="D963" t="s">
        <v>25</v>
      </c>
      <c r="E963">
        <v>-0.04</v>
      </c>
      <c r="F963" t="s">
        <v>88</v>
      </c>
      <c r="G963" s="19">
        <v>45403</v>
      </c>
      <c r="H963" t="s">
        <v>6384</v>
      </c>
      <c r="I963" t="s">
        <v>6384</v>
      </c>
      <c r="J963"/>
      <c r="Q963" s="3">
        <f t="shared" si="15"/>
        <v>0.04</v>
      </c>
    </row>
    <row r="964" spans="1:17" x14ac:dyDescent="0.35">
      <c r="A964" t="s">
        <v>0</v>
      </c>
      <c r="B964" t="s">
        <v>909</v>
      </c>
      <c r="C964" t="s">
        <v>28</v>
      </c>
      <c r="D964" t="s">
        <v>25</v>
      </c>
      <c r="E964">
        <v>-0.04</v>
      </c>
      <c r="F964" t="s">
        <v>88</v>
      </c>
      <c r="G964" s="19">
        <v>45403</v>
      </c>
      <c r="H964" t="s">
        <v>6384</v>
      </c>
      <c r="I964" t="s">
        <v>6384</v>
      </c>
      <c r="J964"/>
      <c r="Q964" s="3">
        <f t="shared" si="15"/>
        <v>0.04</v>
      </c>
    </row>
    <row r="965" spans="1:17" x14ac:dyDescent="0.35">
      <c r="A965" t="s">
        <v>0</v>
      </c>
      <c r="B965" t="s">
        <v>724</v>
      </c>
      <c r="C965" t="s">
        <v>28</v>
      </c>
      <c r="D965" t="s">
        <v>25</v>
      </c>
      <c r="E965">
        <v>-0.04</v>
      </c>
      <c r="F965" t="s">
        <v>88</v>
      </c>
      <c r="G965" s="19">
        <v>45403</v>
      </c>
      <c r="H965" t="s">
        <v>6384</v>
      </c>
      <c r="I965" t="s">
        <v>6384</v>
      </c>
      <c r="J965"/>
      <c r="Q965" s="3">
        <f t="shared" si="15"/>
        <v>0.04</v>
      </c>
    </row>
    <row r="966" spans="1:17" x14ac:dyDescent="0.35">
      <c r="A966" t="s">
        <v>0</v>
      </c>
      <c r="B966" t="s">
        <v>2208</v>
      </c>
      <c r="C966" t="s">
        <v>28</v>
      </c>
      <c r="D966" t="s">
        <v>25</v>
      </c>
      <c r="E966">
        <v>-0.04</v>
      </c>
      <c r="F966" t="s">
        <v>88</v>
      </c>
      <c r="G966" s="19">
        <v>45403</v>
      </c>
      <c r="H966" t="s">
        <v>6384</v>
      </c>
      <c r="I966" t="s">
        <v>6384</v>
      </c>
      <c r="J966"/>
      <c r="Q966" s="3">
        <f t="shared" si="15"/>
        <v>0.04</v>
      </c>
    </row>
    <row r="967" spans="1:17" x14ac:dyDescent="0.35">
      <c r="A967" t="s">
        <v>0</v>
      </c>
      <c r="B967" t="s">
        <v>1487</v>
      </c>
      <c r="C967" t="s">
        <v>28</v>
      </c>
      <c r="D967" t="s">
        <v>25</v>
      </c>
      <c r="E967">
        <v>0.04</v>
      </c>
      <c r="F967" t="s">
        <v>88</v>
      </c>
      <c r="G967" s="19">
        <v>45403</v>
      </c>
      <c r="H967" t="s">
        <v>6384</v>
      </c>
      <c r="I967" t="s">
        <v>6384</v>
      </c>
      <c r="J967"/>
      <c r="Q967" s="3">
        <f t="shared" si="15"/>
        <v>0.04</v>
      </c>
    </row>
    <row r="968" spans="1:17" x14ac:dyDescent="0.35">
      <c r="A968" t="s">
        <v>0</v>
      </c>
      <c r="B968" t="s">
        <v>622</v>
      </c>
      <c r="C968" t="s">
        <v>28</v>
      </c>
      <c r="D968" t="s">
        <v>25</v>
      </c>
      <c r="E968">
        <v>0.04</v>
      </c>
      <c r="F968" t="s">
        <v>88</v>
      </c>
      <c r="G968" s="19">
        <v>45403</v>
      </c>
      <c r="H968" t="s">
        <v>6384</v>
      </c>
      <c r="I968" t="s">
        <v>6384</v>
      </c>
      <c r="J968"/>
      <c r="Q968" s="3">
        <f t="shared" si="15"/>
        <v>0.04</v>
      </c>
    </row>
    <row r="969" spans="1:17" x14ac:dyDescent="0.35">
      <c r="A969" t="s">
        <v>35</v>
      </c>
      <c r="B969" t="s">
        <v>883</v>
      </c>
      <c r="C969" t="s">
        <v>28</v>
      </c>
      <c r="D969" t="s">
        <v>25</v>
      </c>
      <c r="E969">
        <v>0.04</v>
      </c>
      <c r="F969" t="s">
        <v>88</v>
      </c>
      <c r="G969" s="19">
        <v>45403</v>
      </c>
      <c r="H969" t="s">
        <v>637</v>
      </c>
      <c r="I969" t="s">
        <v>6384</v>
      </c>
      <c r="J969"/>
      <c r="Q969" s="3">
        <f t="shared" si="15"/>
        <v>0.04</v>
      </c>
    </row>
    <row r="970" spans="1:17" x14ac:dyDescent="0.35">
      <c r="A970" t="s">
        <v>35</v>
      </c>
      <c r="B970" t="s">
        <v>1081</v>
      </c>
      <c r="C970" t="s">
        <v>28</v>
      </c>
      <c r="D970" t="s">
        <v>25</v>
      </c>
      <c r="E970">
        <v>0.04</v>
      </c>
      <c r="F970" t="s">
        <v>88</v>
      </c>
      <c r="G970" s="19">
        <v>45403</v>
      </c>
      <c r="H970" t="s">
        <v>637</v>
      </c>
      <c r="I970" t="s">
        <v>6384</v>
      </c>
      <c r="J970"/>
      <c r="Q970" s="3">
        <f t="shared" ref="Q970:Q1033" si="16">ABS(E970)</f>
        <v>0.04</v>
      </c>
    </row>
    <row r="971" spans="1:17" x14ac:dyDescent="0.35">
      <c r="A971" t="s">
        <v>35</v>
      </c>
      <c r="B971" t="s">
        <v>5394</v>
      </c>
      <c r="C971" t="s">
        <v>28</v>
      </c>
      <c r="D971" t="s">
        <v>25</v>
      </c>
      <c r="E971">
        <v>-0.04</v>
      </c>
      <c r="F971" t="s">
        <v>88</v>
      </c>
      <c r="G971" s="19">
        <v>45403</v>
      </c>
      <c r="H971" t="s">
        <v>637</v>
      </c>
      <c r="I971" t="s">
        <v>6384</v>
      </c>
      <c r="J971"/>
      <c r="Q971" s="3">
        <f t="shared" si="16"/>
        <v>0.04</v>
      </c>
    </row>
    <row r="972" spans="1:17" x14ac:dyDescent="0.35">
      <c r="A972" t="s">
        <v>35</v>
      </c>
      <c r="B972" t="s">
        <v>5980</v>
      </c>
      <c r="C972" t="s">
        <v>28</v>
      </c>
      <c r="D972" t="s">
        <v>25</v>
      </c>
      <c r="E972">
        <v>0.04</v>
      </c>
      <c r="F972" t="s">
        <v>88</v>
      </c>
      <c r="G972" s="19">
        <v>45403</v>
      </c>
      <c r="H972" t="s">
        <v>637</v>
      </c>
      <c r="I972" t="s">
        <v>6384</v>
      </c>
      <c r="J972"/>
      <c r="Q972" s="3">
        <f t="shared" si="16"/>
        <v>0.04</v>
      </c>
    </row>
    <row r="973" spans="1:17" x14ac:dyDescent="0.35">
      <c r="A973" t="s">
        <v>35</v>
      </c>
      <c r="B973" t="s">
        <v>1280</v>
      </c>
      <c r="C973" t="s">
        <v>28</v>
      </c>
      <c r="D973" t="s">
        <v>25</v>
      </c>
      <c r="E973">
        <v>0.04</v>
      </c>
      <c r="F973" t="s">
        <v>88</v>
      </c>
      <c r="G973" s="19">
        <v>45403</v>
      </c>
      <c r="H973" t="s">
        <v>637</v>
      </c>
      <c r="I973" t="s">
        <v>6384</v>
      </c>
      <c r="J973"/>
      <c r="Q973" s="3">
        <f t="shared" si="16"/>
        <v>0.04</v>
      </c>
    </row>
    <row r="974" spans="1:17" x14ac:dyDescent="0.35">
      <c r="A974" t="s">
        <v>35</v>
      </c>
      <c r="B974" t="s">
        <v>756</v>
      </c>
      <c r="C974" t="s">
        <v>28</v>
      </c>
      <c r="D974" t="s">
        <v>25</v>
      </c>
      <c r="E974">
        <v>0.04</v>
      </c>
      <c r="F974" t="s">
        <v>88</v>
      </c>
      <c r="G974" s="19">
        <v>45403</v>
      </c>
      <c r="H974" t="s">
        <v>637</v>
      </c>
      <c r="I974" t="s">
        <v>6384</v>
      </c>
      <c r="J974"/>
      <c r="Q974" s="3">
        <f t="shared" si="16"/>
        <v>0.04</v>
      </c>
    </row>
    <row r="975" spans="1:17" x14ac:dyDescent="0.35">
      <c r="A975" t="s">
        <v>35</v>
      </c>
      <c r="B975" t="s">
        <v>5426</v>
      </c>
      <c r="C975" t="s">
        <v>28</v>
      </c>
      <c r="D975" t="s">
        <v>25</v>
      </c>
      <c r="E975">
        <v>0.04</v>
      </c>
      <c r="F975" t="s">
        <v>88</v>
      </c>
      <c r="G975" s="19">
        <v>45403</v>
      </c>
      <c r="H975" t="s">
        <v>637</v>
      </c>
      <c r="I975" t="s">
        <v>6384</v>
      </c>
      <c r="J975"/>
      <c r="Q975" s="3">
        <f t="shared" si="16"/>
        <v>0.04</v>
      </c>
    </row>
    <row r="976" spans="1:17" x14ac:dyDescent="0.35">
      <c r="A976" t="s">
        <v>35</v>
      </c>
      <c r="B976" t="s">
        <v>1423</v>
      </c>
      <c r="C976" t="s">
        <v>28</v>
      </c>
      <c r="D976" t="s">
        <v>25</v>
      </c>
      <c r="E976">
        <v>0.04</v>
      </c>
      <c r="F976" t="s">
        <v>88</v>
      </c>
      <c r="G976" s="19">
        <v>45403</v>
      </c>
      <c r="H976" t="s">
        <v>637</v>
      </c>
      <c r="I976" t="s">
        <v>6384</v>
      </c>
      <c r="J976"/>
      <c r="Q976" s="3">
        <f t="shared" si="16"/>
        <v>0.04</v>
      </c>
    </row>
    <row r="977" spans="1:17" x14ac:dyDescent="0.35">
      <c r="A977" t="s">
        <v>35</v>
      </c>
      <c r="B977" t="s">
        <v>1216</v>
      </c>
      <c r="C977" t="s">
        <v>28</v>
      </c>
      <c r="D977" t="s">
        <v>25</v>
      </c>
      <c r="E977">
        <v>-0.04</v>
      </c>
      <c r="F977" t="s">
        <v>88</v>
      </c>
      <c r="G977" s="19">
        <v>45403</v>
      </c>
      <c r="H977" t="s">
        <v>637</v>
      </c>
      <c r="I977" t="s">
        <v>6384</v>
      </c>
      <c r="J977"/>
      <c r="Q977" s="3">
        <f t="shared" si="16"/>
        <v>0.04</v>
      </c>
    </row>
    <row r="978" spans="1:17" x14ac:dyDescent="0.35">
      <c r="A978" t="s">
        <v>35</v>
      </c>
      <c r="B978" t="s">
        <v>1106</v>
      </c>
      <c r="C978" t="s">
        <v>28</v>
      </c>
      <c r="D978" t="s">
        <v>25</v>
      </c>
      <c r="E978">
        <v>-0.04</v>
      </c>
      <c r="F978" t="s">
        <v>88</v>
      </c>
      <c r="G978" s="19">
        <v>45403</v>
      </c>
      <c r="H978" t="s">
        <v>637</v>
      </c>
      <c r="I978" t="s">
        <v>6384</v>
      </c>
      <c r="J978"/>
      <c r="Q978" s="3">
        <f t="shared" si="16"/>
        <v>0.04</v>
      </c>
    </row>
    <row r="979" spans="1:17" x14ac:dyDescent="0.35">
      <c r="A979" t="s">
        <v>35</v>
      </c>
      <c r="B979" t="s">
        <v>909</v>
      </c>
      <c r="C979" t="s">
        <v>28</v>
      </c>
      <c r="D979" t="s">
        <v>25</v>
      </c>
      <c r="E979">
        <v>0.04</v>
      </c>
      <c r="F979" t="s">
        <v>88</v>
      </c>
      <c r="G979" s="19">
        <v>45403</v>
      </c>
      <c r="H979" t="s">
        <v>637</v>
      </c>
      <c r="I979" t="s">
        <v>6384</v>
      </c>
      <c r="J979"/>
      <c r="Q979" s="3">
        <f t="shared" si="16"/>
        <v>0.04</v>
      </c>
    </row>
    <row r="980" spans="1:17" x14ac:dyDescent="0.35">
      <c r="A980" t="s">
        <v>35</v>
      </c>
      <c r="B980" t="s">
        <v>724</v>
      </c>
      <c r="C980" t="s">
        <v>28</v>
      </c>
      <c r="D980" t="s">
        <v>25</v>
      </c>
      <c r="E980">
        <v>0.04</v>
      </c>
      <c r="F980" t="s">
        <v>88</v>
      </c>
      <c r="G980" s="19">
        <v>45403</v>
      </c>
      <c r="H980" t="s">
        <v>637</v>
      </c>
      <c r="I980" t="s">
        <v>6384</v>
      </c>
      <c r="J980"/>
      <c r="Q980" s="3">
        <f t="shared" si="16"/>
        <v>0.04</v>
      </c>
    </row>
    <row r="981" spans="1:17" x14ac:dyDescent="0.35">
      <c r="A981" t="s">
        <v>35</v>
      </c>
      <c r="B981" t="s">
        <v>1566</v>
      </c>
      <c r="C981" t="s">
        <v>28</v>
      </c>
      <c r="D981" t="s">
        <v>25</v>
      </c>
      <c r="E981">
        <v>-0.04</v>
      </c>
      <c r="F981" t="s">
        <v>88</v>
      </c>
      <c r="G981" s="19">
        <v>45403</v>
      </c>
      <c r="H981" t="s">
        <v>637</v>
      </c>
      <c r="I981" t="s">
        <v>6384</v>
      </c>
      <c r="J981"/>
      <c r="Q981" s="3">
        <f t="shared" si="16"/>
        <v>0.04</v>
      </c>
    </row>
    <row r="982" spans="1:17" x14ac:dyDescent="0.35">
      <c r="A982" t="s">
        <v>35</v>
      </c>
      <c r="B982" t="s">
        <v>732</v>
      </c>
      <c r="C982" t="s">
        <v>28</v>
      </c>
      <c r="D982" t="s">
        <v>25</v>
      </c>
      <c r="E982">
        <v>0.04</v>
      </c>
      <c r="F982" t="s">
        <v>88</v>
      </c>
      <c r="G982" s="19">
        <v>45403</v>
      </c>
      <c r="H982" t="s">
        <v>637</v>
      </c>
      <c r="I982" t="s">
        <v>6384</v>
      </c>
      <c r="J982"/>
      <c r="Q982" s="3">
        <f t="shared" si="16"/>
        <v>0.04</v>
      </c>
    </row>
    <row r="983" spans="1:17" x14ac:dyDescent="0.35">
      <c r="A983" t="s">
        <v>35</v>
      </c>
      <c r="B983" t="s">
        <v>790</v>
      </c>
      <c r="C983" t="s">
        <v>28</v>
      </c>
      <c r="D983" t="s">
        <v>25</v>
      </c>
      <c r="E983">
        <v>-0.04</v>
      </c>
      <c r="F983" t="s">
        <v>88</v>
      </c>
      <c r="G983" s="19">
        <v>45403</v>
      </c>
      <c r="H983" t="s">
        <v>637</v>
      </c>
      <c r="I983" t="s">
        <v>6384</v>
      </c>
      <c r="J983"/>
      <c r="Q983" s="3">
        <f t="shared" si="16"/>
        <v>0.04</v>
      </c>
    </row>
    <row r="984" spans="1:17" x14ac:dyDescent="0.35">
      <c r="A984" t="s">
        <v>35</v>
      </c>
      <c r="B984" t="s">
        <v>947</v>
      </c>
      <c r="C984" t="s">
        <v>28</v>
      </c>
      <c r="D984" t="s">
        <v>25</v>
      </c>
      <c r="E984">
        <v>-0.04</v>
      </c>
      <c r="F984" t="s">
        <v>88</v>
      </c>
      <c r="G984" s="19">
        <v>45403</v>
      </c>
      <c r="H984" t="s">
        <v>637</v>
      </c>
      <c r="I984" t="s">
        <v>6384</v>
      </c>
      <c r="J984"/>
      <c r="Q984" s="3">
        <f t="shared" si="16"/>
        <v>0.04</v>
      </c>
    </row>
    <row r="985" spans="1:17" x14ac:dyDescent="0.35">
      <c r="A985" t="s">
        <v>35</v>
      </c>
      <c r="B985" t="s">
        <v>6407</v>
      </c>
      <c r="C985" t="s">
        <v>28</v>
      </c>
      <c r="D985" t="s">
        <v>25</v>
      </c>
      <c r="E985">
        <v>-0.04</v>
      </c>
      <c r="F985" t="s">
        <v>88</v>
      </c>
      <c r="G985" s="19">
        <v>45403</v>
      </c>
      <c r="H985" t="s">
        <v>637</v>
      </c>
      <c r="I985" t="s">
        <v>6384</v>
      </c>
      <c r="J985"/>
      <c r="Q985" s="3">
        <f t="shared" si="16"/>
        <v>0.04</v>
      </c>
    </row>
    <row r="986" spans="1:17" x14ac:dyDescent="0.35">
      <c r="A986" t="s">
        <v>35</v>
      </c>
      <c r="B986" t="s">
        <v>1431</v>
      </c>
      <c r="C986" t="s">
        <v>28</v>
      </c>
      <c r="D986" t="s">
        <v>25</v>
      </c>
      <c r="E986">
        <v>0.04</v>
      </c>
      <c r="F986" t="s">
        <v>88</v>
      </c>
      <c r="G986" s="19">
        <v>45403</v>
      </c>
      <c r="H986" t="s">
        <v>637</v>
      </c>
      <c r="I986" t="s">
        <v>6384</v>
      </c>
      <c r="J986"/>
      <c r="Q986" s="3">
        <f t="shared" si="16"/>
        <v>0.04</v>
      </c>
    </row>
    <row r="987" spans="1:17" x14ac:dyDescent="0.35">
      <c r="A987" t="s">
        <v>35</v>
      </c>
      <c r="B987" t="s">
        <v>770</v>
      </c>
      <c r="C987" t="s">
        <v>28</v>
      </c>
      <c r="D987" t="s">
        <v>25</v>
      </c>
      <c r="E987">
        <v>0.04</v>
      </c>
      <c r="F987" t="s">
        <v>88</v>
      </c>
      <c r="G987" s="19">
        <v>45403</v>
      </c>
      <c r="H987" t="s">
        <v>637</v>
      </c>
      <c r="I987" t="s">
        <v>6384</v>
      </c>
      <c r="J987"/>
      <c r="Q987" s="3">
        <f t="shared" si="16"/>
        <v>0.04</v>
      </c>
    </row>
    <row r="988" spans="1:17" x14ac:dyDescent="0.35">
      <c r="A988" t="s">
        <v>0</v>
      </c>
      <c r="B988" t="s">
        <v>605</v>
      </c>
      <c r="C988" t="s">
        <v>28</v>
      </c>
      <c r="D988" t="s">
        <v>25</v>
      </c>
      <c r="E988">
        <v>0.04</v>
      </c>
      <c r="F988" t="s">
        <v>88</v>
      </c>
      <c r="G988" s="19">
        <v>45533</v>
      </c>
      <c r="H988" t="s">
        <v>7085</v>
      </c>
      <c r="I988" t="s">
        <v>6200</v>
      </c>
      <c r="J988"/>
      <c r="Q988" s="3">
        <f t="shared" si="16"/>
        <v>0.04</v>
      </c>
    </row>
    <row r="989" spans="1:17" x14ac:dyDescent="0.35">
      <c r="A989" t="s">
        <v>0</v>
      </c>
      <c r="B989" t="s">
        <v>7086</v>
      </c>
      <c r="C989" t="s">
        <v>28</v>
      </c>
      <c r="D989" t="s">
        <v>25</v>
      </c>
      <c r="E989">
        <v>0.04</v>
      </c>
      <c r="F989" t="s">
        <v>88</v>
      </c>
      <c r="G989" s="19">
        <v>45533</v>
      </c>
      <c r="H989" t="s">
        <v>7085</v>
      </c>
      <c r="I989" t="s">
        <v>6200</v>
      </c>
      <c r="J989"/>
      <c r="Q989" s="3">
        <f t="shared" si="16"/>
        <v>0.04</v>
      </c>
    </row>
    <row r="990" spans="1:17" x14ac:dyDescent="0.35">
      <c r="A990" t="s">
        <v>0</v>
      </c>
      <c r="B990" t="s">
        <v>5392</v>
      </c>
      <c r="C990" t="s">
        <v>28</v>
      </c>
      <c r="D990" t="s">
        <v>25</v>
      </c>
      <c r="E990">
        <v>0.04</v>
      </c>
      <c r="F990" t="s">
        <v>88</v>
      </c>
      <c r="G990" s="19">
        <v>45533</v>
      </c>
      <c r="H990" t="s">
        <v>7085</v>
      </c>
      <c r="I990" t="s">
        <v>6200</v>
      </c>
      <c r="J990"/>
      <c r="Q990" s="3">
        <f t="shared" si="16"/>
        <v>0.04</v>
      </c>
    </row>
    <row r="991" spans="1:17" x14ac:dyDescent="0.35">
      <c r="A991" t="s">
        <v>0</v>
      </c>
      <c r="B991" t="s">
        <v>866</v>
      </c>
      <c r="C991" t="s">
        <v>28</v>
      </c>
      <c r="D991" t="s">
        <v>25</v>
      </c>
      <c r="E991">
        <v>0.04</v>
      </c>
      <c r="F991" t="s">
        <v>88</v>
      </c>
      <c r="G991" s="19">
        <v>45533</v>
      </c>
      <c r="H991" t="s">
        <v>7085</v>
      </c>
      <c r="I991" t="s">
        <v>6200</v>
      </c>
      <c r="J991"/>
      <c r="Q991" s="3">
        <f t="shared" si="16"/>
        <v>0.04</v>
      </c>
    </row>
    <row r="992" spans="1:17" x14ac:dyDescent="0.35">
      <c r="A992" t="s">
        <v>0</v>
      </c>
      <c r="B992" t="s">
        <v>1194</v>
      </c>
      <c r="C992" t="s">
        <v>28</v>
      </c>
      <c r="D992" t="s">
        <v>25</v>
      </c>
      <c r="E992">
        <v>-0.04</v>
      </c>
      <c r="F992" t="s">
        <v>88</v>
      </c>
      <c r="G992" s="19">
        <v>45533</v>
      </c>
      <c r="H992" t="s">
        <v>7085</v>
      </c>
      <c r="I992" t="s">
        <v>6200</v>
      </c>
      <c r="J992"/>
      <c r="Q992" s="3">
        <f t="shared" si="16"/>
        <v>0.04</v>
      </c>
    </row>
    <row r="993" spans="1:17" x14ac:dyDescent="0.35">
      <c r="A993" t="s">
        <v>0</v>
      </c>
      <c r="B993" t="s">
        <v>6398</v>
      </c>
      <c r="C993" t="s">
        <v>28</v>
      </c>
      <c r="D993" t="s">
        <v>25</v>
      </c>
      <c r="E993">
        <v>0.04</v>
      </c>
      <c r="F993" t="s">
        <v>88</v>
      </c>
      <c r="G993" s="19">
        <v>45533</v>
      </c>
      <c r="H993" t="s">
        <v>7085</v>
      </c>
      <c r="I993" t="s">
        <v>6200</v>
      </c>
      <c r="J993"/>
      <c r="Q993" s="3">
        <f t="shared" si="16"/>
        <v>0.04</v>
      </c>
    </row>
    <row r="994" spans="1:17" x14ac:dyDescent="0.35">
      <c r="A994" t="s">
        <v>0</v>
      </c>
      <c r="B994" t="s">
        <v>656</v>
      </c>
      <c r="C994" t="s">
        <v>28</v>
      </c>
      <c r="D994" t="s">
        <v>25</v>
      </c>
      <c r="E994">
        <v>-0.04</v>
      </c>
      <c r="F994" t="s">
        <v>88</v>
      </c>
      <c r="G994" s="19">
        <v>45533</v>
      </c>
      <c r="H994" t="s">
        <v>7085</v>
      </c>
      <c r="I994" t="s">
        <v>6200</v>
      </c>
      <c r="J994"/>
      <c r="Q994" s="3">
        <f t="shared" si="16"/>
        <v>0.04</v>
      </c>
    </row>
    <row r="995" spans="1:17" x14ac:dyDescent="0.35">
      <c r="A995" t="s">
        <v>0</v>
      </c>
      <c r="B995" t="s">
        <v>756</v>
      </c>
      <c r="C995" t="s">
        <v>28</v>
      </c>
      <c r="D995" t="s">
        <v>25</v>
      </c>
      <c r="E995">
        <v>-0.04</v>
      </c>
      <c r="F995" t="s">
        <v>88</v>
      </c>
      <c r="G995" s="19">
        <v>45533</v>
      </c>
      <c r="H995" t="s">
        <v>7085</v>
      </c>
      <c r="I995" t="s">
        <v>6200</v>
      </c>
      <c r="J995"/>
      <c r="Q995" s="3">
        <f t="shared" si="16"/>
        <v>0.04</v>
      </c>
    </row>
    <row r="996" spans="1:17" x14ac:dyDescent="0.35">
      <c r="A996" t="s">
        <v>0</v>
      </c>
      <c r="B996" t="s">
        <v>1423</v>
      </c>
      <c r="C996" t="s">
        <v>28</v>
      </c>
      <c r="D996" t="s">
        <v>25</v>
      </c>
      <c r="E996">
        <v>-0.04</v>
      </c>
      <c r="F996" t="s">
        <v>88</v>
      </c>
      <c r="G996" s="19">
        <v>45533</v>
      </c>
      <c r="H996" t="s">
        <v>7085</v>
      </c>
      <c r="I996" t="s">
        <v>6200</v>
      </c>
      <c r="J996"/>
      <c r="Q996" s="3">
        <f t="shared" si="16"/>
        <v>0.04</v>
      </c>
    </row>
    <row r="997" spans="1:17" x14ac:dyDescent="0.35">
      <c r="A997" t="s">
        <v>0</v>
      </c>
      <c r="B997" t="s">
        <v>788</v>
      </c>
      <c r="C997" t="s">
        <v>28</v>
      </c>
      <c r="D997" t="s">
        <v>25</v>
      </c>
      <c r="E997">
        <v>-0.04</v>
      </c>
      <c r="F997" t="s">
        <v>88</v>
      </c>
      <c r="G997" s="19">
        <v>45533</v>
      </c>
      <c r="H997" t="s">
        <v>7085</v>
      </c>
      <c r="I997" t="s">
        <v>6200</v>
      </c>
      <c r="J997"/>
      <c r="Q997" s="3">
        <f t="shared" si="16"/>
        <v>0.04</v>
      </c>
    </row>
    <row r="998" spans="1:17" x14ac:dyDescent="0.35">
      <c r="A998" t="s">
        <v>0</v>
      </c>
      <c r="B998" t="s">
        <v>2728</v>
      </c>
      <c r="C998" t="s">
        <v>28</v>
      </c>
      <c r="D998" t="s">
        <v>25</v>
      </c>
      <c r="E998">
        <v>0.04</v>
      </c>
      <c r="F998" t="s">
        <v>88</v>
      </c>
      <c r="G998" s="19">
        <v>45533</v>
      </c>
      <c r="H998" t="s">
        <v>7085</v>
      </c>
      <c r="I998" t="s">
        <v>6200</v>
      </c>
      <c r="J998"/>
      <c r="Q998" s="3">
        <f t="shared" si="16"/>
        <v>0.04</v>
      </c>
    </row>
    <row r="999" spans="1:17" x14ac:dyDescent="0.35">
      <c r="A999" t="s">
        <v>0</v>
      </c>
      <c r="B999" t="s">
        <v>1069</v>
      </c>
      <c r="C999" t="s">
        <v>28</v>
      </c>
      <c r="D999" t="s">
        <v>25</v>
      </c>
      <c r="E999">
        <v>-0.04</v>
      </c>
      <c r="F999" t="s">
        <v>88</v>
      </c>
      <c r="G999" s="19">
        <v>45533</v>
      </c>
      <c r="H999" t="s">
        <v>7085</v>
      </c>
      <c r="I999" t="s">
        <v>6200</v>
      </c>
      <c r="J999"/>
      <c r="Q999" s="3">
        <f t="shared" si="16"/>
        <v>0.04</v>
      </c>
    </row>
    <row r="1000" spans="1:17" x14ac:dyDescent="0.35">
      <c r="A1000" t="s">
        <v>0</v>
      </c>
      <c r="B1000" t="s">
        <v>672</v>
      </c>
      <c r="C1000" t="s">
        <v>28</v>
      </c>
      <c r="D1000" t="s">
        <v>25</v>
      </c>
      <c r="E1000">
        <v>0.04</v>
      </c>
      <c r="F1000" t="s">
        <v>88</v>
      </c>
      <c r="G1000" s="19">
        <v>45533</v>
      </c>
      <c r="H1000" t="s">
        <v>7085</v>
      </c>
      <c r="I1000" t="s">
        <v>6200</v>
      </c>
      <c r="J1000"/>
      <c r="Q1000" s="3">
        <f t="shared" si="16"/>
        <v>0.04</v>
      </c>
    </row>
    <row r="1001" spans="1:17" x14ac:dyDescent="0.35">
      <c r="A1001" t="s">
        <v>0</v>
      </c>
      <c r="B1001" t="s">
        <v>2328</v>
      </c>
      <c r="C1001" t="s">
        <v>28</v>
      </c>
      <c r="D1001" t="s">
        <v>25</v>
      </c>
      <c r="E1001">
        <v>0.04</v>
      </c>
      <c r="F1001" t="s">
        <v>88</v>
      </c>
      <c r="G1001" s="19">
        <v>45533</v>
      </c>
      <c r="H1001" t="s">
        <v>7085</v>
      </c>
      <c r="I1001" t="s">
        <v>6200</v>
      </c>
      <c r="J1001"/>
      <c r="Q1001" s="3">
        <f t="shared" si="16"/>
        <v>0.04</v>
      </c>
    </row>
    <row r="1002" spans="1:17" x14ac:dyDescent="0.35">
      <c r="A1002" t="s">
        <v>0</v>
      </c>
      <c r="B1002" t="s">
        <v>3422</v>
      </c>
      <c r="C1002" t="s">
        <v>28</v>
      </c>
      <c r="D1002" t="s">
        <v>25</v>
      </c>
      <c r="E1002">
        <v>0.04</v>
      </c>
      <c r="F1002" t="s">
        <v>88</v>
      </c>
      <c r="G1002" s="19">
        <v>45533</v>
      </c>
      <c r="H1002" t="s">
        <v>7085</v>
      </c>
      <c r="I1002" t="s">
        <v>6200</v>
      </c>
      <c r="J1002"/>
      <c r="Q1002" s="3">
        <f t="shared" si="16"/>
        <v>0.04</v>
      </c>
    </row>
    <row r="1003" spans="1:17" x14ac:dyDescent="0.35">
      <c r="A1003" t="s">
        <v>0</v>
      </c>
      <c r="B1003" t="s">
        <v>5927</v>
      </c>
      <c r="C1003" t="s">
        <v>28</v>
      </c>
      <c r="D1003" t="s">
        <v>25</v>
      </c>
      <c r="E1003">
        <v>-0.04</v>
      </c>
      <c r="F1003" t="s">
        <v>88</v>
      </c>
      <c r="G1003" s="19">
        <v>45533</v>
      </c>
      <c r="H1003" t="s">
        <v>7085</v>
      </c>
      <c r="I1003" t="s">
        <v>6200</v>
      </c>
      <c r="J1003"/>
      <c r="Q1003" s="3">
        <f t="shared" si="16"/>
        <v>0.04</v>
      </c>
    </row>
    <row r="1004" spans="1:17" x14ac:dyDescent="0.35">
      <c r="A1004" t="s">
        <v>0</v>
      </c>
      <c r="B1004" t="s">
        <v>819</v>
      </c>
      <c r="C1004" t="s">
        <v>28</v>
      </c>
      <c r="D1004" t="s">
        <v>25</v>
      </c>
      <c r="E1004">
        <v>0.04</v>
      </c>
      <c r="F1004" t="s">
        <v>88</v>
      </c>
      <c r="G1004" s="19">
        <v>45533</v>
      </c>
      <c r="H1004" t="s">
        <v>7085</v>
      </c>
      <c r="I1004" t="s">
        <v>6200</v>
      </c>
      <c r="J1004"/>
      <c r="Q1004" s="3">
        <f t="shared" si="16"/>
        <v>0.04</v>
      </c>
    </row>
    <row r="1005" spans="1:17" x14ac:dyDescent="0.35">
      <c r="A1005" t="s">
        <v>0</v>
      </c>
      <c r="B1005" t="s">
        <v>825</v>
      </c>
      <c r="C1005" t="s">
        <v>28</v>
      </c>
      <c r="D1005" t="s">
        <v>25</v>
      </c>
      <c r="E1005">
        <v>0.04</v>
      </c>
      <c r="F1005" t="s">
        <v>88</v>
      </c>
      <c r="G1005" s="19">
        <v>45533</v>
      </c>
      <c r="H1005" t="s">
        <v>7085</v>
      </c>
      <c r="I1005" t="s">
        <v>6200</v>
      </c>
      <c r="J1005"/>
      <c r="Q1005" s="3">
        <f t="shared" si="16"/>
        <v>0.04</v>
      </c>
    </row>
    <row r="1006" spans="1:17" x14ac:dyDescent="0.35">
      <c r="A1006" t="s">
        <v>0</v>
      </c>
      <c r="B1006" t="s">
        <v>953</v>
      </c>
      <c r="C1006" t="s">
        <v>28</v>
      </c>
      <c r="D1006" t="s">
        <v>25</v>
      </c>
      <c r="E1006">
        <v>0.04</v>
      </c>
      <c r="F1006" t="s">
        <v>88</v>
      </c>
      <c r="G1006" s="19">
        <v>45533</v>
      </c>
      <c r="H1006" t="s">
        <v>7085</v>
      </c>
      <c r="I1006" t="s">
        <v>6200</v>
      </c>
      <c r="J1006"/>
      <c r="Q1006" s="3">
        <f t="shared" si="16"/>
        <v>0.04</v>
      </c>
    </row>
    <row r="1007" spans="1:17" x14ac:dyDescent="0.35">
      <c r="A1007" t="s">
        <v>0</v>
      </c>
      <c r="B1007" t="s">
        <v>881</v>
      </c>
      <c r="C1007" t="s">
        <v>28</v>
      </c>
      <c r="D1007" t="s">
        <v>25</v>
      </c>
      <c r="E1007">
        <v>-0.04</v>
      </c>
      <c r="F1007" t="s">
        <v>88</v>
      </c>
      <c r="G1007" s="19">
        <v>45533</v>
      </c>
      <c r="H1007" t="s">
        <v>7085</v>
      </c>
      <c r="I1007" t="s">
        <v>6200</v>
      </c>
      <c r="J1007"/>
      <c r="Q1007" s="3">
        <f t="shared" si="16"/>
        <v>0.04</v>
      </c>
    </row>
    <row r="1008" spans="1:17" x14ac:dyDescent="0.35">
      <c r="A1008" t="s">
        <v>0</v>
      </c>
      <c r="B1008" t="s">
        <v>2208</v>
      </c>
      <c r="C1008" t="s">
        <v>28</v>
      </c>
      <c r="D1008" t="s">
        <v>25</v>
      </c>
      <c r="E1008">
        <v>0.04</v>
      </c>
      <c r="F1008" t="s">
        <v>88</v>
      </c>
      <c r="G1008" s="19">
        <v>45533</v>
      </c>
      <c r="H1008" t="s">
        <v>7085</v>
      </c>
      <c r="I1008" t="s">
        <v>6200</v>
      </c>
      <c r="J1008"/>
      <c r="Q1008" s="3">
        <f t="shared" si="16"/>
        <v>0.04</v>
      </c>
    </row>
    <row r="1009" spans="1:17" x14ac:dyDescent="0.35">
      <c r="A1009" t="s">
        <v>0</v>
      </c>
      <c r="B1009" t="s">
        <v>1995</v>
      </c>
      <c r="C1009" t="s">
        <v>28</v>
      </c>
      <c r="D1009" t="s">
        <v>25</v>
      </c>
      <c r="E1009">
        <v>-0.04</v>
      </c>
      <c r="F1009" t="s">
        <v>88</v>
      </c>
      <c r="G1009" s="19">
        <v>45533</v>
      </c>
      <c r="H1009" t="s">
        <v>7085</v>
      </c>
      <c r="I1009" t="s">
        <v>6200</v>
      </c>
      <c r="J1009"/>
      <c r="Q1009" s="3">
        <f t="shared" si="16"/>
        <v>0.04</v>
      </c>
    </row>
    <row r="1010" spans="1:17" x14ac:dyDescent="0.35">
      <c r="A1010" t="s">
        <v>0</v>
      </c>
      <c r="B1010" t="s">
        <v>5701</v>
      </c>
      <c r="C1010" t="s">
        <v>28</v>
      </c>
      <c r="D1010" t="s">
        <v>25</v>
      </c>
      <c r="E1010">
        <v>-0.04</v>
      </c>
      <c r="F1010" t="s">
        <v>88</v>
      </c>
      <c r="G1010" s="19">
        <v>45533</v>
      </c>
      <c r="H1010" t="s">
        <v>7085</v>
      </c>
      <c r="I1010" t="s">
        <v>6200</v>
      </c>
      <c r="J1010"/>
      <c r="Q1010" s="3">
        <f t="shared" si="16"/>
        <v>0.04</v>
      </c>
    </row>
    <row r="1011" spans="1:17" x14ac:dyDescent="0.35">
      <c r="A1011" t="s">
        <v>0</v>
      </c>
      <c r="B1011" t="s">
        <v>790</v>
      </c>
      <c r="C1011" t="s">
        <v>28</v>
      </c>
      <c r="D1011" t="s">
        <v>25</v>
      </c>
      <c r="E1011">
        <v>0.04</v>
      </c>
      <c r="F1011" t="s">
        <v>88</v>
      </c>
      <c r="G1011" s="19">
        <v>45533</v>
      </c>
      <c r="H1011" t="s">
        <v>7085</v>
      </c>
      <c r="I1011" t="s">
        <v>6200</v>
      </c>
      <c r="J1011"/>
      <c r="Q1011" s="3">
        <f t="shared" si="16"/>
        <v>0.04</v>
      </c>
    </row>
    <row r="1012" spans="1:17" x14ac:dyDescent="0.35">
      <c r="A1012" t="s">
        <v>0</v>
      </c>
      <c r="B1012" t="s">
        <v>5393</v>
      </c>
      <c r="C1012" t="s">
        <v>28</v>
      </c>
      <c r="D1012" t="s">
        <v>25</v>
      </c>
      <c r="E1012">
        <v>-0.04</v>
      </c>
      <c r="F1012" t="s">
        <v>88</v>
      </c>
      <c r="G1012" s="19">
        <v>45533</v>
      </c>
      <c r="H1012" t="s">
        <v>7085</v>
      </c>
      <c r="I1012" t="s">
        <v>6200</v>
      </c>
      <c r="J1012"/>
      <c r="Q1012" s="3">
        <f t="shared" si="16"/>
        <v>0.04</v>
      </c>
    </row>
    <row r="1013" spans="1:17" x14ac:dyDescent="0.35">
      <c r="A1013" t="s">
        <v>0</v>
      </c>
      <c r="B1013" t="s">
        <v>649</v>
      </c>
      <c r="C1013" t="s">
        <v>28</v>
      </c>
      <c r="D1013" t="s">
        <v>25</v>
      </c>
      <c r="E1013">
        <v>0.04</v>
      </c>
      <c r="F1013" t="s">
        <v>88</v>
      </c>
      <c r="G1013" s="19">
        <v>45533</v>
      </c>
      <c r="H1013" t="s">
        <v>7085</v>
      </c>
      <c r="I1013" t="s">
        <v>6200</v>
      </c>
      <c r="J1013"/>
      <c r="Q1013" s="3">
        <f t="shared" si="16"/>
        <v>0.04</v>
      </c>
    </row>
    <row r="1014" spans="1:17" x14ac:dyDescent="0.35">
      <c r="A1014" t="s">
        <v>0</v>
      </c>
      <c r="B1014" t="s">
        <v>6407</v>
      </c>
      <c r="C1014" t="s">
        <v>28</v>
      </c>
      <c r="D1014" t="s">
        <v>25</v>
      </c>
      <c r="E1014">
        <v>-0.04</v>
      </c>
      <c r="F1014" t="s">
        <v>88</v>
      </c>
      <c r="G1014" s="19">
        <v>45533</v>
      </c>
      <c r="H1014" t="s">
        <v>7085</v>
      </c>
      <c r="I1014" t="s">
        <v>6200</v>
      </c>
      <c r="J1014"/>
      <c r="Q1014" s="3">
        <f t="shared" si="16"/>
        <v>0.04</v>
      </c>
    </row>
    <row r="1015" spans="1:17" x14ac:dyDescent="0.35">
      <c r="A1015" t="s">
        <v>0</v>
      </c>
      <c r="B1015" t="s">
        <v>1279</v>
      </c>
      <c r="C1015" t="s">
        <v>28</v>
      </c>
      <c r="D1015" t="s">
        <v>25</v>
      </c>
      <c r="E1015">
        <v>0.04</v>
      </c>
      <c r="F1015" t="s">
        <v>88</v>
      </c>
      <c r="G1015" s="19">
        <v>45533</v>
      </c>
      <c r="H1015" t="s">
        <v>7085</v>
      </c>
      <c r="I1015" t="s">
        <v>6200</v>
      </c>
      <c r="J1015"/>
      <c r="Q1015" s="3">
        <f t="shared" si="16"/>
        <v>0.04</v>
      </c>
    </row>
    <row r="1016" spans="1:17" x14ac:dyDescent="0.35">
      <c r="A1016" t="s">
        <v>0</v>
      </c>
      <c r="B1016" t="s">
        <v>6047</v>
      </c>
      <c r="C1016" t="s">
        <v>28</v>
      </c>
      <c r="D1016" t="s">
        <v>25</v>
      </c>
      <c r="E1016">
        <v>0.04</v>
      </c>
      <c r="F1016" t="s">
        <v>88</v>
      </c>
      <c r="G1016" s="19">
        <v>45533</v>
      </c>
      <c r="H1016" t="s">
        <v>7085</v>
      </c>
      <c r="I1016" t="s">
        <v>6200</v>
      </c>
      <c r="J1016"/>
      <c r="Q1016" s="3">
        <f t="shared" si="16"/>
        <v>0.04</v>
      </c>
    </row>
    <row r="1017" spans="1:17" x14ac:dyDescent="0.35">
      <c r="A1017" t="s">
        <v>0</v>
      </c>
      <c r="B1017" t="s">
        <v>6156</v>
      </c>
      <c r="C1017" t="s">
        <v>28</v>
      </c>
      <c r="D1017" t="s">
        <v>25</v>
      </c>
      <c r="E1017">
        <v>-0.04</v>
      </c>
      <c r="F1017" t="s">
        <v>88</v>
      </c>
      <c r="G1017" s="19">
        <v>45533</v>
      </c>
      <c r="H1017" t="s">
        <v>7085</v>
      </c>
      <c r="I1017" t="s">
        <v>6200</v>
      </c>
      <c r="J1017"/>
      <c r="Q1017" s="3">
        <f t="shared" si="16"/>
        <v>0.04</v>
      </c>
    </row>
    <row r="1018" spans="1:17" x14ac:dyDescent="0.35">
      <c r="A1018" t="s">
        <v>0</v>
      </c>
      <c r="B1018" t="s">
        <v>646</v>
      </c>
      <c r="C1018" t="s">
        <v>28</v>
      </c>
      <c r="D1018" t="s">
        <v>25</v>
      </c>
      <c r="E1018">
        <v>-0.04</v>
      </c>
      <c r="F1018" t="s">
        <v>88</v>
      </c>
      <c r="G1018" s="19">
        <v>45533</v>
      </c>
      <c r="H1018" t="s">
        <v>7085</v>
      </c>
      <c r="I1018" t="s">
        <v>6200</v>
      </c>
      <c r="J1018"/>
      <c r="Q1018" s="3">
        <f t="shared" si="16"/>
        <v>0.04</v>
      </c>
    </row>
    <row r="1019" spans="1:17" x14ac:dyDescent="0.35">
      <c r="A1019" t="s">
        <v>35</v>
      </c>
      <c r="B1019" t="s">
        <v>933</v>
      </c>
      <c r="C1019" t="s">
        <v>28</v>
      </c>
      <c r="D1019" t="s">
        <v>25</v>
      </c>
      <c r="E1019">
        <v>0.04</v>
      </c>
      <c r="F1019" t="s">
        <v>88</v>
      </c>
      <c r="G1019" s="19">
        <v>45533</v>
      </c>
      <c r="H1019" t="s">
        <v>7085</v>
      </c>
      <c r="I1019" t="s">
        <v>6200</v>
      </c>
      <c r="J1019"/>
      <c r="Q1019" s="3">
        <f t="shared" si="16"/>
        <v>0.04</v>
      </c>
    </row>
    <row r="1020" spans="1:17" x14ac:dyDescent="0.35">
      <c r="A1020" t="s">
        <v>35</v>
      </c>
      <c r="B1020" t="s">
        <v>6404</v>
      </c>
      <c r="C1020" t="s">
        <v>28</v>
      </c>
      <c r="D1020" t="s">
        <v>25</v>
      </c>
      <c r="E1020">
        <v>0.04</v>
      </c>
      <c r="F1020" t="s">
        <v>88</v>
      </c>
      <c r="G1020" s="19">
        <v>45533</v>
      </c>
      <c r="H1020" t="s">
        <v>7085</v>
      </c>
      <c r="I1020" t="s">
        <v>6200</v>
      </c>
      <c r="J1020"/>
      <c r="Q1020" s="3">
        <f t="shared" si="16"/>
        <v>0.04</v>
      </c>
    </row>
    <row r="1021" spans="1:17" x14ac:dyDescent="0.35">
      <c r="A1021" t="s">
        <v>35</v>
      </c>
      <c r="B1021" t="s">
        <v>2328</v>
      </c>
      <c r="C1021" t="s">
        <v>28</v>
      </c>
      <c r="D1021" t="s">
        <v>25</v>
      </c>
      <c r="E1021">
        <v>-0.04</v>
      </c>
      <c r="F1021" t="s">
        <v>88</v>
      </c>
      <c r="G1021" s="19">
        <v>45533</v>
      </c>
      <c r="H1021" t="s">
        <v>7085</v>
      </c>
      <c r="I1021" t="s">
        <v>6200</v>
      </c>
      <c r="J1021"/>
      <c r="Q1021" s="3">
        <f t="shared" si="16"/>
        <v>0.04</v>
      </c>
    </row>
    <row r="1022" spans="1:17" x14ac:dyDescent="0.35">
      <c r="A1022" t="s">
        <v>35</v>
      </c>
      <c r="B1022" t="s">
        <v>1491</v>
      </c>
      <c r="C1022" t="s">
        <v>28</v>
      </c>
      <c r="D1022" t="s">
        <v>25</v>
      </c>
      <c r="E1022">
        <v>-0.04</v>
      </c>
      <c r="F1022" t="s">
        <v>88</v>
      </c>
      <c r="G1022" s="19">
        <v>45533</v>
      </c>
      <c r="H1022" t="s">
        <v>7085</v>
      </c>
      <c r="I1022" t="s">
        <v>6200</v>
      </c>
      <c r="J1022"/>
      <c r="Q1022" s="3">
        <f t="shared" si="16"/>
        <v>0.04</v>
      </c>
    </row>
    <row r="1023" spans="1:17" x14ac:dyDescent="0.35">
      <c r="A1023" t="s">
        <v>35</v>
      </c>
      <c r="B1023" t="s">
        <v>864</v>
      </c>
      <c r="C1023" t="s">
        <v>28</v>
      </c>
      <c r="D1023" t="s">
        <v>25</v>
      </c>
      <c r="E1023">
        <v>-0.04</v>
      </c>
      <c r="F1023" t="s">
        <v>88</v>
      </c>
      <c r="G1023" s="19">
        <v>45533</v>
      </c>
      <c r="H1023" t="s">
        <v>7085</v>
      </c>
      <c r="I1023" t="s">
        <v>6200</v>
      </c>
      <c r="J1023"/>
      <c r="Q1023" s="3">
        <f t="shared" si="16"/>
        <v>0.04</v>
      </c>
    </row>
    <row r="1024" spans="1:17" x14ac:dyDescent="0.35">
      <c r="A1024" t="s">
        <v>35</v>
      </c>
      <c r="B1024" t="s">
        <v>649</v>
      </c>
      <c r="C1024" t="s">
        <v>28</v>
      </c>
      <c r="D1024" t="s">
        <v>25</v>
      </c>
      <c r="E1024">
        <v>0.04</v>
      </c>
      <c r="F1024" t="s">
        <v>88</v>
      </c>
      <c r="G1024" s="19">
        <v>45533</v>
      </c>
      <c r="H1024" t="s">
        <v>7085</v>
      </c>
      <c r="I1024" t="s">
        <v>6200</v>
      </c>
      <c r="J1024"/>
      <c r="Q1024" s="3">
        <f t="shared" si="16"/>
        <v>0.04</v>
      </c>
    </row>
    <row r="1025" spans="1:17" x14ac:dyDescent="0.35">
      <c r="A1025" t="s">
        <v>35</v>
      </c>
      <c r="B1025" t="s">
        <v>1123</v>
      </c>
      <c r="C1025" t="s">
        <v>28</v>
      </c>
      <c r="D1025" t="s">
        <v>25</v>
      </c>
      <c r="E1025">
        <v>3.9999999999999994E-2</v>
      </c>
      <c r="F1025" t="s">
        <v>88</v>
      </c>
      <c r="G1025" s="19">
        <v>45533</v>
      </c>
      <c r="H1025" t="s">
        <v>7085</v>
      </c>
      <c r="I1025" t="s">
        <v>6200</v>
      </c>
      <c r="J1025"/>
      <c r="Q1025" s="3">
        <f t="shared" si="16"/>
        <v>3.9999999999999994E-2</v>
      </c>
    </row>
    <row r="1026" spans="1:17" x14ac:dyDescent="0.35">
      <c r="A1026" t="s">
        <v>35</v>
      </c>
      <c r="B1026" t="s">
        <v>852</v>
      </c>
      <c r="C1026" t="s">
        <v>28</v>
      </c>
      <c r="D1026" t="s">
        <v>25</v>
      </c>
      <c r="E1026">
        <v>-3.9999999999999994E-2</v>
      </c>
      <c r="F1026" t="s">
        <v>88</v>
      </c>
      <c r="G1026" s="19">
        <v>45533</v>
      </c>
      <c r="H1026" t="s">
        <v>7085</v>
      </c>
      <c r="I1026" t="s">
        <v>6200</v>
      </c>
      <c r="J1026"/>
      <c r="Q1026" s="3">
        <f t="shared" si="16"/>
        <v>3.9999999999999994E-2</v>
      </c>
    </row>
    <row r="1027" spans="1:17" x14ac:dyDescent="0.35">
      <c r="A1027" t="s">
        <v>35</v>
      </c>
      <c r="B1027" t="s">
        <v>6387</v>
      </c>
      <c r="C1027" t="s">
        <v>28</v>
      </c>
      <c r="D1027" t="s">
        <v>25</v>
      </c>
      <c r="E1027">
        <v>-3.0000000000000006E-2</v>
      </c>
      <c r="F1027" t="s">
        <v>88</v>
      </c>
      <c r="G1027" s="19">
        <v>45533</v>
      </c>
      <c r="H1027" t="s">
        <v>7085</v>
      </c>
      <c r="I1027" t="s">
        <v>6200</v>
      </c>
      <c r="J1027"/>
      <c r="Q1027" s="3">
        <f t="shared" si="16"/>
        <v>3.0000000000000006E-2</v>
      </c>
    </row>
    <row r="1028" spans="1:17" x14ac:dyDescent="0.35">
      <c r="A1028" t="s">
        <v>35</v>
      </c>
      <c r="B1028" t="s">
        <v>1106</v>
      </c>
      <c r="C1028" t="s">
        <v>28</v>
      </c>
      <c r="D1028" t="s">
        <v>25</v>
      </c>
      <c r="E1028">
        <v>-3.0000000000000006E-2</v>
      </c>
      <c r="F1028" t="s">
        <v>88</v>
      </c>
      <c r="G1028" s="19">
        <v>45533</v>
      </c>
      <c r="H1028" t="s">
        <v>7085</v>
      </c>
      <c r="I1028" t="s">
        <v>6200</v>
      </c>
      <c r="J1028"/>
      <c r="Q1028" s="3">
        <f t="shared" si="16"/>
        <v>3.0000000000000006E-2</v>
      </c>
    </row>
    <row r="1029" spans="1:17" x14ac:dyDescent="0.35">
      <c r="A1029" t="s">
        <v>35</v>
      </c>
      <c r="B1029" t="s">
        <v>915</v>
      </c>
      <c r="C1029" t="s">
        <v>28</v>
      </c>
      <c r="D1029" t="s">
        <v>25</v>
      </c>
      <c r="E1029">
        <v>-3.0000000000000006E-2</v>
      </c>
      <c r="F1029" t="s">
        <v>88</v>
      </c>
      <c r="G1029" s="19">
        <v>45533</v>
      </c>
      <c r="H1029" t="s">
        <v>7085</v>
      </c>
      <c r="I1029" t="s">
        <v>6200</v>
      </c>
      <c r="J1029"/>
      <c r="Q1029" s="3">
        <f t="shared" si="16"/>
        <v>3.0000000000000006E-2</v>
      </c>
    </row>
    <row r="1030" spans="1:17" x14ac:dyDescent="0.35">
      <c r="A1030" t="s">
        <v>0</v>
      </c>
      <c r="B1030" t="s">
        <v>614</v>
      </c>
      <c r="C1030" t="s">
        <v>28</v>
      </c>
      <c r="D1030" t="s">
        <v>25</v>
      </c>
      <c r="E1030">
        <v>0.03</v>
      </c>
      <c r="F1030" t="s">
        <v>88</v>
      </c>
      <c r="G1030" s="19">
        <v>45403</v>
      </c>
      <c r="H1030" t="s">
        <v>637</v>
      </c>
      <c r="I1030" t="s">
        <v>6384</v>
      </c>
      <c r="J1030"/>
      <c r="Q1030" s="3">
        <f t="shared" si="16"/>
        <v>0.03</v>
      </c>
    </row>
    <row r="1031" spans="1:17" x14ac:dyDescent="0.35">
      <c r="A1031" t="s">
        <v>0</v>
      </c>
      <c r="B1031" t="s">
        <v>6387</v>
      </c>
      <c r="C1031" t="s">
        <v>28</v>
      </c>
      <c r="D1031" t="s">
        <v>25</v>
      </c>
      <c r="E1031">
        <v>-0.03</v>
      </c>
      <c r="F1031" t="s">
        <v>88</v>
      </c>
      <c r="G1031" s="19">
        <v>45403</v>
      </c>
      <c r="H1031" t="s">
        <v>637</v>
      </c>
      <c r="I1031" t="s">
        <v>6384</v>
      </c>
      <c r="J1031"/>
      <c r="Q1031" s="3">
        <f t="shared" si="16"/>
        <v>0.03</v>
      </c>
    </row>
    <row r="1032" spans="1:17" x14ac:dyDescent="0.35">
      <c r="A1032" t="s">
        <v>0</v>
      </c>
      <c r="B1032" t="s">
        <v>1543</v>
      </c>
      <c r="C1032" t="s">
        <v>28</v>
      </c>
      <c r="D1032" t="s">
        <v>25</v>
      </c>
      <c r="E1032">
        <v>0.03</v>
      </c>
      <c r="F1032" t="s">
        <v>88</v>
      </c>
      <c r="G1032" s="19">
        <v>45403</v>
      </c>
      <c r="H1032" t="s">
        <v>637</v>
      </c>
      <c r="I1032" t="s">
        <v>6384</v>
      </c>
      <c r="J1032"/>
      <c r="Q1032" s="3">
        <f t="shared" si="16"/>
        <v>0.03</v>
      </c>
    </row>
    <row r="1033" spans="1:17" x14ac:dyDescent="0.35">
      <c r="A1033" t="s">
        <v>0</v>
      </c>
      <c r="B1033" t="s">
        <v>864</v>
      </c>
      <c r="C1033" t="s">
        <v>28</v>
      </c>
      <c r="D1033" t="s">
        <v>25</v>
      </c>
      <c r="E1033">
        <v>-0.03</v>
      </c>
      <c r="F1033" t="s">
        <v>88</v>
      </c>
      <c r="G1033" s="19">
        <v>45403</v>
      </c>
      <c r="H1033" t="s">
        <v>637</v>
      </c>
      <c r="I1033" t="s">
        <v>6384</v>
      </c>
      <c r="J1033"/>
      <c r="Q1033" s="3">
        <f t="shared" si="16"/>
        <v>0.03</v>
      </c>
    </row>
    <row r="1034" spans="1:17" x14ac:dyDescent="0.35">
      <c r="A1034" t="s">
        <v>0</v>
      </c>
      <c r="B1034" t="s">
        <v>6057</v>
      </c>
      <c r="C1034" t="s">
        <v>28</v>
      </c>
      <c r="D1034" t="s">
        <v>25</v>
      </c>
      <c r="E1034">
        <v>-0.03</v>
      </c>
      <c r="F1034" t="s">
        <v>88</v>
      </c>
      <c r="G1034" s="19">
        <v>45403</v>
      </c>
      <c r="H1034" t="s">
        <v>6384</v>
      </c>
      <c r="I1034" t="s">
        <v>6384</v>
      </c>
      <c r="J1034"/>
      <c r="Q1034" s="3">
        <f t="shared" ref="Q1034:Q1097" si="17">ABS(E1034)</f>
        <v>0.03</v>
      </c>
    </row>
    <row r="1035" spans="1:17" x14ac:dyDescent="0.35">
      <c r="A1035" t="s">
        <v>0</v>
      </c>
      <c r="B1035" t="s">
        <v>1423</v>
      </c>
      <c r="C1035" t="s">
        <v>28</v>
      </c>
      <c r="D1035" t="s">
        <v>25</v>
      </c>
      <c r="E1035">
        <v>-0.03</v>
      </c>
      <c r="F1035" t="s">
        <v>88</v>
      </c>
      <c r="G1035" s="19">
        <v>45403</v>
      </c>
      <c r="H1035" t="s">
        <v>6384</v>
      </c>
      <c r="I1035" t="s">
        <v>6384</v>
      </c>
      <c r="J1035"/>
      <c r="Q1035" s="3">
        <f t="shared" si="17"/>
        <v>0.03</v>
      </c>
    </row>
    <row r="1036" spans="1:17" x14ac:dyDescent="0.35">
      <c r="A1036" t="s">
        <v>0</v>
      </c>
      <c r="B1036" t="s">
        <v>2728</v>
      </c>
      <c r="C1036" t="s">
        <v>28</v>
      </c>
      <c r="D1036" t="s">
        <v>25</v>
      </c>
      <c r="E1036">
        <v>0.03</v>
      </c>
      <c r="F1036" t="s">
        <v>88</v>
      </c>
      <c r="G1036" s="19">
        <v>45403</v>
      </c>
      <c r="H1036" t="s">
        <v>6384</v>
      </c>
      <c r="I1036" t="s">
        <v>6384</v>
      </c>
      <c r="J1036"/>
      <c r="Q1036" s="3">
        <f t="shared" si="17"/>
        <v>0.03</v>
      </c>
    </row>
    <row r="1037" spans="1:17" x14ac:dyDescent="0.35">
      <c r="A1037" t="s">
        <v>0</v>
      </c>
      <c r="B1037" t="s">
        <v>2473</v>
      </c>
      <c r="C1037" t="s">
        <v>28</v>
      </c>
      <c r="D1037" t="s">
        <v>25</v>
      </c>
      <c r="E1037">
        <v>-0.03</v>
      </c>
      <c r="F1037" t="s">
        <v>88</v>
      </c>
      <c r="G1037" s="19">
        <v>45403</v>
      </c>
      <c r="H1037" t="s">
        <v>6384</v>
      </c>
      <c r="I1037" t="s">
        <v>6384</v>
      </c>
      <c r="J1037"/>
      <c r="Q1037" s="3">
        <f t="shared" si="17"/>
        <v>0.03</v>
      </c>
    </row>
    <row r="1038" spans="1:17" x14ac:dyDescent="0.35">
      <c r="A1038" t="s">
        <v>0</v>
      </c>
      <c r="B1038" t="s">
        <v>1480</v>
      </c>
      <c r="C1038" t="s">
        <v>28</v>
      </c>
      <c r="D1038" t="s">
        <v>25</v>
      </c>
      <c r="E1038">
        <v>-0.03</v>
      </c>
      <c r="F1038" t="s">
        <v>88</v>
      </c>
      <c r="G1038" s="19">
        <v>45403</v>
      </c>
      <c r="H1038" t="s">
        <v>6384</v>
      </c>
      <c r="I1038" t="s">
        <v>6384</v>
      </c>
      <c r="J1038"/>
      <c r="Q1038" s="3">
        <f t="shared" si="17"/>
        <v>0.03</v>
      </c>
    </row>
    <row r="1039" spans="1:17" x14ac:dyDescent="0.35">
      <c r="A1039" t="s">
        <v>0</v>
      </c>
      <c r="B1039" t="s">
        <v>819</v>
      </c>
      <c r="C1039" t="s">
        <v>28</v>
      </c>
      <c r="D1039" t="s">
        <v>25</v>
      </c>
      <c r="E1039">
        <v>-0.03</v>
      </c>
      <c r="F1039" t="s">
        <v>88</v>
      </c>
      <c r="G1039" s="19">
        <v>45403</v>
      </c>
      <c r="H1039" t="s">
        <v>6384</v>
      </c>
      <c r="I1039" t="s">
        <v>6384</v>
      </c>
      <c r="J1039"/>
      <c r="Q1039" s="3">
        <f t="shared" si="17"/>
        <v>0.03</v>
      </c>
    </row>
    <row r="1040" spans="1:17" x14ac:dyDescent="0.35">
      <c r="A1040" t="s">
        <v>0</v>
      </c>
      <c r="B1040" t="s">
        <v>1053</v>
      </c>
      <c r="C1040" t="s">
        <v>28</v>
      </c>
      <c r="D1040" t="s">
        <v>25</v>
      </c>
      <c r="E1040">
        <v>-0.03</v>
      </c>
      <c r="F1040" t="s">
        <v>88</v>
      </c>
      <c r="G1040" s="19">
        <v>45403</v>
      </c>
      <c r="H1040" t="s">
        <v>6384</v>
      </c>
      <c r="I1040" t="s">
        <v>6384</v>
      </c>
      <c r="J1040"/>
      <c r="Q1040" s="3">
        <f t="shared" si="17"/>
        <v>0.03</v>
      </c>
    </row>
    <row r="1041" spans="1:17" x14ac:dyDescent="0.35">
      <c r="A1041" t="s">
        <v>0</v>
      </c>
      <c r="B1041" t="s">
        <v>1491</v>
      </c>
      <c r="C1041" t="s">
        <v>28</v>
      </c>
      <c r="D1041" t="s">
        <v>25</v>
      </c>
      <c r="E1041">
        <v>-0.03</v>
      </c>
      <c r="F1041" t="s">
        <v>88</v>
      </c>
      <c r="G1041" s="19">
        <v>45403</v>
      </c>
      <c r="H1041" t="s">
        <v>6384</v>
      </c>
      <c r="I1041" t="s">
        <v>6384</v>
      </c>
      <c r="J1041"/>
      <c r="Q1041" s="3">
        <f t="shared" si="17"/>
        <v>0.03</v>
      </c>
    </row>
    <row r="1042" spans="1:17" x14ac:dyDescent="0.35">
      <c r="A1042" t="s">
        <v>0</v>
      </c>
      <c r="B1042" t="s">
        <v>5701</v>
      </c>
      <c r="C1042" t="s">
        <v>28</v>
      </c>
      <c r="D1042" t="s">
        <v>25</v>
      </c>
      <c r="E1042">
        <v>0.03</v>
      </c>
      <c r="F1042" t="s">
        <v>88</v>
      </c>
      <c r="G1042" s="19">
        <v>45403</v>
      </c>
      <c r="H1042" t="s">
        <v>6384</v>
      </c>
      <c r="I1042" t="s">
        <v>6384</v>
      </c>
      <c r="J1042"/>
      <c r="Q1042" s="3">
        <f t="shared" si="17"/>
        <v>0.03</v>
      </c>
    </row>
    <row r="1043" spans="1:17" x14ac:dyDescent="0.35">
      <c r="A1043" t="s">
        <v>0</v>
      </c>
      <c r="B1043" t="s">
        <v>790</v>
      </c>
      <c r="C1043" t="s">
        <v>28</v>
      </c>
      <c r="D1043" t="s">
        <v>25</v>
      </c>
      <c r="E1043">
        <v>0.03</v>
      </c>
      <c r="F1043" t="s">
        <v>88</v>
      </c>
      <c r="G1043" s="19">
        <v>45403</v>
      </c>
      <c r="H1043" t="s">
        <v>6384</v>
      </c>
      <c r="I1043" t="s">
        <v>6384</v>
      </c>
      <c r="J1043"/>
      <c r="Q1043" s="3">
        <f t="shared" si="17"/>
        <v>0.03</v>
      </c>
    </row>
    <row r="1044" spans="1:17" x14ac:dyDescent="0.35">
      <c r="A1044" t="s">
        <v>35</v>
      </c>
      <c r="B1044" t="s">
        <v>6266</v>
      </c>
      <c r="C1044" t="s">
        <v>28</v>
      </c>
      <c r="D1044" t="s">
        <v>25</v>
      </c>
      <c r="E1044">
        <v>0.03</v>
      </c>
      <c r="F1044" t="s">
        <v>88</v>
      </c>
      <c r="G1044" s="19">
        <v>45403</v>
      </c>
      <c r="H1044" t="s">
        <v>637</v>
      </c>
      <c r="I1044" t="s">
        <v>6384</v>
      </c>
      <c r="J1044"/>
      <c r="Q1044" s="3">
        <f t="shared" si="17"/>
        <v>0.03</v>
      </c>
    </row>
    <row r="1045" spans="1:17" x14ac:dyDescent="0.35">
      <c r="A1045" t="s">
        <v>35</v>
      </c>
      <c r="B1045" t="s">
        <v>952</v>
      </c>
      <c r="C1045" t="s">
        <v>28</v>
      </c>
      <c r="D1045" t="s">
        <v>25</v>
      </c>
      <c r="E1045">
        <v>-0.03</v>
      </c>
      <c r="F1045" t="s">
        <v>88</v>
      </c>
      <c r="G1045" s="19">
        <v>45403</v>
      </c>
      <c r="H1045" t="s">
        <v>637</v>
      </c>
      <c r="I1045" t="s">
        <v>6384</v>
      </c>
      <c r="J1045"/>
      <c r="Q1045" s="3">
        <f t="shared" si="17"/>
        <v>0.03</v>
      </c>
    </row>
    <row r="1046" spans="1:17" x14ac:dyDescent="0.35">
      <c r="A1046" t="s">
        <v>35</v>
      </c>
      <c r="B1046" t="s">
        <v>693</v>
      </c>
      <c r="C1046" t="s">
        <v>28</v>
      </c>
      <c r="D1046" t="s">
        <v>25</v>
      </c>
      <c r="E1046">
        <v>0.03</v>
      </c>
      <c r="F1046" t="s">
        <v>88</v>
      </c>
      <c r="G1046" s="19">
        <v>45403</v>
      </c>
      <c r="H1046" t="s">
        <v>637</v>
      </c>
      <c r="I1046" t="s">
        <v>6384</v>
      </c>
      <c r="J1046"/>
      <c r="Q1046" s="3">
        <f t="shared" si="17"/>
        <v>0.03</v>
      </c>
    </row>
    <row r="1047" spans="1:17" x14ac:dyDescent="0.35">
      <c r="A1047" t="s">
        <v>35</v>
      </c>
      <c r="B1047" t="s">
        <v>6397</v>
      </c>
      <c r="C1047" t="s">
        <v>28</v>
      </c>
      <c r="D1047" t="s">
        <v>25</v>
      </c>
      <c r="E1047">
        <v>-0.03</v>
      </c>
      <c r="F1047" t="s">
        <v>88</v>
      </c>
      <c r="G1047" s="19">
        <v>45403</v>
      </c>
      <c r="H1047" t="s">
        <v>637</v>
      </c>
      <c r="I1047" t="s">
        <v>6384</v>
      </c>
      <c r="J1047"/>
      <c r="Q1047" s="3">
        <f t="shared" si="17"/>
        <v>0.03</v>
      </c>
    </row>
    <row r="1048" spans="1:17" x14ac:dyDescent="0.35">
      <c r="A1048" t="s">
        <v>35</v>
      </c>
      <c r="B1048" t="s">
        <v>610</v>
      </c>
      <c r="C1048" t="s">
        <v>28</v>
      </c>
      <c r="D1048" t="s">
        <v>25</v>
      </c>
      <c r="E1048">
        <v>-0.03</v>
      </c>
      <c r="F1048" t="s">
        <v>88</v>
      </c>
      <c r="G1048" s="19">
        <v>45403</v>
      </c>
      <c r="H1048" t="s">
        <v>637</v>
      </c>
      <c r="I1048" t="s">
        <v>6384</v>
      </c>
      <c r="J1048"/>
      <c r="Q1048" s="3">
        <f t="shared" si="17"/>
        <v>0.03</v>
      </c>
    </row>
    <row r="1049" spans="1:17" x14ac:dyDescent="0.35">
      <c r="A1049" t="s">
        <v>35</v>
      </c>
      <c r="B1049" t="s">
        <v>6404</v>
      </c>
      <c r="C1049" t="s">
        <v>28</v>
      </c>
      <c r="D1049" t="s">
        <v>25</v>
      </c>
      <c r="E1049">
        <v>-0.03</v>
      </c>
      <c r="F1049" t="s">
        <v>88</v>
      </c>
      <c r="G1049" s="19">
        <v>45403</v>
      </c>
      <c r="H1049" t="s">
        <v>637</v>
      </c>
      <c r="I1049" t="s">
        <v>6384</v>
      </c>
      <c r="J1049"/>
      <c r="Q1049" s="3">
        <f t="shared" si="17"/>
        <v>0.03</v>
      </c>
    </row>
    <row r="1050" spans="1:17" x14ac:dyDescent="0.35">
      <c r="A1050" t="s">
        <v>35</v>
      </c>
      <c r="B1050" t="s">
        <v>6388</v>
      </c>
      <c r="C1050" t="s">
        <v>28</v>
      </c>
      <c r="D1050" t="s">
        <v>25</v>
      </c>
      <c r="E1050">
        <v>0.03</v>
      </c>
      <c r="F1050" t="s">
        <v>88</v>
      </c>
      <c r="G1050" s="19">
        <v>45403</v>
      </c>
      <c r="H1050" t="s">
        <v>637</v>
      </c>
      <c r="I1050" t="s">
        <v>6384</v>
      </c>
      <c r="J1050"/>
      <c r="Q1050" s="3">
        <f t="shared" si="17"/>
        <v>0.03</v>
      </c>
    </row>
    <row r="1051" spans="1:17" x14ac:dyDescent="0.35">
      <c r="A1051" t="s">
        <v>35</v>
      </c>
      <c r="B1051" t="s">
        <v>1416</v>
      </c>
      <c r="C1051" t="s">
        <v>28</v>
      </c>
      <c r="D1051" t="s">
        <v>25</v>
      </c>
      <c r="E1051">
        <v>-0.03</v>
      </c>
      <c r="F1051" t="s">
        <v>88</v>
      </c>
      <c r="G1051" s="19">
        <v>45403</v>
      </c>
      <c r="H1051" t="s">
        <v>637</v>
      </c>
      <c r="I1051" t="s">
        <v>6384</v>
      </c>
      <c r="J1051"/>
      <c r="Q1051" s="3">
        <f t="shared" si="17"/>
        <v>0.03</v>
      </c>
    </row>
    <row r="1052" spans="1:17" x14ac:dyDescent="0.35">
      <c r="A1052" t="s">
        <v>35</v>
      </c>
      <c r="B1052" t="s">
        <v>672</v>
      </c>
      <c r="C1052" t="s">
        <v>28</v>
      </c>
      <c r="D1052" t="s">
        <v>25</v>
      </c>
      <c r="E1052">
        <v>-0.03</v>
      </c>
      <c r="F1052" t="s">
        <v>88</v>
      </c>
      <c r="G1052" s="19">
        <v>45403</v>
      </c>
      <c r="H1052" t="s">
        <v>637</v>
      </c>
      <c r="I1052" t="s">
        <v>6384</v>
      </c>
      <c r="J1052"/>
      <c r="Q1052" s="3">
        <f t="shared" si="17"/>
        <v>0.03</v>
      </c>
    </row>
    <row r="1053" spans="1:17" x14ac:dyDescent="0.35">
      <c r="A1053" t="s">
        <v>35</v>
      </c>
      <c r="B1053" t="s">
        <v>2328</v>
      </c>
      <c r="C1053" t="s">
        <v>28</v>
      </c>
      <c r="D1053" t="s">
        <v>25</v>
      </c>
      <c r="E1053">
        <v>-0.03</v>
      </c>
      <c r="F1053" t="s">
        <v>88</v>
      </c>
      <c r="G1053" s="19">
        <v>45403</v>
      </c>
      <c r="H1053" t="s">
        <v>637</v>
      </c>
      <c r="I1053" t="s">
        <v>6384</v>
      </c>
      <c r="J1053"/>
      <c r="Q1053" s="3">
        <f t="shared" si="17"/>
        <v>0.03</v>
      </c>
    </row>
    <row r="1054" spans="1:17" x14ac:dyDescent="0.35">
      <c r="A1054" t="s">
        <v>35</v>
      </c>
      <c r="B1054" t="s">
        <v>825</v>
      </c>
      <c r="C1054" t="s">
        <v>28</v>
      </c>
      <c r="D1054" t="s">
        <v>25</v>
      </c>
      <c r="E1054">
        <v>-0.03</v>
      </c>
      <c r="F1054" t="s">
        <v>88</v>
      </c>
      <c r="G1054" s="19">
        <v>45403</v>
      </c>
      <c r="H1054" t="s">
        <v>637</v>
      </c>
      <c r="I1054" t="s">
        <v>6384</v>
      </c>
      <c r="J1054"/>
      <c r="Q1054" s="3">
        <f t="shared" si="17"/>
        <v>0.03</v>
      </c>
    </row>
    <row r="1055" spans="1:17" x14ac:dyDescent="0.35">
      <c r="A1055" t="s">
        <v>35</v>
      </c>
      <c r="B1055" t="s">
        <v>1053</v>
      </c>
      <c r="C1055" t="s">
        <v>28</v>
      </c>
      <c r="D1055" t="s">
        <v>25</v>
      </c>
      <c r="E1055">
        <v>-0.03</v>
      </c>
      <c r="F1055" t="s">
        <v>88</v>
      </c>
      <c r="G1055" s="19">
        <v>45403</v>
      </c>
      <c r="H1055" t="s">
        <v>637</v>
      </c>
      <c r="I1055" t="s">
        <v>6384</v>
      </c>
      <c r="J1055"/>
      <c r="Q1055" s="3">
        <f t="shared" si="17"/>
        <v>0.03</v>
      </c>
    </row>
    <row r="1056" spans="1:17" x14ac:dyDescent="0.35">
      <c r="A1056" t="s">
        <v>35</v>
      </c>
      <c r="B1056" t="s">
        <v>615</v>
      </c>
      <c r="C1056" t="s">
        <v>28</v>
      </c>
      <c r="D1056" t="s">
        <v>25</v>
      </c>
      <c r="E1056">
        <v>-0.03</v>
      </c>
      <c r="F1056" t="s">
        <v>88</v>
      </c>
      <c r="G1056" s="19">
        <v>45403</v>
      </c>
      <c r="H1056" t="s">
        <v>637</v>
      </c>
      <c r="I1056" t="s">
        <v>6384</v>
      </c>
      <c r="J1056"/>
      <c r="Q1056" s="3">
        <f t="shared" si="17"/>
        <v>0.03</v>
      </c>
    </row>
    <row r="1057" spans="1:17" x14ac:dyDescent="0.35">
      <c r="A1057" t="s">
        <v>35</v>
      </c>
      <c r="B1057" t="s">
        <v>1491</v>
      </c>
      <c r="C1057" t="s">
        <v>28</v>
      </c>
      <c r="D1057" t="s">
        <v>25</v>
      </c>
      <c r="E1057">
        <v>0.03</v>
      </c>
      <c r="F1057" t="s">
        <v>88</v>
      </c>
      <c r="G1057" s="19">
        <v>45403</v>
      </c>
      <c r="H1057" t="s">
        <v>637</v>
      </c>
      <c r="I1057" t="s">
        <v>6384</v>
      </c>
      <c r="J1057"/>
      <c r="Q1057" s="3">
        <f t="shared" si="17"/>
        <v>0.03</v>
      </c>
    </row>
    <row r="1058" spans="1:17" x14ac:dyDescent="0.35">
      <c r="A1058" t="s">
        <v>35</v>
      </c>
      <c r="B1058" t="s">
        <v>1995</v>
      </c>
      <c r="C1058" t="s">
        <v>28</v>
      </c>
      <c r="D1058" t="s">
        <v>25</v>
      </c>
      <c r="E1058">
        <v>-0.03</v>
      </c>
      <c r="F1058" t="s">
        <v>88</v>
      </c>
      <c r="G1058" s="19">
        <v>45403</v>
      </c>
      <c r="H1058" t="s">
        <v>637</v>
      </c>
      <c r="I1058" t="s">
        <v>6384</v>
      </c>
      <c r="J1058"/>
      <c r="Q1058" s="3">
        <f t="shared" si="17"/>
        <v>0.03</v>
      </c>
    </row>
    <row r="1059" spans="1:17" x14ac:dyDescent="0.35">
      <c r="A1059" t="s">
        <v>35</v>
      </c>
      <c r="B1059" t="s">
        <v>6389</v>
      </c>
      <c r="C1059" t="s">
        <v>28</v>
      </c>
      <c r="D1059" t="s">
        <v>25</v>
      </c>
      <c r="E1059">
        <v>-0.03</v>
      </c>
      <c r="F1059" t="s">
        <v>88</v>
      </c>
      <c r="G1059" s="19">
        <v>45403</v>
      </c>
      <c r="H1059" t="s">
        <v>637</v>
      </c>
      <c r="I1059" t="s">
        <v>6384</v>
      </c>
      <c r="J1059"/>
      <c r="Q1059" s="3">
        <f t="shared" si="17"/>
        <v>0.03</v>
      </c>
    </row>
    <row r="1060" spans="1:17" x14ac:dyDescent="0.35">
      <c r="A1060" t="s">
        <v>35</v>
      </c>
      <c r="B1060" t="s">
        <v>741</v>
      </c>
      <c r="C1060" t="s">
        <v>28</v>
      </c>
      <c r="D1060" t="s">
        <v>25</v>
      </c>
      <c r="E1060">
        <v>0.03</v>
      </c>
      <c r="F1060" t="s">
        <v>88</v>
      </c>
      <c r="G1060" s="19">
        <v>45403</v>
      </c>
      <c r="H1060" t="s">
        <v>637</v>
      </c>
      <c r="I1060" t="s">
        <v>6384</v>
      </c>
      <c r="J1060"/>
      <c r="Q1060" s="3">
        <f t="shared" si="17"/>
        <v>0.03</v>
      </c>
    </row>
    <row r="1061" spans="1:17" x14ac:dyDescent="0.35">
      <c r="A1061" t="s">
        <v>35</v>
      </c>
      <c r="B1061" t="s">
        <v>6406</v>
      </c>
      <c r="C1061" t="s">
        <v>28</v>
      </c>
      <c r="D1061" t="s">
        <v>25</v>
      </c>
      <c r="E1061">
        <v>-0.03</v>
      </c>
      <c r="F1061" t="s">
        <v>88</v>
      </c>
      <c r="G1061" s="19">
        <v>45403</v>
      </c>
      <c r="H1061" t="s">
        <v>637</v>
      </c>
      <c r="I1061" t="s">
        <v>6384</v>
      </c>
      <c r="J1061"/>
      <c r="Q1061" s="3">
        <f t="shared" si="17"/>
        <v>0.03</v>
      </c>
    </row>
    <row r="1062" spans="1:17" x14ac:dyDescent="0.35">
      <c r="A1062" t="s">
        <v>35</v>
      </c>
      <c r="B1062" t="s">
        <v>5393</v>
      </c>
      <c r="C1062" t="s">
        <v>28</v>
      </c>
      <c r="D1062" t="s">
        <v>25</v>
      </c>
      <c r="E1062">
        <v>-0.03</v>
      </c>
      <c r="F1062" t="s">
        <v>88</v>
      </c>
      <c r="G1062" s="19">
        <v>45403</v>
      </c>
      <c r="H1062" t="s">
        <v>637</v>
      </c>
      <c r="I1062" t="s">
        <v>6384</v>
      </c>
      <c r="J1062"/>
      <c r="Q1062" s="3">
        <f t="shared" si="17"/>
        <v>0.03</v>
      </c>
    </row>
    <row r="1063" spans="1:17" x14ac:dyDescent="0.35">
      <c r="A1063" t="s">
        <v>35</v>
      </c>
      <c r="B1063" t="s">
        <v>5994</v>
      </c>
      <c r="C1063" t="s">
        <v>28</v>
      </c>
      <c r="D1063" t="s">
        <v>25</v>
      </c>
      <c r="E1063">
        <v>0.03</v>
      </c>
      <c r="F1063" t="s">
        <v>88</v>
      </c>
      <c r="G1063" s="19">
        <v>45403</v>
      </c>
      <c r="H1063" t="s">
        <v>637</v>
      </c>
      <c r="I1063" t="s">
        <v>6384</v>
      </c>
      <c r="J1063"/>
      <c r="Q1063" s="3">
        <f t="shared" si="17"/>
        <v>0.03</v>
      </c>
    </row>
    <row r="1064" spans="1:17" x14ac:dyDescent="0.35">
      <c r="A1064" t="s">
        <v>35</v>
      </c>
      <c r="B1064" t="s">
        <v>780</v>
      </c>
      <c r="C1064" t="s">
        <v>28</v>
      </c>
      <c r="D1064" t="s">
        <v>25</v>
      </c>
      <c r="E1064">
        <v>-0.03</v>
      </c>
      <c r="F1064" t="s">
        <v>88</v>
      </c>
      <c r="G1064" s="19">
        <v>45403</v>
      </c>
      <c r="H1064" t="s">
        <v>637</v>
      </c>
      <c r="I1064" t="s">
        <v>6384</v>
      </c>
      <c r="J1064"/>
      <c r="Q1064" s="3">
        <f t="shared" si="17"/>
        <v>0.03</v>
      </c>
    </row>
    <row r="1065" spans="1:17" x14ac:dyDescent="0.35">
      <c r="A1065" t="s">
        <v>35</v>
      </c>
      <c r="B1065" t="s">
        <v>6395</v>
      </c>
      <c r="C1065" t="s">
        <v>28</v>
      </c>
      <c r="D1065" t="s">
        <v>25</v>
      </c>
      <c r="E1065">
        <v>-0.03</v>
      </c>
      <c r="F1065" t="s">
        <v>88</v>
      </c>
      <c r="G1065" s="19">
        <v>45403</v>
      </c>
      <c r="H1065" t="s">
        <v>6384</v>
      </c>
      <c r="I1065" t="s">
        <v>6384</v>
      </c>
      <c r="J1065"/>
      <c r="Q1065" s="3">
        <f t="shared" si="17"/>
        <v>0.03</v>
      </c>
    </row>
    <row r="1066" spans="1:17" x14ac:dyDescent="0.35">
      <c r="A1066" t="s">
        <v>0</v>
      </c>
      <c r="B1066" t="s">
        <v>628</v>
      </c>
      <c r="C1066" t="s">
        <v>28</v>
      </c>
      <c r="D1066" t="s">
        <v>25</v>
      </c>
      <c r="E1066">
        <v>-0.03</v>
      </c>
      <c r="F1066" t="s">
        <v>88</v>
      </c>
      <c r="G1066" s="19">
        <v>45533</v>
      </c>
      <c r="H1066" t="s">
        <v>7085</v>
      </c>
      <c r="I1066" t="s">
        <v>6200</v>
      </c>
      <c r="J1066"/>
      <c r="Q1066" s="3">
        <f t="shared" si="17"/>
        <v>0.03</v>
      </c>
    </row>
    <row r="1067" spans="1:17" x14ac:dyDescent="0.35">
      <c r="A1067" t="s">
        <v>0</v>
      </c>
      <c r="B1067" t="s">
        <v>598</v>
      </c>
      <c r="C1067" t="s">
        <v>28</v>
      </c>
      <c r="D1067" t="s">
        <v>25</v>
      </c>
      <c r="E1067">
        <v>-0.03</v>
      </c>
      <c r="F1067" t="s">
        <v>88</v>
      </c>
      <c r="G1067" s="19">
        <v>45533</v>
      </c>
      <c r="H1067" t="s">
        <v>7085</v>
      </c>
      <c r="I1067" t="s">
        <v>6200</v>
      </c>
      <c r="J1067"/>
      <c r="Q1067" s="3">
        <f t="shared" si="17"/>
        <v>0.03</v>
      </c>
    </row>
    <row r="1068" spans="1:17" x14ac:dyDescent="0.35">
      <c r="A1068" t="s">
        <v>0</v>
      </c>
      <c r="B1068" t="s">
        <v>728</v>
      </c>
      <c r="C1068" t="s">
        <v>28</v>
      </c>
      <c r="D1068" t="s">
        <v>25</v>
      </c>
      <c r="E1068">
        <v>-0.03</v>
      </c>
      <c r="F1068" t="s">
        <v>88</v>
      </c>
      <c r="G1068" s="19">
        <v>45533</v>
      </c>
      <c r="H1068" t="s">
        <v>7085</v>
      </c>
      <c r="I1068" t="s">
        <v>6200</v>
      </c>
      <c r="J1068"/>
      <c r="Q1068" s="3">
        <f t="shared" si="17"/>
        <v>0.03</v>
      </c>
    </row>
    <row r="1069" spans="1:17" x14ac:dyDescent="0.35">
      <c r="A1069" t="s">
        <v>0</v>
      </c>
      <c r="B1069" t="s">
        <v>1043</v>
      </c>
      <c r="C1069" t="s">
        <v>28</v>
      </c>
      <c r="D1069" t="s">
        <v>25</v>
      </c>
      <c r="E1069">
        <v>0.03</v>
      </c>
      <c r="F1069" t="s">
        <v>88</v>
      </c>
      <c r="G1069" s="19">
        <v>45533</v>
      </c>
      <c r="H1069" t="s">
        <v>7085</v>
      </c>
      <c r="I1069" t="s">
        <v>6200</v>
      </c>
      <c r="J1069"/>
      <c r="Q1069" s="3">
        <f t="shared" si="17"/>
        <v>0.03</v>
      </c>
    </row>
    <row r="1070" spans="1:17" x14ac:dyDescent="0.35">
      <c r="A1070" t="s">
        <v>0</v>
      </c>
      <c r="B1070" t="s">
        <v>613</v>
      </c>
      <c r="C1070" t="s">
        <v>28</v>
      </c>
      <c r="D1070" t="s">
        <v>25</v>
      </c>
      <c r="E1070">
        <v>-0.03</v>
      </c>
      <c r="F1070" t="s">
        <v>88</v>
      </c>
      <c r="G1070" s="19">
        <v>45533</v>
      </c>
      <c r="H1070" t="s">
        <v>7085</v>
      </c>
      <c r="I1070" t="s">
        <v>6200</v>
      </c>
      <c r="J1070"/>
      <c r="Q1070" s="3">
        <f t="shared" si="17"/>
        <v>0.03</v>
      </c>
    </row>
    <row r="1071" spans="1:17" x14ac:dyDescent="0.35">
      <c r="A1071" t="s">
        <v>0</v>
      </c>
      <c r="B1071" t="s">
        <v>915</v>
      </c>
      <c r="C1071" t="s">
        <v>28</v>
      </c>
      <c r="D1071" t="s">
        <v>25</v>
      </c>
      <c r="E1071">
        <v>-0.03</v>
      </c>
      <c r="F1071" t="s">
        <v>88</v>
      </c>
      <c r="G1071" s="19">
        <v>45533</v>
      </c>
      <c r="H1071" t="s">
        <v>7085</v>
      </c>
      <c r="I1071" t="s">
        <v>6200</v>
      </c>
      <c r="J1071"/>
      <c r="Q1071" s="3">
        <f t="shared" si="17"/>
        <v>0.03</v>
      </c>
    </row>
    <row r="1072" spans="1:17" x14ac:dyDescent="0.35">
      <c r="A1072" t="s">
        <v>0</v>
      </c>
      <c r="B1072" t="s">
        <v>1487</v>
      </c>
      <c r="C1072" t="s">
        <v>28</v>
      </c>
      <c r="D1072" t="s">
        <v>25</v>
      </c>
      <c r="E1072">
        <v>-0.03</v>
      </c>
      <c r="F1072" t="s">
        <v>88</v>
      </c>
      <c r="G1072" s="19">
        <v>45533</v>
      </c>
      <c r="H1072" t="s">
        <v>7085</v>
      </c>
      <c r="I1072" t="s">
        <v>6200</v>
      </c>
      <c r="J1072"/>
      <c r="Q1072" s="3">
        <f t="shared" si="17"/>
        <v>0.03</v>
      </c>
    </row>
    <row r="1073" spans="1:17" x14ac:dyDescent="0.35">
      <c r="A1073" t="s">
        <v>0</v>
      </c>
      <c r="B1073" t="s">
        <v>947</v>
      </c>
      <c r="C1073" t="s">
        <v>28</v>
      </c>
      <c r="D1073" t="s">
        <v>25</v>
      </c>
      <c r="E1073">
        <v>0.03</v>
      </c>
      <c r="F1073" t="s">
        <v>88</v>
      </c>
      <c r="G1073" s="19">
        <v>45533</v>
      </c>
      <c r="H1073" t="s">
        <v>7085</v>
      </c>
      <c r="I1073" t="s">
        <v>6200</v>
      </c>
      <c r="J1073"/>
      <c r="Q1073" s="3">
        <f t="shared" si="17"/>
        <v>0.03</v>
      </c>
    </row>
    <row r="1074" spans="1:17" x14ac:dyDescent="0.35">
      <c r="A1074" t="s">
        <v>0</v>
      </c>
      <c r="B1074" t="s">
        <v>797</v>
      </c>
      <c r="C1074" t="s">
        <v>28</v>
      </c>
      <c r="D1074" t="s">
        <v>25</v>
      </c>
      <c r="E1074">
        <v>0.03</v>
      </c>
      <c r="F1074" t="s">
        <v>88</v>
      </c>
      <c r="G1074" s="19">
        <v>45533</v>
      </c>
      <c r="H1074" t="s">
        <v>7085</v>
      </c>
      <c r="I1074" t="s">
        <v>6200</v>
      </c>
      <c r="J1074"/>
      <c r="Q1074" s="3">
        <f t="shared" si="17"/>
        <v>0.03</v>
      </c>
    </row>
    <row r="1075" spans="1:17" x14ac:dyDescent="0.35">
      <c r="A1075" t="s">
        <v>0</v>
      </c>
      <c r="B1075" t="s">
        <v>713</v>
      </c>
      <c r="C1075" t="s">
        <v>28</v>
      </c>
      <c r="D1075" t="s">
        <v>25</v>
      </c>
      <c r="E1075">
        <v>-0.03</v>
      </c>
      <c r="F1075" t="s">
        <v>88</v>
      </c>
      <c r="G1075" s="19">
        <v>45533</v>
      </c>
      <c r="H1075" t="s">
        <v>7085</v>
      </c>
      <c r="I1075" t="s">
        <v>6200</v>
      </c>
      <c r="J1075"/>
      <c r="Q1075" s="3">
        <f t="shared" si="17"/>
        <v>0.03</v>
      </c>
    </row>
    <row r="1076" spans="1:17" x14ac:dyDescent="0.35">
      <c r="A1076" t="s">
        <v>0</v>
      </c>
      <c r="B1076" t="s">
        <v>838</v>
      </c>
      <c r="C1076" t="s">
        <v>28</v>
      </c>
      <c r="D1076" t="s">
        <v>25</v>
      </c>
      <c r="E1076">
        <v>-0.03</v>
      </c>
      <c r="F1076" t="s">
        <v>88</v>
      </c>
      <c r="G1076" s="19">
        <v>45533</v>
      </c>
      <c r="H1076" t="s">
        <v>7085</v>
      </c>
      <c r="I1076" t="s">
        <v>6200</v>
      </c>
      <c r="J1076"/>
      <c r="Q1076" s="3">
        <f t="shared" si="17"/>
        <v>0.03</v>
      </c>
    </row>
    <row r="1077" spans="1:17" x14ac:dyDescent="0.35">
      <c r="A1077" t="s">
        <v>35</v>
      </c>
      <c r="B1077" t="s">
        <v>5392</v>
      </c>
      <c r="C1077" t="s">
        <v>28</v>
      </c>
      <c r="D1077" t="s">
        <v>25</v>
      </c>
      <c r="E1077">
        <v>0.03</v>
      </c>
      <c r="F1077" t="s">
        <v>88</v>
      </c>
      <c r="G1077" s="19">
        <v>45533</v>
      </c>
      <c r="H1077" t="s">
        <v>7085</v>
      </c>
      <c r="I1077" t="s">
        <v>6200</v>
      </c>
      <c r="J1077"/>
      <c r="Q1077" s="3">
        <f t="shared" si="17"/>
        <v>0.03</v>
      </c>
    </row>
    <row r="1078" spans="1:17" x14ac:dyDescent="0.35">
      <c r="A1078" t="s">
        <v>35</v>
      </c>
      <c r="B1078" t="s">
        <v>693</v>
      </c>
      <c r="C1078" t="s">
        <v>28</v>
      </c>
      <c r="D1078" t="s">
        <v>25</v>
      </c>
      <c r="E1078">
        <v>0.03</v>
      </c>
      <c r="F1078" t="s">
        <v>88</v>
      </c>
      <c r="G1078" s="19">
        <v>45533</v>
      </c>
      <c r="H1078" t="s">
        <v>7085</v>
      </c>
      <c r="I1078" t="s">
        <v>6200</v>
      </c>
      <c r="J1078"/>
      <c r="Q1078" s="3">
        <f t="shared" si="17"/>
        <v>0.03</v>
      </c>
    </row>
    <row r="1079" spans="1:17" x14ac:dyDescent="0.35">
      <c r="A1079" t="s">
        <v>35</v>
      </c>
      <c r="B1079" t="s">
        <v>842</v>
      </c>
      <c r="C1079" t="s">
        <v>28</v>
      </c>
      <c r="D1079" t="s">
        <v>25</v>
      </c>
      <c r="E1079">
        <v>-0.03</v>
      </c>
      <c r="F1079" t="s">
        <v>88</v>
      </c>
      <c r="G1079" s="19">
        <v>45533</v>
      </c>
      <c r="H1079" t="s">
        <v>7085</v>
      </c>
      <c r="I1079" t="s">
        <v>6200</v>
      </c>
      <c r="J1079"/>
      <c r="Q1079" s="3">
        <f t="shared" si="17"/>
        <v>0.03</v>
      </c>
    </row>
    <row r="1080" spans="1:17" x14ac:dyDescent="0.35">
      <c r="A1080" t="s">
        <v>35</v>
      </c>
      <c r="B1080" t="s">
        <v>5426</v>
      </c>
      <c r="C1080" t="s">
        <v>28</v>
      </c>
      <c r="D1080" t="s">
        <v>25</v>
      </c>
      <c r="E1080">
        <v>0.03</v>
      </c>
      <c r="F1080" t="s">
        <v>88</v>
      </c>
      <c r="G1080" s="19">
        <v>45533</v>
      </c>
      <c r="H1080" t="s">
        <v>7085</v>
      </c>
      <c r="I1080" t="s">
        <v>6200</v>
      </c>
      <c r="J1080"/>
      <c r="Q1080" s="3">
        <f t="shared" si="17"/>
        <v>0.03</v>
      </c>
    </row>
    <row r="1081" spans="1:17" x14ac:dyDescent="0.35">
      <c r="A1081" t="s">
        <v>35</v>
      </c>
      <c r="B1081" t="s">
        <v>4622</v>
      </c>
      <c r="C1081" t="s">
        <v>28</v>
      </c>
      <c r="D1081" t="s">
        <v>25</v>
      </c>
      <c r="E1081">
        <v>0.03</v>
      </c>
      <c r="F1081" t="s">
        <v>88</v>
      </c>
      <c r="G1081" s="19">
        <v>45533</v>
      </c>
      <c r="H1081" t="s">
        <v>7085</v>
      </c>
      <c r="I1081" t="s">
        <v>6200</v>
      </c>
      <c r="J1081"/>
      <c r="Q1081" s="3">
        <f t="shared" si="17"/>
        <v>0.03</v>
      </c>
    </row>
    <row r="1082" spans="1:17" x14ac:dyDescent="0.35">
      <c r="A1082" t="s">
        <v>35</v>
      </c>
      <c r="B1082" t="s">
        <v>2031</v>
      </c>
      <c r="C1082" t="s">
        <v>28</v>
      </c>
      <c r="D1082" t="s">
        <v>25</v>
      </c>
      <c r="E1082">
        <v>0.03</v>
      </c>
      <c r="F1082" t="s">
        <v>88</v>
      </c>
      <c r="G1082" s="19">
        <v>45533</v>
      </c>
      <c r="H1082" t="s">
        <v>7085</v>
      </c>
      <c r="I1082" t="s">
        <v>6200</v>
      </c>
      <c r="J1082"/>
      <c r="Q1082" s="3">
        <f t="shared" si="17"/>
        <v>0.03</v>
      </c>
    </row>
    <row r="1083" spans="1:17" x14ac:dyDescent="0.35">
      <c r="A1083" t="s">
        <v>35</v>
      </c>
      <c r="B1083" t="s">
        <v>953</v>
      </c>
      <c r="C1083" t="s">
        <v>28</v>
      </c>
      <c r="D1083" t="s">
        <v>25</v>
      </c>
      <c r="E1083">
        <v>0.03</v>
      </c>
      <c r="F1083" t="s">
        <v>88</v>
      </c>
      <c r="G1083" s="19">
        <v>45533</v>
      </c>
      <c r="H1083" t="s">
        <v>7085</v>
      </c>
      <c r="I1083" t="s">
        <v>6200</v>
      </c>
      <c r="J1083"/>
      <c r="Q1083" s="3">
        <f t="shared" si="17"/>
        <v>0.03</v>
      </c>
    </row>
    <row r="1084" spans="1:17" x14ac:dyDescent="0.35">
      <c r="A1084" t="s">
        <v>35</v>
      </c>
      <c r="B1084" t="s">
        <v>655</v>
      </c>
      <c r="C1084" t="s">
        <v>28</v>
      </c>
      <c r="D1084" t="s">
        <v>25</v>
      </c>
      <c r="E1084">
        <v>0.03</v>
      </c>
      <c r="F1084" t="s">
        <v>88</v>
      </c>
      <c r="G1084" s="19">
        <v>45533</v>
      </c>
      <c r="H1084" t="s">
        <v>7085</v>
      </c>
      <c r="I1084" t="s">
        <v>6200</v>
      </c>
      <c r="J1084"/>
      <c r="Q1084" s="3">
        <f t="shared" si="17"/>
        <v>0.03</v>
      </c>
    </row>
    <row r="1085" spans="1:17" x14ac:dyDescent="0.35">
      <c r="A1085" t="s">
        <v>0</v>
      </c>
      <c r="B1085" t="s">
        <v>6266</v>
      </c>
      <c r="C1085" t="s">
        <v>28</v>
      </c>
      <c r="D1085" t="s">
        <v>25</v>
      </c>
      <c r="E1085">
        <v>-2.0000000000000018E-2</v>
      </c>
      <c r="F1085" t="s">
        <v>88</v>
      </c>
      <c r="G1085" s="19">
        <v>45533</v>
      </c>
      <c r="H1085" t="s">
        <v>7085</v>
      </c>
      <c r="I1085" t="s">
        <v>6200</v>
      </c>
      <c r="J1085"/>
      <c r="Q1085" s="3">
        <f t="shared" si="17"/>
        <v>2.0000000000000018E-2</v>
      </c>
    </row>
    <row r="1086" spans="1:17" x14ac:dyDescent="0.35">
      <c r="A1086" t="s">
        <v>35</v>
      </c>
      <c r="B1086" t="s">
        <v>1081</v>
      </c>
      <c r="C1086" t="s">
        <v>28</v>
      </c>
      <c r="D1086" t="s">
        <v>25</v>
      </c>
      <c r="E1086">
        <v>-2.0000000000000004E-2</v>
      </c>
      <c r="F1086" t="s">
        <v>88</v>
      </c>
      <c r="G1086" s="19">
        <v>45533</v>
      </c>
      <c r="H1086" t="s">
        <v>7085</v>
      </c>
      <c r="I1086" t="s">
        <v>6200</v>
      </c>
      <c r="J1086"/>
      <c r="Q1086" s="3">
        <f t="shared" si="17"/>
        <v>2.0000000000000004E-2</v>
      </c>
    </row>
    <row r="1087" spans="1:17" x14ac:dyDescent="0.35">
      <c r="A1087" t="s">
        <v>35</v>
      </c>
      <c r="B1087" t="s">
        <v>6399</v>
      </c>
      <c r="C1087" t="s">
        <v>28</v>
      </c>
      <c r="D1087" t="s">
        <v>25</v>
      </c>
      <c r="E1087">
        <v>-2.0000000000000004E-2</v>
      </c>
      <c r="F1087" t="s">
        <v>88</v>
      </c>
      <c r="G1087" s="19">
        <v>45533</v>
      </c>
      <c r="H1087" t="s">
        <v>7085</v>
      </c>
      <c r="I1087" t="s">
        <v>6200</v>
      </c>
      <c r="J1087"/>
      <c r="Q1087" s="3">
        <f t="shared" si="17"/>
        <v>2.0000000000000004E-2</v>
      </c>
    </row>
    <row r="1088" spans="1:17" x14ac:dyDescent="0.35">
      <c r="A1088" t="s">
        <v>35</v>
      </c>
      <c r="B1088" t="s">
        <v>708</v>
      </c>
      <c r="C1088" t="s">
        <v>28</v>
      </c>
      <c r="D1088" t="s">
        <v>25</v>
      </c>
      <c r="E1088">
        <v>-2.0000000000000004E-2</v>
      </c>
      <c r="F1088" t="s">
        <v>88</v>
      </c>
      <c r="G1088" s="19">
        <v>45533</v>
      </c>
      <c r="H1088" t="s">
        <v>7085</v>
      </c>
      <c r="I1088" t="s">
        <v>6200</v>
      </c>
      <c r="J1088"/>
      <c r="Q1088" s="3">
        <f t="shared" si="17"/>
        <v>2.0000000000000004E-2</v>
      </c>
    </row>
    <row r="1089" spans="1:17" x14ac:dyDescent="0.35">
      <c r="A1089" t="s">
        <v>35</v>
      </c>
      <c r="B1089" t="s">
        <v>6389</v>
      </c>
      <c r="C1089" t="s">
        <v>28</v>
      </c>
      <c r="D1089" t="s">
        <v>25</v>
      </c>
      <c r="E1089">
        <v>-2.0000000000000004E-2</v>
      </c>
      <c r="F1089" t="s">
        <v>88</v>
      </c>
      <c r="G1089" s="19">
        <v>45533</v>
      </c>
      <c r="H1089" t="s">
        <v>7085</v>
      </c>
      <c r="I1089" t="s">
        <v>6200</v>
      </c>
      <c r="J1089"/>
      <c r="Q1089" s="3">
        <f t="shared" si="17"/>
        <v>2.0000000000000004E-2</v>
      </c>
    </row>
    <row r="1090" spans="1:17" x14ac:dyDescent="0.35">
      <c r="A1090" t="s">
        <v>0</v>
      </c>
      <c r="B1090" t="s">
        <v>6385</v>
      </c>
      <c r="C1090" t="s">
        <v>28</v>
      </c>
      <c r="D1090" t="s">
        <v>25</v>
      </c>
      <c r="E1090">
        <v>0.02</v>
      </c>
      <c r="F1090" t="s">
        <v>88</v>
      </c>
      <c r="G1090" s="19">
        <v>45403</v>
      </c>
      <c r="H1090" t="s">
        <v>637</v>
      </c>
      <c r="I1090" t="s">
        <v>6384</v>
      </c>
      <c r="J1090"/>
      <c r="Q1090" s="3">
        <f t="shared" si="17"/>
        <v>0.02</v>
      </c>
    </row>
    <row r="1091" spans="1:17" x14ac:dyDescent="0.35">
      <c r="A1091" t="s">
        <v>0</v>
      </c>
      <c r="B1091" t="s">
        <v>756</v>
      </c>
      <c r="C1091" t="s">
        <v>28</v>
      </c>
      <c r="D1091" t="s">
        <v>25</v>
      </c>
      <c r="E1091">
        <v>0.02</v>
      </c>
      <c r="F1091" t="s">
        <v>88</v>
      </c>
      <c r="G1091" s="19">
        <v>45403</v>
      </c>
      <c r="H1091" t="s">
        <v>6384</v>
      </c>
      <c r="I1091" t="s">
        <v>6384</v>
      </c>
      <c r="J1091"/>
      <c r="Q1091" s="3">
        <f t="shared" si="17"/>
        <v>0.02</v>
      </c>
    </row>
    <row r="1092" spans="1:17" x14ac:dyDescent="0.35">
      <c r="A1092" t="s">
        <v>0</v>
      </c>
      <c r="B1092" t="s">
        <v>789</v>
      </c>
      <c r="C1092" t="s">
        <v>28</v>
      </c>
      <c r="D1092" t="s">
        <v>25</v>
      </c>
      <c r="E1092">
        <v>-0.02</v>
      </c>
      <c r="F1092" t="s">
        <v>88</v>
      </c>
      <c r="G1092" s="19">
        <v>45403</v>
      </c>
      <c r="H1092" t="s">
        <v>6384</v>
      </c>
      <c r="I1092" t="s">
        <v>6384</v>
      </c>
      <c r="J1092"/>
      <c r="Q1092" s="3">
        <f t="shared" si="17"/>
        <v>0.02</v>
      </c>
    </row>
    <row r="1093" spans="1:17" x14ac:dyDescent="0.35">
      <c r="A1093" t="s">
        <v>0</v>
      </c>
      <c r="B1093" t="s">
        <v>1106</v>
      </c>
      <c r="C1093" t="s">
        <v>28</v>
      </c>
      <c r="D1093" t="s">
        <v>25</v>
      </c>
      <c r="E1093">
        <v>-0.02</v>
      </c>
      <c r="F1093" t="s">
        <v>88</v>
      </c>
      <c r="G1093" s="19">
        <v>45403</v>
      </c>
      <c r="H1093" t="s">
        <v>6384</v>
      </c>
      <c r="I1093" t="s">
        <v>6384</v>
      </c>
      <c r="J1093"/>
      <c r="Q1093" s="3">
        <f t="shared" si="17"/>
        <v>0.02</v>
      </c>
    </row>
    <row r="1094" spans="1:17" x14ac:dyDescent="0.35">
      <c r="A1094" t="s">
        <v>0</v>
      </c>
      <c r="B1094" t="s">
        <v>672</v>
      </c>
      <c r="C1094" t="s">
        <v>28</v>
      </c>
      <c r="D1094" t="s">
        <v>25</v>
      </c>
      <c r="E1094">
        <v>0.02</v>
      </c>
      <c r="F1094" t="s">
        <v>88</v>
      </c>
      <c r="G1094" s="19">
        <v>45403</v>
      </c>
      <c r="H1094" t="s">
        <v>6384</v>
      </c>
      <c r="I1094" t="s">
        <v>6384</v>
      </c>
      <c r="J1094"/>
      <c r="Q1094" s="3">
        <f t="shared" si="17"/>
        <v>0.02</v>
      </c>
    </row>
    <row r="1095" spans="1:17" x14ac:dyDescent="0.35">
      <c r="A1095" t="s">
        <v>0</v>
      </c>
      <c r="B1095" t="s">
        <v>4622</v>
      </c>
      <c r="C1095" t="s">
        <v>28</v>
      </c>
      <c r="D1095" t="s">
        <v>25</v>
      </c>
      <c r="E1095">
        <v>-0.02</v>
      </c>
      <c r="F1095" t="s">
        <v>88</v>
      </c>
      <c r="G1095" s="19">
        <v>45403</v>
      </c>
      <c r="H1095" t="s">
        <v>6384</v>
      </c>
      <c r="I1095" t="s">
        <v>6384</v>
      </c>
      <c r="J1095"/>
      <c r="Q1095" s="3">
        <f t="shared" si="17"/>
        <v>0.02</v>
      </c>
    </row>
    <row r="1096" spans="1:17" x14ac:dyDescent="0.35">
      <c r="A1096" t="s">
        <v>0</v>
      </c>
      <c r="B1096" t="s">
        <v>2328</v>
      </c>
      <c r="C1096" t="s">
        <v>28</v>
      </c>
      <c r="D1096" t="s">
        <v>25</v>
      </c>
      <c r="E1096">
        <v>0.02</v>
      </c>
      <c r="F1096" t="s">
        <v>88</v>
      </c>
      <c r="G1096" s="19">
        <v>45403</v>
      </c>
      <c r="H1096" t="s">
        <v>6384</v>
      </c>
      <c r="I1096" t="s">
        <v>6384</v>
      </c>
      <c r="J1096"/>
      <c r="Q1096" s="3">
        <f t="shared" si="17"/>
        <v>0.02</v>
      </c>
    </row>
    <row r="1097" spans="1:17" x14ac:dyDescent="0.35">
      <c r="A1097" t="s">
        <v>0</v>
      </c>
      <c r="B1097" t="s">
        <v>6044</v>
      </c>
      <c r="C1097" t="s">
        <v>28</v>
      </c>
      <c r="D1097" t="s">
        <v>25</v>
      </c>
      <c r="E1097">
        <v>-0.02</v>
      </c>
      <c r="F1097" t="s">
        <v>88</v>
      </c>
      <c r="G1097" s="19">
        <v>45403</v>
      </c>
      <c r="H1097" t="s">
        <v>6384</v>
      </c>
      <c r="I1097" t="s">
        <v>6384</v>
      </c>
      <c r="J1097"/>
      <c r="Q1097" s="3">
        <f t="shared" si="17"/>
        <v>0.02</v>
      </c>
    </row>
    <row r="1098" spans="1:17" x14ac:dyDescent="0.35">
      <c r="A1098" t="s">
        <v>0</v>
      </c>
      <c r="B1098" t="s">
        <v>2561</v>
      </c>
      <c r="C1098" t="s">
        <v>28</v>
      </c>
      <c r="D1098" t="s">
        <v>25</v>
      </c>
      <c r="E1098">
        <v>0.02</v>
      </c>
      <c r="F1098" t="s">
        <v>88</v>
      </c>
      <c r="G1098" s="19">
        <v>45403</v>
      </c>
      <c r="H1098" t="s">
        <v>6384</v>
      </c>
      <c r="I1098" t="s">
        <v>6384</v>
      </c>
      <c r="J1098"/>
      <c r="Q1098" s="3">
        <f t="shared" ref="Q1098:Q1161" si="18">ABS(E1098)</f>
        <v>0.02</v>
      </c>
    </row>
    <row r="1099" spans="1:17" x14ac:dyDescent="0.35">
      <c r="A1099" t="s">
        <v>35</v>
      </c>
      <c r="B1099" t="s">
        <v>628</v>
      </c>
      <c r="C1099" t="s">
        <v>28</v>
      </c>
      <c r="D1099" t="s">
        <v>25</v>
      </c>
      <c r="E1099">
        <v>0.02</v>
      </c>
      <c r="F1099" t="s">
        <v>88</v>
      </c>
      <c r="G1099" s="19">
        <v>45403</v>
      </c>
      <c r="H1099" t="s">
        <v>637</v>
      </c>
      <c r="I1099" t="s">
        <v>6384</v>
      </c>
      <c r="J1099"/>
      <c r="Q1099" s="3">
        <f t="shared" si="18"/>
        <v>0.02</v>
      </c>
    </row>
    <row r="1100" spans="1:17" x14ac:dyDescent="0.35">
      <c r="A1100" t="s">
        <v>35</v>
      </c>
      <c r="B1100" t="s">
        <v>6098</v>
      </c>
      <c r="C1100" t="s">
        <v>28</v>
      </c>
      <c r="D1100" t="s">
        <v>25</v>
      </c>
      <c r="E1100">
        <v>0.02</v>
      </c>
      <c r="F1100" t="s">
        <v>88</v>
      </c>
      <c r="G1100" s="19">
        <v>45403</v>
      </c>
      <c r="H1100" t="s">
        <v>637</v>
      </c>
      <c r="I1100" t="s">
        <v>6384</v>
      </c>
      <c r="J1100"/>
      <c r="Q1100" s="3">
        <f t="shared" si="18"/>
        <v>0.02</v>
      </c>
    </row>
    <row r="1101" spans="1:17" x14ac:dyDescent="0.35">
      <c r="A1101" t="s">
        <v>35</v>
      </c>
      <c r="B1101" t="s">
        <v>681</v>
      </c>
      <c r="C1101" t="s">
        <v>28</v>
      </c>
      <c r="D1101" t="s">
        <v>25</v>
      </c>
      <c r="E1101">
        <v>-0.02</v>
      </c>
      <c r="F1101" t="s">
        <v>88</v>
      </c>
      <c r="G1101" s="19">
        <v>45403</v>
      </c>
      <c r="H1101" t="s">
        <v>637</v>
      </c>
      <c r="I1101" t="s">
        <v>6384</v>
      </c>
      <c r="J1101"/>
      <c r="Q1101" s="3">
        <f t="shared" si="18"/>
        <v>0.02</v>
      </c>
    </row>
    <row r="1102" spans="1:17" x14ac:dyDescent="0.35">
      <c r="A1102" t="s">
        <v>35</v>
      </c>
      <c r="B1102" t="s">
        <v>1152</v>
      </c>
      <c r="C1102" t="s">
        <v>28</v>
      </c>
      <c r="D1102" t="s">
        <v>25</v>
      </c>
      <c r="E1102">
        <v>0.02</v>
      </c>
      <c r="F1102" t="s">
        <v>88</v>
      </c>
      <c r="G1102" s="19">
        <v>45403</v>
      </c>
      <c r="H1102" t="s">
        <v>637</v>
      </c>
      <c r="I1102" t="s">
        <v>6384</v>
      </c>
      <c r="J1102"/>
      <c r="Q1102" s="3">
        <f t="shared" si="18"/>
        <v>0.02</v>
      </c>
    </row>
    <row r="1103" spans="1:17" x14ac:dyDescent="0.35">
      <c r="A1103" t="s">
        <v>35</v>
      </c>
      <c r="B1103" t="s">
        <v>865</v>
      </c>
      <c r="C1103" t="s">
        <v>28</v>
      </c>
      <c r="D1103" t="s">
        <v>25</v>
      </c>
      <c r="E1103">
        <v>-0.02</v>
      </c>
      <c r="F1103" t="s">
        <v>88</v>
      </c>
      <c r="G1103" s="19">
        <v>45403</v>
      </c>
      <c r="H1103" t="s">
        <v>637</v>
      </c>
      <c r="I1103" t="s">
        <v>6384</v>
      </c>
      <c r="J1103"/>
      <c r="Q1103" s="3">
        <f t="shared" si="18"/>
        <v>0.02</v>
      </c>
    </row>
    <row r="1104" spans="1:17" x14ac:dyDescent="0.35">
      <c r="A1104" t="s">
        <v>35</v>
      </c>
      <c r="B1104" t="s">
        <v>869</v>
      </c>
      <c r="C1104" t="s">
        <v>28</v>
      </c>
      <c r="D1104" t="s">
        <v>25</v>
      </c>
      <c r="E1104">
        <v>0.02</v>
      </c>
      <c r="F1104" t="s">
        <v>88</v>
      </c>
      <c r="G1104" s="19">
        <v>45403</v>
      </c>
      <c r="H1104" t="s">
        <v>637</v>
      </c>
      <c r="I1104" t="s">
        <v>6384</v>
      </c>
      <c r="J1104"/>
      <c r="Q1104" s="3">
        <f t="shared" si="18"/>
        <v>0.02</v>
      </c>
    </row>
    <row r="1105" spans="1:17" x14ac:dyDescent="0.35">
      <c r="A1105" t="s">
        <v>35</v>
      </c>
      <c r="B1105" t="s">
        <v>636</v>
      </c>
      <c r="C1105" t="s">
        <v>28</v>
      </c>
      <c r="D1105" t="s">
        <v>25</v>
      </c>
      <c r="E1105">
        <v>-0.02</v>
      </c>
      <c r="F1105" t="s">
        <v>88</v>
      </c>
      <c r="G1105" s="19">
        <v>45403</v>
      </c>
      <c r="H1105" t="s">
        <v>637</v>
      </c>
      <c r="I1105" t="s">
        <v>6384</v>
      </c>
      <c r="J1105"/>
      <c r="Q1105" s="3">
        <f t="shared" si="18"/>
        <v>0.02</v>
      </c>
    </row>
    <row r="1106" spans="1:17" x14ac:dyDescent="0.35">
      <c r="A1106" t="s">
        <v>35</v>
      </c>
      <c r="B1106" t="s">
        <v>6394</v>
      </c>
      <c r="C1106" t="s">
        <v>28</v>
      </c>
      <c r="D1106" t="s">
        <v>25</v>
      </c>
      <c r="E1106">
        <v>-0.02</v>
      </c>
      <c r="F1106" t="s">
        <v>88</v>
      </c>
      <c r="G1106" s="19">
        <v>45403</v>
      </c>
      <c r="H1106" t="s">
        <v>637</v>
      </c>
      <c r="I1106" t="s">
        <v>6384</v>
      </c>
      <c r="J1106"/>
      <c r="Q1106" s="3">
        <f t="shared" si="18"/>
        <v>0.02</v>
      </c>
    </row>
    <row r="1107" spans="1:17" x14ac:dyDescent="0.35">
      <c r="A1107" t="s">
        <v>35</v>
      </c>
      <c r="B1107" t="s">
        <v>664</v>
      </c>
      <c r="C1107" t="s">
        <v>28</v>
      </c>
      <c r="D1107" t="s">
        <v>25</v>
      </c>
      <c r="E1107">
        <v>-0.02</v>
      </c>
      <c r="F1107" t="s">
        <v>88</v>
      </c>
      <c r="G1107" s="19">
        <v>45403</v>
      </c>
      <c r="H1107" t="s">
        <v>637</v>
      </c>
      <c r="I1107" t="s">
        <v>6384</v>
      </c>
      <c r="J1107"/>
      <c r="Q1107" s="3">
        <f t="shared" si="18"/>
        <v>0.02</v>
      </c>
    </row>
    <row r="1108" spans="1:17" x14ac:dyDescent="0.35">
      <c r="A1108" t="s">
        <v>35</v>
      </c>
      <c r="B1108" t="s">
        <v>1194</v>
      </c>
      <c r="C1108" t="s">
        <v>28</v>
      </c>
      <c r="D1108" t="s">
        <v>25</v>
      </c>
      <c r="E1108">
        <v>-0.02</v>
      </c>
      <c r="F1108" t="s">
        <v>88</v>
      </c>
      <c r="G1108" s="19">
        <v>45403</v>
      </c>
      <c r="H1108" t="s">
        <v>637</v>
      </c>
      <c r="I1108" t="s">
        <v>6384</v>
      </c>
      <c r="J1108"/>
      <c r="Q1108" s="3">
        <f t="shared" si="18"/>
        <v>0.02</v>
      </c>
    </row>
    <row r="1109" spans="1:17" x14ac:dyDescent="0.35">
      <c r="A1109" t="s">
        <v>35</v>
      </c>
      <c r="B1109" t="s">
        <v>1043</v>
      </c>
      <c r="C1109" t="s">
        <v>28</v>
      </c>
      <c r="D1109" t="s">
        <v>25</v>
      </c>
      <c r="E1109">
        <v>-0.02</v>
      </c>
      <c r="F1109" t="s">
        <v>88</v>
      </c>
      <c r="G1109" s="19">
        <v>45403</v>
      </c>
      <c r="H1109" t="s">
        <v>637</v>
      </c>
      <c r="I1109" t="s">
        <v>6384</v>
      </c>
      <c r="J1109"/>
      <c r="Q1109" s="3">
        <f t="shared" si="18"/>
        <v>0.02</v>
      </c>
    </row>
    <row r="1110" spans="1:17" x14ac:dyDescent="0.35">
      <c r="A1110" t="s">
        <v>35</v>
      </c>
      <c r="B1110" t="s">
        <v>6400</v>
      </c>
      <c r="C1110" t="s">
        <v>28</v>
      </c>
      <c r="D1110" t="s">
        <v>25</v>
      </c>
      <c r="E1110">
        <v>-0.02</v>
      </c>
      <c r="F1110" t="s">
        <v>88</v>
      </c>
      <c r="G1110" s="19">
        <v>45403</v>
      </c>
      <c r="H1110" t="s">
        <v>637</v>
      </c>
      <c r="I1110" t="s">
        <v>6384</v>
      </c>
      <c r="J1110"/>
      <c r="Q1110" s="3">
        <f t="shared" si="18"/>
        <v>0.02</v>
      </c>
    </row>
    <row r="1111" spans="1:17" x14ac:dyDescent="0.35">
      <c r="A1111" t="s">
        <v>35</v>
      </c>
      <c r="B1111" t="s">
        <v>698</v>
      </c>
      <c r="C1111" t="s">
        <v>28</v>
      </c>
      <c r="D1111" t="s">
        <v>25</v>
      </c>
      <c r="E1111">
        <v>-0.02</v>
      </c>
      <c r="F1111" t="s">
        <v>88</v>
      </c>
      <c r="G1111" s="19">
        <v>45403</v>
      </c>
      <c r="H1111" t="s">
        <v>637</v>
      </c>
      <c r="I1111" t="s">
        <v>6384</v>
      </c>
      <c r="J1111"/>
      <c r="Q1111" s="3">
        <f t="shared" si="18"/>
        <v>0.02</v>
      </c>
    </row>
    <row r="1112" spans="1:17" x14ac:dyDescent="0.35">
      <c r="A1112" t="s">
        <v>35</v>
      </c>
      <c r="B1112" t="s">
        <v>1123</v>
      </c>
      <c r="C1112" t="s">
        <v>28</v>
      </c>
      <c r="D1112" t="s">
        <v>25</v>
      </c>
      <c r="E1112">
        <v>-0.02</v>
      </c>
      <c r="F1112" t="s">
        <v>88</v>
      </c>
      <c r="G1112" s="19">
        <v>45403</v>
      </c>
      <c r="H1112" t="s">
        <v>637</v>
      </c>
      <c r="I1112" t="s">
        <v>6384</v>
      </c>
      <c r="J1112"/>
      <c r="Q1112" s="3">
        <f t="shared" si="18"/>
        <v>0.02</v>
      </c>
    </row>
    <row r="1113" spans="1:17" x14ac:dyDescent="0.35">
      <c r="A1113" t="s">
        <v>35</v>
      </c>
      <c r="B1113" t="s">
        <v>6057</v>
      </c>
      <c r="C1113" t="s">
        <v>28</v>
      </c>
      <c r="D1113" t="s">
        <v>25</v>
      </c>
      <c r="E1113">
        <v>-0.02</v>
      </c>
      <c r="F1113" t="s">
        <v>88</v>
      </c>
      <c r="G1113" s="19">
        <v>45403</v>
      </c>
      <c r="H1113" t="s">
        <v>637</v>
      </c>
      <c r="I1113" t="s">
        <v>6384</v>
      </c>
      <c r="J1113"/>
      <c r="Q1113" s="3">
        <f t="shared" si="18"/>
        <v>0.02</v>
      </c>
    </row>
    <row r="1114" spans="1:17" x14ac:dyDescent="0.35">
      <c r="A1114" t="s">
        <v>35</v>
      </c>
      <c r="B1114" t="s">
        <v>1075</v>
      </c>
      <c r="C1114" t="s">
        <v>28</v>
      </c>
      <c r="D1114" t="s">
        <v>25</v>
      </c>
      <c r="E1114">
        <v>0.02</v>
      </c>
      <c r="F1114" t="s">
        <v>88</v>
      </c>
      <c r="G1114" s="19">
        <v>45403</v>
      </c>
      <c r="H1114" t="s">
        <v>637</v>
      </c>
      <c r="I1114" t="s">
        <v>6384</v>
      </c>
      <c r="J1114"/>
      <c r="Q1114" s="3">
        <f t="shared" si="18"/>
        <v>0.02</v>
      </c>
    </row>
    <row r="1115" spans="1:17" x14ac:dyDescent="0.35">
      <c r="A1115" t="s">
        <v>35</v>
      </c>
      <c r="B1115" t="s">
        <v>4583</v>
      </c>
      <c r="C1115" t="s">
        <v>28</v>
      </c>
      <c r="D1115" t="s">
        <v>25</v>
      </c>
      <c r="E1115">
        <v>0.02</v>
      </c>
      <c r="F1115" t="s">
        <v>88</v>
      </c>
      <c r="G1115" s="19">
        <v>45403</v>
      </c>
      <c r="H1115" t="s">
        <v>637</v>
      </c>
      <c r="I1115" t="s">
        <v>6384</v>
      </c>
      <c r="J1115"/>
      <c r="Q1115" s="3">
        <f t="shared" si="18"/>
        <v>0.02</v>
      </c>
    </row>
    <row r="1116" spans="1:17" x14ac:dyDescent="0.35">
      <c r="A1116" t="s">
        <v>35</v>
      </c>
      <c r="B1116" t="s">
        <v>868</v>
      </c>
      <c r="C1116" t="s">
        <v>28</v>
      </c>
      <c r="D1116" t="s">
        <v>25</v>
      </c>
      <c r="E1116">
        <v>0.02</v>
      </c>
      <c r="F1116" t="s">
        <v>88</v>
      </c>
      <c r="G1116" s="19">
        <v>45403</v>
      </c>
      <c r="H1116" t="s">
        <v>637</v>
      </c>
      <c r="I1116" t="s">
        <v>6384</v>
      </c>
      <c r="J1116"/>
      <c r="Q1116" s="3">
        <f t="shared" si="18"/>
        <v>0.02</v>
      </c>
    </row>
    <row r="1117" spans="1:17" x14ac:dyDescent="0.35">
      <c r="A1117" t="s">
        <v>35</v>
      </c>
      <c r="B1117" t="s">
        <v>861</v>
      </c>
      <c r="C1117" t="s">
        <v>28</v>
      </c>
      <c r="D1117" t="s">
        <v>25</v>
      </c>
      <c r="E1117">
        <v>0.02</v>
      </c>
      <c r="F1117" t="s">
        <v>88</v>
      </c>
      <c r="G1117" s="19">
        <v>45403</v>
      </c>
      <c r="H1117" t="s">
        <v>637</v>
      </c>
      <c r="I1117" t="s">
        <v>6384</v>
      </c>
      <c r="J1117"/>
      <c r="Q1117" s="3">
        <f t="shared" si="18"/>
        <v>0.02</v>
      </c>
    </row>
    <row r="1118" spans="1:17" x14ac:dyDescent="0.35">
      <c r="A1118" t="s">
        <v>35</v>
      </c>
      <c r="B1118" t="s">
        <v>2728</v>
      </c>
      <c r="C1118" t="s">
        <v>28</v>
      </c>
      <c r="D1118" t="s">
        <v>25</v>
      </c>
      <c r="E1118">
        <v>-0.02</v>
      </c>
      <c r="F1118" t="s">
        <v>88</v>
      </c>
      <c r="G1118" s="19">
        <v>45403</v>
      </c>
      <c r="H1118" t="s">
        <v>637</v>
      </c>
      <c r="I1118" t="s">
        <v>6384</v>
      </c>
      <c r="J1118"/>
      <c r="Q1118" s="3">
        <f t="shared" si="18"/>
        <v>0.02</v>
      </c>
    </row>
    <row r="1119" spans="1:17" x14ac:dyDescent="0.35">
      <c r="A1119" t="s">
        <v>35</v>
      </c>
      <c r="B1119" t="s">
        <v>1533</v>
      </c>
      <c r="C1119" t="s">
        <v>28</v>
      </c>
      <c r="D1119" t="s">
        <v>25</v>
      </c>
      <c r="E1119">
        <v>-0.02</v>
      </c>
      <c r="F1119" t="s">
        <v>88</v>
      </c>
      <c r="G1119" s="19">
        <v>45403</v>
      </c>
      <c r="H1119" t="s">
        <v>637</v>
      </c>
      <c r="I1119" t="s">
        <v>6384</v>
      </c>
      <c r="J1119"/>
      <c r="Q1119" s="3">
        <f t="shared" si="18"/>
        <v>0.02</v>
      </c>
    </row>
    <row r="1120" spans="1:17" x14ac:dyDescent="0.35">
      <c r="A1120" t="s">
        <v>35</v>
      </c>
      <c r="B1120" t="s">
        <v>2473</v>
      </c>
      <c r="C1120" t="s">
        <v>28</v>
      </c>
      <c r="D1120" t="s">
        <v>25</v>
      </c>
      <c r="E1120">
        <v>0.02</v>
      </c>
      <c r="F1120" t="s">
        <v>88</v>
      </c>
      <c r="G1120" s="19">
        <v>45403</v>
      </c>
      <c r="H1120" t="s">
        <v>637</v>
      </c>
      <c r="I1120" t="s">
        <v>6384</v>
      </c>
      <c r="J1120"/>
      <c r="Q1120" s="3">
        <f t="shared" si="18"/>
        <v>0.02</v>
      </c>
    </row>
    <row r="1121" spans="1:17" x14ac:dyDescent="0.35">
      <c r="A1121" t="s">
        <v>35</v>
      </c>
      <c r="B1121" t="s">
        <v>1480</v>
      </c>
      <c r="C1121" t="s">
        <v>28</v>
      </c>
      <c r="D1121" t="s">
        <v>25</v>
      </c>
      <c r="E1121">
        <v>-0.02</v>
      </c>
      <c r="F1121" t="s">
        <v>88</v>
      </c>
      <c r="G1121" s="19">
        <v>45403</v>
      </c>
      <c r="H1121" t="s">
        <v>637</v>
      </c>
      <c r="I1121" t="s">
        <v>6384</v>
      </c>
      <c r="J1121"/>
      <c r="Q1121" s="3">
        <f t="shared" si="18"/>
        <v>0.02</v>
      </c>
    </row>
    <row r="1122" spans="1:17" x14ac:dyDescent="0.35">
      <c r="A1122" t="s">
        <v>35</v>
      </c>
      <c r="B1122" t="s">
        <v>3422</v>
      </c>
      <c r="C1122" t="s">
        <v>28</v>
      </c>
      <c r="D1122" t="s">
        <v>25</v>
      </c>
      <c r="E1122">
        <v>-0.02</v>
      </c>
      <c r="F1122" t="s">
        <v>88</v>
      </c>
      <c r="G1122" s="19">
        <v>45403</v>
      </c>
      <c r="H1122" t="s">
        <v>637</v>
      </c>
      <c r="I1122" t="s">
        <v>6384</v>
      </c>
      <c r="J1122"/>
      <c r="Q1122" s="3">
        <f t="shared" si="18"/>
        <v>0.02</v>
      </c>
    </row>
    <row r="1123" spans="1:17" x14ac:dyDescent="0.35">
      <c r="A1123" t="s">
        <v>35</v>
      </c>
      <c r="B1123" t="s">
        <v>708</v>
      </c>
      <c r="C1123" t="s">
        <v>28</v>
      </c>
      <c r="D1123" t="s">
        <v>25</v>
      </c>
      <c r="E1123">
        <v>-0.02</v>
      </c>
      <c r="F1123" t="s">
        <v>88</v>
      </c>
      <c r="G1123" s="19">
        <v>45403</v>
      </c>
      <c r="H1123" t="s">
        <v>637</v>
      </c>
      <c r="I1123" t="s">
        <v>6384</v>
      </c>
      <c r="J1123"/>
      <c r="Q1123" s="3">
        <f t="shared" si="18"/>
        <v>0.02</v>
      </c>
    </row>
    <row r="1124" spans="1:17" x14ac:dyDescent="0.35">
      <c r="A1124" t="s">
        <v>35</v>
      </c>
      <c r="B1124" t="s">
        <v>953</v>
      </c>
      <c r="C1124" t="s">
        <v>28</v>
      </c>
      <c r="D1124" t="s">
        <v>25</v>
      </c>
      <c r="E1124">
        <v>0.02</v>
      </c>
      <c r="F1124" t="s">
        <v>88</v>
      </c>
      <c r="G1124" s="19">
        <v>45403</v>
      </c>
      <c r="H1124" t="s">
        <v>637</v>
      </c>
      <c r="I1124" t="s">
        <v>6384</v>
      </c>
      <c r="J1124"/>
      <c r="Q1124" s="3">
        <f t="shared" si="18"/>
        <v>0.02</v>
      </c>
    </row>
    <row r="1125" spans="1:17" x14ac:dyDescent="0.35">
      <c r="A1125" t="s">
        <v>35</v>
      </c>
      <c r="B1125" t="s">
        <v>744</v>
      </c>
      <c r="C1125" t="s">
        <v>28</v>
      </c>
      <c r="D1125" t="s">
        <v>25</v>
      </c>
      <c r="E1125">
        <v>0.02</v>
      </c>
      <c r="F1125" t="s">
        <v>88</v>
      </c>
      <c r="G1125" s="19">
        <v>45403</v>
      </c>
      <c r="H1125" t="s">
        <v>637</v>
      </c>
      <c r="I1125" t="s">
        <v>6384</v>
      </c>
      <c r="J1125"/>
      <c r="Q1125" s="3">
        <f t="shared" si="18"/>
        <v>0.02</v>
      </c>
    </row>
    <row r="1126" spans="1:17" x14ac:dyDescent="0.35">
      <c r="A1126" t="s">
        <v>35</v>
      </c>
      <c r="B1126" t="s">
        <v>642</v>
      </c>
      <c r="C1126" t="s">
        <v>28</v>
      </c>
      <c r="D1126" t="s">
        <v>25</v>
      </c>
      <c r="E1126">
        <v>-0.02</v>
      </c>
      <c r="F1126" t="s">
        <v>88</v>
      </c>
      <c r="G1126" s="19">
        <v>45403</v>
      </c>
      <c r="H1126" t="s">
        <v>637</v>
      </c>
      <c r="I1126" t="s">
        <v>6384</v>
      </c>
      <c r="J1126"/>
      <c r="Q1126" s="3">
        <f t="shared" si="18"/>
        <v>0.02</v>
      </c>
    </row>
    <row r="1127" spans="1:17" x14ac:dyDescent="0.35">
      <c r="A1127" t="s">
        <v>35</v>
      </c>
      <c r="B1127" t="s">
        <v>805</v>
      </c>
      <c r="C1127" t="s">
        <v>28</v>
      </c>
      <c r="D1127" t="s">
        <v>25</v>
      </c>
      <c r="E1127">
        <v>-0.02</v>
      </c>
      <c r="F1127" t="s">
        <v>88</v>
      </c>
      <c r="G1127" s="19">
        <v>45403</v>
      </c>
      <c r="H1127" t="s">
        <v>637</v>
      </c>
      <c r="I1127" t="s">
        <v>6384</v>
      </c>
      <c r="J1127"/>
      <c r="Q1127" s="3">
        <f t="shared" si="18"/>
        <v>0.02</v>
      </c>
    </row>
    <row r="1128" spans="1:17" x14ac:dyDescent="0.35">
      <c r="A1128" t="s">
        <v>35</v>
      </c>
      <c r="B1128" t="s">
        <v>6047</v>
      </c>
      <c r="C1128" t="s">
        <v>28</v>
      </c>
      <c r="D1128" t="s">
        <v>25</v>
      </c>
      <c r="E1128">
        <v>-0.02</v>
      </c>
      <c r="F1128" t="s">
        <v>88</v>
      </c>
      <c r="G1128" s="19">
        <v>45403</v>
      </c>
      <c r="H1128" t="s">
        <v>637</v>
      </c>
      <c r="I1128" t="s">
        <v>6384</v>
      </c>
      <c r="J1128"/>
      <c r="Q1128" s="3">
        <f t="shared" si="18"/>
        <v>0.02</v>
      </c>
    </row>
    <row r="1129" spans="1:17" x14ac:dyDescent="0.35">
      <c r="A1129" t="s">
        <v>35</v>
      </c>
      <c r="B1129" t="s">
        <v>646</v>
      </c>
      <c r="C1129" t="s">
        <v>28</v>
      </c>
      <c r="D1129" t="s">
        <v>25</v>
      </c>
      <c r="E1129">
        <v>0.02</v>
      </c>
      <c r="F1129" t="s">
        <v>88</v>
      </c>
      <c r="G1129" s="19">
        <v>45403</v>
      </c>
      <c r="H1129" t="s">
        <v>637</v>
      </c>
      <c r="I1129" t="s">
        <v>6384</v>
      </c>
      <c r="J1129"/>
      <c r="Q1129" s="3">
        <f t="shared" si="18"/>
        <v>0.02</v>
      </c>
    </row>
    <row r="1130" spans="1:17" x14ac:dyDescent="0.35">
      <c r="A1130" t="s">
        <v>35</v>
      </c>
      <c r="B1130" t="s">
        <v>599</v>
      </c>
      <c r="C1130" t="s">
        <v>28</v>
      </c>
      <c r="D1130" t="s">
        <v>25</v>
      </c>
      <c r="E1130">
        <v>0.02</v>
      </c>
      <c r="F1130" t="s">
        <v>88</v>
      </c>
      <c r="G1130" s="19">
        <v>45403</v>
      </c>
      <c r="H1130" t="s">
        <v>6384</v>
      </c>
      <c r="I1130" t="s">
        <v>6384</v>
      </c>
      <c r="J1130"/>
      <c r="Q1130" s="3">
        <f t="shared" si="18"/>
        <v>0.02</v>
      </c>
    </row>
    <row r="1131" spans="1:17" x14ac:dyDescent="0.35">
      <c r="A1131" t="s">
        <v>0</v>
      </c>
      <c r="B1131" t="s">
        <v>1221</v>
      </c>
      <c r="C1131" t="s">
        <v>28</v>
      </c>
      <c r="D1131" t="s">
        <v>25</v>
      </c>
      <c r="E1131">
        <v>-0.02</v>
      </c>
      <c r="F1131" t="s">
        <v>88</v>
      </c>
      <c r="G1131" s="19">
        <v>45533</v>
      </c>
      <c r="H1131" t="s">
        <v>7085</v>
      </c>
      <c r="I1131" t="s">
        <v>6200</v>
      </c>
      <c r="J1131"/>
      <c r="Q1131" s="3">
        <f t="shared" si="18"/>
        <v>0.02</v>
      </c>
    </row>
    <row r="1132" spans="1:17" x14ac:dyDescent="0.35">
      <c r="A1132" t="s">
        <v>0</v>
      </c>
      <c r="B1132" t="s">
        <v>5394</v>
      </c>
      <c r="C1132" t="s">
        <v>28</v>
      </c>
      <c r="D1132" t="s">
        <v>25</v>
      </c>
      <c r="E1132">
        <v>-0.02</v>
      </c>
      <c r="F1132" t="s">
        <v>88</v>
      </c>
      <c r="G1132" s="19">
        <v>45533</v>
      </c>
      <c r="H1132" t="s">
        <v>7085</v>
      </c>
      <c r="I1132" t="s">
        <v>6200</v>
      </c>
      <c r="J1132"/>
      <c r="Q1132" s="3">
        <f t="shared" si="18"/>
        <v>0.02</v>
      </c>
    </row>
    <row r="1133" spans="1:17" x14ac:dyDescent="0.35">
      <c r="A1133" t="s">
        <v>0</v>
      </c>
      <c r="B1133" t="s">
        <v>869</v>
      </c>
      <c r="C1133" t="s">
        <v>28</v>
      </c>
      <c r="D1133" t="s">
        <v>25</v>
      </c>
      <c r="E1133">
        <v>0.02</v>
      </c>
      <c r="F1133" t="s">
        <v>88</v>
      </c>
      <c r="G1133" s="19">
        <v>45533</v>
      </c>
      <c r="H1133" t="s">
        <v>7085</v>
      </c>
      <c r="I1133" t="s">
        <v>6200</v>
      </c>
      <c r="J1133"/>
      <c r="Q1133" s="3">
        <f t="shared" si="18"/>
        <v>0.02</v>
      </c>
    </row>
    <row r="1134" spans="1:17" x14ac:dyDescent="0.35">
      <c r="A1134" t="s">
        <v>0</v>
      </c>
      <c r="B1134" t="s">
        <v>610</v>
      </c>
      <c r="C1134" t="s">
        <v>28</v>
      </c>
      <c r="D1134" t="s">
        <v>25</v>
      </c>
      <c r="E1134">
        <v>-0.02</v>
      </c>
      <c r="F1134" t="s">
        <v>88</v>
      </c>
      <c r="G1134" s="19">
        <v>45533</v>
      </c>
      <c r="H1134" t="s">
        <v>7085</v>
      </c>
      <c r="I1134" t="s">
        <v>6200</v>
      </c>
      <c r="J1134"/>
      <c r="Q1134" s="3">
        <f t="shared" si="18"/>
        <v>0.02</v>
      </c>
    </row>
    <row r="1135" spans="1:17" x14ac:dyDescent="0.35">
      <c r="A1135" t="s">
        <v>0</v>
      </c>
      <c r="B1135" t="s">
        <v>6405</v>
      </c>
      <c r="C1135" t="s">
        <v>28</v>
      </c>
      <c r="D1135" t="s">
        <v>25</v>
      </c>
      <c r="E1135">
        <v>-0.02</v>
      </c>
      <c r="F1135" t="s">
        <v>88</v>
      </c>
      <c r="G1135" s="19">
        <v>45533</v>
      </c>
      <c r="H1135" t="s">
        <v>7085</v>
      </c>
      <c r="I1135" t="s">
        <v>6200</v>
      </c>
      <c r="J1135"/>
      <c r="Q1135" s="3">
        <f t="shared" si="18"/>
        <v>0.02</v>
      </c>
    </row>
    <row r="1136" spans="1:17" x14ac:dyDescent="0.35">
      <c r="A1136" t="s">
        <v>0</v>
      </c>
      <c r="B1136" t="s">
        <v>601</v>
      </c>
      <c r="C1136" t="s">
        <v>28</v>
      </c>
      <c r="D1136" t="s">
        <v>25</v>
      </c>
      <c r="E1136">
        <v>0.02</v>
      </c>
      <c r="F1136" t="s">
        <v>88</v>
      </c>
      <c r="G1136" s="19">
        <v>45533</v>
      </c>
      <c r="H1136" t="s">
        <v>7085</v>
      </c>
      <c r="I1136" t="s">
        <v>6200</v>
      </c>
      <c r="J1136"/>
      <c r="Q1136" s="3">
        <f t="shared" si="18"/>
        <v>0.02</v>
      </c>
    </row>
    <row r="1137" spans="1:17" x14ac:dyDescent="0.35">
      <c r="A1137" t="s">
        <v>0</v>
      </c>
      <c r="B1137" t="s">
        <v>1075</v>
      </c>
      <c r="C1137" t="s">
        <v>28</v>
      </c>
      <c r="D1137" t="s">
        <v>25</v>
      </c>
      <c r="E1137">
        <v>0.02</v>
      </c>
      <c r="F1137" t="s">
        <v>88</v>
      </c>
      <c r="G1137" s="19">
        <v>45533</v>
      </c>
      <c r="H1137" t="s">
        <v>7085</v>
      </c>
      <c r="I1137" t="s">
        <v>6200</v>
      </c>
      <c r="J1137"/>
      <c r="Q1137" s="3">
        <f t="shared" si="18"/>
        <v>0.02</v>
      </c>
    </row>
    <row r="1138" spans="1:17" x14ac:dyDescent="0.35">
      <c r="A1138" t="s">
        <v>0</v>
      </c>
      <c r="B1138" t="s">
        <v>4583</v>
      </c>
      <c r="C1138" t="s">
        <v>28</v>
      </c>
      <c r="D1138" t="s">
        <v>25</v>
      </c>
      <c r="E1138">
        <v>-0.02</v>
      </c>
      <c r="F1138" t="s">
        <v>88</v>
      </c>
      <c r="G1138" s="19">
        <v>45533</v>
      </c>
      <c r="H1138" t="s">
        <v>7085</v>
      </c>
      <c r="I1138" t="s">
        <v>6200</v>
      </c>
      <c r="J1138"/>
      <c r="Q1138" s="3">
        <f t="shared" si="18"/>
        <v>0.02</v>
      </c>
    </row>
    <row r="1139" spans="1:17" x14ac:dyDescent="0.35">
      <c r="A1139" t="s">
        <v>0</v>
      </c>
      <c r="B1139" t="s">
        <v>861</v>
      </c>
      <c r="C1139" t="s">
        <v>28</v>
      </c>
      <c r="D1139" t="s">
        <v>25</v>
      </c>
      <c r="E1139">
        <v>-0.02</v>
      </c>
      <c r="F1139" t="s">
        <v>88</v>
      </c>
      <c r="G1139" s="19">
        <v>45533</v>
      </c>
      <c r="H1139" t="s">
        <v>7085</v>
      </c>
      <c r="I1139" t="s">
        <v>6200</v>
      </c>
      <c r="J1139"/>
      <c r="Q1139" s="3">
        <f t="shared" si="18"/>
        <v>0.02</v>
      </c>
    </row>
    <row r="1140" spans="1:17" x14ac:dyDescent="0.35">
      <c r="A1140" t="s">
        <v>0</v>
      </c>
      <c r="B1140" t="s">
        <v>764</v>
      </c>
      <c r="C1140" t="s">
        <v>28</v>
      </c>
      <c r="D1140" t="s">
        <v>25</v>
      </c>
      <c r="E1140">
        <v>-0.02</v>
      </c>
      <c r="F1140" t="s">
        <v>88</v>
      </c>
      <c r="G1140" s="19">
        <v>45533</v>
      </c>
      <c r="H1140" t="s">
        <v>7085</v>
      </c>
      <c r="I1140" t="s">
        <v>6200</v>
      </c>
      <c r="J1140"/>
      <c r="Q1140" s="3">
        <f t="shared" si="18"/>
        <v>0.02</v>
      </c>
    </row>
    <row r="1141" spans="1:17" x14ac:dyDescent="0.35">
      <c r="A1141" t="s">
        <v>0</v>
      </c>
      <c r="B1141" t="s">
        <v>2473</v>
      </c>
      <c r="C1141" t="s">
        <v>28</v>
      </c>
      <c r="D1141" t="s">
        <v>25</v>
      </c>
      <c r="E1141">
        <v>-0.02</v>
      </c>
      <c r="F1141" t="s">
        <v>88</v>
      </c>
      <c r="G1141" s="19">
        <v>45533</v>
      </c>
      <c r="H1141" t="s">
        <v>7085</v>
      </c>
      <c r="I1141" t="s">
        <v>6200</v>
      </c>
      <c r="J1141"/>
      <c r="Q1141" s="3">
        <f t="shared" si="18"/>
        <v>0.02</v>
      </c>
    </row>
    <row r="1142" spans="1:17" x14ac:dyDescent="0.35">
      <c r="A1142" t="s">
        <v>0</v>
      </c>
      <c r="B1142" t="s">
        <v>2226</v>
      </c>
      <c r="C1142" t="s">
        <v>28</v>
      </c>
      <c r="D1142" t="s">
        <v>25</v>
      </c>
      <c r="E1142">
        <v>-0.02</v>
      </c>
      <c r="F1142" t="s">
        <v>88</v>
      </c>
      <c r="G1142" s="19">
        <v>45533</v>
      </c>
      <c r="H1142" t="s">
        <v>7085</v>
      </c>
      <c r="I1142" t="s">
        <v>6200</v>
      </c>
      <c r="J1142"/>
      <c r="Q1142" s="3">
        <f t="shared" si="18"/>
        <v>0.02</v>
      </c>
    </row>
    <row r="1143" spans="1:17" x14ac:dyDescent="0.35">
      <c r="A1143" t="s">
        <v>0</v>
      </c>
      <c r="B1143" t="s">
        <v>1411</v>
      </c>
      <c r="C1143" t="s">
        <v>28</v>
      </c>
      <c r="D1143" t="s">
        <v>25</v>
      </c>
      <c r="E1143">
        <v>-0.02</v>
      </c>
      <c r="F1143" t="s">
        <v>88</v>
      </c>
      <c r="G1143" s="19">
        <v>45533</v>
      </c>
      <c r="H1143" t="s">
        <v>7085</v>
      </c>
      <c r="I1143" t="s">
        <v>6200</v>
      </c>
      <c r="J1143"/>
      <c r="Q1143" s="3">
        <f t="shared" si="18"/>
        <v>0.02</v>
      </c>
    </row>
    <row r="1144" spans="1:17" x14ac:dyDescent="0.35">
      <c r="A1144" t="s">
        <v>0</v>
      </c>
      <c r="B1144" t="s">
        <v>633</v>
      </c>
      <c r="C1144" t="s">
        <v>28</v>
      </c>
      <c r="D1144" t="s">
        <v>25</v>
      </c>
      <c r="E1144">
        <v>0.02</v>
      </c>
      <c r="F1144" t="s">
        <v>88</v>
      </c>
      <c r="G1144" s="19">
        <v>45533</v>
      </c>
      <c r="H1144" t="s">
        <v>7085</v>
      </c>
      <c r="I1144" t="s">
        <v>6200</v>
      </c>
      <c r="J1144"/>
      <c r="Q1144" s="3">
        <f t="shared" si="18"/>
        <v>0.02</v>
      </c>
    </row>
    <row r="1145" spans="1:17" x14ac:dyDescent="0.35">
      <c r="A1145" t="s">
        <v>0</v>
      </c>
      <c r="B1145" t="s">
        <v>852</v>
      </c>
      <c r="C1145" t="s">
        <v>28</v>
      </c>
      <c r="D1145" t="s">
        <v>25</v>
      </c>
      <c r="E1145">
        <v>0.02</v>
      </c>
      <c r="F1145" t="s">
        <v>88</v>
      </c>
      <c r="G1145" s="19">
        <v>45533</v>
      </c>
      <c r="H1145" t="s">
        <v>7085</v>
      </c>
      <c r="I1145" t="s">
        <v>6200</v>
      </c>
      <c r="J1145"/>
      <c r="Q1145" s="3">
        <f t="shared" si="18"/>
        <v>0.02</v>
      </c>
    </row>
    <row r="1146" spans="1:17" x14ac:dyDescent="0.35">
      <c r="A1146" t="s">
        <v>0</v>
      </c>
      <c r="B1146" t="s">
        <v>909</v>
      </c>
      <c r="C1146" t="s">
        <v>28</v>
      </c>
      <c r="D1146" t="s">
        <v>25</v>
      </c>
      <c r="E1146">
        <v>-0.02</v>
      </c>
      <c r="F1146" t="s">
        <v>88</v>
      </c>
      <c r="G1146" s="19">
        <v>45533</v>
      </c>
      <c r="H1146" t="s">
        <v>7085</v>
      </c>
      <c r="I1146" t="s">
        <v>6200</v>
      </c>
      <c r="J1146"/>
      <c r="Q1146" s="3">
        <f t="shared" si="18"/>
        <v>0.02</v>
      </c>
    </row>
    <row r="1147" spans="1:17" x14ac:dyDescent="0.35">
      <c r="A1147" t="s">
        <v>0</v>
      </c>
      <c r="B1147" t="s">
        <v>744</v>
      </c>
      <c r="C1147" t="s">
        <v>28</v>
      </c>
      <c r="D1147" t="s">
        <v>25</v>
      </c>
      <c r="E1147">
        <v>0.02</v>
      </c>
      <c r="F1147" t="s">
        <v>88</v>
      </c>
      <c r="G1147" s="19">
        <v>45533</v>
      </c>
      <c r="H1147" t="s">
        <v>7085</v>
      </c>
      <c r="I1147" t="s">
        <v>6200</v>
      </c>
      <c r="J1147"/>
      <c r="Q1147" s="3">
        <f t="shared" si="18"/>
        <v>0.02</v>
      </c>
    </row>
    <row r="1148" spans="1:17" x14ac:dyDescent="0.35">
      <c r="A1148" t="s">
        <v>0</v>
      </c>
      <c r="B1148" t="s">
        <v>864</v>
      </c>
      <c r="C1148" t="s">
        <v>28</v>
      </c>
      <c r="D1148" t="s">
        <v>25</v>
      </c>
      <c r="E1148">
        <v>-0.02</v>
      </c>
      <c r="F1148" t="s">
        <v>88</v>
      </c>
      <c r="G1148" s="19">
        <v>45533</v>
      </c>
      <c r="H1148" t="s">
        <v>7085</v>
      </c>
      <c r="I1148" t="s">
        <v>6200</v>
      </c>
      <c r="J1148"/>
      <c r="Q1148" s="3">
        <f t="shared" si="18"/>
        <v>0.02</v>
      </c>
    </row>
    <row r="1149" spans="1:17" x14ac:dyDescent="0.35">
      <c r="A1149" t="s">
        <v>0</v>
      </c>
      <c r="B1149" t="s">
        <v>805</v>
      </c>
      <c r="C1149" t="s">
        <v>28</v>
      </c>
      <c r="D1149" t="s">
        <v>25</v>
      </c>
      <c r="E1149">
        <v>-0.02</v>
      </c>
      <c r="F1149" t="s">
        <v>88</v>
      </c>
      <c r="G1149" s="19">
        <v>45533</v>
      </c>
      <c r="H1149" t="s">
        <v>7085</v>
      </c>
      <c r="I1149" t="s">
        <v>6200</v>
      </c>
      <c r="J1149"/>
      <c r="Q1149" s="3">
        <f t="shared" si="18"/>
        <v>0.02</v>
      </c>
    </row>
    <row r="1150" spans="1:17" x14ac:dyDescent="0.35">
      <c r="A1150" t="s">
        <v>35</v>
      </c>
      <c r="B1150" t="s">
        <v>6390</v>
      </c>
      <c r="C1150" t="s">
        <v>28</v>
      </c>
      <c r="D1150" t="s">
        <v>25</v>
      </c>
      <c r="E1150">
        <v>-0.02</v>
      </c>
      <c r="F1150" t="s">
        <v>88</v>
      </c>
      <c r="G1150" s="19">
        <v>45533</v>
      </c>
      <c r="H1150" t="s">
        <v>7085</v>
      </c>
      <c r="I1150" t="s">
        <v>6200</v>
      </c>
      <c r="J1150"/>
      <c r="Q1150" s="3">
        <f t="shared" si="18"/>
        <v>0.02</v>
      </c>
    </row>
    <row r="1151" spans="1:17" x14ac:dyDescent="0.35">
      <c r="A1151" t="s">
        <v>35</v>
      </c>
      <c r="B1151" t="s">
        <v>6395</v>
      </c>
      <c r="C1151" t="s">
        <v>28</v>
      </c>
      <c r="D1151" t="s">
        <v>25</v>
      </c>
      <c r="E1151">
        <v>-0.02</v>
      </c>
      <c r="F1151" t="s">
        <v>88</v>
      </c>
      <c r="G1151" s="19">
        <v>45533</v>
      </c>
      <c r="H1151" t="s">
        <v>7085</v>
      </c>
      <c r="I1151" t="s">
        <v>6200</v>
      </c>
      <c r="J1151"/>
      <c r="Q1151" s="3">
        <f t="shared" si="18"/>
        <v>0.02</v>
      </c>
    </row>
    <row r="1152" spans="1:17" x14ac:dyDescent="0.35">
      <c r="A1152" t="s">
        <v>35</v>
      </c>
      <c r="B1152" t="s">
        <v>2543</v>
      </c>
      <c r="C1152" t="s">
        <v>28</v>
      </c>
      <c r="D1152" t="s">
        <v>25</v>
      </c>
      <c r="E1152">
        <v>0.02</v>
      </c>
      <c r="F1152" t="s">
        <v>88</v>
      </c>
      <c r="G1152" s="19">
        <v>45533</v>
      </c>
      <c r="H1152" t="s">
        <v>7085</v>
      </c>
      <c r="I1152" t="s">
        <v>6200</v>
      </c>
      <c r="J1152"/>
      <c r="Q1152" s="3">
        <f t="shared" si="18"/>
        <v>0.02</v>
      </c>
    </row>
    <row r="1153" spans="1:17" x14ac:dyDescent="0.35">
      <c r="A1153" t="s">
        <v>35</v>
      </c>
      <c r="B1153" t="s">
        <v>969</v>
      </c>
      <c r="C1153" t="s">
        <v>28</v>
      </c>
      <c r="D1153" t="s">
        <v>25</v>
      </c>
      <c r="E1153">
        <v>0.02</v>
      </c>
      <c r="F1153" t="s">
        <v>88</v>
      </c>
      <c r="G1153" s="19">
        <v>45533</v>
      </c>
      <c r="H1153" t="s">
        <v>7085</v>
      </c>
      <c r="I1153" t="s">
        <v>6200</v>
      </c>
      <c r="J1153"/>
      <c r="Q1153" s="3">
        <f t="shared" si="18"/>
        <v>0.02</v>
      </c>
    </row>
    <row r="1154" spans="1:17" x14ac:dyDescent="0.35">
      <c r="A1154" t="s">
        <v>35</v>
      </c>
      <c r="B1154" t="s">
        <v>2728</v>
      </c>
      <c r="C1154" t="s">
        <v>28</v>
      </c>
      <c r="D1154" t="s">
        <v>25</v>
      </c>
      <c r="E1154">
        <v>-0.02</v>
      </c>
      <c r="F1154" t="s">
        <v>88</v>
      </c>
      <c r="G1154" s="19">
        <v>45533</v>
      </c>
      <c r="H1154" t="s">
        <v>7085</v>
      </c>
      <c r="I1154" t="s">
        <v>6200</v>
      </c>
      <c r="J1154"/>
      <c r="Q1154" s="3">
        <f t="shared" si="18"/>
        <v>0.02</v>
      </c>
    </row>
    <row r="1155" spans="1:17" x14ac:dyDescent="0.35">
      <c r="A1155" t="s">
        <v>35</v>
      </c>
      <c r="B1155" t="s">
        <v>4080</v>
      </c>
      <c r="C1155" t="s">
        <v>28</v>
      </c>
      <c r="D1155" t="s">
        <v>25</v>
      </c>
      <c r="E1155">
        <v>-0.02</v>
      </c>
      <c r="F1155" t="s">
        <v>88</v>
      </c>
      <c r="G1155" s="19">
        <v>45533</v>
      </c>
      <c r="H1155" t="s">
        <v>7085</v>
      </c>
      <c r="I1155" t="s">
        <v>6200</v>
      </c>
      <c r="J1155"/>
      <c r="Q1155" s="3">
        <f t="shared" si="18"/>
        <v>0.02</v>
      </c>
    </row>
    <row r="1156" spans="1:17" x14ac:dyDescent="0.35">
      <c r="A1156" t="s">
        <v>35</v>
      </c>
      <c r="B1156" t="s">
        <v>838</v>
      </c>
      <c r="C1156" t="s">
        <v>28</v>
      </c>
      <c r="D1156" t="s">
        <v>25</v>
      </c>
      <c r="E1156">
        <v>-0.02</v>
      </c>
      <c r="F1156" t="s">
        <v>88</v>
      </c>
      <c r="G1156" s="19">
        <v>45533</v>
      </c>
      <c r="H1156" t="s">
        <v>7085</v>
      </c>
      <c r="I1156" t="s">
        <v>6200</v>
      </c>
      <c r="J1156"/>
      <c r="Q1156" s="3">
        <f t="shared" si="18"/>
        <v>0.02</v>
      </c>
    </row>
    <row r="1157" spans="1:17" x14ac:dyDescent="0.35">
      <c r="A1157" t="s">
        <v>35</v>
      </c>
      <c r="B1157" t="s">
        <v>614</v>
      </c>
      <c r="C1157" t="s">
        <v>28</v>
      </c>
      <c r="D1157" t="s">
        <v>25</v>
      </c>
      <c r="E1157">
        <v>1.9999999999999997E-2</v>
      </c>
      <c r="F1157" t="s">
        <v>88</v>
      </c>
      <c r="G1157" s="19">
        <v>45533</v>
      </c>
      <c r="H1157" t="s">
        <v>7085</v>
      </c>
      <c r="I1157" t="s">
        <v>6200</v>
      </c>
      <c r="J1157"/>
      <c r="Q1157" s="3">
        <f t="shared" si="18"/>
        <v>1.9999999999999997E-2</v>
      </c>
    </row>
    <row r="1158" spans="1:17" x14ac:dyDescent="0.35">
      <c r="A1158" t="s">
        <v>35</v>
      </c>
      <c r="B1158" t="s">
        <v>724</v>
      </c>
      <c r="C1158" t="s">
        <v>28</v>
      </c>
      <c r="D1158" t="s">
        <v>25</v>
      </c>
      <c r="E1158">
        <v>-1.9999999999999997E-2</v>
      </c>
      <c r="F1158" t="s">
        <v>88</v>
      </c>
      <c r="G1158" s="19">
        <v>45533</v>
      </c>
      <c r="H1158" t="s">
        <v>7085</v>
      </c>
      <c r="I1158" t="s">
        <v>6200</v>
      </c>
      <c r="J1158"/>
      <c r="Q1158" s="3">
        <f t="shared" si="18"/>
        <v>1.9999999999999997E-2</v>
      </c>
    </row>
    <row r="1159" spans="1:17" x14ac:dyDescent="0.35">
      <c r="A1159" t="s">
        <v>35</v>
      </c>
      <c r="B1159" t="s">
        <v>741</v>
      </c>
      <c r="C1159" t="s">
        <v>28</v>
      </c>
      <c r="D1159" t="s">
        <v>25</v>
      </c>
      <c r="E1159">
        <v>1.9999999999999997E-2</v>
      </c>
      <c r="F1159" t="s">
        <v>88</v>
      </c>
      <c r="G1159" s="19">
        <v>45533</v>
      </c>
      <c r="H1159" t="s">
        <v>7085</v>
      </c>
      <c r="I1159" t="s">
        <v>6200</v>
      </c>
      <c r="J1159"/>
      <c r="Q1159" s="3">
        <f t="shared" si="18"/>
        <v>1.9999999999999997E-2</v>
      </c>
    </row>
    <row r="1160" spans="1:17" x14ac:dyDescent="0.35">
      <c r="A1160" t="s">
        <v>35</v>
      </c>
      <c r="B1160" t="s">
        <v>599</v>
      </c>
      <c r="C1160" t="s">
        <v>28</v>
      </c>
      <c r="D1160" t="s">
        <v>25</v>
      </c>
      <c r="E1160">
        <v>1.0000000000000009E-2</v>
      </c>
      <c r="F1160" t="s">
        <v>88</v>
      </c>
      <c r="G1160" s="19">
        <v>45533</v>
      </c>
      <c r="H1160" t="s">
        <v>7085</v>
      </c>
      <c r="I1160" t="s">
        <v>6200</v>
      </c>
      <c r="J1160"/>
      <c r="Q1160" s="3">
        <f t="shared" si="18"/>
        <v>1.0000000000000009E-2</v>
      </c>
    </row>
    <row r="1161" spans="1:17" x14ac:dyDescent="0.35">
      <c r="A1161" t="s">
        <v>35</v>
      </c>
      <c r="B1161" t="s">
        <v>6403</v>
      </c>
      <c r="C1161" t="s">
        <v>28</v>
      </c>
      <c r="D1161" t="s">
        <v>25</v>
      </c>
      <c r="E1161">
        <v>-1.0000000000000002E-2</v>
      </c>
      <c r="F1161" t="s">
        <v>88</v>
      </c>
      <c r="G1161" s="19">
        <v>45533</v>
      </c>
      <c r="H1161" t="s">
        <v>7085</v>
      </c>
      <c r="I1161" t="s">
        <v>6200</v>
      </c>
      <c r="J1161"/>
      <c r="Q1161" s="3">
        <f t="shared" si="18"/>
        <v>1.0000000000000002E-2</v>
      </c>
    </row>
    <row r="1162" spans="1:17" x14ac:dyDescent="0.35">
      <c r="A1162" t="s">
        <v>35</v>
      </c>
      <c r="B1162" t="s">
        <v>1533</v>
      </c>
      <c r="C1162" t="s">
        <v>28</v>
      </c>
      <c r="D1162" t="s">
        <v>25</v>
      </c>
      <c r="E1162">
        <v>-1.0000000000000002E-2</v>
      </c>
      <c r="F1162" t="s">
        <v>88</v>
      </c>
      <c r="G1162" s="19">
        <v>45533</v>
      </c>
      <c r="H1162" t="s">
        <v>7085</v>
      </c>
      <c r="I1162" t="s">
        <v>6200</v>
      </c>
      <c r="J1162"/>
      <c r="Q1162" s="3">
        <f t="shared" ref="Q1162:Q1225" si="19">ABS(E1162)</f>
        <v>1.0000000000000002E-2</v>
      </c>
    </row>
    <row r="1163" spans="1:17" x14ac:dyDescent="0.35">
      <c r="A1163" t="s">
        <v>0</v>
      </c>
      <c r="B1163" t="s">
        <v>728</v>
      </c>
      <c r="C1163" t="s">
        <v>28</v>
      </c>
      <c r="D1163" t="s">
        <v>25</v>
      </c>
      <c r="E1163">
        <v>0.01</v>
      </c>
      <c r="F1163" t="s">
        <v>88</v>
      </c>
      <c r="G1163" s="19">
        <v>45403</v>
      </c>
      <c r="H1163" t="s">
        <v>637</v>
      </c>
      <c r="I1163" t="s">
        <v>6384</v>
      </c>
      <c r="J1163"/>
      <c r="Q1163" s="3">
        <f t="shared" si="19"/>
        <v>0.01</v>
      </c>
    </row>
    <row r="1164" spans="1:17" x14ac:dyDescent="0.35">
      <c r="A1164" t="s">
        <v>0</v>
      </c>
      <c r="B1164" t="s">
        <v>797</v>
      </c>
      <c r="C1164" t="s">
        <v>28</v>
      </c>
      <c r="D1164" t="s">
        <v>25</v>
      </c>
      <c r="E1164">
        <v>-0.01</v>
      </c>
      <c r="F1164" t="s">
        <v>88</v>
      </c>
      <c r="G1164" s="19">
        <v>45403</v>
      </c>
      <c r="H1164" t="s">
        <v>637</v>
      </c>
      <c r="I1164" t="s">
        <v>6384</v>
      </c>
      <c r="J1164"/>
      <c r="Q1164" s="3">
        <f t="shared" si="19"/>
        <v>0.01</v>
      </c>
    </row>
    <row r="1165" spans="1:17" x14ac:dyDescent="0.35">
      <c r="A1165" t="s">
        <v>0</v>
      </c>
      <c r="B1165" t="s">
        <v>599</v>
      </c>
      <c r="C1165" t="s">
        <v>28</v>
      </c>
      <c r="D1165" t="s">
        <v>25</v>
      </c>
      <c r="E1165">
        <v>-0.01</v>
      </c>
      <c r="F1165" t="s">
        <v>88</v>
      </c>
      <c r="G1165" s="19">
        <v>45403</v>
      </c>
      <c r="H1165" t="s">
        <v>6384</v>
      </c>
      <c r="I1165" t="s">
        <v>6384</v>
      </c>
      <c r="J1165"/>
      <c r="Q1165" s="3">
        <f t="shared" si="19"/>
        <v>0.01</v>
      </c>
    </row>
    <row r="1166" spans="1:17" x14ac:dyDescent="0.35">
      <c r="A1166" t="s">
        <v>0</v>
      </c>
      <c r="B1166" t="s">
        <v>698</v>
      </c>
      <c r="C1166" t="s">
        <v>28</v>
      </c>
      <c r="D1166" t="s">
        <v>25</v>
      </c>
      <c r="E1166">
        <v>0.01</v>
      </c>
      <c r="F1166" t="s">
        <v>88</v>
      </c>
      <c r="G1166" s="19">
        <v>45403</v>
      </c>
      <c r="H1166" t="s">
        <v>6384</v>
      </c>
      <c r="I1166" t="s">
        <v>6384</v>
      </c>
      <c r="J1166"/>
      <c r="Q1166" s="3">
        <f t="shared" si="19"/>
        <v>0.01</v>
      </c>
    </row>
    <row r="1167" spans="1:17" x14ac:dyDescent="0.35">
      <c r="A1167" t="s">
        <v>0</v>
      </c>
      <c r="B1167" t="s">
        <v>601</v>
      </c>
      <c r="C1167" t="s">
        <v>28</v>
      </c>
      <c r="D1167" t="s">
        <v>25</v>
      </c>
      <c r="E1167">
        <v>-0.01</v>
      </c>
      <c r="F1167" t="s">
        <v>88</v>
      </c>
      <c r="G1167" s="19">
        <v>45403</v>
      </c>
      <c r="H1167" t="s">
        <v>6384</v>
      </c>
      <c r="I1167" t="s">
        <v>6384</v>
      </c>
      <c r="J1167"/>
      <c r="Q1167" s="3">
        <f t="shared" si="19"/>
        <v>0.01</v>
      </c>
    </row>
    <row r="1168" spans="1:17" x14ac:dyDescent="0.35">
      <c r="A1168" t="s">
        <v>0</v>
      </c>
      <c r="B1168" t="s">
        <v>606</v>
      </c>
      <c r="C1168" t="s">
        <v>28</v>
      </c>
      <c r="D1168" t="s">
        <v>25</v>
      </c>
      <c r="E1168">
        <v>0.01</v>
      </c>
      <c r="F1168" t="s">
        <v>88</v>
      </c>
      <c r="G1168" s="19">
        <v>45403</v>
      </c>
      <c r="H1168" t="s">
        <v>6384</v>
      </c>
      <c r="I1168" t="s">
        <v>6384</v>
      </c>
      <c r="J1168"/>
      <c r="Q1168" s="3">
        <f t="shared" si="19"/>
        <v>0.01</v>
      </c>
    </row>
    <row r="1169" spans="1:32" x14ac:dyDescent="0.35">
      <c r="A1169" t="s">
        <v>0</v>
      </c>
      <c r="B1169" t="s">
        <v>1075</v>
      </c>
      <c r="C1169" t="s">
        <v>28</v>
      </c>
      <c r="D1169" t="s">
        <v>25</v>
      </c>
      <c r="E1169">
        <v>-0.01</v>
      </c>
      <c r="F1169" t="s">
        <v>88</v>
      </c>
      <c r="G1169" s="19">
        <v>45403</v>
      </c>
      <c r="H1169" t="s">
        <v>6384</v>
      </c>
      <c r="I1169" t="s">
        <v>6384</v>
      </c>
      <c r="J1169"/>
      <c r="Q1169" s="3">
        <f t="shared" si="19"/>
        <v>0.01</v>
      </c>
    </row>
    <row r="1170" spans="1:32" x14ac:dyDescent="0.35">
      <c r="A1170" t="s">
        <v>0</v>
      </c>
      <c r="B1170" t="s">
        <v>4583</v>
      </c>
      <c r="C1170" t="s">
        <v>28</v>
      </c>
      <c r="D1170" t="s">
        <v>25</v>
      </c>
      <c r="E1170">
        <v>-0.01</v>
      </c>
      <c r="F1170" t="s">
        <v>88</v>
      </c>
      <c r="G1170" s="19">
        <v>45403</v>
      </c>
      <c r="H1170" t="s">
        <v>6384</v>
      </c>
      <c r="I1170" t="s">
        <v>6384</v>
      </c>
      <c r="J1170"/>
      <c r="Q1170" s="3">
        <f t="shared" si="19"/>
        <v>0.01</v>
      </c>
    </row>
    <row r="1171" spans="1:32" x14ac:dyDescent="0.35">
      <c r="A1171" t="s">
        <v>0</v>
      </c>
      <c r="B1171" t="s">
        <v>969</v>
      </c>
      <c r="C1171" t="s">
        <v>28</v>
      </c>
      <c r="D1171" t="s">
        <v>25</v>
      </c>
      <c r="E1171">
        <v>-0.01</v>
      </c>
      <c r="F1171" t="s">
        <v>88</v>
      </c>
      <c r="G1171" s="19">
        <v>45403</v>
      </c>
      <c r="H1171" t="s">
        <v>6384</v>
      </c>
      <c r="I1171" t="s">
        <v>6384</v>
      </c>
      <c r="J1171"/>
      <c r="Q1171" s="3">
        <f t="shared" si="19"/>
        <v>0.01</v>
      </c>
    </row>
    <row r="1172" spans="1:32" x14ac:dyDescent="0.35">
      <c r="A1172" t="s">
        <v>0</v>
      </c>
      <c r="B1172" t="s">
        <v>2629</v>
      </c>
      <c r="C1172" t="s">
        <v>28</v>
      </c>
      <c r="D1172" t="s">
        <v>25</v>
      </c>
      <c r="E1172">
        <v>-0.01</v>
      </c>
      <c r="F1172" t="s">
        <v>88</v>
      </c>
      <c r="G1172" s="19">
        <v>45403</v>
      </c>
      <c r="H1172" t="s">
        <v>6384</v>
      </c>
      <c r="I1172" t="s">
        <v>6384</v>
      </c>
      <c r="J1172"/>
      <c r="Q1172" s="3">
        <f t="shared" si="19"/>
        <v>0.01</v>
      </c>
    </row>
    <row r="1173" spans="1:32" x14ac:dyDescent="0.35">
      <c r="A1173" t="s">
        <v>0</v>
      </c>
      <c r="B1173" t="s">
        <v>1416</v>
      </c>
      <c r="C1173" t="s">
        <v>28</v>
      </c>
      <c r="D1173" t="s">
        <v>25</v>
      </c>
      <c r="E1173">
        <v>0.01</v>
      </c>
      <c r="F1173" t="s">
        <v>88</v>
      </c>
      <c r="G1173" s="19">
        <v>45403</v>
      </c>
      <c r="H1173" t="s">
        <v>6384</v>
      </c>
      <c r="I1173" t="s">
        <v>6384</v>
      </c>
      <c r="J1173"/>
      <c r="Q1173" s="3">
        <f t="shared" si="19"/>
        <v>0.01</v>
      </c>
    </row>
    <row r="1174" spans="1:32" x14ac:dyDescent="0.35">
      <c r="A1174" t="s">
        <v>0</v>
      </c>
      <c r="B1174" t="s">
        <v>633</v>
      </c>
      <c r="C1174" t="s">
        <v>28</v>
      </c>
      <c r="D1174" t="s">
        <v>25</v>
      </c>
      <c r="E1174">
        <v>-0.01</v>
      </c>
      <c r="F1174" t="s">
        <v>88</v>
      </c>
      <c r="G1174" s="19">
        <v>45403</v>
      </c>
      <c r="H1174" t="s">
        <v>6384</v>
      </c>
      <c r="I1174" t="s">
        <v>6384</v>
      </c>
      <c r="J1174"/>
      <c r="Q1174" s="3">
        <f t="shared" si="19"/>
        <v>0.01</v>
      </c>
    </row>
    <row r="1175" spans="1:32" x14ac:dyDescent="0.35">
      <c r="A1175" t="s">
        <v>0</v>
      </c>
      <c r="B1175" t="s">
        <v>6145</v>
      </c>
      <c r="C1175" t="s">
        <v>28</v>
      </c>
      <c r="D1175" t="s">
        <v>25</v>
      </c>
      <c r="E1175">
        <v>0.01</v>
      </c>
      <c r="F1175" t="s">
        <v>88</v>
      </c>
      <c r="G1175" s="19">
        <v>45403</v>
      </c>
      <c r="H1175" t="s">
        <v>6384</v>
      </c>
      <c r="I1175" t="s">
        <v>6384</v>
      </c>
      <c r="J1175"/>
      <c r="Q1175" s="3">
        <f t="shared" si="19"/>
        <v>0.01</v>
      </c>
    </row>
    <row r="1176" spans="1:32" x14ac:dyDescent="0.35">
      <c r="A1176" t="s">
        <v>0</v>
      </c>
      <c r="B1176" t="s">
        <v>708</v>
      </c>
      <c r="C1176" t="s">
        <v>28</v>
      </c>
      <c r="D1176" t="s">
        <v>25</v>
      </c>
      <c r="E1176">
        <v>0.01</v>
      </c>
      <c r="F1176" t="s">
        <v>88</v>
      </c>
      <c r="G1176" s="19">
        <v>45403</v>
      </c>
      <c r="H1176" t="s">
        <v>6384</v>
      </c>
      <c r="I1176" t="s">
        <v>6384</v>
      </c>
      <c r="J1176"/>
      <c r="Q1176" s="3">
        <f t="shared" si="19"/>
        <v>0.01</v>
      </c>
    </row>
    <row r="1177" spans="1:32" x14ac:dyDescent="0.35">
      <c r="A1177" t="s">
        <v>0</v>
      </c>
      <c r="B1177" t="s">
        <v>1995</v>
      </c>
      <c r="C1177" t="s">
        <v>28</v>
      </c>
      <c r="D1177" t="s">
        <v>25</v>
      </c>
      <c r="E1177">
        <v>0.01</v>
      </c>
      <c r="F1177" t="s">
        <v>88</v>
      </c>
      <c r="G1177" s="19">
        <v>45403</v>
      </c>
      <c r="H1177" t="s">
        <v>6384</v>
      </c>
      <c r="I1177" t="s">
        <v>6384</v>
      </c>
      <c r="J1177"/>
      <c r="Q1177" s="3">
        <f t="shared" si="19"/>
        <v>0.01</v>
      </c>
    </row>
    <row r="1178" spans="1:32" x14ac:dyDescent="0.35">
      <c r="A1178" t="s">
        <v>0</v>
      </c>
      <c r="B1178" t="s">
        <v>6389</v>
      </c>
      <c r="C1178" t="s">
        <v>28</v>
      </c>
      <c r="D1178" t="s">
        <v>25</v>
      </c>
      <c r="E1178">
        <v>0.01</v>
      </c>
      <c r="F1178" t="s">
        <v>88</v>
      </c>
      <c r="G1178" s="19">
        <v>45403</v>
      </c>
      <c r="H1178" t="s">
        <v>6384</v>
      </c>
      <c r="I1178" t="s">
        <v>6384</v>
      </c>
      <c r="J1178"/>
      <c r="Q1178" s="3">
        <f t="shared" si="19"/>
        <v>0.01</v>
      </c>
    </row>
    <row r="1179" spans="1:32" x14ac:dyDescent="0.35">
      <c r="A1179" t="s">
        <v>35</v>
      </c>
      <c r="B1179" t="s">
        <v>605</v>
      </c>
      <c r="C1179" t="s">
        <v>28</v>
      </c>
      <c r="D1179" t="s">
        <v>25</v>
      </c>
      <c r="E1179">
        <v>0.01</v>
      </c>
      <c r="F1179" t="s">
        <v>88</v>
      </c>
      <c r="G1179" s="19">
        <v>45403</v>
      </c>
      <c r="H1179" t="s">
        <v>637</v>
      </c>
      <c r="I1179" t="s">
        <v>6384</v>
      </c>
      <c r="J1179"/>
      <c r="Q1179" s="3">
        <f t="shared" si="19"/>
        <v>0.01</v>
      </c>
    </row>
    <row r="1180" spans="1:32" x14ac:dyDescent="0.35">
      <c r="A1180" t="s">
        <v>35</v>
      </c>
      <c r="B1180" t="s">
        <v>6391</v>
      </c>
      <c r="C1180" t="s">
        <v>28</v>
      </c>
      <c r="D1180" t="s">
        <v>25</v>
      </c>
      <c r="E1180">
        <v>-0.01</v>
      </c>
      <c r="F1180" t="s">
        <v>88</v>
      </c>
      <c r="G1180" s="19">
        <v>45403</v>
      </c>
      <c r="H1180" t="s">
        <v>637</v>
      </c>
      <c r="I1180" t="s">
        <v>6384</v>
      </c>
      <c r="J1180"/>
      <c r="Q1180" s="3">
        <f t="shared" si="19"/>
        <v>0.01</v>
      </c>
    </row>
    <row r="1181" spans="1:32" x14ac:dyDescent="0.35">
      <c r="A1181" t="s">
        <v>35</v>
      </c>
      <c r="B1181" t="s">
        <v>1092</v>
      </c>
      <c r="C1181" t="s">
        <v>28</v>
      </c>
      <c r="D1181" t="s">
        <v>25</v>
      </c>
      <c r="E1181">
        <v>0.01</v>
      </c>
      <c r="F1181" t="s">
        <v>88</v>
      </c>
      <c r="G1181" s="19">
        <v>45403</v>
      </c>
      <c r="H1181" t="s">
        <v>637</v>
      </c>
      <c r="I1181" t="s">
        <v>6384</v>
      </c>
      <c r="J1181"/>
      <c r="P1181" s="86"/>
      <c r="Q1181" s="3">
        <f t="shared" si="19"/>
        <v>0.01</v>
      </c>
      <c r="R1181" s="85"/>
      <c r="S1181" s="85"/>
      <c r="T1181" s="88"/>
      <c r="U1181" s="88"/>
      <c r="V1181" s="87"/>
      <c r="W1181" s="88"/>
      <c r="X1181" s="88"/>
      <c r="Y1181" s="88"/>
      <c r="Z1181" s="88"/>
      <c r="AA1181" s="88"/>
      <c r="AB1181" s="88"/>
      <c r="AC1181" s="88"/>
      <c r="AD1181" s="88"/>
      <c r="AE1181" s="88"/>
      <c r="AF1181" s="88"/>
    </row>
    <row r="1182" spans="1:32" x14ac:dyDescent="0.35">
      <c r="A1182" t="s">
        <v>35</v>
      </c>
      <c r="B1182" t="s">
        <v>728</v>
      </c>
      <c r="C1182" t="s">
        <v>28</v>
      </c>
      <c r="D1182" t="s">
        <v>25</v>
      </c>
      <c r="E1182">
        <v>0.01</v>
      </c>
      <c r="F1182" t="s">
        <v>88</v>
      </c>
      <c r="G1182" s="19">
        <v>45403</v>
      </c>
      <c r="H1182" t="s">
        <v>637</v>
      </c>
      <c r="I1182" t="s">
        <v>6384</v>
      </c>
      <c r="J1182"/>
      <c r="Q1182" s="3">
        <f t="shared" si="19"/>
        <v>0.01</v>
      </c>
    </row>
    <row r="1183" spans="1:32" x14ac:dyDescent="0.35">
      <c r="A1183" t="s">
        <v>35</v>
      </c>
      <c r="B1183" t="s">
        <v>5392</v>
      </c>
      <c r="C1183" t="s">
        <v>28</v>
      </c>
      <c r="D1183" t="s">
        <v>25</v>
      </c>
      <c r="E1183">
        <v>-0.01</v>
      </c>
      <c r="F1183" t="s">
        <v>88</v>
      </c>
      <c r="G1183" s="19">
        <v>45403</v>
      </c>
      <c r="H1183" t="s">
        <v>637</v>
      </c>
      <c r="I1183" t="s">
        <v>6384</v>
      </c>
      <c r="J1183"/>
      <c r="Q1183" s="3">
        <f t="shared" si="19"/>
        <v>0.01</v>
      </c>
    </row>
    <row r="1184" spans="1:32" x14ac:dyDescent="0.35">
      <c r="A1184" t="s">
        <v>35</v>
      </c>
      <c r="B1184" t="s">
        <v>6399</v>
      </c>
      <c r="C1184" t="s">
        <v>28</v>
      </c>
      <c r="D1184" t="s">
        <v>25</v>
      </c>
      <c r="E1184">
        <v>0.01</v>
      </c>
      <c r="F1184" t="s">
        <v>88</v>
      </c>
      <c r="G1184" s="19">
        <v>45403</v>
      </c>
      <c r="H1184" t="s">
        <v>637</v>
      </c>
      <c r="I1184" t="s">
        <v>6384</v>
      </c>
      <c r="J1184"/>
      <c r="Q1184" s="3">
        <f t="shared" si="19"/>
        <v>0.01</v>
      </c>
    </row>
    <row r="1185" spans="1:17" x14ac:dyDescent="0.35">
      <c r="A1185" t="s">
        <v>35</v>
      </c>
      <c r="B1185" t="s">
        <v>613</v>
      </c>
      <c r="C1185" t="s">
        <v>28</v>
      </c>
      <c r="D1185" t="s">
        <v>25</v>
      </c>
      <c r="E1185">
        <v>0.01</v>
      </c>
      <c r="F1185" t="s">
        <v>88</v>
      </c>
      <c r="G1185" s="19">
        <v>45403</v>
      </c>
      <c r="H1185" t="s">
        <v>637</v>
      </c>
      <c r="I1185" t="s">
        <v>6384</v>
      </c>
      <c r="J1185"/>
      <c r="Q1185" s="3">
        <f t="shared" si="19"/>
        <v>0.01</v>
      </c>
    </row>
    <row r="1186" spans="1:17" x14ac:dyDescent="0.35">
      <c r="A1186" t="s">
        <v>35</v>
      </c>
      <c r="B1186" t="s">
        <v>6401</v>
      </c>
      <c r="C1186" t="s">
        <v>28</v>
      </c>
      <c r="D1186" t="s">
        <v>25</v>
      </c>
      <c r="E1186">
        <v>-0.01</v>
      </c>
      <c r="F1186" t="s">
        <v>88</v>
      </c>
      <c r="G1186" s="19">
        <v>45403</v>
      </c>
      <c r="H1186" t="s">
        <v>637</v>
      </c>
      <c r="I1186" t="s">
        <v>6384</v>
      </c>
      <c r="J1186"/>
      <c r="Q1186" s="3">
        <f t="shared" si="19"/>
        <v>0.01</v>
      </c>
    </row>
    <row r="1187" spans="1:17" x14ac:dyDescent="0.35">
      <c r="A1187" t="s">
        <v>35</v>
      </c>
      <c r="B1187" t="s">
        <v>6403</v>
      </c>
      <c r="C1187" t="s">
        <v>28</v>
      </c>
      <c r="D1187" t="s">
        <v>25</v>
      </c>
      <c r="E1187">
        <v>-0.01</v>
      </c>
      <c r="F1187" t="s">
        <v>88</v>
      </c>
      <c r="G1187" s="19">
        <v>45403</v>
      </c>
      <c r="H1187" t="s">
        <v>637</v>
      </c>
      <c r="I1187" t="s">
        <v>6384</v>
      </c>
      <c r="J1187"/>
      <c r="Q1187" s="3">
        <f t="shared" si="19"/>
        <v>0.01</v>
      </c>
    </row>
    <row r="1188" spans="1:17" x14ac:dyDescent="0.35">
      <c r="A1188" t="s">
        <v>35</v>
      </c>
      <c r="B1188" t="s">
        <v>694</v>
      </c>
      <c r="C1188" t="s">
        <v>28</v>
      </c>
      <c r="D1188" t="s">
        <v>25</v>
      </c>
      <c r="E1188">
        <v>0.01</v>
      </c>
      <c r="F1188" t="s">
        <v>88</v>
      </c>
      <c r="G1188" s="19">
        <v>45403</v>
      </c>
      <c r="H1188" t="s">
        <v>637</v>
      </c>
      <c r="I1188" t="s">
        <v>6384</v>
      </c>
      <c r="J1188"/>
      <c r="Q1188" s="3">
        <f t="shared" si="19"/>
        <v>0.01</v>
      </c>
    </row>
    <row r="1189" spans="1:17" x14ac:dyDescent="0.35">
      <c r="A1189" t="s">
        <v>35</v>
      </c>
      <c r="B1189" t="s">
        <v>893</v>
      </c>
      <c r="C1189" t="s">
        <v>28</v>
      </c>
      <c r="D1189" t="s">
        <v>25</v>
      </c>
      <c r="E1189">
        <v>-0.01</v>
      </c>
      <c r="F1189" t="s">
        <v>88</v>
      </c>
      <c r="G1189" s="19">
        <v>45403</v>
      </c>
      <c r="H1189" t="s">
        <v>637</v>
      </c>
      <c r="I1189" t="s">
        <v>6384</v>
      </c>
      <c r="J1189"/>
      <c r="Q1189" s="3">
        <f t="shared" si="19"/>
        <v>0.01</v>
      </c>
    </row>
    <row r="1190" spans="1:17" x14ac:dyDescent="0.35">
      <c r="A1190" t="s">
        <v>35</v>
      </c>
      <c r="B1190" t="s">
        <v>1244</v>
      </c>
      <c r="C1190" t="s">
        <v>28</v>
      </c>
      <c r="D1190" t="s">
        <v>25</v>
      </c>
      <c r="E1190">
        <v>0.01</v>
      </c>
      <c r="F1190" t="s">
        <v>88</v>
      </c>
      <c r="G1190" s="19">
        <v>45403</v>
      </c>
      <c r="H1190" t="s">
        <v>637</v>
      </c>
      <c r="I1190" t="s">
        <v>6384</v>
      </c>
      <c r="J1190"/>
      <c r="Q1190" s="3">
        <f t="shared" si="19"/>
        <v>0.01</v>
      </c>
    </row>
    <row r="1191" spans="1:17" x14ac:dyDescent="0.35">
      <c r="A1191" t="s">
        <v>35</v>
      </c>
      <c r="B1191" t="s">
        <v>2543</v>
      </c>
      <c r="C1191" t="s">
        <v>28</v>
      </c>
      <c r="D1191" t="s">
        <v>25</v>
      </c>
      <c r="E1191">
        <v>-0.01</v>
      </c>
      <c r="F1191" t="s">
        <v>88</v>
      </c>
      <c r="G1191" s="19">
        <v>45403</v>
      </c>
      <c r="H1191" t="s">
        <v>637</v>
      </c>
      <c r="I1191" t="s">
        <v>6384</v>
      </c>
      <c r="J1191"/>
      <c r="Q1191" s="3">
        <f t="shared" si="19"/>
        <v>0.01</v>
      </c>
    </row>
    <row r="1192" spans="1:17" x14ac:dyDescent="0.35">
      <c r="A1192" t="s">
        <v>35</v>
      </c>
      <c r="B1192" t="s">
        <v>601</v>
      </c>
      <c r="C1192" t="s">
        <v>28</v>
      </c>
      <c r="D1192" t="s">
        <v>25</v>
      </c>
      <c r="E1192">
        <v>0.01</v>
      </c>
      <c r="F1192" t="s">
        <v>88</v>
      </c>
      <c r="G1192" s="19">
        <v>45403</v>
      </c>
      <c r="H1192" t="s">
        <v>637</v>
      </c>
      <c r="I1192" t="s">
        <v>6384</v>
      </c>
      <c r="J1192"/>
      <c r="Q1192" s="3">
        <f t="shared" si="19"/>
        <v>0.01</v>
      </c>
    </row>
    <row r="1193" spans="1:17" x14ac:dyDescent="0.35">
      <c r="A1193" t="s">
        <v>35</v>
      </c>
      <c r="B1193" t="s">
        <v>606</v>
      </c>
      <c r="C1193" t="s">
        <v>28</v>
      </c>
      <c r="D1193" t="s">
        <v>25</v>
      </c>
      <c r="E1193">
        <v>0.01</v>
      </c>
      <c r="F1193" t="s">
        <v>88</v>
      </c>
      <c r="G1193" s="19">
        <v>45403</v>
      </c>
      <c r="H1193" t="s">
        <v>637</v>
      </c>
      <c r="I1193" t="s">
        <v>6384</v>
      </c>
      <c r="J1193"/>
      <c r="Q1193" s="3">
        <f t="shared" si="19"/>
        <v>0.01</v>
      </c>
    </row>
    <row r="1194" spans="1:17" x14ac:dyDescent="0.35">
      <c r="A1194" t="s">
        <v>35</v>
      </c>
      <c r="B1194" t="s">
        <v>969</v>
      </c>
      <c r="C1194" t="s">
        <v>28</v>
      </c>
      <c r="D1194" t="s">
        <v>25</v>
      </c>
      <c r="E1194">
        <v>0.01</v>
      </c>
      <c r="F1194" t="s">
        <v>88</v>
      </c>
      <c r="G1194" s="19">
        <v>45403</v>
      </c>
      <c r="H1194" t="s">
        <v>637</v>
      </c>
      <c r="I1194" t="s">
        <v>6384</v>
      </c>
      <c r="J1194"/>
      <c r="Q1194" s="3">
        <f t="shared" si="19"/>
        <v>0.01</v>
      </c>
    </row>
    <row r="1195" spans="1:17" x14ac:dyDescent="0.35">
      <c r="A1195" t="s">
        <v>35</v>
      </c>
      <c r="B1195" t="s">
        <v>788</v>
      </c>
      <c r="C1195" t="s">
        <v>28</v>
      </c>
      <c r="D1195" t="s">
        <v>25</v>
      </c>
      <c r="E1195">
        <v>0.01</v>
      </c>
      <c r="F1195" t="s">
        <v>88</v>
      </c>
      <c r="G1195" s="19">
        <v>45403</v>
      </c>
      <c r="H1195" t="s">
        <v>637</v>
      </c>
      <c r="I1195" t="s">
        <v>6384</v>
      </c>
      <c r="J1195"/>
      <c r="Q1195" s="3">
        <f t="shared" si="19"/>
        <v>0.01</v>
      </c>
    </row>
    <row r="1196" spans="1:17" x14ac:dyDescent="0.35">
      <c r="A1196" t="s">
        <v>35</v>
      </c>
      <c r="B1196" t="s">
        <v>915</v>
      </c>
      <c r="C1196" t="s">
        <v>28</v>
      </c>
      <c r="D1196" t="s">
        <v>25</v>
      </c>
      <c r="E1196">
        <v>0.01</v>
      </c>
      <c r="F1196" t="s">
        <v>88</v>
      </c>
      <c r="G1196" s="19">
        <v>45403</v>
      </c>
      <c r="H1196" t="s">
        <v>637</v>
      </c>
      <c r="I1196" t="s">
        <v>6384</v>
      </c>
      <c r="J1196"/>
      <c r="Q1196" s="3">
        <f t="shared" si="19"/>
        <v>0.01</v>
      </c>
    </row>
    <row r="1197" spans="1:17" x14ac:dyDescent="0.35">
      <c r="A1197" t="s">
        <v>35</v>
      </c>
      <c r="B1197" t="s">
        <v>819</v>
      </c>
      <c r="C1197" t="s">
        <v>28</v>
      </c>
      <c r="D1197" t="s">
        <v>25</v>
      </c>
      <c r="E1197">
        <v>0.01</v>
      </c>
      <c r="F1197" t="s">
        <v>88</v>
      </c>
      <c r="G1197" s="19">
        <v>45403</v>
      </c>
      <c r="H1197" t="s">
        <v>637</v>
      </c>
      <c r="I1197" t="s">
        <v>6384</v>
      </c>
      <c r="J1197"/>
      <c r="Q1197" s="3">
        <f t="shared" si="19"/>
        <v>0.01</v>
      </c>
    </row>
    <row r="1198" spans="1:17" x14ac:dyDescent="0.35">
      <c r="A1198" t="s">
        <v>35</v>
      </c>
      <c r="B1198" t="s">
        <v>2208</v>
      </c>
      <c r="C1198" t="s">
        <v>28</v>
      </c>
      <c r="D1198" t="s">
        <v>25</v>
      </c>
      <c r="E1198">
        <v>0.01</v>
      </c>
      <c r="F1198" t="s">
        <v>88</v>
      </c>
      <c r="G1198" s="19">
        <v>45403</v>
      </c>
      <c r="H1198" t="s">
        <v>637</v>
      </c>
      <c r="I1198" t="s">
        <v>6384</v>
      </c>
      <c r="J1198"/>
      <c r="Q1198" s="3">
        <f t="shared" si="19"/>
        <v>0.01</v>
      </c>
    </row>
    <row r="1199" spans="1:17" x14ac:dyDescent="0.35">
      <c r="A1199" t="s">
        <v>35</v>
      </c>
      <c r="B1199" t="s">
        <v>622</v>
      </c>
      <c r="C1199" t="s">
        <v>28</v>
      </c>
      <c r="D1199" t="s">
        <v>25</v>
      </c>
      <c r="E1199">
        <v>-0.01</v>
      </c>
      <c r="F1199" t="s">
        <v>88</v>
      </c>
      <c r="G1199" s="19">
        <v>45403</v>
      </c>
      <c r="H1199" t="s">
        <v>637</v>
      </c>
      <c r="I1199" t="s">
        <v>6384</v>
      </c>
      <c r="J1199"/>
      <c r="Q1199" s="3">
        <f t="shared" si="19"/>
        <v>0.01</v>
      </c>
    </row>
    <row r="1200" spans="1:17" x14ac:dyDescent="0.35">
      <c r="A1200" t="s">
        <v>35</v>
      </c>
      <c r="B1200" t="s">
        <v>1032</v>
      </c>
      <c r="C1200" t="s">
        <v>28</v>
      </c>
      <c r="D1200" t="s">
        <v>25</v>
      </c>
      <c r="E1200">
        <v>-0.01</v>
      </c>
      <c r="F1200" t="s">
        <v>88</v>
      </c>
      <c r="G1200" s="19">
        <v>45403</v>
      </c>
      <c r="H1200" t="s">
        <v>637</v>
      </c>
      <c r="I1200" t="s">
        <v>6384</v>
      </c>
      <c r="J1200"/>
      <c r="Q1200" s="3">
        <f t="shared" si="19"/>
        <v>0.01</v>
      </c>
    </row>
    <row r="1201" spans="1:17" x14ac:dyDescent="0.35">
      <c r="A1201" t="s">
        <v>35</v>
      </c>
      <c r="B1201" t="s">
        <v>677</v>
      </c>
      <c r="C1201" t="s">
        <v>28</v>
      </c>
      <c r="D1201" t="s">
        <v>25</v>
      </c>
      <c r="E1201">
        <v>-0.01</v>
      </c>
      <c r="F1201" t="s">
        <v>88</v>
      </c>
      <c r="G1201" s="19">
        <v>45403</v>
      </c>
      <c r="H1201" t="s">
        <v>637</v>
      </c>
      <c r="I1201" t="s">
        <v>6384</v>
      </c>
      <c r="J1201"/>
      <c r="Q1201" s="3">
        <f t="shared" si="19"/>
        <v>0.01</v>
      </c>
    </row>
    <row r="1202" spans="1:17" x14ac:dyDescent="0.35">
      <c r="A1202" t="s">
        <v>35</v>
      </c>
      <c r="B1202" t="s">
        <v>5696</v>
      </c>
      <c r="C1202" t="s">
        <v>28</v>
      </c>
      <c r="D1202" t="s">
        <v>25</v>
      </c>
      <c r="E1202">
        <v>-0.01</v>
      </c>
      <c r="F1202" t="s">
        <v>88</v>
      </c>
      <c r="G1202" s="19">
        <v>45403</v>
      </c>
      <c r="H1202" t="s">
        <v>637</v>
      </c>
      <c r="I1202" t="s">
        <v>6384</v>
      </c>
      <c r="J1202"/>
      <c r="Q1202" s="3">
        <f t="shared" si="19"/>
        <v>0.01</v>
      </c>
    </row>
    <row r="1203" spans="1:17" x14ac:dyDescent="0.35">
      <c r="A1203" t="s">
        <v>35</v>
      </c>
      <c r="B1203" t="s">
        <v>624</v>
      </c>
      <c r="C1203" t="s">
        <v>28</v>
      </c>
      <c r="D1203" t="s">
        <v>25</v>
      </c>
      <c r="E1203">
        <v>0.01</v>
      </c>
      <c r="F1203" t="s">
        <v>88</v>
      </c>
      <c r="G1203" s="19">
        <v>45403</v>
      </c>
      <c r="H1203" t="s">
        <v>637</v>
      </c>
      <c r="I1203" t="s">
        <v>6384</v>
      </c>
      <c r="J1203"/>
      <c r="Q1203" s="3">
        <f t="shared" si="19"/>
        <v>0.01</v>
      </c>
    </row>
    <row r="1204" spans="1:17" x14ac:dyDescent="0.35">
      <c r="A1204" t="s">
        <v>35</v>
      </c>
      <c r="B1204" t="s">
        <v>6156</v>
      </c>
      <c r="C1204" t="s">
        <v>28</v>
      </c>
      <c r="D1204" t="s">
        <v>25</v>
      </c>
      <c r="E1204">
        <v>0.01</v>
      </c>
      <c r="F1204" t="s">
        <v>88</v>
      </c>
      <c r="G1204" s="19">
        <v>45403</v>
      </c>
      <c r="H1204" t="s">
        <v>637</v>
      </c>
      <c r="I1204" t="s">
        <v>6384</v>
      </c>
      <c r="J1204"/>
      <c r="Q1204" s="3">
        <f t="shared" si="19"/>
        <v>0.01</v>
      </c>
    </row>
    <row r="1205" spans="1:17" x14ac:dyDescent="0.35">
      <c r="A1205" t="s">
        <v>35</v>
      </c>
      <c r="B1205" t="s">
        <v>838</v>
      </c>
      <c r="C1205" t="s">
        <v>28</v>
      </c>
      <c r="D1205" t="s">
        <v>25</v>
      </c>
      <c r="E1205">
        <v>0.01</v>
      </c>
      <c r="F1205" t="s">
        <v>88</v>
      </c>
      <c r="G1205" s="19">
        <v>45403</v>
      </c>
      <c r="H1205" t="s">
        <v>637</v>
      </c>
      <c r="I1205" t="s">
        <v>6384</v>
      </c>
      <c r="J1205"/>
      <c r="Q1205" s="3">
        <f t="shared" si="19"/>
        <v>0.01</v>
      </c>
    </row>
    <row r="1206" spans="1:17" x14ac:dyDescent="0.35">
      <c r="A1206" t="s">
        <v>35</v>
      </c>
      <c r="B1206" t="s">
        <v>6388</v>
      </c>
      <c r="C1206" t="s">
        <v>28</v>
      </c>
      <c r="D1206" t="s">
        <v>25</v>
      </c>
      <c r="E1206">
        <v>0.01</v>
      </c>
      <c r="F1206" t="s">
        <v>88</v>
      </c>
      <c r="G1206" s="19">
        <v>45403</v>
      </c>
      <c r="H1206" t="s">
        <v>6384</v>
      </c>
      <c r="I1206" t="s">
        <v>6384</v>
      </c>
      <c r="J1206"/>
      <c r="Q1206" s="3">
        <f t="shared" si="19"/>
        <v>0.01</v>
      </c>
    </row>
    <row r="1207" spans="1:17" x14ac:dyDescent="0.35">
      <c r="A1207" t="s">
        <v>35</v>
      </c>
      <c r="B1207" t="s">
        <v>6387</v>
      </c>
      <c r="C1207" t="s">
        <v>28</v>
      </c>
      <c r="D1207" t="s">
        <v>25</v>
      </c>
      <c r="E1207">
        <v>-0.01</v>
      </c>
      <c r="F1207" t="s">
        <v>88</v>
      </c>
      <c r="G1207" s="19">
        <v>45403</v>
      </c>
      <c r="H1207" t="s">
        <v>6384</v>
      </c>
      <c r="I1207" t="s">
        <v>6384</v>
      </c>
      <c r="J1207"/>
      <c r="Q1207" s="3">
        <f t="shared" si="19"/>
        <v>0.01</v>
      </c>
    </row>
    <row r="1208" spans="1:17" x14ac:dyDescent="0.35">
      <c r="A1208" t="s">
        <v>35</v>
      </c>
      <c r="B1208" t="s">
        <v>703</v>
      </c>
      <c r="C1208" t="s">
        <v>28</v>
      </c>
      <c r="D1208" t="s">
        <v>25</v>
      </c>
      <c r="E1208">
        <v>-0.01</v>
      </c>
      <c r="F1208" t="s">
        <v>88</v>
      </c>
      <c r="G1208" s="19">
        <v>45440</v>
      </c>
      <c r="H1208" t="s">
        <v>6527</v>
      </c>
      <c r="I1208" t="s">
        <v>6527</v>
      </c>
      <c r="J1208"/>
      <c r="Q1208" s="3">
        <f t="shared" si="19"/>
        <v>0.01</v>
      </c>
    </row>
    <row r="1209" spans="1:17" x14ac:dyDescent="0.35">
      <c r="A1209" t="s">
        <v>0</v>
      </c>
      <c r="B1209" t="s">
        <v>681</v>
      </c>
      <c r="C1209" t="s">
        <v>28</v>
      </c>
      <c r="D1209" t="s">
        <v>25</v>
      </c>
      <c r="E1209">
        <v>0.01</v>
      </c>
      <c r="F1209" t="s">
        <v>88</v>
      </c>
      <c r="G1209" s="19">
        <v>45533</v>
      </c>
      <c r="H1209" t="s">
        <v>7085</v>
      </c>
      <c r="I1209" t="s">
        <v>6200</v>
      </c>
      <c r="J1209"/>
      <c r="Q1209" s="3">
        <f t="shared" si="19"/>
        <v>0.01</v>
      </c>
    </row>
    <row r="1210" spans="1:17" x14ac:dyDescent="0.35">
      <c r="A1210" t="s">
        <v>0</v>
      </c>
      <c r="B1210" t="s">
        <v>1092</v>
      </c>
      <c r="C1210" t="s">
        <v>28</v>
      </c>
      <c r="D1210" t="s">
        <v>25</v>
      </c>
      <c r="E1210">
        <v>0.01</v>
      </c>
      <c r="F1210" t="s">
        <v>88</v>
      </c>
      <c r="G1210" s="19">
        <v>45533</v>
      </c>
      <c r="H1210" t="s">
        <v>7085</v>
      </c>
      <c r="I1210" t="s">
        <v>6200</v>
      </c>
      <c r="J1210"/>
      <c r="Q1210" s="3">
        <f t="shared" si="19"/>
        <v>0.01</v>
      </c>
    </row>
    <row r="1211" spans="1:17" x14ac:dyDescent="0.35">
      <c r="A1211" t="s">
        <v>0</v>
      </c>
      <c r="B1211" t="s">
        <v>6393</v>
      </c>
      <c r="C1211" t="s">
        <v>28</v>
      </c>
      <c r="D1211" t="s">
        <v>25</v>
      </c>
      <c r="E1211">
        <v>-0.01</v>
      </c>
      <c r="F1211" t="s">
        <v>88</v>
      </c>
      <c r="G1211" s="19">
        <v>45533</v>
      </c>
      <c r="H1211" t="s">
        <v>7085</v>
      </c>
      <c r="I1211" t="s">
        <v>6200</v>
      </c>
      <c r="J1211"/>
      <c r="Q1211" s="3">
        <f t="shared" si="19"/>
        <v>0.01</v>
      </c>
    </row>
    <row r="1212" spans="1:17" x14ac:dyDescent="0.35">
      <c r="A1212" t="s">
        <v>0</v>
      </c>
      <c r="B1212" t="s">
        <v>933</v>
      </c>
      <c r="C1212" t="s">
        <v>28</v>
      </c>
      <c r="D1212" t="s">
        <v>25</v>
      </c>
      <c r="E1212">
        <v>-0.01</v>
      </c>
      <c r="F1212" t="s">
        <v>88</v>
      </c>
      <c r="G1212" s="19">
        <v>45533</v>
      </c>
      <c r="H1212" t="s">
        <v>7085</v>
      </c>
      <c r="I1212" t="s">
        <v>6200</v>
      </c>
      <c r="J1212"/>
      <c r="Q1212" s="3">
        <f t="shared" si="19"/>
        <v>0.01</v>
      </c>
    </row>
    <row r="1213" spans="1:17" x14ac:dyDescent="0.35">
      <c r="A1213" t="s">
        <v>0</v>
      </c>
      <c r="B1213" t="s">
        <v>740</v>
      </c>
      <c r="C1213" t="s">
        <v>28</v>
      </c>
      <c r="D1213" t="s">
        <v>25</v>
      </c>
      <c r="E1213">
        <v>0.01</v>
      </c>
      <c r="F1213" t="s">
        <v>88</v>
      </c>
      <c r="G1213" s="19">
        <v>45533</v>
      </c>
      <c r="H1213" t="s">
        <v>7085</v>
      </c>
      <c r="I1213" t="s">
        <v>6200</v>
      </c>
      <c r="J1213"/>
      <c r="Q1213" s="3">
        <f t="shared" si="19"/>
        <v>0.01</v>
      </c>
    </row>
    <row r="1214" spans="1:17" x14ac:dyDescent="0.35">
      <c r="A1214" t="s">
        <v>0</v>
      </c>
      <c r="B1214" t="s">
        <v>636</v>
      </c>
      <c r="C1214" t="s">
        <v>28</v>
      </c>
      <c r="D1214" t="s">
        <v>25</v>
      </c>
      <c r="E1214">
        <v>0.01</v>
      </c>
      <c r="F1214" t="s">
        <v>88</v>
      </c>
      <c r="G1214" s="19">
        <v>45533</v>
      </c>
      <c r="H1214" t="s">
        <v>7085</v>
      </c>
      <c r="I1214" t="s">
        <v>6200</v>
      </c>
      <c r="J1214"/>
      <c r="Q1214" s="3">
        <f t="shared" si="19"/>
        <v>0.01</v>
      </c>
    </row>
    <row r="1215" spans="1:17" x14ac:dyDescent="0.35">
      <c r="A1215" t="s">
        <v>0</v>
      </c>
      <c r="B1215" t="s">
        <v>6399</v>
      </c>
      <c r="C1215" t="s">
        <v>28</v>
      </c>
      <c r="D1215" t="s">
        <v>25</v>
      </c>
      <c r="E1215">
        <v>0.01</v>
      </c>
      <c r="F1215" t="s">
        <v>88</v>
      </c>
      <c r="G1215" s="19">
        <v>45533</v>
      </c>
      <c r="H1215" t="s">
        <v>7085</v>
      </c>
      <c r="I1215" t="s">
        <v>6200</v>
      </c>
      <c r="J1215"/>
      <c r="Q1215" s="3">
        <f t="shared" si="19"/>
        <v>0.01</v>
      </c>
    </row>
    <row r="1216" spans="1:17" x14ac:dyDescent="0.35">
      <c r="A1216" t="s">
        <v>0</v>
      </c>
      <c r="B1216" t="s">
        <v>5426</v>
      </c>
      <c r="C1216" t="s">
        <v>28</v>
      </c>
      <c r="D1216" t="s">
        <v>25</v>
      </c>
      <c r="E1216">
        <v>-0.01</v>
      </c>
      <c r="F1216" t="s">
        <v>88</v>
      </c>
      <c r="G1216" s="19">
        <v>45533</v>
      </c>
      <c r="H1216" t="s">
        <v>7085</v>
      </c>
      <c r="I1216" t="s">
        <v>6200</v>
      </c>
      <c r="J1216"/>
      <c r="Q1216" s="3">
        <f t="shared" si="19"/>
        <v>0.01</v>
      </c>
    </row>
    <row r="1217" spans="1:17" x14ac:dyDescent="0.35">
      <c r="A1217" t="s">
        <v>0</v>
      </c>
      <c r="B1217" t="s">
        <v>768</v>
      </c>
      <c r="C1217" t="s">
        <v>28</v>
      </c>
      <c r="D1217" t="s">
        <v>25</v>
      </c>
      <c r="E1217">
        <v>-0.01</v>
      </c>
      <c r="F1217" t="s">
        <v>88</v>
      </c>
      <c r="G1217" s="19">
        <v>45533</v>
      </c>
      <c r="H1217" t="s">
        <v>7085</v>
      </c>
      <c r="I1217" t="s">
        <v>6200</v>
      </c>
      <c r="J1217"/>
      <c r="Q1217" s="3">
        <f t="shared" si="19"/>
        <v>0.01</v>
      </c>
    </row>
    <row r="1218" spans="1:17" x14ac:dyDescent="0.35">
      <c r="A1218" t="s">
        <v>0</v>
      </c>
      <c r="B1218" t="s">
        <v>1533</v>
      </c>
      <c r="C1218" t="s">
        <v>28</v>
      </c>
      <c r="D1218" t="s">
        <v>25</v>
      </c>
      <c r="E1218">
        <v>-0.01</v>
      </c>
      <c r="F1218" t="s">
        <v>88</v>
      </c>
      <c r="G1218" s="19">
        <v>45533</v>
      </c>
      <c r="H1218" t="s">
        <v>7085</v>
      </c>
      <c r="I1218" t="s">
        <v>6200</v>
      </c>
      <c r="J1218"/>
      <c r="Q1218" s="3">
        <f t="shared" si="19"/>
        <v>0.01</v>
      </c>
    </row>
    <row r="1219" spans="1:17" x14ac:dyDescent="0.35">
      <c r="A1219" t="s">
        <v>0</v>
      </c>
      <c r="B1219" t="s">
        <v>1480</v>
      </c>
      <c r="C1219" t="s">
        <v>28</v>
      </c>
      <c r="D1219" t="s">
        <v>25</v>
      </c>
      <c r="E1219">
        <v>-0.01</v>
      </c>
      <c r="F1219" t="s">
        <v>88</v>
      </c>
      <c r="G1219" s="19">
        <v>45533</v>
      </c>
      <c r="H1219" t="s">
        <v>7085</v>
      </c>
      <c r="I1219" t="s">
        <v>6200</v>
      </c>
      <c r="J1219"/>
      <c r="Q1219" s="3">
        <f t="shared" si="19"/>
        <v>0.01</v>
      </c>
    </row>
    <row r="1220" spans="1:17" x14ac:dyDescent="0.35">
      <c r="A1220" t="s">
        <v>0</v>
      </c>
      <c r="B1220" t="s">
        <v>1416</v>
      </c>
      <c r="C1220" t="s">
        <v>28</v>
      </c>
      <c r="D1220" t="s">
        <v>25</v>
      </c>
      <c r="E1220">
        <v>-0.01</v>
      </c>
      <c r="F1220" t="s">
        <v>88</v>
      </c>
      <c r="G1220" s="19">
        <v>45533</v>
      </c>
      <c r="H1220" t="s">
        <v>7085</v>
      </c>
      <c r="I1220" t="s">
        <v>6200</v>
      </c>
      <c r="J1220"/>
      <c r="Q1220" s="3">
        <f t="shared" si="19"/>
        <v>0.01</v>
      </c>
    </row>
    <row r="1221" spans="1:17" x14ac:dyDescent="0.35">
      <c r="A1221" t="s">
        <v>0</v>
      </c>
      <c r="B1221" t="s">
        <v>867</v>
      </c>
      <c r="C1221" t="s">
        <v>28</v>
      </c>
      <c r="D1221" t="s">
        <v>25</v>
      </c>
      <c r="E1221">
        <v>-0.01</v>
      </c>
      <c r="F1221" t="s">
        <v>88</v>
      </c>
      <c r="G1221" s="19">
        <v>45533</v>
      </c>
      <c r="H1221" t="s">
        <v>7085</v>
      </c>
      <c r="I1221" t="s">
        <v>6200</v>
      </c>
      <c r="J1221"/>
      <c r="Q1221" s="3">
        <f t="shared" si="19"/>
        <v>0.01</v>
      </c>
    </row>
    <row r="1222" spans="1:17" x14ac:dyDescent="0.35">
      <c r="A1222" t="s">
        <v>0</v>
      </c>
      <c r="B1222" t="s">
        <v>2031</v>
      </c>
      <c r="C1222" t="s">
        <v>28</v>
      </c>
      <c r="D1222" t="s">
        <v>25</v>
      </c>
      <c r="E1222">
        <v>0.01</v>
      </c>
      <c r="F1222" t="s">
        <v>88</v>
      </c>
      <c r="G1222" s="19">
        <v>45533</v>
      </c>
      <c r="H1222" t="s">
        <v>7085</v>
      </c>
      <c r="I1222" t="s">
        <v>6200</v>
      </c>
      <c r="J1222"/>
      <c r="Q1222" s="3">
        <f t="shared" si="19"/>
        <v>0.01</v>
      </c>
    </row>
    <row r="1223" spans="1:17" x14ac:dyDescent="0.35">
      <c r="A1223" t="s">
        <v>0</v>
      </c>
      <c r="B1223" t="s">
        <v>615</v>
      </c>
      <c r="C1223" t="s">
        <v>28</v>
      </c>
      <c r="D1223" t="s">
        <v>25</v>
      </c>
      <c r="E1223">
        <v>-0.01</v>
      </c>
      <c r="F1223" t="s">
        <v>88</v>
      </c>
      <c r="G1223" s="19">
        <v>45533</v>
      </c>
      <c r="H1223" t="s">
        <v>7085</v>
      </c>
      <c r="I1223" t="s">
        <v>6200</v>
      </c>
      <c r="J1223"/>
      <c r="Q1223" s="3">
        <f t="shared" si="19"/>
        <v>0.01</v>
      </c>
    </row>
    <row r="1224" spans="1:17" x14ac:dyDescent="0.35">
      <c r="A1224" t="s">
        <v>0</v>
      </c>
      <c r="B1224" t="s">
        <v>6389</v>
      </c>
      <c r="C1224" t="s">
        <v>28</v>
      </c>
      <c r="D1224" t="s">
        <v>25</v>
      </c>
      <c r="E1224">
        <v>0.01</v>
      </c>
      <c r="F1224" t="s">
        <v>88</v>
      </c>
      <c r="G1224" s="19">
        <v>45533</v>
      </c>
      <c r="H1224" t="s">
        <v>7085</v>
      </c>
      <c r="I1224" t="s">
        <v>6200</v>
      </c>
      <c r="J1224"/>
      <c r="Q1224" s="3">
        <f t="shared" si="19"/>
        <v>0.01</v>
      </c>
    </row>
    <row r="1225" spans="1:17" x14ac:dyDescent="0.35">
      <c r="A1225" t="s">
        <v>0</v>
      </c>
      <c r="B1225" t="s">
        <v>741</v>
      </c>
      <c r="C1225" t="s">
        <v>28</v>
      </c>
      <c r="D1225" t="s">
        <v>25</v>
      </c>
      <c r="E1225">
        <v>0.01</v>
      </c>
      <c r="F1225" t="s">
        <v>88</v>
      </c>
      <c r="G1225" s="19">
        <v>45533</v>
      </c>
      <c r="H1225" t="s">
        <v>7085</v>
      </c>
      <c r="I1225" t="s">
        <v>6200</v>
      </c>
      <c r="J1225"/>
      <c r="Q1225" s="3">
        <f t="shared" si="19"/>
        <v>0.01</v>
      </c>
    </row>
    <row r="1226" spans="1:17" x14ac:dyDescent="0.35">
      <c r="A1226" t="s">
        <v>0</v>
      </c>
      <c r="B1226" t="s">
        <v>622</v>
      </c>
      <c r="C1226" t="s">
        <v>28</v>
      </c>
      <c r="D1226" t="s">
        <v>25</v>
      </c>
      <c r="E1226">
        <v>-0.01</v>
      </c>
      <c r="F1226" t="s">
        <v>88</v>
      </c>
      <c r="G1226" s="19">
        <v>45533</v>
      </c>
      <c r="H1226" t="s">
        <v>7085</v>
      </c>
      <c r="I1226" t="s">
        <v>6200</v>
      </c>
      <c r="J1226"/>
      <c r="Q1226" s="3">
        <f t="shared" ref="Q1226:Q1238" si="20">ABS(E1226)</f>
        <v>0.01</v>
      </c>
    </row>
    <row r="1227" spans="1:17" x14ac:dyDescent="0.35">
      <c r="A1227" t="s">
        <v>0</v>
      </c>
      <c r="B1227" t="s">
        <v>6406</v>
      </c>
      <c r="C1227" t="s">
        <v>28</v>
      </c>
      <c r="D1227" t="s">
        <v>25</v>
      </c>
      <c r="E1227">
        <v>-0.01</v>
      </c>
      <c r="F1227" t="s">
        <v>88</v>
      </c>
      <c r="G1227" s="19">
        <v>45533</v>
      </c>
      <c r="H1227" t="s">
        <v>7085</v>
      </c>
      <c r="I1227" t="s">
        <v>6200</v>
      </c>
      <c r="J1227"/>
      <c r="Q1227" s="3">
        <f t="shared" si="20"/>
        <v>0.01</v>
      </c>
    </row>
    <row r="1228" spans="1:17" x14ac:dyDescent="0.35">
      <c r="A1228" t="s">
        <v>0</v>
      </c>
      <c r="B1228" t="s">
        <v>677</v>
      </c>
      <c r="C1228" t="s">
        <v>28</v>
      </c>
      <c r="D1228" t="s">
        <v>25</v>
      </c>
      <c r="E1228">
        <v>0.01</v>
      </c>
      <c r="F1228" t="s">
        <v>88</v>
      </c>
      <c r="G1228" s="19">
        <v>45533</v>
      </c>
      <c r="H1228" t="s">
        <v>7085</v>
      </c>
      <c r="I1228" t="s">
        <v>6200</v>
      </c>
      <c r="J1228"/>
      <c r="Q1228" s="3">
        <f t="shared" si="20"/>
        <v>0.01</v>
      </c>
    </row>
    <row r="1229" spans="1:17" x14ac:dyDescent="0.35">
      <c r="A1229" t="s">
        <v>0</v>
      </c>
      <c r="B1229" t="s">
        <v>770</v>
      </c>
      <c r="C1229" t="s">
        <v>28</v>
      </c>
      <c r="D1229" t="s">
        <v>25</v>
      </c>
      <c r="E1229">
        <v>0.01</v>
      </c>
      <c r="F1229" t="s">
        <v>88</v>
      </c>
      <c r="G1229" s="19">
        <v>45533</v>
      </c>
      <c r="H1229" t="s">
        <v>7085</v>
      </c>
      <c r="I1229" t="s">
        <v>6200</v>
      </c>
      <c r="J1229"/>
      <c r="Q1229" s="3">
        <f t="shared" si="20"/>
        <v>0.01</v>
      </c>
    </row>
    <row r="1230" spans="1:17" x14ac:dyDescent="0.35">
      <c r="A1230" t="s">
        <v>0</v>
      </c>
      <c r="B1230" t="s">
        <v>624</v>
      </c>
      <c r="C1230" t="s">
        <v>28</v>
      </c>
      <c r="D1230" t="s">
        <v>25</v>
      </c>
      <c r="E1230">
        <v>0.01</v>
      </c>
      <c r="F1230" t="s">
        <v>88</v>
      </c>
      <c r="G1230" s="19">
        <v>45533</v>
      </c>
      <c r="H1230" t="s">
        <v>7085</v>
      </c>
      <c r="I1230" t="s">
        <v>6200</v>
      </c>
      <c r="J1230"/>
      <c r="Q1230" s="3">
        <f t="shared" si="20"/>
        <v>0.01</v>
      </c>
    </row>
    <row r="1231" spans="1:17" x14ac:dyDescent="0.35">
      <c r="A1231" t="s">
        <v>35</v>
      </c>
      <c r="B1231" t="s">
        <v>613</v>
      </c>
      <c r="C1231" t="s">
        <v>28</v>
      </c>
      <c r="D1231" t="s">
        <v>25</v>
      </c>
      <c r="E1231">
        <v>-0.01</v>
      </c>
      <c r="F1231" t="s">
        <v>88</v>
      </c>
      <c r="G1231" s="19">
        <v>45533</v>
      </c>
      <c r="H1231" t="s">
        <v>7085</v>
      </c>
      <c r="I1231" t="s">
        <v>6200</v>
      </c>
      <c r="J1231"/>
      <c r="Q1231" s="3">
        <f t="shared" si="20"/>
        <v>0.01</v>
      </c>
    </row>
    <row r="1232" spans="1:17" x14ac:dyDescent="0.35">
      <c r="A1232" t="s">
        <v>35</v>
      </c>
      <c r="B1232" t="s">
        <v>3466</v>
      </c>
      <c r="C1232" t="s">
        <v>28</v>
      </c>
      <c r="D1232" t="s">
        <v>25</v>
      </c>
      <c r="E1232">
        <v>-0.01</v>
      </c>
      <c r="F1232" t="s">
        <v>88</v>
      </c>
      <c r="G1232" s="19">
        <v>45533</v>
      </c>
      <c r="H1232" t="s">
        <v>7085</v>
      </c>
      <c r="I1232" t="s">
        <v>6200</v>
      </c>
      <c r="J1232"/>
      <c r="Q1232" s="3">
        <f t="shared" si="20"/>
        <v>0.01</v>
      </c>
    </row>
    <row r="1233" spans="1:17" x14ac:dyDescent="0.35">
      <c r="A1233" t="s">
        <v>35</v>
      </c>
      <c r="B1233" t="s">
        <v>861</v>
      </c>
      <c r="C1233" t="s">
        <v>28</v>
      </c>
      <c r="D1233" t="s">
        <v>25</v>
      </c>
      <c r="E1233">
        <v>-0.01</v>
      </c>
      <c r="F1233" t="s">
        <v>88</v>
      </c>
      <c r="G1233" s="19">
        <v>45533</v>
      </c>
      <c r="H1233" t="s">
        <v>7085</v>
      </c>
      <c r="I1233" t="s">
        <v>6200</v>
      </c>
      <c r="J1233"/>
      <c r="Q1233" s="3">
        <f t="shared" si="20"/>
        <v>0.01</v>
      </c>
    </row>
    <row r="1234" spans="1:17" x14ac:dyDescent="0.35">
      <c r="A1234" t="s">
        <v>35</v>
      </c>
      <c r="B1234" t="s">
        <v>756</v>
      </c>
      <c r="C1234" t="s">
        <v>28</v>
      </c>
      <c r="D1234" t="s">
        <v>25</v>
      </c>
      <c r="E1234">
        <v>-9.9999999999999985E-3</v>
      </c>
      <c r="F1234" t="s">
        <v>88</v>
      </c>
      <c r="G1234" s="19">
        <v>45533</v>
      </c>
      <c r="H1234" t="s">
        <v>7085</v>
      </c>
      <c r="I1234" t="s">
        <v>6200</v>
      </c>
      <c r="J1234"/>
      <c r="Q1234" s="3">
        <f t="shared" si="20"/>
        <v>9.9999999999999985E-3</v>
      </c>
    </row>
    <row r="1235" spans="1:17" x14ac:dyDescent="0.35">
      <c r="A1235" t="s">
        <v>35</v>
      </c>
      <c r="B1235" t="s">
        <v>768</v>
      </c>
      <c r="C1235" t="s">
        <v>28</v>
      </c>
      <c r="D1235" t="s">
        <v>25</v>
      </c>
      <c r="E1235">
        <v>9.9999999999999985E-3</v>
      </c>
      <c r="F1235" t="s">
        <v>88</v>
      </c>
      <c r="G1235" s="19">
        <v>45533</v>
      </c>
      <c r="H1235" t="s">
        <v>7085</v>
      </c>
      <c r="I1235" t="s">
        <v>6200</v>
      </c>
      <c r="J1235"/>
      <c r="Q1235" s="3">
        <f t="shared" si="20"/>
        <v>9.9999999999999985E-3</v>
      </c>
    </row>
    <row r="1236" spans="1:17" x14ac:dyDescent="0.35">
      <c r="A1236" t="s">
        <v>35</v>
      </c>
      <c r="B1236" t="s">
        <v>1069</v>
      </c>
      <c r="C1236" t="s">
        <v>28</v>
      </c>
      <c r="D1236" t="s">
        <v>25</v>
      </c>
      <c r="E1236">
        <v>9.999999999999995E-3</v>
      </c>
      <c r="F1236" t="s">
        <v>88</v>
      </c>
      <c r="G1236" s="19">
        <v>45533</v>
      </c>
      <c r="H1236" t="s">
        <v>7085</v>
      </c>
      <c r="I1236" t="s">
        <v>6200</v>
      </c>
      <c r="J1236"/>
      <c r="Q1236" s="3">
        <f t="shared" si="20"/>
        <v>9.999999999999995E-3</v>
      </c>
    </row>
    <row r="1237" spans="1:17" x14ac:dyDescent="0.35">
      <c r="A1237" t="s">
        <v>35</v>
      </c>
      <c r="B1237" t="s">
        <v>6044</v>
      </c>
      <c r="C1237" t="s">
        <v>28</v>
      </c>
      <c r="D1237" t="s">
        <v>25</v>
      </c>
      <c r="E1237">
        <v>9.999999999999995E-3</v>
      </c>
      <c r="F1237" t="s">
        <v>88</v>
      </c>
      <c r="G1237" s="19">
        <v>45533</v>
      </c>
      <c r="H1237" t="s">
        <v>7085</v>
      </c>
      <c r="I1237" t="s">
        <v>6200</v>
      </c>
      <c r="J1237"/>
      <c r="Q1237" s="3">
        <f t="shared" si="20"/>
        <v>9.999999999999995E-3</v>
      </c>
    </row>
    <row r="1238" spans="1:17" x14ac:dyDescent="0.35">
      <c r="A1238" t="s">
        <v>35</v>
      </c>
      <c r="B1238" t="s">
        <v>934</v>
      </c>
      <c r="C1238" t="s">
        <v>28</v>
      </c>
      <c r="D1238" t="s">
        <v>25</v>
      </c>
      <c r="E1238">
        <v>-9.999999999999995E-3</v>
      </c>
      <c r="F1238" t="s">
        <v>88</v>
      </c>
      <c r="G1238" s="19">
        <v>45533</v>
      </c>
      <c r="H1238" t="s">
        <v>7085</v>
      </c>
      <c r="I1238" t="s">
        <v>6200</v>
      </c>
      <c r="J1238"/>
      <c r="Q1238" s="3">
        <f t="shared" si="20"/>
        <v>9.999999999999995E-3</v>
      </c>
    </row>
  </sheetData>
  <autoFilter ref="A9:AF1238" xr:uid="{926DC647-633B-4CE4-9B03-90E0B59A94C4}">
    <sortState xmlns:xlrd2="http://schemas.microsoft.com/office/spreadsheetml/2017/richdata2" ref="A10:AF1238">
      <sortCondition descending="1" ref="AD9:AD1238"/>
    </sortState>
  </autoFilter>
  <sortState xmlns:xlrd2="http://schemas.microsoft.com/office/spreadsheetml/2017/richdata2" ref="A9:Q171">
    <sortCondition descending="1" ref="Q9:Q171"/>
  </sortState>
  <mergeCells count="2">
    <mergeCell ref="AD8:AE8"/>
    <mergeCell ref="G3:K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1D7E8-707C-4EF1-8B1F-5BBB88F0942E}">
  <sheetPr>
    <tabColor rgb="FF00B050"/>
  </sheetPr>
  <dimension ref="A1:AE231"/>
  <sheetViews>
    <sheetView workbookViewId="0">
      <selection activeCell="C3" sqref="C3"/>
    </sheetView>
  </sheetViews>
  <sheetFormatPr defaultRowHeight="14.5" x14ac:dyDescent="0.35"/>
  <cols>
    <col min="3" max="3" width="13.1796875" customWidth="1"/>
    <col min="4" max="5" width="5.26953125" customWidth="1"/>
    <col min="6" max="7" width="5.26953125" style="19" customWidth="1"/>
    <col min="8" max="8" width="26.453125" customWidth="1"/>
    <col min="16" max="16" width="6.26953125" style="5" customWidth="1"/>
    <col min="17" max="17" width="12.54296875" style="3" bestFit="1" customWidth="1"/>
    <col min="18" max="18" width="17.453125" bestFit="1" customWidth="1"/>
    <col min="19" max="19" width="20.54296875" bestFit="1" customWidth="1"/>
  </cols>
  <sheetData>
    <row r="1" spans="1:31" x14ac:dyDescent="0.35">
      <c r="A1" t="s">
        <v>69</v>
      </c>
      <c r="C1" s="72">
        <f>Summary!A24</f>
        <v>5900050000</v>
      </c>
      <c r="D1" s="3"/>
    </row>
    <row r="2" spans="1:31" x14ac:dyDescent="0.35">
      <c r="A2" t="s">
        <v>70</v>
      </c>
      <c r="C2" s="72" t="str">
        <f>Summary!B24</f>
        <v>Other non banking expenses</v>
      </c>
      <c r="D2" s="3"/>
      <c r="G2" s="19" t="s">
        <v>141</v>
      </c>
    </row>
    <row r="3" spans="1:31" x14ac:dyDescent="0.35">
      <c r="A3" t="s">
        <v>71</v>
      </c>
      <c r="C3" s="22">
        <v>4549610.0300000012</v>
      </c>
      <c r="D3" s="3"/>
      <c r="G3" s="19" t="s">
        <v>394</v>
      </c>
    </row>
    <row r="4" spans="1:31" x14ac:dyDescent="0.35">
      <c r="A4" t="s">
        <v>45</v>
      </c>
      <c r="C4" s="23">
        <f>SUM(E:E)</f>
        <v>4549607.3900000006</v>
      </c>
      <c r="D4" s="3"/>
      <c r="T4" s="24" t="s">
        <v>0</v>
      </c>
      <c r="U4" s="3">
        <f>SUMIF($A$10:$A$23974,"AU001",U9:U23973)</f>
        <v>0</v>
      </c>
    </row>
    <row r="5" spans="1:31" ht="15" thickBot="1" x14ac:dyDescent="0.4">
      <c r="A5" t="s">
        <v>72</v>
      </c>
      <c r="C5" s="3">
        <f>C3-C4</f>
        <v>2.6400000005960464</v>
      </c>
      <c r="D5" s="3"/>
      <c r="Q5" s="30"/>
      <c r="R5" s="24"/>
      <c r="T5" s="24" t="s">
        <v>35</v>
      </c>
      <c r="U5" s="3">
        <f>SUMIF($A$10:$A$23975,"AU052",U9:U23974)</f>
        <v>0</v>
      </c>
    </row>
    <row r="6" spans="1:31" ht="15" thickBot="1" x14ac:dyDescent="0.4">
      <c r="D6" s="3"/>
      <c r="AC6" s="191" t="s">
        <v>44</v>
      </c>
      <c r="AD6" s="192"/>
    </row>
    <row r="7" spans="1:31" s="53" customFormat="1" ht="87.5" thickBot="1" x14ac:dyDescent="0.4">
      <c r="A7" s="100" t="s">
        <v>74</v>
      </c>
      <c r="B7" s="100" t="s">
        <v>597</v>
      </c>
      <c r="C7" s="100" t="s">
        <v>75</v>
      </c>
      <c r="D7" s="100" t="s">
        <v>76</v>
      </c>
      <c r="E7" s="100" t="s">
        <v>77</v>
      </c>
      <c r="F7" s="100" t="s">
        <v>78</v>
      </c>
      <c r="G7" s="101" t="s">
        <v>79</v>
      </c>
      <c r="H7" s="100" t="s">
        <v>80</v>
      </c>
      <c r="I7" s="100" t="s">
        <v>81</v>
      </c>
      <c r="J7" s="100" t="s">
        <v>82</v>
      </c>
      <c r="K7" s="100" t="s">
        <v>83</v>
      </c>
      <c r="L7" s="100" t="s">
        <v>84</v>
      </c>
      <c r="M7" s="100" t="s">
        <v>85</v>
      </c>
      <c r="N7" s="100" t="s">
        <v>86</v>
      </c>
      <c r="O7" s="100" t="s">
        <v>585</v>
      </c>
      <c r="P7" s="43"/>
      <c r="Q7" s="54" t="s">
        <v>136</v>
      </c>
      <c r="R7" s="44" t="s">
        <v>87</v>
      </c>
      <c r="S7" s="45" t="s">
        <v>46</v>
      </c>
      <c r="T7" s="45" t="s">
        <v>47</v>
      </c>
      <c r="U7" s="45" t="s">
        <v>48</v>
      </c>
      <c r="V7" s="46" t="s">
        <v>49</v>
      </c>
      <c r="W7" s="47" t="s">
        <v>50</v>
      </c>
      <c r="X7" s="48" t="s">
        <v>51</v>
      </c>
      <c r="Y7" s="49" t="s">
        <v>52</v>
      </c>
      <c r="Z7" s="50" t="s">
        <v>53</v>
      </c>
      <c r="AA7" s="50" t="s">
        <v>54</v>
      </c>
      <c r="AB7" s="50" t="s">
        <v>55</v>
      </c>
      <c r="AC7" s="51" t="s">
        <v>56</v>
      </c>
      <c r="AD7" s="51" t="s">
        <v>57</v>
      </c>
      <c r="AE7" s="52" t="s">
        <v>58</v>
      </c>
    </row>
    <row r="8" spans="1:31" x14ac:dyDescent="0.35">
      <c r="A8" t="s">
        <v>0</v>
      </c>
      <c r="B8" t="s">
        <v>7520</v>
      </c>
      <c r="C8" t="s">
        <v>29</v>
      </c>
      <c r="D8" t="s">
        <v>30</v>
      </c>
      <c r="E8">
        <v>121.32</v>
      </c>
      <c r="F8" t="s">
        <v>88</v>
      </c>
      <c r="G8" s="19">
        <v>45385</v>
      </c>
      <c r="H8" t="s">
        <v>323</v>
      </c>
      <c r="I8" t="s">
        <v>7521</v>
      </c>
      <c r="Q8" s="3">
        <f>E8</f>
        <v>121.32</v>
      </c>
      <c r="R8" t="s">
        <v>393</v>
      </c>
      <c r="S8" t="s">
        <v>137</v>
      </c>
      <c r="T8" t="s">
        <v>65</v>
      </c>
    </row>
    <row r="9" spans="1:31" x14ac:dyDescent="0.35">
      <c r="A9" t="s">
        <v>0</v>
      </c>
      <c r="B9" t="s">
        <v>7520</v>
      </c>
      <c r="C9" t="s">
        <v>29</v>
      </c>
      <c r="D9" t="s">
        <v>30</v>
      </c>
      <c r="E9">
        <v>105</v>
      </c>
      <c r="F9" t="s">
        <v>88</v>
      </c>
      <c r="G9" s="19">
        <v>45385</v>
      </c>
      <c r="H9" t="s">
        <v>323</v>
      </c>
      <c r="I9" t="s">
        <v>7522</v>
      </c>
      <c r="Q9" s="3">
        <f t="shared" ref="Q9:Q72" si="0">E9</f>
        <v>105</v>
      </c>
      <c r="R9" t="s">
        <v>393</v>
      </c>
      <c r="S9" t="s">
        <v>137</v>
      </c>
      <c r="T9" t="s">
        <v>65</v>
      </c>
    </row>
    <row r="10" spans="1:31" x14ac:dyDescent="0.35">
      <c r="A10" t="s">
        <v>0</v>
      </c>
      <c r="B10" t="s">
        <v>7520</v>
      </c>
      <c r="C10" t="s">
        <v>29</v>
      </c>
      <c r="D10" t="s">
        <v>30</v>
      </c>
      <c r="E10">
        <v>45</v>
      </c>
      <c r="F10" t="s">
        <v>88</v>
      </c>
      <c r="G10" s="19">
        <v>45392</v>
      </c>
      <c r="H10" t="s">
        <v>323</v>
      </c>
      <c r="I10" t="s">
        <v>7523</v>
      </c>
      <c r="Q10" s="3">
        <f t="shared" si="0"/>
        <v>45</v>
      </c>
      <c r="R10" t="s">
        <v>393</v>
      </c>
      <c r="S10" t="s">
        <v>137</v>
      </c>
      <c r="T10" t="s">
        <v>65</v>
      </c>
    </row>
    <row r="11" spans="1:31" x14ac:dyDescent="0.35">
      <c r="A11" t="s">
        <v>0</v>
      </c>
      <c r="B11" t="s">
        <v>7520</v>
      </c>
      <c r="C11" t="s">
        <v>29</v>
      </c>
      <c r="D11" t="s">
        <v>30</v>
      </c>
      <c r="E11">
        <v>459.7</v>
      </c>
      <c r="F11" t="s">
        <v>88</v>
      </c>
      <c r="G11" s="19">
        <v>45392</v>
      </c>
      <c r="H11" t="s">
        <v>323</v>
      </c>
      <c r="I11" t="s">
        <v>7524</v>
      </c>
      <c r="Q11" s="3">
        <f t="shared" si="0"/>
        <v>459.7</v>
      </c>
      <c r="R11" t="s">
        <v>393</v>
      </c>
      <c r="S11" t="s">
        <v>137</v>
      </c>
      <c r="T11" t="s">
        <v>65</v>
      </c>
    </row>
    <row r="12" spans="1:31" x14ac:dyDescent="0.35">
      <c r="A12" t="s">
        <v>0</v>
      </c>
      <c r="B12" t="s">
        <v>7520</v>
      </c>
      <c r="C12" t="s">
        <v>29</v>
      </c>
      <c r="D12" t="s">
        <v>30</v>
      </c>
      <c r="E12">
        <v>30.28</v>
      </c>
      <c r="F12" t="s">
        <v>88</v>
      </c>
      <c r="G12" s="19">
        <v>45397</v>
      </c>
      <c r="H12" t="s">
        <v>323</v>
      </c>
      <c r="I12" t="s">
        <v>7525</v>
      </c>
      <c r="Q12" s="3">
        <f t="shared" si="0"/>
        <v>30.28</v>
      </c>
      <c r="R12" t="s">
        <v>393</v>
      </c>
      <c r="S12" t="s">
        <v>137</v>
      </c>
      <c r="T12" t="s">
        <v>65</v>
      </c>
    </row>
    <row r="13" spans="1:31" x14ac:dyDescent="0.35">
      <c r="A13" t="s">
        <v>0</v>
      </c>
      <c r="B13" t="s">
        <v>7520</v>
      </c>
      <c r="C13" t="s">
        <v>29</v>
      </c>
      <c r="D13" t="s">
        <v>30</v>
      </c>
      <c r="E13">
        <v>146.61000000000001</v>
      </c>
      <c r="F13" t="s">
        <v>88</v>
      </c>
      <c r="G13" s="19">
        <v>45399</v>
      </c>
      <c r="H13" t="s">
        <v>323</v>
      </c>
      <c r="I13" t="s">
        <v>7526</v>
      </c>
      <c r="Q13" s="3">
        <f t="shared" si="0"/>
        <v>146.61000000000001</v>
      </c>
      <c r="R13" t="s">
        <v>393</v>
      </c>
      <c r="S13" t="s">
        <v>137</v>
      </c>
      <c r="T13" t="s">
        <v>65</v>
      </c>
    </row>
    <row r="14" spans="1:31" x14ac:dyDescent="0.35">
      <c r="A14" t="s">
        <v>0</v>
      </c>
      <c r="B14" t="s">
        <v>7520</v>
      </c>
      <c r="C14" t="s">
        <v>29</v>
      </c>
      <c r="D14" t="s">
        <v>30</v>
      </c>
      <c r="E14">
        <v>35</v>
      </c>
      <c r="F14" t="s">
        <v>88</v>
      </c>
      <c r="G14" s="19">
        <v>45399</v>
      </c>
      <c r="H14" t="s">
        <v>323</v>
      </c>
      <c r="I14" t="s">
        <v>7527</v>
      </c>
      <c r="Q14" s="3">
        <f t="shared" si="0"/>
        <v>35</v>
      </c>
      <c r="R14" t="s">
        <v>393</v>
      </c>
      <c r="S14" t="s">
        <v>137</v>
      </c>
      <c r="T14" t="s">
        <v>65</v>
      </c>
    </row>
    <row r="15" spans="1:31" x14ac:dyDescent="0.35">
      <c r="A15" t="s">
        <v>0</v>
      </c>
      <c r="B15" t="s">
        <v>7520</v>
      </c>
      <c r="C15" t="s">
        <v>29</v>
      </c>
      <c r="D15" t="s">
        <v>30</v>
      </c>
      <c r="E15">
        <v>9.1300000000000008</v>
      </c>
      <c r="F15" t="s">
        <v>88</v>
      </c>
      <c r="G15" s="19">
        <v>45400</v>
      </c>
      <c r="H15" t="s">
        <v>323</v>
      </c>
      <c r="I15" t="s">
        <v>7528</v>
      </c>
      <c r="Q15" s="3">
        <f t="shared" si="0"/>
        <v>9.1300000000000008</v>
      </c>
      <c r="R15" t="s">
        <v>393</v>
      </c>
      <c r="S15" t="s">
        <v>137</v>
      </c>
      <c r="T15" t="s">
        <v>65</v>
      </c>
    </row>
    <row r="16" spans="1:31" x14ac:dyDescent="0.35">
      <c r="A16" t="s">
        <v>0</v>
      </c>
      <c r="B16" t="s">
        <v>7520</v>
      </c>
      <c r="C16" t="s">
        <v>29</v>
      </c>
      <c r="D16" t="s">
        <v>30</v>
      </c>
      <c r="E16">
        <v>0.03</v>
      </c>
      <c r="F16" t="s">
        <v>88</v>
      </c>
      <c r="G16" s="19">
        <v>45405</v>
      </c>
      <c r="H16" t="s">
        <v>323</v>
      </c>
      <c r="I16" t="s">
        <v>7529</v>
      </c>
      <c r="Q16" s="3">
        <f t="shared" si="0"/>
        <v>0.03</v>
      </c>
      <c r="R16" t="s">
        <v>393</v>
      </c>
      <c r="S16" t="s">
        <v>137</v>
      </c>
      <c r="T16" t="s">
        <v>65</v>
      </c>
    </row>
    <row r="17" spans="1:20" x14ac:dyDescent="0.35">
      <c r="A17" t="s">
        <v>0</v>
      </c>
      <c r="B17" t="s">
        <v>7520</v>
      </c>
      <c r="C17" t="s">
        <v>29</v>
      </c>
      <c r="D17" t="s">
        <v>30</v>
      </c>
      <c r="E17">
        <v>61.86</v>
      </c>
      <c r="F17" t="s">
        <v>88</v>
      </c>
      <c r="G17" s="19">
        <v>45408</v>
      </c>
      <c r="H17" t="s">
        <v>323</v>
      </c>
      <c r="I17" t="s">
        <v>7530</v>
      </c>
      <c r="Q17" s="3">
        <f t="shared" si="0"/>
        <v>61.86</v>
      </c>
      <c r="R17" t="s">
        <v>393</v>
      </c>
      <c r="S17" t="s">
        <v>137</v>
      </c>
      <c r="T17" t="s">
        <v>65</v>
      </c>
    </row>
    <row r="18" spans="1:20" x14ac:dyDescent="0.35">
      <c r="A18" t="s">
        <v>0</v>
      </c>
      <c r="B18" t="s">
        <v>7520</v>
      </c>
      <c r="C18" t="s">
        <v>29</v>
      </c>
      <c r="D18" t="s">
        <v>30</v>
      </c>
      <c r="E18">
        <v>64.209999999999994</v>
      </c>
      <c r="F18" t="s">
        <v>88</v>
      </c>
      <c r="G18" s="19">
        <v>45414</v>
      </c>
      <c r="H18" t="s">
        <v>323</v>
      </c>
      <c r="I18" t="s">
        <v>7531</v>
      </c>
      <c r="Q18" s="3">
        <f t="shared" si="0"/>
        <v>64.209999999999994</v>
      </c>
      <c r="R18" t="s">
        <v>393</v>
      </c>
      <c r="S18" t="s">
        <v>137</v>
      </c>
      <c r="T18" t="s">
        <v>65</v>
      </c>
    </row>
    <row r="19" spans="1:20" x14ac:dyDescent="0.35">
      <c r="A19" t="s">
        <v>0</v>
      </c>
      <c r="B19" t="s">
        <v>7520</v>
      </c>
      <c r="C19" t="s">
        <v>29</v>
      </c>
      <c r="D19" t="s">
        <v>30</v>
      </c>
      <c r="E19">
        <v>4.75</v>
      </c>
      <c r="F19" t="s">
        <v>88</v>
      </c>
      <c r="G19" s="19">
        <v>45414</v>
      </c>
      <c r="H19" t="s">
        <v>323</v>
      </c>
      <c r="I19" t="s">
        <v>7532</v>
      </c>
      <c r="Q19" s="3">
        <f t="shared" si="0"/>
        <v>4.75</v>
      </c>
      <c r="R19" t="s">
        <v>393</v>
      </c>
      <c r="S19" t="s">
        <v>137</v>
      </c>
      <c r="T19" t="s">
        <v>65</v>
      </c>
    </row>
    <row r="20" spans="1:20" x14ac:dyDescent="0.35">
      <c r="A20" t="s">
        <v>35</v>
      </c>
      <c r="B20" t="s">
        <v>7533</v>
      </c>
      <c r="C20" t="s">
        <v>29</v>
      </c>
      <c r="D20" t="s">
        <v>30</v>
      </c>
      <c r="E20">
        <v>0.03</v>
      </c>
      <c r="F20" t="s">
        <v>88</v>
      </c>
      <c r="G20" s="19">
        <v>45420</v>
      </c>
      <c r="H20" t="s">
        <v>7534</v>
      </c>
      <c r="I20" t="s">
        <v>7535</v>
      </c>
      <c r="Q20" s="3">
        <f t="shared" si="0"/>
        <v>0.03</v>
      </c>
      <c r="R20" t="s">
        <v>393</v>
      </c>
      <c r="S20" t="s">
        <v>137</v>
      </c>
      <c r="T20" t="s">
        <v>65</v>
      </c>
    </row>
    <row r="21" spans="1:20" x14ac:dyDescent="0.35">
      <c r="A21" t="s">
        <v>0</v>
      </c>
      <c r="B21" t="s">
        <v>7520</v>
      </c>
      <c r="C21" t="s">
        <v>29</v>
      </c>
      <c r="D21" t="s">
        <v>30</v>
      </c>
      <c r="E21">
        <v>2.06</v>
      </c>
      <c r="F21" t="s">
        <v>88</v>
      </c>
      <c r="G21" s="19">
        <v>45421</v>
      </c>
      <c r="H21" t="s">
        <v>323</v>
      </c>
      <c r="I21" t="s">
        <v>7536</v>
      </c>
      <c r="Q21" s="3">
        <f t="shared" si="0"/>
        <v>2.06</v>
      </c>
      <c r="R21" t="s">
        <v>393</v>
      </c>
      <c r="S21" t="s">
        <v>137</v>
      </c>
      <c r="T21" t="s">
        <v>65</v>
      </c>
    </row>
    <row r="22" spans="1:20" x14ac:dyDescent="0.35">
      <c r="A22" t="s">
        <v>0</v>
      </c>
      <c r="B22" t="s">
        <v>7520</v>
      </c>
      <c r="C22" t="s">
        <v>29</v>
      </c>
      <c r="D22" t="s">
        <v>30</v>
      </c>
      <c r="E22">
        <v>74.63</v>
      </c>
      <c r="F22" t="s">
        <v>88</v>
      </c>
      <c r="G22" s="19">
        <v>45426</v>
      </c>
      <c r="H22" t="s">
        <v>323</v>
      </c>
      <c r="I22" t="s">
        <v>7537</v>
      </c>
      <c r="Q22" s="3">
        <f t="shared" si="0"/>
        <v>74.63</v>
      </c>
      <c r="R22" t="s">
        <v>393</v>
      </c>
      <c r="S22" t="s">
        <v>137</v>
      </c>
      <c r="T22" t="s">
        <v>65</v>
      </c>
    </row>
    <row r="23" spans="1:20" x14ac:dyDescent="0.35">
      <c r="A23" t="s">
        <v>35</v>
      </c>
      <c r="B23" t="s">
        <v>7533</v>
      </c>
      <c r="C23" t="s">
        <v>29</v>
      </c>
      <c r="D23" t="s">
        <v>30</v>
      </c>
      <c r="E23">
        <v>-0.03</v>
      </c>
      <c r="F23" t="s">
        <v>88</v>
      </c>
      <c r="G23" s="19">
        <v>45426</v>
      </c>
      <c r="H23" t="s">
        <v>7538</v>
      </c>
      <c r="I23" t="s">
        <v>7539</v>
      </c>
      <c r="Q23" s="3">
        <f t="shared" si="0"/>
        <v>-0.03</v>
      </c>
      <c r="R23" t="s">
        <v>393</v>
      </c>
      <c r="S23" t="s">
        <v>137</v>
      </c>
      <c r="T23" t="s">
        <v>65</v>
      </c>
    </row>
    <row r="24" spans="1:20" x14ac:dyDescent="0.35">
      <c r="A24" t="s">
        <v>35</v>
      </c>
      <c r="B24" t="s">
        <v>7533</v>
      </c>
      <c r="C24" t="s">
        <v>29</v>
      </c>
      <c r="D24" t="s">
        <v>30</v>
      </c>
      <c r="E24">
        <v>-895.94</v>
      </c>
      <c r="F24" t="s">
        <v>88</v>
      </c>
      <c r="G24" s="19">
        <v>45426</v>
      </c>
      <c r="H24" t="s">
        <v>7538</v>
      </c>
      <c r="I24" t="s">
        <v>7538</v>
      </c>
      <c r="Q24" s="3">
        <f t="shared" si="0"/>
        <v>-895.94</v>
      </c>
      <c r="R24" t="s">
        <v>393</v>
      </c>
      <c r="S24" t="s">
        <v>137</v>
      </c>
      <c r="T24" t="s">
        <v>65</v>
      </c>
    </row>
    <row r="25" spans="1:20" x14ac:dyDescent="0.35">
      <c r="A25" t="s">
        <v>0</v>
      </c>
      <c r="B25" t="s">
        <v>7520</v>
      </c>
      <c r="C25" t="s">
        <v>29</v>
      </c>
      <c r="D25" t="s">
        <v>30</v>
      </c>
      <c r="E25">
        <v>2</v>
      </c>
      <c r="F25" t="s">
        <v>88</v>
      </c>
      <c r="G25" s="19">
        <v>45434</v>
      </c>
      <c r="H25" t="s">
        <v>323</v>
      </c>
      <c r="I25" t="s">
        <v>7540</v>
      </c>
      <c r="Q25" s="3">
        <f t="shared" si="0"/>
        <v>2</v>
      </c>
      <c r="R25" t="s">
        <v>393</v>
      </c>
      <c r="S25" t="s">
        <v>137</v>
      </c>
      <c r="T25" t="s">
        <v>65</v>
      </c>
    </row>
    <row r="26" spans="1:20" x14ac:dyDescent="0.35">
      <c r="A26" t="s">
        <v>0</v>
      </c>
      <c r="B26" t="s">
        <v>7520</v>
      </c>
      <c r="C26" t="s">
        <v>29</v>
      </c>
      <c r="D26" t="s">
        <v>30</v>
      </c>
      <c r="E26">
        <v>22.98</v>
      </c>
      <c r="F26" t="s">
        <v>88</v>
      </c>
      <c r="G26" s="19">
        <v>45439</v>
      </c>
      <c r="H26" t="s">
        <v>323</v>
      </c>
      <c r="I26" t="s">
        <v>7541</v>
      </c>
      <c r="Q26" s="3">
        <f t="shared" si="0"/>
        <v>22.98</v>
      </c>
      <c r="R26" t="s">
        <v>393</v>
      </c>
      <c r="S26" t="s">
        <v>137</v>
      </c>
      <c r="T26" t="s">
        <v>65</v>
      </c>
    </row>
    <row r="27" spans="1:20" x14ac:dyDescent="0.35">
      <c r="A27" t="s">
        <v>0</v>
      </c>
      <c r="B27" t="s">
        <v>7542</v>
      </c>
      <c r="C27" t="s">
        <v>29</v>
      </c>
      <c r="D27" t="s">
        <v>30</v>
      </c>
      <c r="E27">
        <v>95827</v>
      </c>
      <c r="F27" t="s">
        <v>88</v>
      </c>
      <c r="G27" s="19">
        <v>45441</v>
      </c>
      <c r="H27" t="s">
        <v>7543</v>
      </c>
      <c r="I27" t="s">
        <v>7543</v>
      </c>
      <c r="Q27" s="3">
        <f t="shared" si="0"/>
        <v>95827</v>
      </c>
      <c r="R27" t="s">
        <v>393</v>
      </c>
      <c r="S27" t="s">
        <v>137</v>
      </c>
      <c r="T27" t="s">
        <v>65</v>
      </c>
    </row>
    <row r="28" spans="1:20" x14ac:dyDescent="0.35">
      <c r="A28" t="s">
        <v>35</v>
      </c>
      <c r="B28" t="s">
        <v>7542</v>
      </c>
      <c r="C28" t="s">
        <v>29</v>
      </c>
      <c r="D28" t="s">
        <v>30</v>
      </c>
      <c r="E28">
        <v>1700000</v>
      </c>
      <c r="F28" t="s">
        <v>88</v>
      </c>
      <c r="G28" s="19">
        <v>45441</v>
      </c>
      <c r="H28" t="s">
        <v>7544</v>
      </c>
      <c r="I28" t="s">
        <v>7544</v>
      </c>
      <c r="Q28" s="3">
        <f t="shared" si="0"/>
        <v>1700000</v>
      </c>
      <c r="R28" t="s">
        <v>393</v>
      </c>
      <c r="S28" t="s">
        <v>137</v>
      </c>
      <c r="T28" t="s">
        <v>65</v>
      </c>
    </row>
    <row r="29" spans="1:20" x14ac:dyDescent="0.35">
      <c r="A29" t="s">
        <v>35</v>
      </c>
      <c r="B29" t="s">
        <v>7542</v>
      </c>
      <c r="C29" t="s">
        <v>29</v>
      </c>
      <c r="D29" t="s">
        <v>30</v>
      </c>
      <c r="E29">
        <v>-228769.39</v>
      </c>
      <c r="F29" t="s">
        <v>88</v>
      </c>
      <c r="G29" s="19">
        <v>45441</v>
      </c>
      <c r="H29" t="s">
        <v>7545</v>
      </c>
      <c r="I29" t="s">
        <v>7546</v>
      </c>
      <c r="Q29" s="3">
        <f t="shared" si="0"/>
        <v>-228769.39</v>
      </c>
      <c r="R29" t="s">
        <v>393</v>
      </c>
      <c r="S29" t="s">
        <v>137</v>
      </c>
      <c r="T29" t="s">
        <v>65</v>
      </c>
    </row>
    <row r="30" spans="1:20" x14ac:dyDescent="0.35">
      <c r="A30" t="s">
        <v>35</v>
      </c>
      <c r="B30" t="s">
        <v>7542</v>
      </c>
      <c r="C30" t="s">
        <v>29</v>
      </c>
      <c r="D30" t="s">
        <v>30</v>
      </c>
      <c r="E30">
        <v>-44917.46</v>
      </c>
      <c r="F30" t="s">
        <v>88</v>
      </c>
      <c r="G30" s="19">
        <v>45441</v>
      </c>
      <c r="H30" t="s">
        <v>7545</v>
      </c>
      <c r="I30" t="s">
        <v>7547</v>
      </c>
      <c r="Q30" s="3">
        <f t="shared" si="0"/>
        <v>-44917.46</v>
      </c>
      <c r="R30" t="s">
        <v>393</v>
      </c>
      <c r="S30" t="s">
        <v>137</v>
      </c>
      <c r="T30" t="s">
        <v>65</v>
      </c>
    </row>
    <row r="31" spans="1:20" x14ac:dyDescent="0.35">
      <c r="A31" t="s">
        <v>35</v>
      </c>
      <c r="B31" t="s">
        <v>7542</v>
      </c>
      <c r="C31" t="s">
        <v>29</v>
      </c>
      <c r="D31" t="s">
        <v>30</v>
      </c>
      <c r="E31">
        <v>-391810.87</v>
      </c>
      <c r="F31" t="s">
        <v>88</v>
      </c>
      <c r="G31" s="19">
        <v>45441</v>
      </c>
      <c r="H31" t="s">
        <v>7545</v>
      </c>
      <c r="I31" t="s">
        <v>7543</v>
      </c>
      <c r="Q31" s="3">
        <f t="shared" si="0"/>
        <v>-391810.87</v>
      </c>
      <c r="R31" t="s">
        <v>393</v>
      </c>
      <c r="S31" t="s">
        <v>137</v>
      </c>
      <c r="T31" t="s">
        <v>65</v>
      </c>
    </row>
    <row r="32" spans="1:20" x14ac:dyDescent="0.35">
      <c r="A32" t="s">
        <v>35</v>
      </c>
      <c r="B32" t="s">
        <v>7542</v>
      </c>
      <c r="C32" t="s">
        <v>29</v>
      </c>
      <c r="D32" t="s">
        <v>30</v>
      </c>
      <c r="E32">
        <v>-29515</v>
      </c>
      <c r="F32" t="s">
        <v>88</v>
      </c>
      <c r="G32" s="19">
        <v>45441</v>
      </c>
      <c r="H32" t="s">
        <v>7545</v>
      </c>
      <c r="I32" t="s">
        <v>7548</v>
      </c>
      <c r="Q32" s="3">
        <f t="shared" si="0"/>
        <v>-29515</v>
      </c>
      <c r="R32" t="s">
        <v>393</v>
      </c>
      <c r="S32" t="s">
        <v>137</v>
      </c>
      <c r="T32" t="s">
        <v>65</v>
      </c>
    </row>
    <row r="33" spans="1:20" x14ac:dyDescent="0.35">
      <c r="A33" t="s">
        <v>35</v>
      </c>
      <c r="B33" t="s">
        <v>7542</v>
      </c>
      <c r="C33" t="s">
        <v>29</v>
      </c>
      <c r="D33" t="s">
        <v>30</v>
      </c>
      <c r="E33">
        <v>-1092198.46</v>
      </c>
      <c r="F33" t="s">
        <v>88</v>
      </c>
      <c r="G33" s="19">
        <v>45441</v>
      </c>
      <c r="H33" t="s">
        <v>7545</v>
      </c>
      <c r="I33" t="s">
        <v>7545</v>
      </c>
      <c r="Q33" s="3">
        <f t="shared" si="0"/>
        <v>-1092198.46</v>
      </c>
      <c r="R33" t="s">
        <v>393</v>
      </c>
      <c r="S33" t="s">
        <v>137</v>
      </c>
      <c r="T33" t="s">
        <v>65</v>
      </c>
    </row>
    <row r="34" spans="1:20" x14ac:dyDescent="0.35">
      <c r="A34" t="s">
        <v>35</v>
      </c>
      <c r="B34" t="s">
        <v>7542</v>
      </c>
      <c r="C34" t="s">
        <v>29</v>
      </c>
      <c r="D34" t="s">
        <v>30</v>
      </c>
      <c r="E34">
        <v>-1700000</v>
      </c>
      <c r="F34" t="s">
        <v>88</v>
      </c>
      <c r="G34" s="19">
        <v>45446</v>
      </c>
      <c r="H34" t="s">
        <v>7544</v>
      </c>
      <c r="I34" t="s">
        <v>7544</v>
      </c>
      <c r="Q34" s="3">
        <f t="shared" si="0"/>
        <v>-1700000</v>
      </c>
      <c r="R34" t="s">
        <v>393</v>
      </c>
      <c r="S34" t="s">
        <v>137</v>
      </c>
      <c r="T34" t="s">
        <v>65</v>
      </c>
    </row>
    <row r="35" spans="1:20" x14ac:dyDescent="0.35">
      <c r="A35" t="s">
        <v>0</v>
      </c>
      <c r="B35" t="s">
        <v>7520</v>
      </c>
      <c r="C35" t="s">
        <v>29</v>
      </c>
      <c r="D35" t="s">
        <v>30</v>
      </c>
      <c r="E35">
        <v>46.86</v>
      </c>
      <c r="F35" t="s">
        <v>88</v>
      </c>
      <c r="G35" s="19">
        <v>45467</v>
      </c>
      <c r="H35" t="s">
        <v>323</v>
      </c>
      <c r="I35" t="s">
        <v>7549</v>
      </c>
      <c r="Q35" s="3">
        <f t="shared" si="0"/>
        <v>46.86</v>
      </c>
      <c r="R35" t="s">
        <v>393</v>
      </c>
      <c r="S35" t="s">
        <v>137</v>
      </c>
      <c r="T35" t="s">
        <v>65</v>
      </c>
    </row>
    <row r="36" spans="1:20" x14ac:dyDescent="0.35">
      <c r="A36" t="s">
        <v>35</v>
      </c>
      <c r="B36" t="s">
        <v>7542</v>
      </c>
      <c r="C36" t="s">
        <v>29</v>
      </c>
      <c r="D36" t="s">
        <v>30</v>
      </c>
      <c r="E36">
        <v>1700000</v>
      </c>
      <c r="F36" t="s">
        <v>88</v>
      </c>
      <c r="G36" s="19">
        <v>45469</v>
      </c>
      <c r="H36" t="s">
        <v>7544</v>
      </c>
      <c r="I36" t="s">
        <v>7544</v>
      </c>
      <c r="Q36" s="3">
        <f t="shared" si="0"/>
        <v>1700000</v>
      </c>
      <c r="R36" t="s">
        <v>393</v>
      </c>
      <c r="S36" t="s">
        <v>137</v>
      </c>
      <c r="T36" t="s">
        <v>65</v>
      </c>
    </row>
    <row r="37" spans="1:20" x14ac:dyDescent="0.35">
      <c r="A37" t="s">
        <v>35</v>
      </c>
      <c r="B37" t="s">
        <v>7542</v>
      </c>
      <c r="C37" t="s">
        <v>29</v>
      </c>
      <c r="D37" t="s">
        <v>30</v>
      </c>
      <c r="E37">
        <v>-1700000</v>
      </c>
      <c r="F37" t="s">
        <v>88</v>
      </c>
      <c r="G37" s="19">
        <v>45474</v>
      </c>
      <c r="H37" t="s">
        <v>7544</v>
      </c>
      <c r="I37" t="s">
        <v>7544</v>
      </c>
      <c r="Q37" s="3">
        <f t="shared" si="0"/>
        <v>-1700000</v>
      </c>
      <c r="R37" t="s">
        <v>393</v>
      </c>
      <c r="S37" t="s">
        <v>137</v>
      </c>
      <c r="T37" t="s">
        <v>65</v>
      </c>
    </row>
    <row r="38" spans="1:20" x14ac:dyDescent="0.35">
      <c r="A38" t="s">
        <v>35</v>
      </c>
      <c r="B38" t="s">
        <v>7550</v>
      </c>
      <c r="C38" t="s">
        <v>29</v>
      </c>
      <c r="D38" t="s">
        <v>30</v>
      </c>
      <c r="E38">
        <v>0</v>
      </c>
      <c r="F38" t="s">
        <v>88</v>
      </c>
      <c r="G38" s="19">
        <v>45474</v>
      </c>
      <c r="H38" t="s">
        <v>7551</v>
      </c>
      <c r="I38" t="s">
        <v>7551</v>
      </c>
      <c r="Q38" s="3">
        <f t="shared" si="0"/>
        <v>0</v>
      </c>
      <c r="R38" t="s">
        <v>393</v>
      </c>
      <c r="S38" t="s">
        <v>137</v>
      </c>
      <c r="T38" t="s">
        <v>65</v>
      </c>
    </row>
    <row r="39" spans="1:20" x14ac:dyDescent="0.35">
      <c r="A39" t="s">
        <v>35</v>
      </c>
      <c r="B39" t="s">
        <v>5994</v>
      </c>
      <c r="C39" t="s">
        <v>29</v>
      </c>
      <c r="D39" t="s">
        <v>30</v>
      </c>
      <c r="E39">
        <v>0</v>
      </c>
      <c r="F39" t="s">
        <v>88</v>
      </c>
      <c r="G39" s="19">
        <v>45474</v>
      </c>
      <c r="H39" t="s">
        <v>7551</v>
      </c>
      <c r="I39" t="s">
        <v>7551</v>
      </c>
      <c r="Q39" s="3">
        <f t="shared" si="0"/>
        <v>0</v>
      </c>
      <c r="R39" t="s">
        <v>393</v>
      </c>
      <c r="S39" t="s">
        <v>137</v>
      </c>
      <c r="T39" t="s">
        <v>65</v>
      </c>
    </row>
    <row r="40" spans="1:20" x14ac:dyDescent="0.35">
      <c r="A40" t="s">
        <v>0</v>
      </c>
      <c r="B40" t="s">
        <v>7520</v>
      </c>
      <c r="C40" t="s">
        <v>29</v>
      </c>
      <c r="D40" t="s">
        <v>30</v>
      </c>
      <c r="E40">
        <v>0.95</v>
      </c>
      <c r="F40" t="s">
        <v>88</v>
      </c>
      <c r="G40" s="19">
        <v>45476</v>
      </c>
      <c r="H40" t="s">
        <v>323</v>
      </c>
      <c r="I40" t="s">
        <v>7552</v>
      </c>
      <c r="Q40" s="3">
        <f t="shared" si="0"/>
        <v>0.95</v>
      </c>
      <c r="R40" t="s">
        <v>393</v>
      </c>
      <c r="S40" t="s">
        <v>137</v>
      </c>
      <c r="T40" t="s">
        <v>65</v>
      </c>
    </row>
    <row r="41" spans="1:20" x14ac:dyDescent="0.35">
      <c r="A41" t="s">
        <v>0</v>
      </c>
      <c r="B41" t="s">
        <v>7520</v>
      </c>
      <c r="C41" t="s">
        <v>29</v>
      </c>
      <c r="D41" t="s">
        <v>30</v>
      </c>
      <c r="E41">
        <v>12</v>
      </c>
      <c r="F41" t="s">
        <v>88</v>
      </c>
      <c r="G41" s="19">
        <v>45482</v>
      </c>
      <c r="H41" t="s">
        <v>334</v>
      </c>
      <c r="I41" t="s">
        <v>7553</v>
      </c>
      <c r="Q41" s="3">
        <f t="shared" si="0"/>
        <v>12</v>
      </c>
      <c r="R41" t="s">
        <v>393</v>
      </c>
      <c r="S41" t="s">
        <v>137</v>
      </c>
      <c r="T41" t="s">
        <v>65</v>
      </c>
    </row>
    <row r="42" spans="1:20" x14ac:dyDescent="0.35">
      <c r="A42" t="s">
        <v>0</v>
      </c>
      <c r="B42" t="s">
        <v>7520</v>
      </c>
      <c r="C42" t="s">
        <v>29</v>
      </c>
      <c r="D42" t="s">
        <v>30</v>
      </c>
      <c r="E42">
        <v>197.69</v>
      </c>
      <c r="F42" t="s">
        <v>88</v>
      </c>
      <c r="G42" s="19">
        <v>45488</v>
      </c>
      <c r="H42" t="s">
        <v>323</v>
      </c>
      <c r="I42" t="s">
        <v>7554</v>
      </c>
      <c r="Q42" s="3">
        <f t="shared" si="0"/>
        <v>197.69</v>
      </c>
      <c r="R42" t="s">
        <v>393</v>
      </c>
      <c r="S42" t="s">
        <v>137</v>
      </c>
      <c r="T42" t="s">
        <v>65</v>
      </c>
    </row>
    <row r="43" spans="1:20" x14ac:dyDescent="0.35">
      <c r="A43" t="s">
        <v>0</v>
      </c>
      <c r="B43" t="s">
        <v>7520</v>
      </c>
      <c r="C43" t="s">
        <v>29</v>
      </c>
      <c r="D43" t="s">
        <v>30</v>
      </c>
      <c r="E43">
        <v>-238.94</v>
      </c>
      <c r="F43" t="s">
        <v>88</v>
      </c>
      <c r="G43" s="19">
        <v>45496</v>
      </c>
      <c r="H43" t="s">
        <v>323</v>
      </c>
      <c r="I43" t="s">
        <v>7555</v>
      </c>
      <c r="Q43" s="3">
        <f t="shared" si="0"/>
        <v>-238.94</v>
      </c>
      <c r="R43" t="s">
        <v>393</v>
      </c>
      <c r="S43" t="s">
        <v>137</v>
      </c>
      <c r="T43" t="s">
        <v>65</v>
      </c>
    </row>
    <row r="44" spans="1:20" x14ac:dyDescent="0.35">
      <c r="A44" t="s">
        <v>35</v>
      </c>
      <c r="B44" t="s">
        <v>638</v>
      </c>
      <c r="C44" t="s">
        <v>29</v>
      </c>
      <c r="D44" t="s">
        <v>30</v>
      </c>
      <c r="E44">
        <v>399533</v>
      </c>
      <c r="F44" t="s">
        <v>88</v>
      </c>
      <c r="G44" s="19">
        <v>45502</v>
      </c>
      <c r="H44" t="s">
        <v>7544</v>
      </c>
      <c r="I44" t="s">
        <v>7544</v>
      </c>
      <c r="Q44" s="3">
        <f t="shared" si="0"/>
        <v>399533</v>
      </c>
      <c r="R44" t="s">
        <v>393</v>
      </c>
      <c r="S44" t="s">
        <v>137</v>
      </c>
      <c r="T44" t="s">
        <v>65</v>
      </c>
    </row>
    <row r="45" spans="1:20" x14ac:dyDescent="0.35">
      <c r="A45" t="s">
        <v>35</v>
      </c>
      <c r="B45" t="s">
        <v>7542</v>
      </c>
      <c r="C45" t="s">
        <v>29</v>
      </c>
      <c r="D45" t="s">
        <v>30</v>
      </c>
      <c r="E45">
        <v>1691384</v>
      </c>
      <c r="F45" t="s">
        <v>88</v>
      </c>
      <c r="G45" s="19">
        <v>45502</v>
      </c>
      <c r="H45" t="s">
        <v>7544</v>
      </c>
      <c r="I45" t="s">
        <v>7544</v>
      </c>
      <c r="Q45" s="3">
        <f t="shared" si="0"/>
        <v>1691384</v>
      </c>
      <c r="R45" t="s">
        <v>393</v>
      </c>
      <c r="S45" t="s">
        <v>137</v>
      </c>
      <c r="T45" t="s">
        <v>65</v>
      </c>
    </row>
    <row r="46" spans="1:20" x14ac:dyDescent="0.35">
      <c r="A46" t="s">
        <v>35</v>
      </c>
      <c r="B46" t="s">
        <v>5994</v>
      </c>
      <c r="C46" t="s">
        <v>29</v>
      </c>
      <c r="D46" t="s">
        <v>30</v>
      </c>
      <c r="E46">
        <v>307.45999999999998</v>
      </c>
      <c r="F46" t="s">
        <v>88</v>
      </c>
      <c r="G46" s="19">
        <v>45504</v>
      </c>
      <c r="H46" t="s">
        <v>7556</v>
      </c>
      <c r="I46" t="s">
        <v>7556</v>
      </c>
      <c r="Q46" s="3">
        <f t="shared" si="0"/>
        <v>307.45999999999998</v>
      </c>
      <c r="R46" t="s">
        <v>393</v>
      </c>
      <c r="S46" t="s">
        <v>137</v>
      </c>
      <c r="T46" t="s">
        <v>65</v>
      </c>
    </row>
    <row r="47" spans="1:20" x14ac:dyDescent="0.35">
      <c r="A47" t="s">
        <v>35</v>
      </c>
      <c r="B47" t="s">
        <v>655</v>
      </c>
      <c r="C47" t="s">
        <v>29</v>
      </c>
      <c r="D47" t="s">
        <v>30</v>
      </c>
      <c r="E47">
        <v>2459.66</v>
      </c>
      <c r="F47" t="s">
        <v>88</v>
      </c>
      <c r="G47" s="19">
        <v>45504</v>
      </c>
      <c r="H47" t="s">
        <v>7556</v>
      </c>
      <c r="I47" t="s">
        <v>7556</v>
      </c>
      <c r="Q47" s="3">
        <f t="shared" si="0"/>
        <v>2459.66</v>
      </c>
      <c r="R47" t="s">
        <v>393</v>
      </c>
      <c r="S47" t="s">
        <v>137</v>
      </c>
      <c r="T47" t="s">
        <v>65</v>
      </c>
    </row>
    <row r="48" spans="1:20" x14ac:dyDescent="0.35">
      <c r="A48" t="s">
        <v>35</v>
      </c>
      <c r="B48" t="s">
        <v>5994</v>
      </c>
      <c r="C48" t="s">
        <v>29</v>
      </c>
      <c r="D48" t="s">
        <v>30</v>
      </c>
      <c r="E48">
        <v>1874.41</v>
      </c>
      <c r="F48" t="s">
        <v>88</v>
      </c>
      <c r="G48" s="19">
        <v>45504</v>
      </c>
      <c r="H48" t="s">
        <v>7557</v>
      </c>
      <c r="I48" t="s">
        <v>7557</v>
      </c>
      <c r="Q48" s="3">
        <f t="shared" si="0"/>
        <v>1874.41</v>
      </c>
      <c r="R48" t="s">
        <v>393</v>
      </c>
      <c r="S48" t="s">
        <v>137</v>
      </c>
      <c r="T48" t="s">
        <v>65</v>
      </c>
    </row>
    <row r="49" spans="1:20" x14ac:dyDescent="0.35">
      <c r="A49" t="s">
        <v>35</v>
      </c>
      <c r="B49" t="s">
        <v>655</v>
      </c>
      <c r="C49" t="s">
        <v>29</v>
      </c>
      <c r="D49" t="s">
        <v>30</v>
      </c>
      <c r="E49">
        <v>16494.849999999999</v>
      </c>
      <c r="F49" t="s">
        <v>88</v>
      </c>
      <c r="G49" s="19">
        <v>45504</v>
      </c>
      <c r="H49" t="s">
        <v>7557</v>
      </c>
      <c r="I49" t="s">
        <v>7557</v>
      </c>
      <c r="Q49" s="3">
        <f t="shared" si="0"/>
        <v>16494.849999999999</v>
      </c>
      <c r="R49" t="s">
        <v>393</v>
      </c>
      <c r="S49" t="s">
        <v>137</v>
      </c>
      <c r="T49" t="s">
        <v>65</v>
      </c>
    </row>
    <row r="50" spans="1:20" x14ac:dyDescent="0.35">
      <c r="A50" t="s">
        <v>35</v>
      </c>
      <c r="B50" t="s">
        <v>5994</v>
      </c>
      <c r="C50" t="s">
        <v>29</v>
      </c>
      <c r="D50" t="s">
        <v>30</v>
      </c>
      <c r="E50">
        <v>-307.45999999999998</v>
      </c>
      <c r="F50" t="s">
        <v>88</v>
      </c>
      <c r="G50" s="19">
        <v>45505</v>
      </c>
      <c r="H50" t="s">
        <v>7556</v>
      </c>
      <c r="I50" t="s">
        <v>7556</v>
      </c>
      <c r="Q50" s="3">
        <f t="shared" si="0"/>
        <v>-307.45999999999998</v>
      </c>
      <c r="R50" t="s">
        <v>393</v>
      </c>
      <c r="S50" t="s">
        <v>137</v>
      </c>
      <c r="T50" t="s">
        <v>65</v>
      </c>
    </row>
    <row r="51" spans="1:20" x14ac:dyDescent="0.35">
      <c r="A51" t="s">
        <v>35</v>
      </c>
      <c r="B51" t="s">
        <v>655</v>
      </c>
      <c r="C51" t="s">
        <v>29</v>
      </c>
      <c r="D51" t="s">
        <v>30</v>
      </c>
      <c r="E51">
        <v>-2459.66</v>
      </c>
      <c r="F51" t="s">
        <v>88</v>
      </c>
      <c r="G51" s="19">
        <v>45505</v>
      </c>
      <c r="H51" t="s">
        <v>7556</v>
      </c>
      <c r="I51" t="s">
        <v>7556</v>
      </c>
      <c r="Q51" s="3">
        <f t="shared" si="0"/>
        <v>-2459.66</v>
      </c>
      <c r="R51" t="s">
        <v>393</v>
      </c>
      <c r="S51" t="s">
        <v>137</v>
      </c>
      <c r="T51" t="s">
        <v>65</v>
      </c>
    </row>
    <row r="52" spans="1:20" x14ac:dyDescent="0.35">
      <c r="A52" t="s">
        <v>35</v>
      </c>
      <c r="B52" t="s">
        <v>5994</v>
      </c>
      <c r="C52" t="s">
        <v>29</v>
      </c>
      <c r="D52" t="s">
        <v>30</v>
      </c>
      <c r="E52">
        <v>-1874.41</v>
      </c>
      <c r="F52" t="s">
        <v>88</v>
      </c>
      <c r="G52" s="19">
        <v>45505</v>
      </c>
      <c r="H52" t="s">
        <v>7557</v>
      </c>
      <c r="I52" t="s">
        <v>7557</v>
      </c>
      <c r="Q52" s="3">
        <f t="shared" si="0"/>
        <v>-1874.41</v>
      </c>
      <c r="R52" t="s">
        <v>393</v>
      </c>
      <c r="S52" t="s">
        <v>137</v>
      </c>
      <c r="T52" t="s">
        <v>65</v>
      </c>
    </row>
    <row r="53" spans="1:20" x14ac:dyDescent="0.35">
      <c r="A53" t="s">
        <v>35</v>
      </c>
      <c r="B53" t="s">
        <v>655</v>
      </c>
      <c r="C53" t="s">
        <v>29</v>
      </c>
      <c r="D53" t="s">
        <v>30</v>
      </c>
      <c r="E53">
        <v>-16494.849999999999</v>
      </c>
      <c r="F53" t="s">
        <v>88</v>
      </c>
      <c r="G53" s="19">
        <v>45505</v>
      </c>
      <c r="H53" t="s">
        <v>7557</v>
      </c>
      <c r="I53" t="s">
        <v>7557</v>
      </c>
      <c r="Q53" s="3">
        <f t="shared" si="0"/>
        <v>-16494.849999999999</v>
      </c>
      <c r="R53" t="s">
        <v>393</v>
      </c>
      <c r="S53" t="s">
        <v>137</v>
      </c>
      <c r="T53" t="s">
        <v>65</v>
      </c>
    </row>
    <row r="54" spans="1:20" x14ac:dyDescent="0.35">
      <c r="A54" t="s">
        <v>35</v>
      </c>
      <c r="B54" t="s">
        <v>638</v>
      </c>
      <c r="C54" t="s">
        <v>29</v>
      </c>
      <c r="D54" t="s">
        <v>30</v>
      </c>
      <c r="E54">
        <v>-399533</v>
      </c>
      <c r="F54" t="s">
        <v>88</v>
      </c>
      <c r="G54" s="19">
        <v>45505</v>
      </c>
      <c r="H54" t="s">
        <v>7544</v>
      </c>
      <c r="I54" t="s">
        <v>7544</v>
      </c>
      <c r="Q54" s="3">
        <f t="shared" si="0"/>
        <v>-399533</v>
      </c>
      <c r="R54" t="s">
        <v>393</v>
      </c>
      <c r="S54" t="s">
        <v>137</v>
      </c>
      <c r="T54" t="s">
        <v>65</v>
      </c>
    </row>
    <row r="55" spans="1:20" x14ac:dyDescent="0.35">
      <c r="A55" t="s">
        <v>35</v>
      </c>
      <c r="B55" t="s">
        <v>7542</v>
      </c>
      <c r="C55" t="s">
        <v>29</v>
      </c>
      <c r="D55" t="s">
        <v>30</v>
      </c>
      <c r="E55">
        <v>-1691384</v>
      </c>
      <c r="F55" t="s">
        <v>88</v>
      </c>
      <c r="G55" s="19">
        <v>45505</v>
      </c>
      <c r="H55" t="s">
        <v>7544</v>
      </c>
      <c r="I55" t="s">
        <v>7544</v>
      </c>
      <c r="Q55" s="3">
        <f t="shared" si="0"/>
        <v>-1691384</v>
      </c>
      <c r="R55" t="s">
        <v>393</v>
      </c>
      <c r="S55" t="s">
        <v>137</v>
      </c>
      <c r="T55" t="s">
        <v>65</v>
      </c>
    </row>
    <row r="56" spans="1:20" x14ac:dyDescent="0.35">
      <c r="A56" t="s">
        <v>0</v>
      </c>
      <c r="B56" t="s">
        <v>7520</v>
      </c>
      <c r="C56" t="s">
        <v>29</v>
      </c>
      <c r="D56" t="s">
        <v>30</v>
      </c>
      <c r="E56">
        <v>130.22999999999999</v>
      </c>
      <c r="F56" t="s">
        <v>88</v>
      </c>
      <c r="G56" s="19">
        <v>45523</v>
      </c>
      <c r="H56" t="s">
        <v>323</v>
      </c>
      <c r="I56" t="s">
        <v>7558</v>
      </c>
      <c r="Q56" s="3">
        <f t="shared" si="0"/>
        <v>130.22999999999999</v>
      </c>
      <c r="R56" t="s">
        <v>393</v>
      </c>
      <c r="S56" t="s">
        <v>137</v>
      </c>
      <c r="T56" t="s">
        <v>65</v>
      </c>
    </row>
    <row r="57" spans="1:20" x14ac:dyDescent="0.35">
      <c r="A57" t="s">
        <v>0</v>
      </c>
      <c r="B57" t="s">
        <v>7520</v>
      </c>
      <c r="C57" t="s">
        <v>29</v>
      </c>
      <c r="D57" t="s">
        <v>30</v>
      </c>
      <c r="E57">
        <v>40</v>
      </c>
      <c r="F57" t="s">
        <v>88</v>
      </c>
      <c r="G57" s="19">
        <v>45525</v>
      </c>
      <c r="H57" t="s">
        <v>323</v>
      </c>
      <c r="I57" t="s">
        <v>7559</v>
      </c>
      <c r="Q57" s="3">
        <f t="shared" si="0"/>
        <v>40</v>
      </c>
      <c r="R57" t="s">
        <v>393</v>
      </c>
      <c r="S57" t="s">
        <v>137</v>
      </c>
      <c r="T57" t="s">
        <v>65</v>
      </c>
    </row>
    <row r="58" spans="1:20" x14ac:dyDescent="0.35">
      <c r="A58" t="s">
        <v>35</v>
      </c>
      <c r="B58" t="s">
        <v>7542</v>
      </c>
      <c r="C58" t="s">
        <v>29</v>
      </c>
      <c r="D58" t="s">
        <v>30</v>
      </c>
      <c r="E58">
        <v>109948.75</v>
      </c>
      <c r="F58" t="s">
        <v>88</v>
      </c>
      <c r="G58" s="19">
        <v>45530</v>
      </c>
      <c r="H58" t="s">
        <v>7544</v>
      </c>
      <c r="I58" t="s">
        <v>7544</v>
      </c>
      <c r="Q58" s="3">
        <f t="shared" si="0"/>
        <v>109948.75</v>
      </c>
      <c r="R58" t="s">
        <v>393</v>
      </c>
      <c r="S58" t="s">
        <v>137</v>
      </c>
      <c r="T58" t="s">
        <v>65</v>
      </c>
    </row>
    <row r="59" spans="1:20" x14ac:dyDescent="0.35">
      <c r="A59" t="s">
        <v>0</v>
      </c>
      <c r="B59" t="s">
        <v>7520</v>
      </c>
      <c r="C59" t="s">
        <v>29</v>
      </c>
      <c r="D59" t="s">
        <v>30</v>
      </c>
      <c r="E59">
        <v>128.94999999999999</v>
      </c>
      <c r="F59" t="s">
        <v>88</v>
      </c>
      <c r="G59" s="19">
        <v>45531</v>
      </c>
      <c r="H59" t="s">
        <v>323</v>
      </c>
      <c r="I59" t="s">
        <v>7560</v>
      </c>
      <c r="Q59" s="3">
        <f t="shared" si="0"/>
        <v>128.94999999999999</v>
      </c>
      <c r="R59" t="s">
        <v>393</v>
      </c>
      <c r="S59" t="s">
        <v>137</v>
      </c>
      <c r="T59" t="s">
        <v>65</v>
      </c>
    </row>
    <row r="60" spans="1:20" x14ac:dyDescent="0.35">
      <c r="A60" t="s">
        <v>35</v>
      </c>
      <c r="B60" t="s">
        <v>5994</v>
      </c>
      <c r="C60" t="s">
        <v>29</v>
      </c>
      <c r="D60" t="s">
        <v>30</v>
      </c>
      <c r="E60">
        <v>614.91</v>
      </c>
      <c r="F60" t="s">
        <v>88</v>
      </c>
      <c r="G60" s="19">
        <v>45531</v>
      </c>
      <c r="H60" t="s">
        <v>7556</v>
      </c>
      <c r="I60" t="s">
        <v>7556</v>
      </c>
      <c r="Q60" s="3">
        <f t="shared" si="0"/>
        <v>614.91</v>
      </c>
      <c r="R60" t="s">
        <v>393</v>
      </c>
      <c r="S60" t="s">
        <v>137</v>
      </c>
      <c r="T60" t="s">
        <v>65</v>
      </c>
    </row>
    <row r="61" spans="1:20" x14ac:dyDescent="0.35">
      <c r="A61" t="s">
        <v>35</v>
      </c>
      <c r="B61" t="s">
        <v>655</v>
      </c>
      <c r="C61" t="s">
        <v>29</v>
      </c>
      <c r="D61" t="s">
        <v>30</v>
      </c>
      <c r="E61">
        <v>4919.32</v>
      </c>
      <c r="F61" t="s">
        <v>88</v>
      </c>
      <c r="G61" s="19">
        <v>45531</v>
      </c>
      <c r="H61" t="s">
        <v>7556</v>
      </c>
      <c r="I61" t="s">
        <v>7556</v>
      </c>
      <c r="Q61" s="3">
        <f t="shared" si="0"/>
        <v>4919.32</v>
      </c>
      <c r="R61" t="s">
        <v>393</v>
      </c>
      <c r="S61" t="s">
        <v>137</v>
      </c>
      <c r="T61" t="s">
        <v>65</v>
      </c>
    </row>
    <row r="62" spans="1:20" x14ac:dyDescent="0.35">
      <c r="A62" t="s">
        <v>35</v>
      </c>
      <c r="B62" t="s">
        <v>5994</v>
      </c>
      <c r="C62" t="s">
        <v>29</v>
      </c>
      <c r="D62" t="s">
        <v>30</v>
      </c>
      <c r="E62">
        <v>1874.41</v>
      </c>
      <c r="F62" t="s">
        <v>88</v>
      </c>
      <c r="G62" s="19">
        <v>45531</v>
      </c>
      <c r="H62" t="s">
        <v>7557</v>
      </c>
      <c r="I62" t="s">
        <v>7557</v>
      </c>
      <c r="Q62" s="3">
        <f t="shared" si="0"/>
        <v>1874.41</v>
      </c>
      <c r="R62" t="s">
        <v>393</v>
      </c>
      <c r="S62" t="s">
        <v>137</v>
      </c>
      <c r="T62" t="s">
        <v>65</v>
      </c>
    </row>
    <row r="63" spans="1:20" x14ac:dyDescent="0.35">
      <c r="A63" t="s">
        <v>35</v>
      </c>
      <c r="B63" t="s">
        <v>655</v>
      </c>
      <c r="C63" t="s">
        <v>29</v>
      </c>
      <c r="D63" t="s">
        <v>30</v>
      </c>
      <c r="E63">
        <v>16494.849999999999</v>
      </c>
      <c r="F63" t="s">
        <v>88</v>
      </c>
      <c r="G63" s="19">
        <v>45531</v>
      </c>
      <c r="H63" t="s">
        <v>7557</v>
      </c>
      <c r="I63" t="s">
        <v>7557</v>
      </c>
      <c r="Q63" s="3">
        <f t="shared" si="0"/>
        <v>16494.849999999999</v>
      </c>
      <c r="R63" t="s">
        <v>393</v>
      </c>
      <c r="S63" t="s">
        <v>137</v>
      </c>
      <c r="T63" t="s">
        <v>65</v>
      </c>
    </row>
    <row r="64" spans="1:20" x14ac:dyDescent="0.35">
      <c r="A64" t="s">
        <v>35</v>
      </c>
      <c r="B64" t="s">
        <v>638</v>
      </c>
      <c r="C64" t="s">
        <v>29</v>
      </c>
      <c r="D64" t="s">
        <v>30</v>
      </c>
      <c r="E64">
        <v>399533</v>
      </c>
      <c r="F64" t="s">
        <v>88</v>
      </c>
      <c r="G64" s="19">
        <v>45531</v>
      </c>
      <c r="H64" t="s">
        <v>7544</v>
      </c>
      <c r="I64" t="s">
        <v>7544</v>
      </c>
      <c r="Q64" s="3">
        <f t="shared" si="0"/>
        <v>399533</v>
      </c>
      <c r="R64" t="s">
        <v>393</v>
      </c>
      <c r="S64" t="s">
        <v>137</v>
      </c>
      <c r="T64" t="s">
        <v>65</v>
      </c>
    </row>
    <row r="65" spans="1:20" x14ac:dyDescent="0.35">
      <c r="A65" t="s">
        <v>35</v>
      </c>
      <c r="B65" t="s">
        <v>7542</v>
      </c>
      <c r="C65" t="s">
        <v>29</v>
      </c>
      <c r="D65" t="s">
        <v>30</v>
      </c>
      <c r="E65">
        <v>1691384</v>
      </c>
      <c r="F65" t="s">
        <v>88</v>
      </c>
      <c r="G65" s="19">
        <v>45531</v>
      </c>
      <c r="H65" t="s">
        <v>7544</v>
      </c>
      <c r="I65" t="s">
        <v>7544</v>
      </c>
      <c r="Q65" s="3">
        <f t="shared" si="0"/>
        <v>1691384</v>
      </c>
      <c r="R65" t="s">
        <v>393</v>
      </c>
      <c r="S65" t="s">
        <v>137</v>
      </c>
      <c r="T65" t="s">
        <v>65</v>
      </c>
    </row>
    <row r="66" spans="1:20" x14ac:dyDescent="0.35">
      <c r="A66" t="s">
        <v>0</v>
      </c>
      <c r="B66" t="s">
        <v>7520</v>
      </c>
      <c r="C66" t="s">
        <v>29</v>
      </c>
      <c r="D66" t="s">
        <v>30</v>
      </c>
      <c r="E66">
        <v>11.47</v>
      </c>
      <c r="F66" t="s">
        <v>88</v>
      </c>
      <c r="G66" s="19">
        <v>45533</v>
      </c>
      <c r="H66" t="s">
        <v>323</v>
      </c>
      <c r="I66" t="s">
        <v>392</v>
      </c>
      <c r="Q66" s="3">
        <f t="shared" si="0"/>
        <v>11.47</v>
      </c>
      <c r="R66" t="s">
        <v>393</v>
      </c>
      <c r="S66" t="s">
        <v>137</v>
      </c>
      <c r="T66" t="s">
        <v>65</v>
      </c>
    </row>
    <row r="67" spans="1:20" x14ac:dyDescent="0.35">
      <c r="A67" t="s">
        <v>0</v>
      </c>
      <c r="B67" t="s">
        <v>7520</v>
      </c>
      <c r="C67" t="s">
        <v>29</v>
      </c>
      <c r="D67" t="s">
        <v>30</v>
      </c>
      <c r="E67">
        <v>263.77</v>
      </c>
      <c r="F67" t="s">
        <v>88</v>
      </c>
      <c r="G67" s="19">
        <v>45533</v>
      </c>
      <c r="H67" t="s">
        <v>323</v>
      </c>
      <c r="I67" t="s">
        <v>7561</v>
      </c>
      <c r="Q67" s="3">
        <f t="shared" si="0"/>
        <v>263.77</v>
      </c>
      <c r="R67" t="s">
        <v>393</v>
      </c>
      <c r="S67" t="s">
        <v>137</v>
      </c>
      <c r="T67" t="s">
        <v>65</v>
      </c>
    </row>
    <row r="68" spans="1:20" x14ac:dyDescent="0.35">
      <c r="A68" t="s">
        <v>35</v>
      </c>
      <c r="B68" t="s">
        <v>5994</v>
      </c>
      <c r="C68" t="s">
        <v>29</v>
      </c>
      <c r="D68" t="s">
        <v>30</v>
      </c>
      <c r="E68">
        <v>-614.91</v>
      </c>
      <c r="F68" t="s">
        <v>88</v>
      </c>
      <c r="G68" s="19">
        <v>45537</v>
      </c>
      <c r="H68" t="s">
        <v>7556</v>
      </c>
      <c r="I68" t="s">
        <v>7556</v>
      </c>
      <c r="Q68" s="3">
        <f t="shared" si="0"/>
        <v>-614.91</v>
      </c>
      <c r="R68" t="s">
        <v>393</v>
      </c>
      <c r="S68" t="s">
        <v>137</v>
      </c>
      <c r="T68" t="s">
        <v>65</v>
      </c>
    </row>
    <row r="69" spans="1:20" x14ac:dyDescent="0.35">
      <c r="A69" t="s">
        <v>35</v>
      </c>
      <c r="B69" t="s">
        <v>655</v>
      </c>
      <c r="C69" t="s">
        <v>29</v>
      </c>
      <c r="D69" t="s">
        <v>30</v>
      </c>
      <c r="E69">
        <v>-4919.32</v>
      </c>
      <c r="F69" t="s">
        <v>88</v>
      </c>
      <c r="G69" s="19">
        <v>45537</v>
      </c>
      <c r="H69" t="s">
        <v>7556</v>
      </c>
      <c r="I69" t="s">
        <v>7556</v>
      </c>
      <c r="Q69" s="3">
        <f t="shared" si="0"/>
        <v>-4919.32</v>
      </c>
      <c r="R69" t="s">
        <v>393</v>
      </c>
      <c r="S69" t="s">
        <v>137</v>
      </c>
      <c r="T69" t="s">
        <v>65</v>
      </c>
    </row>
    <row r="70" spans="1:20" x14ac:dyDescent="0.35">
      <c r="A70" t="s">
        <v>35</v>
      </c>
      <c r="B70" t="s">
        <v>638</v>
      </c>
      <c r="C70" t="s">
        <v>29</v>
      </c>
      <c r="D70" t="s">
        <v>30</v>
      </c>
      <c r="E70">
        <v>-399533</v>
      </c>
      <c r="F70" t="s">
        <v>88</v>
      </c>
      <c r="G70" s="19">
        <v>45537</v>
      </c>
      <c r="H70" t="s">
        <v>7544</v>
      </c>
      <c r="I70" t="s">
        <v>7544</v>
      </c>
      <c r="Q70" s="3">
        <f t="shared" si="0"/>
        <v>-399533</v>
      </c>
      <c r="R70" t="s">
        <v>393</v>
      </c>
      <c r="S70" t="s">
        <v>137</v>
      </c>
      <c r="T70" t="s">
        <v>65</v>
      </c>
    </row>
    <row r="71" spans="1:20" x14ac:dyDescent="0.35">
      <c r="A71" t="s">
        <v>35</v>
      </c>
      <c r="B71" t="s">
        <v>7542</v>
      </c>
      <c r="C71" t="s">
        <v>29</v>
      </c>
      <c r="D71" t="s">
        <v>30</v>
      </c>
      <c r="E71">
        <v>-1801332.75</v>
      </c>
      <c r="F71" t="s">
        <v>88</v>
      </c>
      <c r="G71" s="19">
        <v>45537</v>
      </c>
      <c r="H71" t="s">
        <v>7544</v>
      </c>
      <c r="I71" t="s">
        <v>7544</v>
      </c>
      <c r="Q71" s="3">
        <f t="shared" si="0"/>
        <v>-1801332.75</v>
      </c>
      <c r="R71" t="s">
        <v>393</v>
      </c>
      <c r="S71" t="s">
        <v>137</v>
      </c>
      <c r="T71" t="s">
        <v>65</v>
      </c>
    </row>
    <row r="72" spans="1:20" x14ac:dyDescent="0.35">
      <c r="A72" t="s">
        <v>0</v>
      </c>
      <c r="B72" t="s">
        <v>7520</v>
      </c>
      <c r="C72" t="s">
        <v>29</v>
      </c>
      <c r="D72" t="s">
        <v>30</v>
      </c>
      <c r="E72">
        <v>329.48</v>
      </c>
      <c r="F72" t="s">
        <v>88</v>
      </c>
      <c r="G72" s="19">
        <v>45541</v>
      </c>
      <c r="H72" t="s">
        <v>323</v>
      </c>
      <c r="I72" t="s">
        <v>7562</v>
      </c>
      <c r="Q72" s="3">
        <f t="shared" si="0"/>
        <v>329.48</v>
      </c>
      <c r="R72" t="s">
        <v>393</v>
      </c>
      <c r="S72" t="s">
        <v>137</v>
      </c>
      <c r="T72" t="s">
        <v>65</v>
      </c>
    </row>
    <row r="73" spans="1:20" x14ac:dyDescent="0.35">
      <c r="A73" t="s">
        <v>35</v>
      </c>
      <c r="B73" t="s">
        <v>7533</v>
      </c>
      <c r="C73" t="s">
        <v>29</v>
      </c>
      <c r="D73" t="s">
        <v>30</v>
      </c>
      <c r="E73">
        <v>0</v>
      </c>
      <c r="F73" t="s">
        <v>88</v>
      </c>
      <c r="G73" s="19">
        <v>45546</v>
      </c>
      <c r="H73" t="s">
        <v>7563</v>
      </c>
      <c r="I73" t="s">
        <v>7563</v>
      </c>
      <c r="Q73" s="3">
        <f t="shared" ref="Q73:Q136" si="1">E73</f>
        <v>0</v>
      </c>
      <c r="R73" t="s">
        <v>393</v>
      </c>
      <c r="S73" t="s">
        <v>137</v>
      </c>
      <c r="T73" t="s">
        <v>65</v>
      </c>
    </row>
    <row r="74" spans="1:20" x14ac:dyDescent="0.35">
      <c r="A74" t="s">
        <v>0</v>
      </c>
      <c r="B74" t="s">
        <v>7520</v>
      </c>
      <c r="C74" t="s">
        <v>29</v>
      </c>
      <c r="D74" t="s">
        <v>30</v>
      </c>
      <c r="E74">
        <v>98.95</v>
      </c>
      <c r="F74" t="s">
        <v>88</v>
      </c>
      <c r="G74" s="19">
        <v>45548</v>
      </c>
      <c r="H74" t="s">
        <v>323</v>
      </c>
      <c r="I74" t="s">
        <v>7564</v>
      </c>
      <c r="Q74" s="3">
        <f t="shared" si="1"/>
        <v>98.95</v>
      </c>
      <c r="R74" t="s">
        <v>393</v>
      </c>
      <c r="S74" t="s">
        <v>137</v>
      </c>
      <c r="T74" t="s">
        <v>65</v>
      </c>
    </row>
    <row r="75" spans="1:20" x14ac:dyDescent="0.35">
      <c r="A75" t="s">
        <v>0</v>
      </c>
      <c r="B75" t="s">
        <v>7520</v>
      </c>
      <c r="C75" t="s">
        <v>29</v>
      </c>
      <c r="D75" t="s">
        <v>30</v>
      </c>
      <c r="E75">
        <v>619.25</v>
      </c>
      <c r="F75" t="s">
        <v>88</v>
      </c>
      <c r="G75" s="19">
        <v>45553</v>
      </c>
      <c r="H75" t="s">
        <v>323</v>
      </c>
      <c r="I75" t="s">
        <v>7565</v>
      </c>
      <c r="Q75" s="3">
        <f t="shared" si="1"/>
        <v>619.25</v>
      </c>
      <c r="R75" t="s">
        <v>393</v>
      </c>
      <c r="S75" t="s">
        <v>137</v>
      </c>
      <c r="T75" t="s">
        <v>65</v>
      </c>
    </row>
    <row r="76" spans="1:20" x14ac:dyDescent="0.35">
      <c r="A76" t="s">
        <v>35</v>
      </c>
      <c r="B76" t="s">
        <v>638</v>
      </c>
      <c r="C76" t="s">
        <v>29</v>
      </c>
      <c r="D76" t="s">
        <v>30</v>
      </c>
      <c r="E76">
        <v>399533</v>
      </c>
      <c r="F76" t="s">
        <v>88</v>
      </c>
      <c r="G76" s="19">
        <v>45560</v>
      </c>
      <c r="H76" t="s">
        <v>7544</v>
      </c>
      <c r="I76" t="s">
        <v>7544</v>
      </c>
      <c r="Q76" s="3">
        <f t="shared" si="1"/>
        <v>399533</v>
      </c>
      <c r="R76" t="s">
        <v>393</v>
      </c>
      <c r="S76" t="s">
        <v>137</v>
      </c>
      <c r="T76" t="s">
        <v>65</v>
      </c>
    </row>
    <row r="77" spans="1:20" x14ac:dyDescent="0.35">
      <c r="A77" t="s">
        <v>35</v>
      </c>
      <c r="B77" t="s">
        <v>7542</v>
      </c>
      <c r="C77" t="s">
        <v>29</v>
      </c>
      <c r="D77" t="s">
        <v>30</v>
      </c>
      <c r="E77">
        <v>1801332.75</v>
      </c>
      <c r="F77" t="s">
        <v>88</v>
      </c>
      <c r="G77" s="19">
        <v>45560</v>
      </c>
      <c r="H77" t="s">
        <v>7544</v>
      </c>
      <c r="I77" t="s">
        <v>7544</v>
      </c>
      <c r="Q77" s="3">
        <f t="shared" si="1"/>
        <v>1801332.75</v>
      </c>
      <c r="R77" t="s">
        <v>393</v>
      </c>
      <c r="S77" t="s">
        <v>137</v>
      </c>
      <c r="T77" t="s">
        <v>65</v>
      </c>
    </row>
    <row r="78" spans="1:20" x14ac:dyDescent="0.35">
      <c r="A78" t="s">
        <v>35</v>
      </c>
      <c r="B78" t="s">
        <v>628</v>
      </c>
      <c r="C78" t="s">
        <v>29</v>
      </c>
      <c r="D78" t="s">
        <v>30</v>
      </c>
      <c r="E78">
        <v>0</v>
      </c>
      <c r="F78" t="s">
        <v>88</v>
      </c>
      <c r="G78" s="19">
        <v>45560</v>
      </c>
      <c r="H78" t="s">
        <v>7544</v>
      </c>
      <c r="I78" t="s">
        <v>7544</v>
      </c>
      <c r="Q78" s="3">
        <f t="shared" si="1"/>
        <v>0</v>
      </c>
      <c r="R78" t="s">
        <v>393</v>
      </c>
      <c r="S78" t="s">
        <v>137</v>
      </c>
      <c r="T78" t="s">
        <v>65</v>
      </c>
    </row>
    <row r="79" spans="1:20" x14ac:dyDescent="0.35">
      <c r="A79" t="s">
        <v>35</v>
      </c>
      <c r="B79" t="s">
        <v>6098</v>
      </c>
      <c r="C79" t="s">
        <v>29</v>
      </c>
      <c r="D79" t="s">
        <v>30</v>
      </c>
      <c r="E79">
        <v>1000000</v>
      </c>
      <c r="F79" t="s">
        <v>88</v>
      </c>
      <c r="G79" s="19">
        <v>45560</v>
      </c>
      <c r="H79" t="s">
        <v>7544</v>
      </c>
      <c r="I79" t="s">
        <v>7544</v>
      </c>
      <c r="Q79" s="3">
        <f t="shared" si="1"/>
        <v>1000000</v>
      </c>
      <c r="R79" t="s">
        <v>393</v>
      </c>
      <c r="S79" t="s">
        <v>137</v>
      </c>
      <c r="T79" t="s">
        <v>65</v>
      </c>
    </row>
    <row r="80" spans="1:20" x14ac:dyDescent="0.35">
      <c r="A80" t="s">
        <v>35</v>
      </c>
      <c r="B80" t="s">
        <v>5994</v>
      </c>
      <c r="C80" t="s">
        <v>29</v>
      </c>
      <c r="D80" t="s">
        <v>30</v>
      </c>
      <c r="E80">
        <v>922.37</v>
      </c>
      <c r="F80" t="s">
        <v>88</v>
      </c>
      <c r="G80" s="19">
        <v>45564</v>
      </c>
      <c r="H80" t="s">
        <v>7566</v>
      </c>
      <c r="I80" t="s">
        <v>7566</v>
      </c>
      <c r="Q80" s="3">
        <f t="shared" si="1"/>
        <v>922.37</v>
      </c>
      <c r="R80" t="s">
        <v>393</v>
      </c>
      <c r="S80" t="s">
        <v>137</v>
      </c>
      <c r="T80" t="s">
        <v>65</v>
      </c>
    </row>
    <row r="81" spans="1:20" x14ac:dyDescent="0.35">
      <c r="A81" t="s">
        <v>35</v>
      </c>
      <c r="B81" t="s">
        <v>655</v>
      </c>
      <c r="C81" t="s">
        <v>29</v>
      </c>
      <c r="D81" t="s">
        <v>30</v>
      </c>
      <c r="E81">
        <v>7378.98</v>
      </c>
      <c r="F81" t="s">
        <v>88</v>
      </c>
      <c r="G81" s="19">
        <v>45564</v>
      </c>
      <c r="H81" t="s">
        <v>7566</v>
      </c>
      <c r="I81" t="s">
        <v>7566</v>
      </c>
      <c r="Q81" s="3">
        <f t="shared" si="1"/>
        <v>7378.98</v>
      </c>
      <c r="R81" t="s">
        <v>393</v>
      </c>
      <c r="S81" t="s">
        <v>137</v>
      </c>
      <c r="T81" t="s">
        <v>65</v>
      </c>
    </row>
    <row r="82" spans="1:20" x14ac:dyDescent="0.35">
      <c r="A82" t="s">
        <v>31</v>
      </c>
      <c r="B82" t="s">
        <v>7533</v>
      </c>
      <c r="C82" t="s">
        <v>29</v>
      </c>
      <c r="D82" t="s">
        <v>30</v>
      </c>
      <c r="E82">
        <v>0.12</v>
      </c>
      <c r="F82" t="s">
        <v>88</v>
      </c>
      <c r="G82" s="19">
        <v>45565</v>
      </c>
      <c r="H82" t="s">
        <v>7567</v>
      </c>
      <c r="I82" t="s">
        <v>7567</v>
      </c>
      <c r="Q82" s="3">
        <f t="shared" si="1"/>
        <v>0.12</v>
      </c>
      <c r="R82" t="s">
        <v>393</v>
      </c>
      <c r="S82" t="s">
        <v>137</v>
      </c>
      <c r="T82" t="s">
        <v>65</v>
      </c>
    </row>
    <row r="83" spans="1:20" x14ac:dyDescent="0.35">
      <c r="A83" t="s">
        <v>35</v>
      </c>
      <c r="B83" t="s">
        <v>5994</v>
      </c>
      <c r="C83" t="s">
        <v>29</v>
      </c>
      <c r="D83" t="s">
        <v>30</v>
      </c>
      <c r="E83">
        <v>-922.37</v>
      </c>
      <c r="F83" t="s">
        <v>88</v>
      </c>
      <c r="G83" s="19">
        <v>45566</v>
      </c>
      <c r="H83" t="s">
        <v>7566</v>
      </c>
      <c r="I83" t="s">
        <v>7566</v>
      </c>
      <c r="Q83" s="3">
        <f t="shared" si="1"/>
        <v>-922.37</v>
      </c>
      <c r="R83" t="s">
        <v>393</v>
      </c>
      <c r="S83" t="s">
        <v>137</v>
      </c>
      <c r="T83" t="s">
        <v>65</v>
      </c>
    </row>
    <row r="84" spans="1:20" x14ac:dyDescent="0.35">
      <c r="A84" t="s">
        <v>35</v>
      </c>
      <c r="B84" t="s">
        <v>655</v>
      </c>
      <c r="C84" t="s">
        <v>29</v>
      </c>
      <c r="D84" t="s">
        <v>30</v>
      </c>
      <c r="E84">
        <v>-7378.98</v>
      </c>
      <c r="F84" t="s">
        <v>88</v>
      </c>
      <c r="G84" s="19">
        <v>45566</v>
      </c>
      <c r="H84" t="s">
        <v>7566</v>
      </c>
      <c r="I84" t="s">
        <v>7566</v>
      </c>
      <c r="Q84" s="3">
        <f t="shared" si="1"/>
        <v>-7378.98</v>
      </c>
      <c r="R84" t="s">
        <v>393</v>
      </c>
      <c r="S84" t="s">
        <v>137</v>
      </c>
      <c r="T84" t="s">
        <v>65</v>
      </c>
    </row>
    <row r="85" spans="1:20" x14ac:dyDescent="0.35">
      <c r="A85" t="s">
        <v>35</v>
      </c>
      <c r="B85" t="s">
        <v>638</v>
      </c>
      <c r="C85" t="s">
        <v>29</v>
      </c>
      <c r="D85" t="s">
        <v>30</v>
      </c>
      <c r="E85">
        <v>-399533</v>
      </c>
      <c r="F85" t="s">
        <v>88</v>
      </c>
      <c r="G85" s="19">
        <v>45566</v>
      </c>
      <c r="H85" t="s">
        <v>7544</v>
      </c>
      <c r="I85" t="s">
        <v>7544</v>
      </c>
      <c r="Q85" s="3">
        <f t="shared" si="1"/>
        <v>-399533</v>
      </c>
      <c r="R85" t="s">
        <v>393</v>
      </c>
      <c r="S85" t="s">
        <v>137</v>
      </c>
      <c r="T85" t="s">
        <v>65</v>
      </c>
    </row>
    <row r="86" spans="1:20" x14ac:dyDescent="0.35">
      <c r="A86" t="s">
        <v>35</v>
      </c>
      <c r="B86" t="s">
        <v>7542</v>
      </c>
      <c r="C86" t="s">
        <v>29</v>
      </c>
      <c r="D86" t="s">
        <v>30</v>
      </c>
      <c r="E86">
        <v>-1801332.75</v>
      </c>
      <c r="F86" t="s">
        <v>88</v>
      </c>
      <c r="G86" s="19">
        <v>45566</v>
      </c>
      <c r="H86" t="s">
        <v>7544</v>
      </c>
      <c r="I86" t="s">
        <v>7544</v>
      </c>
      <c r="Q86" s="3">
        <f t="shared" si="1"/>
        <v>-1801332.75</v>
      </c>
      <c r="R86" t="s">
        <v>393</v>
      </c>
      <c r="S86" t="s">
        <v>137</v>
      </c>
      <c r="T86" t="s">
        <v>65</v>
      </c>
    </row>
    <row r="87" spans="1:20" x14ac:dyDescent="0.35">
      <c r="A87" t="s">
        <v>35</v>
      </c>
      <c r="B87" t="s">
        <v>628</v>
      </c>
      <c r="C87" t="s">
        <v>29</v>
      </c>
      <c r="D87" t="s">
        <v>30</v>
      </c>
      <c r="E87">
        <v>0</v>
      </c>
      <c r="F87" t="s">
        <v>88</v>
      </c>
      <c r="G87" s="19">
        <v>45566</v>
      </c>
      <c r="H87" t="s">
        <v>7544</v>
      </c>
      <c r="I87" t="s">
        <v>7544</v>
      </c>
      <c r="Q87" s="3">
        <f t="shared" si="1"/>
        <v>0</v>
      </c>
      <c r="R87" t="s">
        <v>393</v>
      </c>
      <c r="S87" t="s">
        <v>137</v>
      </c>
      <c r="T87" t="s">
        <v>65</v>
      </c>
    </row>
    <row r="88" spans="1:20" x14ac:dyDescent="0.35">
      <c r="A88" t="s">
        <v>35</v>
      </c>
      <c r="B88" t="s">
        <v>6098</v>
      </c>
      <c r="C88" t="s">
        <v>29</v>
      </c>
      <c r="D88" t="s">
        <v>30</v>
      </c>
      <c r="E88">
        <v>-1000000</v>
      </c>
      <c r="F88" t="s">
        <v>88</v>
      </c>
      <c r="G88" s="19">
        <v>45566</v>
      </c>
      <c r="H88" t="s">
        <v>7544</v>
      </c>
      <c r="I88" t="s">
        <v>7544</v>
      </c>
      <c r="Q88" s="3">
        <f t="shared" si="1"/>
        <v>-1000000</v>
      </c>
      <c r="R88" t="s">
        <v>393</v>
      </c>
      <c r="S88" t="s">
        <v>137</v>
      </c>
      <c r="T88" t="s">
        <v>65</v>
      </c>
    </row>
    <row r="89" spans="1:20" x14ac:dyDescent="0.35">
      <c r="A89" t="s">
        <v>0</v>
      </c>
      <c r="B89" t="s">
        <v>7520</v>
      </c>
      <c r="C89" t="s">
        <v>29</v>
      </c>
      <c r="D89" t="s">
        <v>30</v>
      </c>
      <c r="E89">
        <v>184.12</v>
      </c>
      <c r="F89" t="s">
        <v>88</v>
      </c>
      <c r="G89" s="19">
        <v>45567</v>
      </c>
      <c r="H89" t="s">
        <v>323</v>
      </c>
      <c r="I89" t="s">
        <v>7568</v>
      </c>
      <c r="Q89" s="3">
        <f t="shared" si="1"/>
        <v>184.12</v>
      </c>
      <c r="R89" t="s">
        <v>393</v>
      </c>
      <c r="S89" t="s">
        <v>137</v>
      </c>
      <c r="T89" t="s">
        <v>65</v>
      </c>
    </row>
    <row r="90" spans="1:20" x14ac:dyDescent="0.35">
      <c r="A90" t="s">
        <v>0</v>
      </c>
      <c r="B90" t="s">
        <v>7520</v>
      </c>
      <c r="C90" t="s">
        <v>29</v>
      </c>
      <c r="D90" t="s">
        <v>30</v>
      </c>
      <c r="E90">
        <v>49</v>
      </c>
      <c r="F90" t="s">
        <v>88</v>
      </c>
      <c r="G90" s="19">
        <v>45572</v>
      </c>
      <c r="H90" t="s">
        <v>323</v>
      </c>
      <c r="I90" t="s">
        <v>7569</v>
      </c>
      <c r="Q90" s="3">
        <f t="shared" si="1"/>
        <v>49</v>
      </c>
      <c r="R90" t="s">
        <v>393</v>
      </c>
      <c r="S90" t="s">
        <v>137</v>
      </c>
      <c r="T90" t="s">
        <v>65</v>
      </c>
    </row>
    <row r="91" spans="1:20" x14ac:dyDescent="0.35">
      <c r="A91" t="s">
        <v>35</v>
      </c>
      <c r="B91" t="s">
        <v>638</v>
      </c>
      <c r="C91" t="s">
        <v>29</v>
      </c>
      <c r="D91" t="s">
        <v>30</v>
      </c>
      <c r="E91">
        <v>0.41</v>
      </c>
      <c r="F91" t="s">
        <v>88</v>
      </c>
      <c r="G91" s="19">
        <v>45573</v>
      </c>
      <c r="H91" t="s">
        <v>7570</v>
      </c>
      <c r="I91" t="s">
        <v>7570</v>
      </c>
      <c r="Q91" s="3">
        <f t="shared" si="1"/>
        <v>0.41</v>
      </c>
      <c r="R91" t="s">
        <v>393</v>
      </c>
      <c r="S91" t="s">
        <v>137</v>
      </c>
      <c r="T91" t="s">
        <v>65</v>
      </c>
    </row>
    <row r="92" spans="1:20" x14ac:dyDescent="0.35">
      <c r="A92" t="s">
        <v>0</v>
      </c>
      <c r="B92" t="s">
        <v>7571</v>
      </c>
      <c r="C92" t="s">
        <v>29</v>
      </c>
      <c r="D92" t="s">
        <v>30</v>
      </c>
      <c r="E92">
        <v>0.01</v>
      </c>
      <c r="F92" t="s">
        <v>88</v>
      </c>
      <c r="G92" s="19">
        <v>45574</v>
      </c>
      <c r="H92" t="s">
        <v>7572</v>
      </c>
      <c r="I92" t="s">
        <v>7572</v>
      </c>
      <c r="Q92" s="3">
        <f t="shared" si="1"/>
        <v>0.01</v>
      </c>
      <c r="R92" t="s">
        <v>393</v>
      </c>
      <c r="S92" t="s">
        <v>137</v>
      </c>
      <c r="T92" t="s">
        <v>65</v>
      </c>
    </row>
    <row r="93" spans="1:20" x14ac:dyDescent="0.35">
      <c r="A93" t="s">
        <v>0</v>
      </c>
      <c r="B93" t="s">
        <v>599</v>
      </c>
      <c r="C93" t="s">
        <v>29</v>
      </c>
      <c r="D93" t="s">
        <v>30</v>
      </c>
      <c r="E93">
        <v>0.01</v>
      </c>
      <c r="F93" t="s">
        <v>88</v>
      </c>
      <c r="G93" s="19">
        <v>45574</v>
      </c>
      <c r="H93" t="s">
        <v>7572</v>
      </c>
      <c r="I93" t="s">
        <v>7572</v>
      </c>
      <c r="Q93" s="3">
        <f t="shared" si="1"/>
        <v>0.01</v>
      </c>
      <c r="R93" t="s">
        <v>393</v>
      </c>
      <c r="S93" t="s">
        <v>137</v>
      </c>
      <c r="T93" t="s">
        <v>65</v>
      </c>
    </row>
    <row r="94" spans="1:20" x14ac:dyDescent="0.35">
      <c r="A94" t="s">
        <v>0</v>
      </c>
      <c r="B94" t="s">
        <v>756</v>
      </c>
      <c r="C94" t="s">
        <v>29</v>
      </c>
      <c r="D94" t="s">
        <v>30</v>
      </c>
      <c r="E94">
        <v>-0.01</v>
      </c>
      <c r="F94" t="s">
        <v>88</v>
      </c>
      <c r="G94" s="19">
        <v>45574</v>
      </c>
      <c r="H94" t="s">
        <v>7572</v>
      </c>
      <c r="I94" t="s">
        <v>7572</v>
      </c>
      <c r="Q94" s="3">
        <f t="shared" si="1"/>
        <v>-0.01</v>
      </c>
      <c r="R94" t="s">
        <v>393</v>
      </c>
      <c r="S94" t="s">
        <v>137</v>
      </c>
      <c r="T94" t="s">
        <v>65</v>
      </c>
    </row>
    <row r="95" spans="1:20" x14ac:dyDescent="0.35">
      <c r="A95" t="s">
        <v>0</v>
      </c>
      <c r="B95" t="s">
        <v>672</v>
      </c>
      <c r="C95" t="s">
        <v>29</v>
      </c>
      <c r="D95" t="s">
        <v>30</v>
      </c>
      <c r="E95">
        <v>-0.01</v>
      </c>
      <c r="F95" t="s">
        <v>88</v>
      </c>
      <c r="G95" s="19">
        <v>45574</v>
      </c>
      <c r="H95" t="s">
        <v>7572</v>
      </c>
      <c r="I95" t="s">
        <v>7572</v>
      </c>
      <c r="Q95" s="3">
        <f t="shared" si="1"/>
        <v>-0.01</v>
      </c>
      <c r="R95" t="s">
        <v>393</v>
      </c>
      <c r="S95" t="s">
        <v>137</v>
      </c>
      <c r="T95" t="s">
        <v>65</v>
      </c>
    </row>
    <row r="96" spans="1:20" x14ac:dyDescent="0.35">
      <c r="A96" t="s">
        <v>0</v>
      </c>
      <c r="B96" t="s">
        <v>633</v>
      </c>
      <c r="C96" t="s">
        <v>29</v>
      </c>
      <c r="D96" t="s">
        <v>30</v>
      </c>
      <c r="E96">
        <v>0.01</v>
      </c>
      <c r="F96" t="s">
        <v>88</v>
      </c>
      <c r="G96" s="19">
        <v>45574</v>
      </c>
      <c r="H96" t="s">
        <v>7572</v>
      </c>
      <c r="I96" t="s">
        <v>7572</v>
      </c>
      <c r="Q96" s="3">
        <f t="shared" si="1"/>
        <v>0.01</v>
      </c>
      <c r="R96" t="s">
        <v>393</v>
      </c>
      <c r="S96" t="s">
        <v>137</v>
      </c>
      <c r="T96" t="s">
        <v>65</v>
      </c>
    </row>
    <row r="97" spans="1:20" x14ac:dyDescent="0.35">
      <c r="A97" t="s">
        <v>0</v>
      </c>
      <c r="B97" t="s">
        <v>1627</v>
      </c>
      <c r="C97" t="s">
        <v>29</v>
      </c>
      <c r="D97" t="s">
        <v>30</v>
      </c>
      <c r="E97">
        <v>0.01</v>
      </c>
      <c r="F97" t="s">
        <v>88</v>
      </c>
      <c r="G97" s="19">
        <v>45574</v>
      </c>
      <c r="H97" t="s">
        <v>7572</v>
      </c>
      <c r="I97" t="s">
        <v>7572</v>
      </c>
      <c r="Q97" s="3">
        <f t="shared" si="1"/>
        <v>0.01</v>
      </c>
      <c r="R97" t="s">
        <v>393</v>
      </c>
      <c r="S97" t="s">
        <v>137</v>
      </c>
      <c r="T97" t="s">
        <v>65</v>
      </c>
    </row>
    <row r="98" spans="1:20" x14ac:dyDescent="0.35">
      <c r="A98" t="s">
        <v>0</v>
      </c>
      <c r="B98" t="s">
        <v>7573</v>
      </c>
      <c r="C98" t="s">
        <v>29</v>
      </c>
      <c r="D98" t="s">
        <v>30</v>
      </c>
      <c r="E98">
        <v>0</v>
      </c>
      <c r="F98" t="s">
        <v>88</v>
      </c>
      <c r="G98" s="19">
        <v>45574</v>
      </c>
      <c r="H98" t="s">
        <v>7572</v>
      </c>
      <c r="I98" t="s">
        <v>7572</v>
      </c>
      <c r="Q98" s="3">
        <f t="shared" si="1"/>
        <v>0</v>
      </c>
      <c r="R98" t="s">
        <v>393</v>
      </c>
      <c r="S98" t="s">
        <v>137</v>
      </c>
      <c r="T98" t="s">
        <v>65</v>
      </c>
    </row>
    <row r="99" spans="1:20" x14ac:dyDescent="0.35">
      <c r="A99" t="s">
        <v>0</v>
      </c>
      <c r="B99" t="s">
        <v>1431</v>
      </c>
      <c r="C99" t="s">
        <v>29</v>
      </c>
      <c r="D99" t="s">
        <v>30</v>
      </c>
      <c r="E99">
        <v>0.02</v>
      </c>
      <c r="F99" t="s">
        <v>88</v>
      </c>
      <c r="G99" s="19">
        <v>45574</v>
      </c>
      <c r="H99" t="s">
        <v>7572</v>
      </c>
      <c r="I99" t="s">
        <v>7572</v>
      </c>
      <c r="Q99" s="3">
        <f t="shared" si="1"/>
        <v>0.02</v>
      </c>
      <c r="R99" t="s">
        <v>393</v>
      </c>
      <c r="S99" t="s">
        <v>137</v>
      </c>
      <c r="T99" t="s">
        <v>65</v>
      </c>
    </row>
    <row r="100" spans="1:20" x14ac:dyDescent="0.35">
      <c r="A100" t="s">
        <v>0</v>
      </c>
      <c r="B100" t="s">
        <v>7533</v>
      </c>
      <c r="C100" t="s">
        <v>29</v>
      </c>
      <c r="D100" t="s">
        <v>30</v>
      </c>
      <c r="E100">
        <v>9.9999999999999967E-3</v>
      </c>
      <c r="F100" t="s">
        <v>88</v>
      </c>
      <c r="G100" s="19">
        <v>45574</v>
      </c>
      <c r="H100" t="s">
        <v>7572</v>
      </c>
      <c r="I100" t="s">
        <v>7572</v>
      </c>
      <c r="Q100" s="3">
        <f t="shared" si="1"/>
        <v>9.9999999999999967E-3</v>
      </c>
      <c r="R100" t="s">
        <v>393</v>
      </c>
      <c r="S100" t="s">
        <v>137</v>
      </c>
      <c r="T100" t="s">
        <v>65</v>
      </c>
    </row>
    <row r="101" spans="1:20" x14ac:dyDescent="0.35">
      <c r="A101" t="s">
        <v>31</v>
      </c>
      <c r="B101" t="s">
        <v>7571</v>
      </c>
      <c r="C101" t="s">
        <v>29</v>
      </c>
      <c r="D101" t="s">
        <v>30</v>
      </c>
      <c r="E101">
        <v>-0.15</v>
      </c>
      <c r="F101" t="s">
        <v>88</v>
      </c>
      <c r="G101" s="19">
        <v>45574</v>
      </c>
      <c r="H101" t="s">
        <v>7572</v>
      </c>
      <c r="I101" t="s">
        <v>7572</v>
      </c>
      <c r="Q101" s="3">
        <f t="shared" si="1"/>
        <v>-0.15</v>
      </c>
      <c r="R101" t="s">
        <v>393</v>
      </c>
      <c r="S101" t="s">
        <v>137</v>
      </c>
      <c r="T101" t="s">
        <v>65</v>
      </c>
    </row>
    <row r="102" spans="1:20" x14ac:dyDescent="0.35">
      <c r="A102" t="s">
        <v>32</v>
      </c>
      <c r="B102" t="s">
        <v>7571</v>
      </c>
      <c r="C102" t="s">
        <v>29</v>
      </c>
      <c r="D102" t="s">
        <v>30</v>
      </c>
      <c r="E102">
        <v>0.01</v>
      </c>
      <c r="F102" t="s">
        <v>88</v>
      </c>
      <c r="G102" s="19">
        <v>45574</v>
      </c>
      <c r="H102" t="s">
        <v>7572</v>
      </c>
      <c r="I102" t="s">
        <v>7572</v>
      </c>
      <c r="Q102" s="3">
        <f t="shared" si="1"/>
        <v>0.01</v>
      </c>
      <c r="R102" t="s">
        <v>393</v>
      </c>
      <c r="S102" t="s">
        <v>137</v>
      </c>
      <c r="T102" t="s">
        <v>65</v>
      </c>
    </row>
    <row r="103" spans="1:20" x14ac:dyDescent="0.35">
      <c r="A103" t="s">
        <v>34</v>
      </c>
      <c r="B103" t="s">
        <v>7571</v>
      </c>
      <c r="C103" t="s">
        <v>29</v>
      </c>
      <c r="D103" t="s">
        <v>30</v>
      </c>
      <c r="E103">
        <v>0.03</v>
      </c>
      <c r="F103" t="s">
        <v>88</v>
      </c>
      <c r="G103" s="19">
        <v>45574</v>
      </c>
      <c r="H103" t="s">
        <v>7572</v>
      </c>
      <c r="I103" t="s">
        <v>7572</v>
      </c>
      <c r="Q103" s="3">
        <f t="shared" si="1"/>
        <v>0.03</v>
      </c>
      <c r="R103" t="s">
        <v>393</v>
      </c>
      <c r="S103" t="s">
        <v>137</v>
      </c>
      <c r="T103" t="s">
        <v>65</v>
      </c>
    </row>
    <row r="104" spans="1:20" x14ac:dyDescent="0.35">
      <c r="A104" t="s">
        <v>35</v>
      </c>
      <c r="B104" t="s">
        <v>638</v>
      </c>
      <c r="C104" t="s">
        <v>29</v>
      </c>
      <c r="D104" t="s">
        <v>30</v>
      </c>
      <c r="E104">
        <v>-2.4699999999999993</v>
      </c>
      <c r="F104" t="s">
        <v>88</v>
      </c>
      <c r="G104" s="19">
        <v>45574</v>
      </c>
      <c r="H104" t="s">
        <v>7572</v>
      </c>
      <c r="I104" t="s">
        <v>7572</v>
      </c>
      <c r="Q104" s="3">
        <f t="shared" si="1"/>
        <v>-2.4699999999999993</v>
      </c>
      <c r="R104" t="s">
        <v>393</v>
      </c>
      <c r="S104" t="s">
        <v>137</v>
      </c>
      <c r="T104" t="s">
        <v>65</v>
      </c>
    </row>
    <row r="105" spans="1:20" x14ac:dyDescent="0.35">
      <c r="A105" t="s">
        <v>35</v>
      </c>
      <c r="B105" t="s">
        <v>6098</v>
      </c>
      <c r="C105" t="s">
        <v>29</v>
      </c>
      <c r="D105" t="s">
        <v>30</v>
      </c>
      <c r="E105">
        <v>0.01</v>
      </c>
      <c r="F105" t="s">
        <v>88</v>
      </c>
      <c r="G105" s="19">
        <v>45574</v>
      </c>
      <c r="H105" t="s">
        <v>7572</v>
      </c>
      <c r="I105" t="s">
        <v>7572</v>
      </c>
      <c r="Q105" s="3">
        <f t="shared" si="1"/>
        <v>0.01</v>
      </c>
      <c r="R105" t="s">
        <v>393</v>
      </c>
      <c r="S105" t="s">
        <v>137</v>
      </c>
      <c r="T105" t="s">
        <v>65</v>
      </c>
    </row>
    <row r="106" spans="1:20" x14ac:dyDescent="0.35">
      <c r="A106" t="s">
        <v>35</v>
      </c>
      <c r="B106" t="s">
        <v>614</v>
      </c>
      <c r="C106" t="s">
        <v>29</v>
      </c>
      <c r="D106" t="s">
        <v>30</v>
      </c>
      <c r="E106">
        <v>-0.02</v>
      </c>
      <c r="F106" t="s">
        <v>88</v>
      </c>
      <c r="G106" s="19">
        <v>45574</v>
      </c>
      <c r="H106" t="s">
        <v>7572</v>
      </c>
      <c r="I106" t="s">
        <v>7572</v>
      </c>
      <c r="Q106" s="3">
        <f t="shared" si="1"/>
        <v>-0.02</v>
      </c>
      <c r="R106" t="s">
        <v>393</v>
      </c>
      <c r="S106" t="s">
        <v>137</v>
      </c>
      <c r="T106" t="s">
        <v>65</v>
      </c>
    </row>
    <row r="107" spans="1:20" x14ac:dyDescent="0.35">
      <c r="A107" t="s">
        <v>35</v>
      </c>
      <c r="B107" t="s">
        <v>7571</v>
      </c>
      <c r="C107" t="s">
        <v>29</v>
      </c>
      <c r="D107" t="s">
        <v>30</v>
      </c>
      <c r="E107">
        <v>6.0000000000000005E-2</v>
      </c>
      <c r="F107" t="s">
        <v>88</v>
      </c>
      <c r="G107" s="19">
        <v>45574</v>
      </c>
      <c r="H107" t="s">
        <v>7572</v>
      </c>
      <c r="I107" t="s">
        <v>7572</v>
      </c>
      <c r="Q107" s="3">
        <f t="shared" si="1"/>
        <v>6.0000000000000005E-2</v>
      </c>
      <c r="R107" t="s">
        <v>393</v>
      </c>
      <c r="S107" t="s">
        <v>137</v>
      </c>
      <c r="T107" t="s">
        <v>65</v>
      </c>
    </row>
    <row r="108" spans="1:20" x14ac:dyDescent="0.35">
      <c r="A108" t="s">
        <v>35</v>
      </c>
      <c r="B108" t="s">
        <v>1092</v>
      </c>
      <c r="C108" t="s">
        <v>29</v>
      </c>
      <c r="D108" t="s">
        <v>30</v>
      </c>
      <c r="E108">
        <v>0.04</v>
      </c>
      <c r="F108" t="s">
        <v>88</v>
      </c>
      <c r="G108" s="19">
        <v>45574</v>
      </c>
      <c r="H108" t="s">
        <v>7572</v>
      </c>
      <c r="I108" t="s">
        <v>7572</v>
      </c>
      <c r="Q108" s="3">
        <f t="shared" si="1"/>
        <v>0.04</v>
      </c>
      <c r="R108" t="s">
        <v>393</v>
      </c>
      <c r="S108" t="s">
        <v>137</v>
      </c>
      <c r="T108" t="s">
        <v>65</v>
      </c>
    </row>
    <row r="109" spans="1:20" x14ac:dyDescent="0.35">
      <c r="A109" t="s">
        <v>35</v>
      </c>
      <c r="B109" t="s">
        <v>728</v>
      </c>
      <c r="C109" t="s">
        <v>29</v>
      </c>
      <c r="D109" t="s">
        <v>30</v>
      </c>
      <c r="E109">
        <v>-0.02</v>
      </c>
      <c r="F109" t="s">
        <v>88</v>
      </c>
      <c r="G109" s="19">
        <v>45574</v>
      </c>
      <c r="H109" t="s">
        <v>7572</v>
      </c>
      <c r="I109" t="s">
        <v>7572</v>
      </c>
      <c r="Q109" s="3">
        <f t="shared" si="1"/>
        <v>-0.02</v>
      </c>
      <c r="R109" t="s">
        <v>393</v>
      </c>
      <c r="S109" t="s">
        <v>137</v>
      </c>
      <c r="T109" t="s">
        <v>65</v>
      </c>
    </row>
    <row r="110" spans="1:20" x14ac:dyDescent="0.35">
      <c r="A110" t="s">
        <v>35</v>
      </c>
      <c r="B110" t="s">
        <v>618</v>
      </c>
      <c r="C110" t="s">
        <v>29</v>
      </c>
      <c r="D110" t="s">
        <v>30</v>
      </c>
      <c r="E110">
        <v>-0.03</v>
      </c>
      <c r="F110" t="s">
        <v>88</v>
      </c>
      <c r="G110" s="19">
        <v>45574</v>
      </c>
      <c r="H110" t="s">
        <v>7572</v>
      </c>
      <c r="I110" t="s">
        <v>7572</v>
      </c>
      <c r="Q110" s="3">
        <f t="shared" si="1"/>
        <v>-0.03</v>
      </c>
      <c r="R110" t="s">
        <v>393</v>
      </c>
      <c r="S110" t="s">
        <v>137</v>
      </c>
      <c r="T110" t="s">
        <v>65</v>
      </c>
    </row>
    <row r="111" spans="1:20" x14ac:dyDescent="0.35">
      <c r="A111" t="s">
        <v>35</v>
      </c>
      <c r="B111" t="s">
        <v>7574</v>
      </c>
      <c r="C111" t="s">
        <v>29</v>
      </c>
      <c r="D111" t="s">
        <v>30</v>
      </c>
      <c r="E111">
        <v>0.01</v>
      </c>
      <c r="F111" t="s">
        <v>88</v>
      </c>
      <c r="G111" s="19">
        <v>45574</v>
      </c>
      <c r="H111" t="s">
        <v>7572</v>
      </c>
      <c r="I111" t="s">
        <v>7572</v>
      </c>
      <c r="Q111" s="3">
        <f t="shared" si="1"/>
        <v>0.01</v>
      </c>
      <c r="R111" t="s">
        <v>393</v>
      </c>
      <c r="S111" t="s">
        <v>137</v>
      </c>
      <c r="T111" t="s">
        <v>65</v>
      </c>
    </row>
    <row r="112" spans="1:20" x14ac:dyDescent="0.35">
      <c r="A112" t="s">
        <v>35</v>
      </c>
      <c r="B112" t="s">
        <v>7575</v>
      </c>
      <c r="C112" t="s">
        <v>29</v>
      </c>
      <c r="D112" t="s">
        <v>30</v>
      </c>
      <c r="E112">
        <v>0.01</v>
      </c>
      <c r="F112" t="s">
        <v>88</v>
      </c>
      <c r="G112" s="19">
        <v>45574</v>
      </c>
      <c r="H112" t="s">
        <v>7572</v>
      </c>
      <c r="I112" t="s">
        <v>7572</v>
      </c>
      <c r="Q112" s="3">
        <f t="shared" si="1"/>
        <v>0.01</v>
      </c>
      <c r="R112" t="s">
        <v>393</v>
      </c>
      <c r="S112" t="s">
        <v>137</v>
      </c>
      <c r="T112" t="s">
        <v>65</v>
      </c>
    </row>
    <row r="113" spans="1:20" x14ac:dyDescent="0.35">
      <c r="A113" t="s">
        <v>35</v>
      </c>
      <c r="B113" t="s">
        <v>7576</v>
      </c>
      <c r="C113" t="s">
        <v>29</v>
      </c>
      <c r="D113" t="s">
        <v>30</v>
      </c>
      <c r="E113">
        <v>-0.04</v>
      </c>
      <c r="F113" t="s">
        <v>88</v>
      </c>
      <c r="G113" s="19">
        <v>45574</v>
      </c>
      <c r="H113" t="s">
        <v>7572</v>
      </c>
      <c r="I113" t="s">
        <v>7572</v>
      </c>
      <c r="Q113" s="3">
        <f t="shared" si="1"/>
        <v>-0.04</v>
      </c>
      <c r="R113" t="s">
        <v>393</v>
      </c>
      <c r="S113" t="s">
        <v>137</v>
      </c>
      <c r="T113" t="s">
        <v>65</v>
      </c>
    </row>
    <row r="114" spans="1:20" x14ac:dyDescent="0.35">
      <c r="A114" t="s">
        <v>35</v>
      </c>
      <c r="B114" t="s">
        <v>1189</v>
      </c>
      <c r="C114" t="s">
        <v>29</v>
      </c>
      <c r="D114" t="s">
        <v>30</v>
      </c>
      <c r="E114">
        <v>0.01</v>
      </c>
      <c r="F114" t="s">
        <v>88</v>
      </c>
      <c r="G114" s="19">
        <v>45574</v>
      </c>
      <c r="H114" t="s">
        <v>7572</v>
      </c>
      <c r="I114" t="s">
        <v>7572</v>
      </c>
      <c r="Q114" s="3">
        <f t="shared" si="1"/>
        <v>0.01</v>
      </c>
      <c r="R114" t="s">
        <v>393</v>
      </c>
      <c r="S114" t="s">
        <v>137</v>
      </c>
      <c r="T114" t="s">
        <v>65</v>
      </c>
    </row>
    <row r="115" spans="1:20" x14ac:dyDescent="0.35">
      <c r="A115" t="s">
        <v>35</v>
      </c>
      <c r="B115" t="s">
        <v>6394</v>
      </c>
      <c r="C115" t="s">
        <v>29</v>
      </c>
      <c r="D115" t="s">
        <v>30</v>
      </c>
      <c r="E115">
        <v>-0.02</v>
      </c>
      <c r="F115" t="s">
        <v>88</v>
      </c>
      <c r="G115" s="19">
        <v>45574</v>
      </c>
      <c r="H115" t="s">
        <v>7572</v>
      </c>
      <c r="I115" t="s">
        <v>7572</v>
      </c>
      <c r="Q115" s="3">
        <f t="shared" si="1"/>
        <v>-0.02</v>
      </c>
      <c r="R115" t="s">
        <v>393</v>
      </c>
      <c r="S115" t="s">
        <v>137</v>
      </c>
      <c r="T115" t="s">
        <v>65</v>
      </c>
    </row>
    <row r="116" spans="1:20" x14ac:dyDescent="0.35">
      <c r="A116" t="s">
        <v>35</v>
      </c>
      <c r="B116" t="s">
        <v>7577</v>
      </c>
      <c r="C116" t="s">
        <v>29</v>
      </c>
      <c r="D116" t="s">
        <v>30</v>
      </c>
      <c r="E116">
        <v>0.04</v>
      </c>
      <c r="F116" t="s">
        <v>88</v>
      </c>
      <c r="G116" s="19">
        <v>45574</v>
      </c>
      <c r="H116" t="s">
        <v>7572</v>
      </c>
      <c r="I116" t="s">
        <v>7572</v>
      </c>
      <c r="Q116" s="3">
        <f t="shared" si="1"/>
        <v>0.04</v>
      </c>
      <c r="R116" t="s">
        <v>393</v>
      </c>
      <c r="S116" t="s">
        <v>137</v>
      </c>
      <c r="T116" t="s">
        <v>65</v>
      </c>
    </row>
    <row r="117" spans="1:20" x14ac:dyDescent="0.35">
      <c r="A117" t="s">
        <v>35</v>
      </c>
      <c r="B117" t="s">
        <v>7578</v>
      </c>
      <c r="C117" t="s">
        <v>29</v>
      </c>
      <c r="D117" t="s">
        <v>30</v>
      </c>
      <c r="E117">
        <v>0.02</v>
      </c>
      <c r="F117" t="s">
        <v>88</v>
      </c>
      <c r="G117" s="19">
        <v>45574</v>
      </c>
      <c r="H117" t="s">
        <v>7572</v>
      </c>
      <c r="I117" t="s">
        <v>7572</v>
      </c>
      <c r="Q117" s="3">
        <f t="shared" si="1"/>
        <v>0.02</v>
      </c>
      <c r="R117" t="s">
        <v>393</v>
      </c>
      <c r="S117" t="s">
        <v>137</v>
      </c>
      <c r="T117" t="s">
        <v>65</v>
      </c>
    </row>
    <row r="118" spans="1:20" x14ac:dyDescent="0.35">
      <c r="A118" t="s">
        <v>35</v>
      </c>
      <c r="B118" t="s">
        <v>7579</v>
      </c>
      <c r="C118" t="s">
        <v>29</v>
      </c>
      <c r="D118" t="s">
        <v>30</v>
      </c>
      <c r="E118">
        <v>0</v>
      </c>
      <c r="F118" t="s">
        <v>88</v>
      </c>
      <c r="G118" s="19">
        <v>45574</v>
      </c>
      <c r="H118" t="s">
        <v>7572</v>
      </c>
      <c r="I118" t="s">
        <v>7572</v>
      </c>
      <c r="Q118" s="3">
        <f t="shared" si="1"/>
        <v>0</v>
      </c>
      <c r="R118" t="s">
        <v>393</v>
      </c>
      <c r="S118" t="s">
        <v>137</v>
      </c>
      <c r="T118" t="s">
        <v>65</v>
      </c>
    </row>
    <row r="119" spans="1:20" x14ac:dyDescent="0.35">
      <c r="A119" t="s">
        <v>35</v>
      </c>
      <c r="B119" t="s">
        <v>7580</v>
      </c>
      <c r="C119" t="s">
        <v>29</v>
      </c>
      <c r="D119" t="s">
        <v>30</v>
      </c>
      <c r="E119">
        <v>0.03</v>
      </c>
      <c r="F119" t="s">
        <v>88</v>
      </c>
      <c r="G119" s="19">
        <v>45574</v>
      </c>
      <c r="H119" t="s">
        <v>7572</v>
      </c>
      <c r="I119" t="s">
        <v>7572</v>
      </c>
      <c r="Q119" s="3">
        <f t="shared" si="1"/>
        <v>0.03</v>
      </c>
      <c r="R119" t="s">
        <v>393</v>
      </c>
      <c r="S119" t="s">
        <v>137</v>
      </c>
      <c r="T119" t="s">
        <v>65</v>
      </c>
    </row>
    <row r="120" spans="1:20" x14ac:dyDescent="0.35">
      <c r="A120" t="s">
        <v>35</v>
      </c>
      <c r="B120" t="s">
        <v>613</v>
      </c>
      <c r="C120" t="s">
        <v>29</v>
      </c>
      <c r="D120" t="s">
        <v>30</v>
      </c>
      <c r="E120">
        <v>0.01</v>
      </c>
      <c r="F120" t="s">
        <v>88</v>
      </c>
      <c r="G120" s="19">
        <v>45574</v>
      </c>
      <c r="H120" t="s">
        <v>7572</v>
      </c>
      <c r="I120" t="s">
        <v>7572</v>
      </c>
      <c r="Q120" s="3">
        <f t="shared" si="1"/>
        <v>0.01</v>
      </c>
      <c r="R120" t="s">
        <v>393</v>
      </c>
      <c r="S120" t="s">
        <v>137</v>
      </c>
      <c r="T120" t="s">
        <v>65</v>
      </c>
    </row>
    <row r="121" spans="1:20" x14ac:dyDescent="0.35">
      <c r="A121" t="s">
        <v>35</v>
      </c>
      <c r="B121" t="s">
        <v>6401</v>
      </c>
      <c r="C121" t="s">
        <v>29</v>
      </c>
      <c r="D121" t="s">
        <v>30</v>
      </c>
      <c r="E121">
        <v>-0.01</v>
      </c>
      <c r="F121" t="s">
        <v>88</v>
      </c>
      <c r="G121" s="19">
        <v>45574</v>
      </c>
      <c r="H121" t="s">
        <v>7572</v>
      </c>
      <c r="I121" t="s">
        <v>7572</v>
      </c>
      <c r="Q121" s="3">
        <f t="shared" si="1"/>
        <v>-0.01</v>
      </c>
      <c r="R121" t="s">
        <v>393</v>
      </c>
      <c r="S121" t="s">
        <v>137</v>
      </c>
      <c r="T121" t="s">
        <v>65</v>
      </c>
    </row>
    <row r="122" spans="1:20" x14ac:dyDescent="0.35">
      <c r="A122" t="s">
        <v>35</v>
      </c>
      <c r="B122" t="s">
        <v>599</v>
      </c>
      <c r="C122" t="s">
        <v>29</v>
      </c>
      <c r="D122" t="s">
        <v>30</v>
      </c>
      <c r="E122">
        <v>-0.02</v>
      </c>
      <c r="F122" t="s">
        <v>88</v>
      </c>
      <c r="G122" s="19">
        <v>45574</v>
      </c>
      <c r="H122" t="s">
        <v>7572</v>
      </c>
      <c r="I122" t="s">
        <v>7572</v>
      </c>
      <c r="Q122" s="3">
        <f t="shared" si="1"/>
        <v>-0.02</v>
      </c>
      <c r="R122" t="s">
        <v>393</v>
      </c>
      <c r="S122" t="s">
        <v>137</v>
      </c>
      <c r="T122" t="s">
        <v>65</v>
      </c>
    </row>
    <row r="123" spans="1:20" x14ac:dyDescent="0.35">
      <c r="A123" t="s">
        <v>35</v>
      </c>
      <c r="B123" t="s">
        <v>1244</v>
      </c>
      <c r="C123" t="s">
        <v>29</v>
      </c>
      <c r="D123" t="s">
        <v>30</v>
      </c>
      <c r="E123">
        <v>-0.04</v>
      </c>
      <c r="F123" t="s">
        <v>88</v>
      </c>
      <c r="G123" s="19">
        <v>45574</v>
      </c>
      <c r="H123" t="s">
        <v>7572</v>
      </c>
      <c r="I123" t="s">
        <v>7572</v>
      </c>
      <c r="Q123" s="3">
        <f t="shared" si="1"/>
        <v>-0.04</v>
      </c>
      <c r="R123" t="s">
        <v>393</v>
      </c>
      <c r="S123" t="s">
        <v>137</v>
      </c>
      <c r="T123" t="s">
        <v>65</v>
      </c>
    </row>
    <row r="124" spans="1:20" x14ac:dyDescent="0.35">
      <c r="A124" t="s">
        <v>35</v>
      </c>
      <c r="B124" t="s">
        <v>7581</v>
      </c>
      <c r="C124" t="s">
        <v>29</v>
      </c>
      <c r="D124" t="s">
        <v>30</v>
      </c>
      <c r="E124">
        <v>-0.01</v>
      </c>
      <c r="F124" t="s">
        <v>88</v>
      </c>
      <c r="G124" s="19">
        <v>45574</v>
      </c>
      <c r="H124" t="s">
        <v>7572</v>
      </c>
      <c r="I124" t="s">
        <v>7572</v>
      </c>
      <c r="Q124" s="3">
        <f t="shared" si="1"/>
        <v>-0.01</v>
      </c>
      <c r="R124" t="s">
        <v>393</v>
      </c>
      <c r="S124" t="s">
        <v>137</v>
      </c>
      <c r="T124" t="s">
        <v>65</v>
      </c>
    </row>
    <row r="125" spans="1:20" x14ac:dyDescent="0.35">
      <c r="A125" t="s">
        <v>35</v>
      </c>
      <c r="B125" t="s">
        <v>1627</v>
      </c>
      <c r="C125" t="s">
        <v>29</v>
      </c>
      <c r="D125" t="s">
        <v>30</v>
      </c>
      <c r="E125">
        <v>0.02</v>
      </c>
      <c r="F125" t="s">
        <v>88</v>
      </c>
      <c r="G125" s="19">
        <v>45574</v>
      </c>
      <c r="H125" t="s">
        <v>7572</v>
      </c>
      <c r="I125" t="s">
        <v>7572</v>
      </c>
      <c r="Q125" s="3">
        <f t="shared" si="1"/>
        <v>0.02</v>
      </c>
      <c r="R125" t="s">
        <v>393</v>
      </c>
      <c r="S125" t="s">
        <v>137</v>
      </c>
      <c r="T125" t="s">
        <v>65</v>
      </c>
    </row>
    <row r="126" spans="1:20" x14ac:dyDescent="0.35">
      <c r="A126" t="s">
        <v>35</v>
      </c>
      <c r="B126" t="s">
        <v>7582</v>
      </c>
      <c r="C126" t="s">
        <v>29</v>
      </c>
      <c r="D126" t="s">
        <v>30</v>
      </c>
      <c r="E126">
        <v>0.01</v>
      </c>
      <c r="F126" t="s">
        <v>88</v>
      </c>
      <c r="G126" s="19">
        <v>45574</v>
      </c>
      <c r="H126" t="s">
        <v>7572</v>
      </c>
      <c r="I126" t="s">
        <v>7572</v>
      </c>
      <c r="Q126" s="3">
        <f t="shared" si="1"/>
        <v>0.01</v>
      </c>
      <c r="R126" t="s">
        <v>393</v>
      </c>
      <c r="S126" t="s">
        <v>137</v>
      </c>
      <c r="T126" t="s">
        <v>65</v>
      </c>
    </row>
    <row r="127" spans="1:20" x14ac:dyDescent="0.35">
      <c r="A127" t="s">
        <v>35</v>
      </c>
      <c r="B127" t="s">
        <v>7583</v>
      </c>
      <c r="C127" t="s">
        <v>29</v>
      </c>
      <c r="D127" t="s">
        <v>30</v>
      </c>
      <c r="E127">
        <v>0.02</v>
      </c>
      <c r="F127" t="s">
        <v>88</v>
      </c>
      <c r="G127" s="19">
        <v>45574</v>
      </c>
      <c r="H127" t="s">
        <v>7572</v>
      </c>
      <c r="I127" t="s">
        <v>7572</v>
      </c>
      <c r="Q127" s="3">
        <f t="shared" si="1"/>
        <v>0.02</v>
      </c>
      <c r="R127" t="s">
        <v>393</v>
      </c>
      <c r="S127" t="s">
        <v>137</v>
      </c>
      <c r="T127" t="s">
        <v>65</v>
      </c>
    </row>
    <row r="128" spans="1:20" x14ac:dyDescent="0.35">
      <c r="A128" t="s">
        <v>35</v>
      </c>
      <c r="B128" t="s">
        <v>677</v>
      </c>
      <c r="C128" t="s">
        <v>29</v>
      </c>
      <c r="D128" t="s">
        <v>30</v>
      </c>
      <c r="E128">
        <v>0.01</v>
      </c>
      <c r="F128" t="s">
        <v>88</v>
      </c>
      <c r="G128" s="19">
        <v>45574</v>
      </c>
      <c r="H128" t="s">
        <v>7572</v>
      </c>
      <c r="I128" t="s">
        <v>7572</v>
      </c>
      <c r="Q128" s="3">
        <f t="shared" si="1"/>
        <v>0.01</v>
      </c>
      <c r="R128" t="s">
        <v>393</v>
      </c>
      <c r="S128" t="s">
        <v>137</v>
      </c>
      <c r="T128" t="s">
        <v>65</v>
      </c>
    </row>
    <row r="129" spans="1:20" x14ac:dyDescent="0.35">
      <c r="A129" t="s">
        <v>35</v>
      </c>
      <c r="B129" t="s">
        <v>1279</v>
      </c>
      <c r="C129" t="s">
        <v>29</v>
      </c>
      <c r="D129" t="s">
        <v>30</v>
      </c>
      <c r="E129">
        <v>-0.08</v>
      </c>
      <c r="F129" t="s">
        <v>88</v>
      </c>
      <c r="G129" s="19">
        <v>45574</v>
      </c>
      <c r="H129" t="s">
        <v>7572</v>
      </c>
      <c r="I129" t="s">
        <v>7572</v>
      </c>
      <c r="Q129" s="3">
        <f t="shared" si="1"/>
        <v>-0.08</v>
      </c>
      <c r="R129" t="s">
        <v>393</v>
      </c>
      <c r="S129" t="s">
        <v>137</v>
      </c>
      <c r="T129" t="s">
        <v>65</v>
      </c>
    </row>
    <row r="130" spans="1:20" x14ac:dyDescent="0.35">
      <c r="A130" t="s">
        <v>35</v>
      </c>
      <c r="B130" t="s">
        <v>4080</v>
      </c>
      <c r="C130" t="s">
        <v>29</v>
      </c>
      <c r="D130" t="s">
        <v>30</v>
      </c>
      <c r="E130">
        <v>0.06</v>
      </c>
      <c r="F130" t="s">
        <v>88</v>
      </c>
      <c r="G130" s="19">
        <v>45574</v>
      </c>
      <c r="H130" t="s">
        <v>7572</v>
      </c>
      <c r="I130" t="s">
        <v>7572</v>
      </c>
      <c r="Q130" s="3">
        <f t="shared" si="1"/>
        <v>0.06</v>
      </c>
      <c r="R130" t="s">
        <v>393</v>
      </c>
      <c r="S130" t="s">
        <v>137</v>
      </c>
      <c r="T130" t="s">
        <v>65</v>
      </c>
    </row>
    <row r="131" spans="1:20" x14ac:dyDescent="0.35">
      <c r="A131" t="s">
        <v>35</v>
      </c>
      <c r="B131" t="s">
        <v>7584</v>
      </c>
      <c r="C131" t="s">
        <v>29</v>
      </c>
      <c r="D131" t="s">
        <v>30</v>
      </c>
      <c r="E131">
        <v>-0.03</v>
      </c>
      <c r="F131" t="s">
        <v>88</v>
      </c>
      <c r="G131" s="19">
        <v>45574</v>
      </c>
      <c r="H131" t="s">
        <v>7572</v>
      </c>
      <c r="I131" t="s">
        <v>7572</v>
      </c>
      <c r="Q131" s="3">
        <f t="shared" si="1"/>
        <v>-0.03</v>
      </c>
      <c r="R131" t="s">
        <v>393</v>
      </c>
      <c r="S131" t="s">
        <v>137</v>
      </c>
      <c r="T131" t="s">
        <v>65</v>
      </c>
    </row>
    <row r="132" spans="1:20" x14ac:dyDescent="0.35">
      <c r="A132" t="s">
        <v>35</v>
      </c>
      <c r="B132" t="s">
        <v>7573</v>
      </c>
      <c r="C132" t="s">
        <v>29</v>
      </c>
      <c r="D132" t="s">
        <v>30</v>
      </c>
      <c r="E132">
        <v>-0.01</v>
      </c>
      <c r="F132" t="s">
        <v>88</v>
      </c>
      <c r="G132" s="19">
        <v>45574</v>
      </c>
      <c r="H132" t="s">
        <v>7572</v>
      </c>
      <c r="I132" t="s">
        <v>7572</v>
      </c>
      <c r="Q132" s="3">
        <f t="shared" si="1"/>
        <v>-0.01</v>
      </c>
      <c r="R132" t="s">
        <v>393</v>
      </c>
      <c r="S132" t="s">
        <v>137</v>
      </c>
      <c r="T132" t="s">
        <v>65</v>
      </c>
    </row>
    <row r="133" spans="1:20" x14ac:dyDescent="0.35">
      <c r="A133" t="s">
        <v>35</v>
      </c>
      <c r="B133" t="s">
        <v>1431</v>
      </c>
      <c r="C133" t="s">
        <v>29</v>
      </c>
      <c r="D133" t="s">
        <v>30</v>
      </c>
      <c r="E133">
        <v>-0.09</v>
      </c>
      <c r="F133" t="s">
        <v>88</v>
      </c>
      <c r="G133" s="19">
        <v>45574</v>
      </c>
      <c r="H133" t="s">
        <v>7572</v>
      </c>
      <c r="I133" t="s">
        <v>7572</v>
      </c>
      <c r="Q133" s="3">
        <f t="shared" si="1"/>
        <v>-0.09</v>
      </c>
      <c r="R133" t="s">
        <v>393</v>
      </c>
      <c r="S133" t="s">
        <v>137</v>
      </c>
      <c r="T133" t="s">
        <v>65</v>
      </c>
    </row>
    <row r="134" spans="1:20" x14ac:dyDescent="0.35">
      <c r="A134" t="s">
        <v>35</v>
      </c>
      <c r="B134" t="s">
        <v>707</v>
      </c>
      <c r="C134" t="s">
        <v>29</v>
      </c>
      <c r="D134" t="s">
        <v>30</v>
      </c>
      <c r="E134">
        <v>3.4694469519536142E-18</v>
      </c>
      <c r="F134" t="s">
        <v>88</v>
      </c>
      <c r="G134" s="19">
        <v>45574</v>
      </c>
      <c r="H134" t="s">
        <v>7572</v>
      </c>
      <c r="I134" t="s">
        <v>7572</v>
      </c>
      <c r="Q134" s="3">
        <f t="shared" si="1"/>
        <v>3.4694469519536142E-18</v>
      </c>
      <c r="R134" t="s">
        <v>393</v>
      </c>
      <c r="S134" t="s">
        <v>137</v>
      </c>
      <c r="T134" t="s">
        <v>65</v>
      </c>
    </row>
    <row r="135" spans="1:20" x14ac:dyDescent="0.35">
      <c r="A135" t="s">
        <v>35</v>
      </c>
      <c r="B135" t="s">
        <v>5391</v>
      </c>
      <c r="C135" t="s">
        <v>29</v>
      </c>
      <c r="D135" t="s">
        <v>30</v>
      </c>
      <c r="E135">
        <v>9.9999999999999933E-3</v>
      </c>
      <c r="F135" t="s">
        <v>88</v>
      </c>
      <c r="G135" s="19">
        <v>45574</v>
      </c>
      <c r="H135" t="s">
        <v>7572</v>
      </c>
      <c r="I135" t="s">
        <v>7572</v>
      </c>
      <c r="Q135" s="3">
        <f t="shared" si="1"/>
        <v>9.9999999999999933E-3</v>
      </c>
      <c r="R135" t="s">
        <v>393</v>
      </c>
      <c r="S135" t="s">
        <v>137</v>
      </c>
      <c r="T135" t="s">
        <v>65</v>
      </c>
    </row>
    <row r="136" spans="1:20" x14ac:dyDescent="0.35">
      <c r="A136" t="s">
        <v>35</v>
      </c>
      <c r="B136" t="s">
        <v>642</v>
      </c>
      <c r="C136" t="s">
        <v>29</v>
      </c>
      <c r="D136" t="s">
        <v>30</v>
      </c>
      <c r="E136">
        <v>0.05</v>
      </c>
      <c r="F136" t="s">
        <v>88</v>
      </c>
      <c r="G136" s="19">
        <v>45574</v>
      </c>
      <c r="H136" t="s">
        <v>7572</v>
      </c>
      <c r="I136" t="s">
        <v>7572</v>
      </c>
      <c r="Q136" s="3">
        <f t="shared" si="1"/>
        <v>0.05</v>
      </c>
      <c r="R136" t="s">
        <v>393</v>
      </c>
      <c r="S136" t="s">
        <v>137</v>
      </c>
      <c r="T136" t="s">
        <v>65</v>
      </c>
    </row>
    <row r="137" spans="1:20" x14ac:dyDescent="0.35">
      <c r="A137" t="s">
        <v>35</v>
      </c>
      <c r="B137" t="s">
        <v>805</v>
      </c>
      <c r="C137" t="s">
        <v>29</v>
      </c>
      <c r="D137" t="s">
        <v>30</v>
      </c>
      <c r="E137">
        <v>0.04</v>
      </c>
      <c r="F137" t="s">
        <v>88</v>
      </c>
      <c r="G137" s="19">
        <v>45574</v>
      </c>
      <c r="H137" t="s">
        <v>7572</v>
      </c>
      <c r="I137" t="s">
        <v>7572</v>
      </c>
      <c r="Q137" s="3">
        <f t="shared" ref="Q137:Q200" si="2">E137</f>
        <v>0.04</v>
      </c>
      <c r="R137" t="s">
        <v>393</v>
      </c>
      <c r="S137" t="s">
        <v>137</v>
      </c>
      <c r="T137" t="s">
        <v>65</v>
      </c>
    </row>
    <row r="138" spans="1:20" x14ac:dyDescent="0.35">
      <c r="A138" t="s">
        <v>35</v>
      </c>
      <c r="B138" t="s">
        <v>655</v>
      </c>
      <c r="C138" t="s">
        <v>29</v>
      </c>
      <c r="D138" t="s">
        <v>30</v>
      </c>
      <c r="E138">
        <v>-0.03</v>
      </c>
      <c r="F138" t="s">
        <v>88</v>
      </c>
      <c r="G138" s="19">
        <v>45574</v>
      </c>
      <c r="H138" t="s">
        <v>7572</v>
      </c>
      <c r="I138" t="s">
        <v>7572</v>
      </c>
      <c r="Q138" s="3">
        <f t="shared" si="2"/>
        <v>-0.03</v>
      </c>
      <c r="R138" t="s">
        <v>393</v>
      </c>
      <c r="S138" t="s">
        <v>137</v>
      </c>
      <c r="T138" t="s">
        <v>65</v>
      </c>
    </row>
    <row r="139" spans="1:20" x14ac:dyDescent="0.35">
      <c r="A139" t="s">
        <v>35</v>
      </c>
      <c r="B139" t="s">
        <v>7585</v>
      </c>
      <c r="C139" t="s">
        <v>29</v>
      </c>
      <c r="D139" t="s">
        <v>30</v>
      </c>
      <c r="E139">
        <v>-0.02</v>
      </c>
      <c r="F139" t="s">
        <v>88</v>
      </c>
      <c r="G139" s="19">
        <v>45574</v>
      </c>
      <c r="H139" t="s">
        <v>7572</v>
      </c>
      <c r="I139" t="s">
        <v>7572</v>
      </c>
      <c r="Q139" s="3">
        <f t="shared" si="2"/>
        <v>-0.02</v>
      </c>
      <c r="R139" t="s">
        <v>393</v>
      </c>
      <c r="S139" t="s">
        <v>137</v>
      </c>
      <c r="T139" t="s">
        <v>65</v>
      </c>
    </row>
    <row r="140" spans="1:20" x14ac:dyDescent="0.35">
      <c r="A140" t="s">
        <v>35</v>
      </c>
      <c r="B140" t="s">
        <v>7586</v>
      </c>
      <c r="C140" t="s">
        <v>29</v>
      </c>
      <c r="D140" t="s">
        <v>30</v>
      </c>
      <c r="E140">
        <v>-0.04</v>
      </c>
      <c r="F140" t="s">
        <v>88</v>
      </c>
      <c r="G140" s="19">
        <v>45574</v>
      </c>
      <c r="H140" t="s">
        <v>7572</v>
      </c>
      <c r="I140" t="s">
        <v>7572</v>
      </c>
      <c r="Q140" s="3">
        <f t="shared" si="2"/>
        <v>-0.04</v>
      </c>
      <c r="R140" t="s">
        <v>393</v>
      </c>
      <c r="S140" t="s">
        <v>137</v>
      </c>
      <c r="T140" t="s">
        <v>65</v>
      </c>
    </row>
    <row r="141" spans="1:20" x14ac:dyDescent="0.35">
      <c r="A141" t="s">
        <v>35</v>
      </c>
      <c r="B141" t="s">
        <v>713</v>
      </c>
      <c r="C141" t="s">
        <v>29</v>
      </c>
      <c r="D141" t="s">
        <v>30</v>
      </c>
      <c r="E141">
        <v>0</v>
      </c>
      <c r="F141" t="s">
        <v>88</v>
      </c>
      <c r="G141" s="19">
        <v>45574</v>
      </c>
      <c r="H141" t="s">
        <v>7572</v>
      </c>
      <c r="I141" t="s">
        <v>7572</v>
      </c>
      <c r="Q141" s="3">
        <f t="shared" si="2"/>
        <v>0</v>
      </c>
      <c r="R141" t="s">
        <v>393</v>
      </c>
      <c r="S141" t="s">
        <v>137</v>
      </c>
      <c r="T141" t="s">
        <v>65</v>
      </c>
    </row>
    <row r="142" spans="1:20" x14ac:dyDescent="0.35">
      <c r="A142" t="s">
        <v>35</v>
      </c>
      <c r="B142" t="s">
        <v>7587</v>
      </c>
      <c r="C142" t="s">
        <v>29</v>
      </c>
      <c r="D142" t="s">
        <v>30</v>
      </c>
      <c r="E142">
        <v>0</v>
      </c>
      <c r="F142" t="s">
        <v>88</v>
      </c>
      <c r="G142" s="19">
        <v>45574</v>
      </c>
      <c r="H142" t="s">
        <v>7572</v>
      </c>
      <c r="I142" t="s">
        <v>7572</v>
      </c>
      <c r="Q142" s="3">
        <f t="shared" si="2"/>
        <v>0</v>
      </c>
      <c r="R142" t="s">
        <v>393</v>
      </c>
      <c r="S142" t="s">
        <v>137</v>
      </c>
      <c r="T142" t="s">
        <v>65</v>
      </c>
    </row>
    <row r="143" spans="1:20" x14ac:dyDescent="0.35">
      <c r="A143" t="s">
        <v>35</v>
      </c>
      <c r="B143" t="s">
        <v>838</v>
      </c>
      <c r="C143" t="s">
        <v>29</v>
      </c>
      <c r="D143" t="s">
        <v>30</v>
      </c>
      <c r="E143">
        <v>0.01</v>
      </c>
      <c r="F143" t="s">
        <v>88</v>
      </c>
      <c r="G143" s="19">
        <v>45574</v>
      </c>
      <c r="H143" t="s">
        <v>7572</v>
      </c>
      <c r="I143" t="s">
        <v>7572</v>
      </c>
      <c r="Q143" s="3">
        <f t="shared" si="2"/>
        <v>0.01</v>
      </c>
      <c r="R143" t="s">
        <v>393</v>
      </c>
      <c r="S143" t="s">
        <v>137</v>
      </c>
      <c r="T143" t="s">
        <v>65</v>
      </c>
    </row>
    <row r="144" spans="1:20" x14ac:dyDescent="0.35">
      <c r="A144" t="s">
        <v>35</v>
      </c>
      <c r="B144" t="s">
        <v>7588</v>
      </c>
      <c r="C144" t="s">
        <v>29</v>
      </c>
      <c r="D144" t="s">
        <v>30</v>
      </c>
      <c r="E144">
        <v>-0.01</v>
      </c>
      <c r="F144" t="s">
        <v>88</v>
      </c>
      <c r="G144" s="19">
        <v>45574</v>
      </c>
      <c r="H144" t="s">
        <v>7572</v>
      </c>
      <c r="I144" t="s">
        <v>7572</v>
      </c>
      <c r="Q144" s="3">
        <f t="shared" si="2"/>
        <v>-0.01</v>
      </c>
      <c r="R144" t="s">
        <v>393</v>
      </c>
      <c r="S144" t="s">
        <v>137</v>
      </c>
      <c r="T144" t="s">
        <v>65</v>
      </c>
    </row>
    <row r="145" spans="1:20" x14ac:dyDescent="0.35">
      <c r="A145" t="s">
        <v>35</v>
      </c>
      <c r="B145" t="s">
        <v>7589</v>
      </c>
      <c r="C145" t="s">
        <v>29</v>
      </c>
      <c r="D145" t="s">
        <v>30</v>
      </c>
      <c r="E145">
        <v>0.02</v>
      </c>
      <c r="F145" t="s">
        <v>88</v>
      </c>
      <c r="G145" s="19">
        <v>45574</v>
      </c>
      <c r="H145" t="s">
        <v>7572</v>
      </c>
      <c r="I145" t="s">
        <v>7572</v>
      </c>
      <c r="Q145" s="3">
        <f t="shared" si="2"/>
        <v>0.02</v>
      </c>
      <c r="R145" t="s">
        <v>393</v>
      </c>
      <c r="S145" t="s">
        <v>137</v>
      </c>
      <c r="T145" t="s">
        <v>65</v>
      </c>
    </row>
    <row r="146" spans="1:20" x14ac:dyDescent="0.35">
      <c r="A146" t="s">
        <v>35</v>
      </c>
      <c r="B146" t="s">
        <v>7590</v>
      </c>
      <c r="C146" t="s">
        <v>29</v>
      </c>
      <c r="D146" t="s">
        <v>30</v>
      </c>
      <c r="E146">
        <v>-0.02</v>
      </c>
      <c r="F146" t="s">
        <v>88</v>
      </c>
      <c r="G146" s="19">
        <v>45574</v>
      </c>
      <c r="H146" t="s">
        <v>7572</v>
      </c>
      <c r="I146" t="s">
        <v>7572</v>
      </c>
      <c r="Q146" s="3">
        <f t="shared" si="2"/>
        <v>-0.02</v>
      </c>
      <c r="R146" t="s">
        <v>393</v>
      </c>
      <c r="S146" t="s">
        <v>137</v>
      </c>
      <c r="T146" t="s">
        <v>65</v>
      </c>
    </row>
    <row r="147" spans="1:20" x14ac:dyDescent="0.35">
      <c r="A147" t="s">
        <v>35</v>
      </c>
      <c r="B147" t="s">
        <v>7533</v>
      </c>
      <c r="C147" t="s">
        <v>29</v>
      </c>
      <c r="D147" t="s">
        <v>30</v>
      </c>
      <c r="E147">
        <v>2.0000000000000025E-2</v>
      </c>
      <c r="F147" t="s">
        <v>88</v>
      </c>
      <c r="G147" s="19">
        <v>45574</v>
      </c>
      <c r="H147" t="s">
        <v>7572</v>
      </c>
      <c r="I147" t="s">
        <v>7572</v>
      </c>
      <c r="Q147" s="3">
        <f t="shared" si="2"/>
        <v>2.0000000000000025E-2</v>
      </c>
      <c r="R147" t="s">
        <v>393</v>
      </c>
      <c r="S147" t="s">
        <v>137</v>
      </c>
      <c r="T147" t="s">
        <v>65</v>
      </c>
    </row>
    <row r="148" spans="1:20" x14ac:dyDescent="0.35">
      <c r="A148" t="s">
        <v>0</v>
      </c>
      <c r="B148" t="s">
        <v>7533</v>
      </c>
      <c r="C148" t="s">
        <v>29</v>
      </c>
      <c r="D148" t="s">
        <v>30</v>
      </c>
      <c r="E148">
        <v>-0.01</v>
      </c>
      <c r="F148" t="s">
        <v>88</v>
      </c>
      <c r="G148" s="19">
        <v>45578</v>
      </c>
      <c r="H148" t="s">
        <v>181</v>
      </c>
      <c r="I148" t="s">
        <v>182</v>
      </c>
      <c r="Q148" s="3">
        <f t="shared" si="2"/>
        <v>-0.01</v>
      </c>
      <c r="R148" t="s">
        <v>393</v>
      </c>
      <c r="S148" t="s">
        <v>137</v>
      </c>
      <c r="T148" t="s">
        <v>65</v>
      </c>
    </row>
    <row r="149" spans="1:20" x14ac:dyDescent="0.35">
      <c r="A149" t="s">
        <v>31</v>
      </c>
      <c r="B149" t="s">
        <v>7571</v>
      </c>
      <c r="C149" t="s">
        <v>29</v>
      </c>
      <c r="D149" t="s">
        <v>30</v>
      </c>
      <c r="E149">
        <v>-0.01</v>
      </c>
      <c r="F149" t="s">
        <v>88</v>
      </c>
      <c r="G149" s="19">
        <v>45578</v>
      </c>
      <c r="H149" t="s">
        <v>181</v>
      </c>
      <c r="I149" t="s">
        <v>182</v>
      </c>
      <c r="Q149" s="3">
        <f t="shared" si="2"/>
        <v>-0.01</v>
      </c>
      <c r="R149" t="s">
        <v>393</v>
      </c>
      <c r="S149" t="s">
        <v>137</v>
      </c>
      <c r="T149" t="s">
        <v>65</v>
      </c>
    </row>
    <row r="150" spans="1:20" x14ac:dyDescent="0.35">
      <c r="A150" t="s">
        <v>35</v>
      </c>
      <c r="B150" t="s">
        <v>7571</v>
      </c>
      <c r="C150" t="s">
        <v>29</v>
      </c>
      <c r="D150" t="s">
        <v>30</v>
      </c>
      <c r="E150">
        <v>-0.01</v>
      </c>
      <c r="F150" t="s">
        <v>88</v>
      </c>
      <c r="G150" s="19">
        <v>45578</v>
      </c>
      <c r="H150" t="s">
        <v>181</v>
      </c>
      <c r="I150" t="s">
        <v>182</v>
      </c>
      <c r="Q150" s="3">
        <f t="shared" si="2"/>
        <v>-0.01</v>
      </c>
      <c r="R150" t="s">
        <v>393</v>
      </c>
      <c r="S150" t="s">
        <v>137</v>
      </c>
      <c r="T150" t="s">
        <v>65</v>
      </c>
    </row>
    <row r="151" spans="1:20" x14ac:dyDescent="0.35">
      <c r="A151" t="s">
        <v>35</v>
      </c>
      <c r="B151" t="s">
        <v>1092</v>
      </c>
      <c r="C151" t="s">
        <v>29</v>
      </c>
      <c r="D151" t="s">
        <v>30</v>
      </c>
      <c r="E151">
        <v>-0.01</v>
      </c>
      <c r="F151" t="s">
        <v>88</v>
      </c>
      <c r="G151" s="19">
        <v>45578</v>
      </c>
      <c r="H151" t="s">
        <v>181</v>
      </c>
      <c r="I151" t="s">
        <v>182</v>
      </c>
      <c r="Q151" s="3">
        <f t="shared" si="2"/>
        <v>-0.01</v>
      </c>
      <c r="R151" t="s">
        <v>393</v>
      </c>
      <c r="S151" t="s">
        <v>137</v>
      </c>
      <c r="T151" t="s">
        <v>65</v>
      </c>
    </row>
    <row r="152" spans="1:20" x14ac:dyDescent="0.35">
      <c r="A152" t="s">
        <v>35</v>
      </c>
      <c r="B152" t="s">
        <v>7576</v>
      </c>
      <c r="C152" t="s">
        <v>29</v>
      </c>
      <c r="D152" t="s">
        <v>30</v>
      </c>
      <c r="E152">
        <v>0.01</v>
      </c>
      <c r="F152" t="s">
        <v>88</v>
      </c>
      <c r="G152" s="19">
        <v>45578</v>
      </c>
      <c r="H152" t="s">
        <v>181</v>
      </c>
      <c r="I152" t="s">
        <v>182</v>
      </c>
      <c r="Q152" s="3">
        <f t="shared" si="2"/>
        <v>0.01</v>
      </c>
      <c r="R152" t="s">
        <v>393</v>
      </c>
      <c r="S152" t="s">
        <v>137</v>
      </c>
      <c r="T152" t="s">
        <v>65</v>
      </c>
    </row>
    <row r="153" spans="1:20" x14ac:dyDescent="0.35">
      <c r="A153" t="s">
        <v>35</v>
      </c>
      <c r="B153" t="s">
        <v>7577</v>
      </c>
      <c r="C153" t="s">
        <v>29</v>
      </c>
      <c r="D153" t="s">
        <v>30</v>
      </c>
      <c r="E153">
        <v>-0.01</v>
      </c>
      <c r="F153" t="s">
        <v>88</v>
      </c>
      <c r="G153" s="19">
        <v>45578</v>
      </c>
      <c r="H153" t="s">
        <v>181</v>
      </c>
      <c r="I153" t="s">
        <v>182</v>
      </c>
      <c r="Q153" s="3">
        <f t="shared" si="2"/>
        <v>-0.01</v>
      </c>
      <c r="R153" t="s">
        <v>393</v>
      </c>
      <c r="S153" t="s">
        <v>137</v>
      </c>
      <c r="T153" t="s">
        <v>65</v>
      </c>
    </row>
    <row r="154" spans="1:20" x14ac:dyDescent="0.35">
      <c r="A154" t="s">
        <v>35</v>
      </c>
      <c r="B154" t="s">
        <v>1244</v>
      </c>
      <c r="C154" t="s">
        <v>29</v>
      </c>
      <c r="D154" t="s">
        <v>30</v>
      </c>
      <c r="E154">
        <v>0.01</v>
      </c>
      <c r="F154" t="s">
        <v>88</v>
      </c>
      <c r="G154" s="19">
        <v>45578</v>
      </c>
      <c r="H154" t="s">
        <v>181</v>
      </c>
      <c r="I154" t="s">
        <v>182</v>
      </c>
      <c r="Q154" s="3">
        <f t="shared" si="2"/>
        <v>0.01</v>
      </c>
      <c r="R154" t="s">
        <v>393</v>
      </c>
      <c r="S154" t="s">
        <v>137</v>
      </c>
      <c r="T154" t="s">
        <v>65</v>
      </c>
    </row>
    <row r="155" spans="1:20" x14ac:dyDescent="0.35">
      <c r="A155" t="s">
        <v>35</v>
      </c>
      <c r="B155" t="s">
        <v>1279</v>
      </c>
      <c r="C155" t="s">
        <v>29</v>
      </c>
      <c r="D155" t="s">
        <v>30</v>
      </c>
      <c r="E155">
        <v>0.01</v>
      </c>
      <c r="F155" t="s">
        <v>88</v>
      </c>
      <c r="G155" s="19">
        <v>45578</v>
      </c>
      <c r="H155" t="s">
        <v>181</v>
      </c>
      <c r="I155" t="s">
        <v>182</v>
      </c>
      <c r="Q155" s="3">
        <f t="shared" si="2"/>
        <v>0.01</v>
      </c>
      <c r="R155" t="s">
        <v>393</v>
      </c>
      <c r="S155" t="s">
        <v>137</v>
      </c>
      <c r="T155" t="s">
        <v>65</v>
      </c>
    </row>
    <row r="156" spans="1:20" x14ac:dyDescent="0.35">
      <c r="A156" t="s">
        <v>35</v>
      </c>
      <c r="B156" t="s">
        <v>4080</v>
      </c>
      <c r="C156" t="s">
        <v>29</v>
      </c>
      <c r="D156" t="s">
        <v>30</v>
      </c>
      <c r="E156">
        <v>-0.01</v>
      </c>
      <c r="F156" t="s">
        <v>88</v>
      </c>
      <c r="G156" s="19">
        <v>45578</v>
      </c>
      <c r="H156" t="s">
        <v>181</v>
      </c>
      <c r="I156" t="s">
        <v>182</v>
      </c>
      <c r="Q156" s="3">
        <f t="shared" si="2"/>
        <v>-0.01</v>
      </c>
      <c r="R156" t="s">
        <v>393</v>
      </c>
      <c r="S156" t="s">
        <v>137</v>
      </c>
      <c r="T156" t="s">
        <v>65</v>
      </c>
    </row>
    <row r="157" spans="1:20" x14ac:dyDescent="0.35">
      <c r="A157" t="s">
        <v>35</v>
      </c>
      <c r="B157" t="s">
        <v>7584</v>
      </c>
      <c r="C157" t="s">
        <v>29</v>
      </c>
      <c r="D157" t="s">
        <v>30</v>
      </c>
      <c r="E157">
        <v>0.01</v>
      </c>
      <c r="F157" t="s">
        <v>88</v>
      </c>
      <c r="G157" s="19">
        <v>45578</v>
      </c>
      <c r="H157" t="s">
        <v>181</v>
      </c>
      <c r="I157" t="s">
        <v>182</v>
      </c>
      <c r="Q157" s="3">
        <f t="shared" si="2"/>
        <v>0.01</v>
      </c>
      <c r="R157" t="s">
        <v>393</v>
      </c>
      <c r="S157" t="s">
        <v>137</v>
      </c>
      <c r="T157" t="s">
        <v>65</v>
      </c>
    </row>
    <row r="158" spans="1:20" x14ac:dyDescent="0.35">
      <c r="A158" t="s">
        <v>35</v>
      </c>
      <c r="B158" t="s">
        <v>642</v>
      </c>
      <c r="C158" t="s">
        <v>29</v>
      </c>
      <c r="D158" t="s">
        <v>30</v>
      </c>
      <c r="E158">
        <v>-0.01</v>
      </c>
      <c r="F158" t="s">
        <v>88</v>
      </c>
      <c r="G158" s="19">
        <v>45578</v>
      </c>
      <c r="H158" t="s">
        <v>181</v>
      </c>
      <c r="I158" t="s">
        <v>182</v>
      </c>
      <c r="Q158" s="3">
        <f t="shared" si="2"/>
        <v>-0.01</v>
      </c>
      <c r="R158" t="s">
        <v>393</v>
      </c>
      <c r="S158" t="s">
        <v>137</v>
      </c>
      <c r="T158" t="s">
        <v>65</v>
      </c>
    </row>
    <row r="159" spans="1:20" x14ac:dyDescent="0.35">
      <c r="A159" t="s">
        <v>35</v>
      </c>
      <c r="B159" t="s">
        <v>805</v>
      </c>
      <c r="C159" t="s">
        <v>29</v>
      </c>
      <c r="D159" t="s">
        <v>30</v>
      </c>
      <c r="E159">
        <v>-0.01</v>
      </c>
      <c r="F159" t="s">
        <v>88</v>
      </c>
      <c r="G159" s="19">
        <v>45578</v>
      </c>
      <c r="H159" t="s">
        <v>181</v>
      </c>
      <c r="I159" t="s">
        <v>182</v>
      </c>
      <c r="Q159" s="3">
        <f t="shared" si="2"/>
        <v>-0.01</v>
      </c>
      <c r="R159" t="s">
        <v>393</v>
      </c>
      <c r="S159" t="s">
        <v>137</v>
      </c>
      <c r="T159" t="s">
        <v>65</v>
      </c>
    </row>
    <row r="160" spans="1:20" x14ac:dyDescent="0.35">
      <c r="A160" t="s">
        <v>35</v>
      </c>
      <c r="B160" t="s">
        <v>7533</v>
      </c>
      <c r="C160" t="s">
        <v>29</v>
      </c>
      <c r="D160" t="s">
        <v>30</v>
      </c>
      <c r="E160">
        <v>-0.01</v>
      </c>
      <c r="F160" t="s">
        <v>88</v>
      </c>
      <c r="G160" s="19">
        <v>45578</v>
      </c>
      <c r="H160" t="s">
        <v>181</v>
      </c>
      <c r="I160" t="s">
        <v>182</v>
      </c>
      <c r="Q160" s="3">
        <f t="shared" si="2"/>
        <v>-0.01</v>
      </c>
      <c r="R160" t="s">
        <v>393</v>
      </c>
      <c r="S160" t="s">
        <v>137</v>
      </c>
      <c r="T160" t="s">
        <v>65</v>
      </c>
    </row>
    <row r="161" spans="1:20" x14ac:dyDescent="0.35">
      <c r="A161" t="s">
        <v>35</v>
      </c>
      <c r="B161" t="s">
        <v>638</v>
      </c>
      <c r="C161" t="s">
        <v>29</v>
      </c>
      <c r="D161" t="s">
        <v>30</v>
      </c>
      <c r="E161">
        <v>0.01</v>
      </c>
      <c r="F161" t="s">
        <v>88</v>
      </c>
      <c r="G161" s="19">
        <v>45579</v>
      </c>
      <c r="H161" t="s">
        <v>181</v>
      </c>
      <c r="I161" t="s">
        <v>182</v>
      </c>
      <c r="Q161" s="3">
        <f t="shared" si="2"/>
        <v>0.01</v>
      </c>
      <c r="R161" t="s">
        <v>393</v>
      </c>
      <c r="S161" t="s">
        <v>137</v>
      </c>
      <c r="T161" t="s">
        <v>65</v>
      </c>
    </row>
    <row r="162" spans="1:20" x14ac:dyDescent="0.35">
      <c r="A162" t="s">
        <v>31</v>
      </c>
      <c r="B162" t="s">
        <v>7533</v>
      </c>
      <c r="C162" t="s">
        <v>29</v>
      </c>
      <c r="D162" t="s">
        <v>30</v>
      </c>
      <c r="E162">
        <v>-0.12</v>
      </c>
      <c r="F162" t="s">
        <v>88</v>
      </c>
      <c r="G162" s="19">
        <v>45581</v>
      </c>
      <c r="H162" t="s">
        <v>7535</v>
      </c>
      <c r="I162" t="s">
        <v>7535</v>
      </c>
      <c r="Q162" s="3">
        <f t="shared" si="2"/>
        <v>-0.12</v>
      </c>
      <c r="R162" t="s">
        <v>393</v>
      </c>
      <c r="S162" t="s">
        <v>137</v>
      </c>
      <c r="T162" t="s">
        <v>65</v>
      </c>
    </row>
    <row r="163" spans="1:20" x14ac:dyDescent="0.35">
      <c r="A163" t="s">
        <v>35</v>
      </c>
      <c r="B163" t="s">
        <v>638</v>
      </c>
      <c r="C163" t="s">
        <v>29</v>
      </c>
      <c r="D163" t="s">
        <v>30</v>
      </c>
      <c r="E163">
        <v>-0.01</v>
      </c>
      <c r="F163" t="s">
        <v>88</v>
      </c>
      <c r="G163" s="19">
        <v>45581</v>
      </c>
      <c r="H163" t="s">
        <v>181</v>
      </c>
      <c r="I163" t="s">
        <v>182</v>
      </c>
      <c r="Q163" s="3">
        <f t="shared" si="2"/>
        <v>-0.01</v>
      </c>
      <c r="R163" t="s">
        <v>393</v>
      </c>
      <c r="S163" t="s">
        <v>137</v>
      </c>
      <c r="T163" t="s">
        <v>65</v>
      </c>
    </row>
    <row r="164" spans="1:20" x14ac:dyDescent="0.35">
      <c r="A164" t="s">
        <v>35</v>
      </c>
      <c r="B164" t="s">
        <v>638</v>
      </c>
      <c r="C164" t="s">
        <v>29</v>
      </c>
      <c r="D164" t="s">
        <v>30</v>
      </c>
      <c r="E164">
        <v>0.01</v>
      </c>
      <c r="F164" t="s">
        <v>88</v>
      </c>
      <c r="G164" s="19">
        <v>45582</v>
      </c>
      <c r="H164" t="s">
        <v>181</v>
      </c>
      <c r="I164" t="s">
        <v>182</v>
      </c>
      <c r="Q164" s="3">
        <f t="shared" si="2"/>
        <v>0.01</v>
      </c>
      <c r="R164" t="s">
        <v>393</v>
      </c>
      <c r="S164" t="s">
        <v>137</v>
      </c>
      <c r="T164" t="s">
        <v>65</v>
      </c>
    </row>
    <row r="165" spans="1:20" x14ac:dyDescent="0.35">
      <c r="A165" t="s">
        <v>35</v>
      </c>
      <c r="B165" t="s">
        <v>638</v>
      </c>
      <c r="C165" t="s">
        <v>29</v>
      </c>
      <c r="D165" t="s">
        <v>30</v>
      </c>
      <c r="E165">
        <v>0.01</v>
      </c>
      <c r="F165" t="s">
        <v>88</v>
      </c>
      <c r="G165" s="19">
        <v>45585</v>
      </c>
      <c r="H165" t="s">
        <v>181</v>
      </c>
      <c r="I165" t="s">
        <v>182</v>
      </c>
      <c r="Q165" s="3">
        <f t="shared" si="2"/>
        <v>0.01</v>
      </c>
      <c r="R165" t="s">
        <v>393</v>
      </c>
      <c r="S165" t="s">
        <v>137</v>
      </c>
      <c r="T165" t="s">
        <v>65</v>
      </c>
    </row>
    <row r="166" spans="1:20" x14ac:dyDescent="0.35">
      <c r="A166" t="s">
        <v>35</v>
      </c>
      <c r="B166" t="s">
        <v>638</v>
      </c>
      <c r="C166" t="s">
        <v>29</v>
      </c>
      <c r="D166" t="s">
        <v>30</v>
      </c>
      <c r="E166">
        <v>-0.01</v>
      </c>
      <c r="F166" t="s">
        <v>88</v>
      </c>
      <c r="G166" s="19">
        <v>45586</v>
      </c>
      <c r="H166" t="s">
        <v>181</v>
      </c>
      <c r="I166" t="s">
        <v>182</v>
      </c>
      <c r="Q166" s="3">
        <f t="shared" si="2"/>
        <v>-0.01</v>
      </c>
      <c r="R166" t="s">
        <v>393</v>
      </c>
      <c r="S166" t="s">
        <v>137</v>
      </c>
      <c r="T166" t="s">
        <v>65</v>
      </c>
    </row>
    <row r="167" spans="1:20" x14ac:dyDescent="0.35">
      <c r="A167" t="s">
        <v>0</v>
      </c>
      <c r="B167" t="s">
        <v>7520</v>
      </c>
      <c r="C167" t="s">
        <v>29</v>
      </c>
      <c r="D167" t="s">
        <v>30</v>
      </c>
      <c r="E167">
        <v>210.63</v>
      </c>
      <c r="F167" t="s">
        <v>88</v>
      </c>
      <c r="G167" s="19">
        <v>45587</v>
      </c>
      <c r="H167" t="s">
        <v>6162</v>
      </c>
      <c r="I167" t="s">
        <v>7591</v>
      </c>
      <c r="Q167" s="3">
        <f t="shared" si="2"/>
        <v>210.63</v>
      </c>
      <c r="R167" t="s">
        <v>393</v>
      </c>
      <c r="S167" t="s">
        <v>137</v>
      </c>
      <c r="T167" t="s">
        <v>65</v>
      </c>
    </row>
    <row r="168" spans="1:20" x14ac:dyDescent="0.35">
      <c r="A168" t="s">
        <v>0</v>
      </c>
      <c r="B168" t="s">
        <v>599</v>
      </c>
      <c r="C168" t="s">
        <v>29</v>
      </c>
      <c r="D168" t="s">
        <v>30</v>
      </c>
      <c r="E168">
        <v>0.01</v>
      </c>
      <c r="F168" t="s">
        <v>88</v>
      </c>
      <c r="G168" s="19">
        <v>45588</v>
      </c>
      <c r="H168" t="s">
        <v>181</v>
      </c>
      <c r="I168" t="s">
        <v>182</v>
      </c>
      <c r="Q168" s="3">
        <f t="shared" si="2"/>
        <v>0.01</v>
      </c>
      <c r="R168" t="s">
        <v>393</v>
      </c>
      <c r="S168" t="s">
        <v>137</v>
      </c>
      <c r="T168" t="s">
        <v>65</v>
      </c>
    </row>
    <row r="169" spans="1:20" x14ac:dyDescent="0.35">
      <c r="A169" t="s">
        <v>0</v>
      </c>
      <c r="B169" t="s">
        <v>1431</v>
      </c>
      <c r="C169" t="s">
        <v>29</v>
      </c>
      <c r="D169" t="s">
        <v>30</v>
      </c>
      <c r="E169">
        <v>-0.01</v>
      </c>
      <c r="F169" t="s">
        <v>88</v>
      </c>
      <c r="G169" s="19">
        <v>45588</v>
      </c>
      <c r="H169" t="s">
        <v>181</v>
      </c>
      <c r="I169" t="s">
        <v>182</v>
      </c>
      <c r="Q169" s="3">
        <f t="shared" si="2"/>
        <v>-0.01</v>
      </c>
      <c r="R169" t="s">
        <v>393</v>
      </c>
      <c r="S169" t="s">
        <v>137</v>
      </c>
      <c r="T169" t="s">
        <v>65</v>
      </c>
    </row>
    <row r="170" spans="1:20" x14ac:dyDescent="0.35">
      <c r="A170" t="s">
        <v>31</v>
      </c>
      <c r="B170" t="s">
        <v>7571</v>
      </c>
      <c r="C170" t="s">
        <v>29</v>
      </c>
      <c r="D170" t="s">
        <v>30</v>
      </c>
      <c r="E170">
        <v>-0.01</v>
      </c>
      <c r="F170" t="s">
        <v>88</v>
      </c>
      <c r="G170" s="19">
        <v>45588</v>
      </c>
      <c r="H170" t="s">
        <v>181</v>
      </c>
      <c r="I170" t="s">
        <v>182</v>
      </c>
      <c r="Q170" s="3">
        <f t="shared" si="2"/>
        <v>-0.01</v>
      </c>
      <c r="R170" t="s">
        <v>393</v>
      </c>
      <c r="S170" t="s">
        <v>137</v>
      </c>
      <c r="T170" t="s">
        <v>65</v>
      </c>
    </row>
    <row r="171" spans="1:20" x14ac:dyDescent="0.35">
      <c r="A171" t="s">
        <v>34</v>
      </c>
      <c r="B171" t="s">
        <v>7571</v>
      </c>
      <c r="C171" t="s">
        <v>29</v>
      </c>
      <c r="D171" t="s">
        <v>30</v>
      </c>
      <c r="E171">
        <v>0.01</v>
      </c>
      <c r="F171" t="s">
        <v>88</v>
      </c>
      <c r="G171" s="19">
        <v>45588</v>
      </c>
      <c r="H171" t="s">
        <v>181</v>
      </c>
      <c r="I171" t="s">
        <v>182</v>
      </c>
      <c r="Q171" s="3">
        <f t="shared" si="2"/>
        <v>0.01</v>
      </c>
      <c r="R171" t="s">
        <v>393</v>
      </c>
      <c r="S171" t="s">
        <v>137</v>
      </c>
      <c r="T171" t="s">
        <v>65</v>
      </c>
    </row>
    <row r="172" spans="1:20" x14ac:dyDescent="0.35">
      <c r="A172" t="s">
        <v>35</v>
      </c>
      <c r="B172" t="s">
        <v>638</v>
      </c>
      <c r="C172" t="s">
        <v>29</v>
      </c>
      <c r="D172" t="s">
        <v>30</v>
      </c>
      <c r="E172">
        <v>-0.01</v>
      </c>
      <c r="F172" t="s">
        <v>88</v>
      </c>
      <c r="G172" s="19">
        <v>45588</v>
      </c>
      <c r="H172" t="s">
        <v>181</v>
      </c>
      <c r="I172" t="s">
        <v>182</v>
      </c>
      <c r="Q172" s="3">
        <f t="shared" si="2"/>
        <v>-0.01</v>
      </c>
      <c r="R172" t="s">
        <v>393</v>
      </c>
      <c r="S172" t="s">
        <v>137</v>
      </c>
      <c r="T172" t="s">
        <v>65</v>
      </c>
    </row>
    <row r="173" spans="1:20" x14ac:dyDescent="0.35">
      <c r="A173" t="s">
        <v>35</v>
      </c>
      <c r="B173" t="s">
        <v>7571</v>
      </c>
      <c r="C173" t="s">
        <v>29</v>
      </c>
      <c r="D173" t="s">
        <v>30</v>
      </c>
      <c r="E173">
        <v>-0.01</v>
      </c>
      <c r="F173" t="s">
        <v>88</v>
      </c>
      <c r="G173" s="19">
        <v>45588</v>
      </c>
      <c r="H173" t="s">
        <v>181</v>
      </c>
      <c r="I173" t="s">
        <v>182</v>
      </c>
      <c r="Q173" s="3">
        <f t="shared" si="2"/>
        <v>-0.01</v>
      </c>
      <c r="R173" t="s">
        <v>393</v>
      </c>
      <c r="S173" t="s">
        <v>137</v>
      </c>
      <c r="T173" t="s">
        <v>65</v>
      </c>
    </row>
    <row r="174" spans="1:20" x14ac:dyDescent="0.35">
      <c r="A174" t="s">
        <v>35</v>
      </c>
      <c r="B174" t="s">
        <v>7574</v>
      </c>
      <c r="C174" t="s">
        <v>29</v>
      </c>
      <c r="D174" t="s">
        <v>30</v>
      </c>
      <c r="E174">
        <v>0.01</v>
      </c>
      <c r="F174" t="s">
        <v>88</v>
      </c>
      <c r="G174" s="19">
        <v>45588</v>
      </c>
      <c r="H174" t="s">
        <v>181</v>
      </c>
      <c r="I174" t="s">
        <v>182</v>
      </c>
      <c r="Q174" s="3">
        <f t="shared" si="2"/>
        <v>0.01</v>
      </c>
      <c r="R174" t="s">
        <v>393</v>
      </c>
      <c r="S174" t="s">
        <v>137</v>
      </c>
      <c r="T174" t="s">
        <v>65</v>
      </c>
    </row>
    <row r="175" spans="1:20" x14ac:dyDescent="0.35">
      <c r="A175" t="s">
        <v>35</v>
      </c>
      <c r="B175" t="s">
        <v>5391</v>
      </c>
      <c r="C175" t="s">
        <v>29</v>
      </c>
      <c r="D175" t="s">
        <v>30</v>
      </c>
      <c r="E175">
        <v>0.01</v>
      </c>
      <c r="F175" t="s">
        <v>88</v>
      </c>
      <c r="G175" s="19">
        <v>45588</v>
      </c>
      <c r="H175" t="s">
        <v>181</v>
      </c>
      <c r="I175" t="s">
        <v>182</v>
      </c>
      <c r="Q175" s="3">
        <f t="shared" si="2"/>
        <v>0.01</v>
      </c>
      <c r="R175" t="s">
        <v>393</v>
      </c>
      <c r="S175" t="s">
        <v>137</v>
      </c>
      <c r="T175" t="s">
        <v>65</v>
      </c>
    </row>
    <row r="176" spans="1:20" x14ac:dyDescent="0.35">
      <c r="A176" t="s">
        <v>35</v>
      </c>
      <c r="B176" t="s">
        <v>642</v>
      </c>
      <c r="C176" t="s">
        <v>29</v>
      </c>
      <c r="D176" t="s">
        <v>30</v>
      </c>
      <c r="E176">
        <v>-0.01</v>
      </c>
      <c r="F176" t="s">
        <v>88</v>
      </c>
      <c r="G176" s="19">
        <v>45588</v>
      </c>
      <c r="H176" t="s">
        <v>181</v>
      </c>
      <c r="I176" t="s">
        <v>182</v>
      </c>
      <c r="Q176" s="3">
        <f t="shared" si="2"/>
        <v>-0.01</v>
      </c>
      <c r="R176" t="s">
        <v>393</v>
      </c>
      <c r="S176" t="s">
        <v>137</v>
      </c>
      <c r="T176" t="s">
        <v>65</v>
      </c>
    </row>
    <row r="177" spans="1:20" x14ac:dyDescent="0.35">
      <c r="A177" t="s">
        <v>35</v>
      </c>
      <c r="B177" t="s">
        <v>838</v>
      </c>
      <c r="C177" t="s">
        <v>29</v>
      </c>
      <c r="D177" t="s">
        <v>30</v>
      </c>
      <c r="E177">
        <v>0.01</v>
      </c>
      <c r="F177" t="s">
        <v>88</v>
      </c>
      <c r="G177" s="19">
        <v>45588</v>
      </c>
      <c r="H177" t="s">
        <v>181</v>
      </c>
      <c r="I177" t="s">
        <v>182</v>
      </c>
      <c r="Q177" s="3">
        <f t="shared" si="2"/>
        <v>0.01</v>
      </c>
      <c r="R177" t="s">
        <v>393</v>
      </c>
      <c r="S177" t="s">
        <v>137</v>
      </c>
      <c r="T177" t="s">
        <v>65</v>
      </c>
    </row>
    <row r="178" spans="1:20" x14ac:dyDescent="0.35">
      <c r="A178" t="s">
        <v>35</v>
      </c>
      <c r="B178" t="s">
        <v>7588</v>
      </c>
      <c r="C178" t="s">
        <v>29</v>
      </c>
      <c r="D178" t="s">
        <v>30</v>
      </c>
      <c r="E178">
        <v>-0.01</v>
      </c>
      <c r="F178" t="s">
        <v>88</v>
      </c>
      <c r="G178" s="19">
        <v>45588</v>
      </c>
      <c r="H178" t="s">
        <v>181</v>
      </c>
      <c r="I178" t="s">
        <v>182</v>
      </c>
      <c r="Q178" s="3">
        <f t="shared" si="2"/>
        <v>-0.01</v>
      </c>
      <c r="R178" t="s">
        <v>393</v>
      </c>
      <c r="S178" t="s">
        <v>137</v>
      </c>
      <c r="T178" t="s">
        <v>65</v>
      </c>
    </row>
    <row r="179" spans="1:20" x14ac:dyDescent="0.35">
      <c r="A179" t="s">
        <v>35</v>
      </c>
      <c r="B179" t="s">
        <v>7533</v>
      </c>
      <c r="C179" t="s">
        <v>29</v>
      </c>
      <c r="D179" t="s">
        <v>30</v>
      </c>
      <c r="E179">
        <v>0.01</v>
      </c>
      <c r="F179" t="s">
        <v>88</v>
      </c>
      <c r="G179" s="19">
        <v>45588</v>
      </c>
      <c r="H179" t="s">
        <v>181</v>
      </c>
      <c r="I179" t="s">
        <v>182</v>
      </c>
      <c r="Q179" s="3">
        <f t="shared" si="2"/>
        <v>0.01</v>
      </c>
      <c r="R179" t="s">
        <v>393</v>
      </c>
      <c r="S179" t="s">
        <v>137</v>
      </c>
      <c r="T179" t="s">
        <v>65</v>
      </c>
    </row>
    <row r="180" spans="1:20" x14ac:dyDescent="0.35">
      <c r="A180" t="s">
        <v>35</v>
      </c>
      <c r="B180" t="s">
        <v>638</v>
      </c>
      <c r="C180" t="s">
        <v>29</v>
      </c>
      <c r="D180" t="s">
        <v>30</v>
      </c>
      <c r="E180">
        <v>-0.01</v>
      </c>
      <c r="F180" t="s">
        <v>88</v>
      </c>
      <c r="G180" s="19">
        <v>45589</v>
      </c>
      <c r="H180" t="s">
        <v>181</v>
      </c>
      <c r="I180" t="s">
        <v>182</v>
      </c>
      <c r="Q180" s="3">
        <f t="shared" si="2"/>
        <v>-0.01</v>
      </c>
      <c r="R180" t="s">
        <v>393</v>
      </c>
      <c r="S180" t="s">
        <v>137</v>
      </c>
      <c r="T180" t="s">
        <v>65</v>
      </c>
    </row>
    <row r="181" spans="1:20" x14ac:dyDescent="0.35">
      <c r="A181" t="s">
        <v>35</v>
      </c>
      <c r="B181" t="s">
        <v>638</v>
      </c>
      <c r="C181" t="s">
        <v>29</v>
      </c>
      <c r="D181" t="s">
        <v>30</v>
      </c>
      <c r="E181">
        <v>-0.01</v>
      </c>
      <c r="F181" t="s">
        <v>88</v>
      </c>
      <c r="G181" s="19">
        <v>45592</v>
      </c>
      <c r="H181" t="s">
        <v>181</v>
      </c>
      <c r="I181" t="s">
        <v>182</v>
      </c>
      <c r="Q181" s="3">
        <f t="shared" si="2"/>
        <v>-0.01</v>
      </c>
      <c r="R181" t="s">
        <v>393</v>
      </c>
      <c r="S181" t="s">
        <v>137</v>
      </c>
      <c r="T181" t="s">
        <v>65</v>
      </c>
    </row>
    <row r="182" spans="1:20" x14ac:dyDescent="0.35">
      <c r="A182" t="s">
        <v>35</v>
      </c>
      <c r="B182" t="s">
        <v>638</v>
      </c>
      <c r="C182" t="s">
        <v>29</v>
      </c>
      <c r="D182" t="s">
        <v>30</v>
      </c>
      <c r="E182">
        <v>399533</v>
      </c>
      <c r="F182" t="s">
        <v>88</v>
      </c>
      <c r="G182" s="19">
        <v>45593</v>
      </c>
      <c r="H182" t="s">
        <v>7544</v>
      </c>
      <c r="I182" t="s">
        <v>7544</v>
      </c>
      <c r="Q182" s="3">
        <f t="shared" si="2"/>
        <v>399533</v>
      </c>
      <c r="R182" t="s">
        <v>393</v>
      </c>
      <c r="S182" t="s">
        <v>137</v>
      </c>
      <c r="T182" t="s">
        <v>65</v>
      </c>
    </row>
    <row r="183" spans="1:20" x14ac:dyDescent="0.35">
      <c r="A183" t="s">
        <v>35</v>
      </c>
      <c r="B183" t="s">
        <v>7542</v>
      </c>
      <c r="C183" t="s">
        <v>29</v>
      </c>
      <c r="D183" t="s">
        <v>30</v>
      </c>
      <c r="E183">
        <v>1801332.75</v>
      </c>
      <c r="F183" t="s">
        <v>88</v>
      </c>
      <c r="G183" s="19">
        <v>45593</v>
      </c>
      <c r="H183" t="s">
        <v>7544</v>
      </c>
      <c r="I183" t="s">
        <v>7544</v>
      </c>
      <c r="Q183" s="3">
        <f t="shared" si="2"/>
        <v>1801332.75</v>
      </c>
      <c r="R183" t="s">
        <v>393</v>
      </c>
      <c r="S183" t="s">
        <v>137</v>
      </c>
      <c r="T183" t="s">
        <v>65</v>
      </c>
    </row>
    <row r="184" spans="1:20" x14ac:dyDescent="0.35">
      <c r="A184" t="s">
        <v>35</v>
      </c>
      <c r="B184" t="s">
        <v>6098</v>
      </c>
      <c r="C184" t="s">
        <v>29</v>
      </c>
      <c r="D184" t="s">
        <v>30</v>
      </c>
      <c r="E184">
        <v>2000000</v>
      </c>
      <c r="F184" t="s">
        <v>88</v>
      </c>
      <c r="G184" s="19">
        <v>45593</v>
      </c>
      <c r="H184" t="s">
        <v>7544</v>
      </c>
      <c r="I184" t="s">
        <v>7544</v>
      </c>
      <c r="Q184" s="3">
        <f t="shared" si="2"/>
        <v>2000000</v>
      </c>
      <c r="R184" t="s">
        <v>393</v>
      </c>
      <c r="S184" t="s">
        <v>137</v>
      </c>
      <c r="T184" t="s">
        <v>65</v>
      </c>
    </row>
    <row r="185" spans="1:20" x14ac:dyDescent="0.35">
      <c r="A185" t="s">
        <v>35</v>
      </c>
      <c r="B185" t="s">
        <v>638</v>
      </c>
      <c r="C185" t="s">
        <v>29</v>
      </c>
      <c r="D185" t="s">
        <v>30</v>
      </c>
      <c r="E185">
        <v>-0.01</v>
      </c>
      <c r="F185" t="s">
        <v>88</v>
      </c>
      <c r="G185" s="19">
        <v>45593</v>
      </c>
      <c r="H185" t="s">
        <v>181</v>
      </c>
      <c r="I185" t="s">
        <v>182</v>
      </c>
      <c r="Q185" s="3">
        <f t="shared" si="2"/>
        <v>-0.01</v>
      </c>
      <c r="R185" t="s">
        <v>393</v>
      </c>
      <c r="S185" t="s">
        <v>137</v>
      </c>
      <c r="T185" t="s">
        <v>65</v>
      </c>
    </row>
    <row r="186" spans="1:20" x14ac:dyDescent="0.35">
      <c r="A186" t="s">
        <v>0</v>
      </c>
      <c r="B186" t="s">
        <v>7520</v>
      </c>
      <c r="C186" t="s">
        <v>29</v>
      </c>
      <c r="D186" t="s">
        <v>30</v>
      </c>
      <c r="E186">
        <v>1.1299999999999999</v>
      </c>
      <c r="F186" t="s">
        <v>88</v>
      </c>
      <c r="G186" s="19">
        <v>45594</v>
      </c>
      <c r="H186" t="s">
        <v>323</v>
      </c>
      <c r="I186" t="s">
        <v>7592</v>
      </c>
      <c r="Q186" s="3">
        <f t="shared" si="2"/>
        <v>1.1299999999999999</v>
      </c>
      <c r="R186" t="s">
        <v>393</v>
      </c>
      <c r="S186" t="s">
        <v>137</v>
      </c>
      <c r="T186" t="s">
        <v>65</v>
      </c>
    </row>
    <row r="187" spans="1:20" x14ac:dyDescent="0.35">
      <c r="A187" t="s">
        <v>0</v>
      </c>
      <c r="B187" t="s">
        <v>7520</v>
      </c>
      <c r="C187" t="s">
        <v>29</v>
      </c>
      <c r="D187" t="s">
        <v>30</v>
      </c>
      <c r="E187">
        <v>23.1</v>
      </c>
      <c r="F187" t="s">
        <v>88</v>
      </c>
      <c r="G187" s="19">
        <v>45594</v>
      </c>
      <c r="H187" t="s">
        <v>323</v>
      </c>
      <c r="I187" t="s">
        <v>7593</v>
      </c>
      <c r="Q187" s="3">
        <f t="shared" si="2"/>
        <v>23.1</v>
      </c>
      <c r="R187" t="s">
        <v>393</v>
      </c>
      <c r="S187" t="s">
        <v>137</v>
      </c>
      <c r="T187" t="s">
        <v>65</v>
      </c>
    </row>
    <row r="188" spans="1:20" x14ac:dyDescent="0.35">
      <c r="A188" t="s">
        <v>0</v>
      </c>
      <c r="B188" t="s">
        <v>7520</v>
      </c>
      <c r="C188" t="s">
        <v>29</v>
      </c>
      <c r="D188" t="s">
        <v>30</v>
      </c>
      <c r="E188">
        <v>40.200000000000003</v>
      </c>
      <c r="F188" t="s">
        <v>88</v>
      </c>
      <c r="G188" s="19">
        <v>45594</v>
      </c>
      <c r="H188" t="s">
        <v>323</v>
      </c>
      <c r="I188" t="s">
        <v>7594</v>
      </c>
      <c r="Q188" s="3">
        <f t="shared" si="2"/>
        <v>40.200000000000003</v>
      </c>
      <c r="R188" t="s">
        <v>393</v>
      </c>
      <c r="S188" t="s">
        <v>137</v>
      </c>
      <c r="T188" t="s">
        <v>65</v>
      </c>
    </row>
    <row r="189" spans="1:20" x14ac:dyDescent="0.35">
      <c r="A189" t="s">
        <v>35</v>
      </c>
      <c r="B189" t="s">
        <v>5994</v>
      </c>
      <c r="C189" t="s">
        <v>29</v>
      </c>
      <c r="D189" t="s">
        <v>30</v>
      </c>
      <c r="E189">
        <v>1229.83</v>
      </c>
      <c r="F189" t="s">
        <v>88</v>
      </c>
      <c r="G189" s="19">
        <v>45594</v>
      </c>
      <c r="H189" t="s">
        <v>7595</v>
      </c>
      <c r="I189" t="s">
        <v>7595</v>
      </c>
      <c r="Q189" s="3">
        <f t="shared" si="2"/>
        <v>1229.83</v>
      </c>
      <c r="R189" t="s">
        <v>393</v>
      </c>
      <c r="S189" t="s">
        <v>137</v>
      </c>
      <c r="T189" t="s">
        <v>65</v>
      </c>
    </row>
    <row r="190" spans="1:20" x14ac:dyDescent="0.35">
      <c r="A190" t="s">
        <v>35</v>
      </c>
      <c r="B190" t="s">
        <v>655</v>
      </c>
      <c r="C190" t="s">
        <v>29</v>
      </c>
      <c r="D190" t="s">
        <v>30</v>
      </c>
      <c r="E190">
        <v>9838.64</v>
      </c>
      <c r="F190" t="s">
        <v>88</v>
      </c>
      <c r="G190" s="19">
        <v>45594</v>
      </c>
      <c r="H190" t="s">
        <v>7595</v>
      </c>
      <c r="I190" t="s">
        <v>7595</v>
      </c>
      <c r="Q190" s="3">
        <f t="shared" si="2"/>
        <v>9838.64</v>
      </c>
      <c r="R190" t="s">
        <v>393</v>
      </c>
      <c r="S190" t="s">
        <v>137</v>
      </c>
      <c r="T190" t="s">
        <v>65</v>
      </c>
    </row>
    <row r="191" spans="1:20" x14ac:dyDescent="0.35">
      <c r="A191" t="s">
        <v>35</v>
      </c>
      <c r="B191" t="s">
        <v>638</v>
      </c>
      <c r="C191" t="s">
        <v>29</v>
      </c>
      <c r="D191" t="s">
        <v>30</v>
      </c>
      <c r="E191">
        <v>-0.01</v>
      </c>
      <c r="F191" t="s">
        <v>88</v>
      </c>
      <c r="G191" s="19">
        <v>45594</v>
      </c>
      <c r="H191" t="s">
        <v>181</v>
      </c>
      <c r="I191" t="s">
        <v>182</v>
      </c>
      <c r="Q191" s="3">
        <f t="shared" si="2"/>
        <v>-0.01</v>
      </c>
      <c r="R191" t="s">
        <v>393</v>
      </c>
      <c r="S191" t="s">
        <v>137</v>
      </c>
      <c r="T191" t="s">
        <v>65</v>
      </c>
    </row>
    <row r="192" spans="1:20" x14ac:dyDescent="0.35">
      <c r="A192" t="s">
        <v>35</v>
      </c>
      <c r="B192" t="s">
        <v>7533</v>
      </c>
      <c r="C192" t="s">
        <v>29</v>
      </c>
      <c r="D192" t="s">
        <v>30</v>
      </c>
      <c r="E192">
        <v>0</v>
      </c>
      <c r="F192" t="s">
        <v>88</v>
      </c>
      <c r="G192" s="19">
        <v>45594</v>
      </c>
      <c r="H192" t="s">
        <v>181</v>
      </c>
      <c r="I192" t="s">
        <v>182</v>
      </c>
      <c r="Q192" s="3">
        <f t="shared" si="2"/>
        <v>0</v>
      </c>
      <c r="R192" t="s">
        <v>393</v>
      </c>
      <c r="S192" t="s">
        <v>137</v>
      </c>
      <c r="T192" t="s">
        <v>65</v>
      </c>
    </row>
    <row r="193" spans="1:20" x14ac:dyDescent="0.35">
      <c r="A193" t="s">
        <v>0</v>
      </c>
      <c r="B193" t="s">
        <v>7520</v>
      </c>
      <c r="C193" t="s">
        <v>29</v>
      </c>
      <c r="D193" t="s">
        <v>30</v>
      </c>
      <c r="E193">
        <v>43.98</v>
      </c>
      <c r="F193" t="s">
        <v>88</v>
      </c>
      <c r="G193" s="19">
        <v>45595</v>
      </c>
      <c r="H193" t="s">
        <v>323</v>
      </c>
      <c r="I193" t="s">
        <v>7596</v>
      </c>
      <c r="Q193" s="3">
        <f t="shared" si="2"/>
        <v>43.98</v>
      </c>
      <c r="R193" t="s">
        <v>393</v>
      </c>
      <c r="S193" t="s">
        <v>137</v>
      </c>
      <c r="T193" t="s">
        <v>65</v>
      </c>
    </row>
    <row r="194" spans="1:20" x14ac:dyDescent="0.35">
      <c r="A194" t="s">
        <v>0</v>
      </c>
      <c r="B194" t="s">
        <v>7520</v>
      </c>
      <c r="C194" t="s">
        <v>29</v>
      </c>
      <c r="D194" t="s">
        <v>30</v>
      </c>
      <c r="E194">
        <v>395.88</v>
      </c>
      <c r="F194" t="s">
        <v>88</v>
      </c>
      <c r="G194" s="19">
        <v>45595</v>
      </c>
      <c r="H194" t="s">
        <v>323</v>
      </c>
      <c r="I194" t="s">
        <v>7597</v>
      </c>
      <c r="Q194" s="3">
        <f t="shared" si="2"/>
        <v>395.88</v>
      </c>
      <c r="R194" t="s">
        <v>393</v>
      </c>
      <c r="S194" t="s">
        <v>137</v>
      </c>
      <c r="T194" t="s">
        <v>65</v>
      </c>
    </row>
    <row r="195" spans="1:20" x14ac:dyDescent="0.35">
      <c r="A195" t="s">
        <v>35</v>
      </c>
      <c r="B195" t="s">
        <v>5994</v>
      </c>
      <c r="C195" t="s">
        <v>29</v>
      </c>
      <c r="D195" t="s">
        <v>30</v>
      </c>
      <c r="E195">
        <v>-1229.83</v>
      </c>
      <c r="F195" t="s">
        <v>88</v>
      </c>
      <c r="G195" s="19">
        <v>45597</v>
      </c>
      <c r="H195" t="s">
        <v>7595</v>
      </c>
      <c r="I195" t="s">
        <v>7595</v>
      </c>
      <c r="Q195" s="3">
        <f t="shared" si="2"/>
        <v>-1229.83</v>
      </c>
      <c r="R195" t="s">
        <v>393</v>
      </c>
      <c r="S195" t="s">
        <v>137</v>
      </c>
      <c r="T195" t="s">
        <v>65</v>
      </c>
    </row>
    <row r="196" spans="1:20" x14ac:dyDescent="0.35">
      <c r="A196" t="s">
        <v>35</v>
      </c>
      <c r="B196" t="s">
        <v>655</v>
      </c>
      <c r="C196" t="s">
        <v>29</v>
      </c>
      <c r="D196" t="s">
        <v>30</v>
      </c>
      <c r="E196">
        <v>-9838.64</v>
      </c>
      <c r="F196" t="s">
        <v>88</v>
      </c>
      <c r="G196" s="19">
        <v>45597</v>
      </c>
      <c r="H196" t="s">
        <v>7595</v>
      </c>
      <c r="I196" t="s">
        <v>7595</v>
      </c>
      <c r="Q196" s="3">
        <f t="shared" si="2"/>
        <v>-9838.64</v>
      </c>
      <c r="R196" t="s">
        <v>393</v>
      </c>
      <c r="S196" t="s">
        <v>137</v>
      </c>
      <c r="T196" t="s">
        <v>65</v>
      </c>
    </row>
    <row r="197" spans="1:20" x14ac:dyDescent="0.35">
      <c r="A197" t="s">
        <v>35</v>
      </c>
      <c r="B197" t="s">
        <v>638</v>
      </c>
      <c r="C197" t="s">
        <v>29</v>
      </c>
      <c r="D197" t="s">
        <v>30</v>
      </c>
      <c r="E197">
        <v>-399533</v>
      </c>
      <c r="F197" t="s">
        <v>88</v>
      </c>
      <c r="G197" s="19">
        <v>45597</v>
      </c>
      <c r="H197" t="s">
        <v>7544</v>
      </c>
      <c r="I197" t="s">
        <v>7544</v>
      </c>
      <c r="Q197" s="3">
        <f t="shared" si="2"/>
        <v>-399533</v>
      </c>
      <c r="R197" t="s">
        <v>393</v>
      </c>
      <c r="S197" t="s">
        <v>137</v>
      </c>
      <c r="T197" t="s">
        <v>65</v>
      </c>
    </row>
    <row r="198" spans="1:20" x14ac:dyDescent="0.35">
      <c r="A198" t="s">
        <v>35</v>
      </c>
      <c r="B198" t="s">
        <v>7542</v>
      </c>
      <c r="C198" t="s">
        <v>29</v>
      </c>
      <c r="D198" t="s">
        <v>30</v>
      </c>
      <c r="E198">
        <v>-1801332.75</v>
      </c>
      <c r="F198" t="s">
        <v>88</v>
      </c>
      <c r="G198" s="19">
        <v>45597</v>
      </c>
      <c r="H198" t="s">
        <v>7544</v>
      </c>
      <c r="I198" t="s">
        <v>7544</v>
      </c>
      <c r="Q198" s="3">
        <f t="shared" si="2"/>
        <v>-1801332.75</v>
      </c>
      <c r="R198" t="s">
        <v>393</v>
      </c>
      <c r="S198" t="s">
        <v>137</v>
      </c>
      <c r="T198" t="s">
        <v>65</v>
      </c>
    </row>
    <row r="199" spans="1:20" x14ac:dyDescent="0.35">
      <c r="A199" t="s">
        <v>35</v>
      </c>
      <c r="B199" t="s">
        <v>6098</v>
      </c>
      <c r="C199" t="s">
        <v>29</v>
      </c>
      <c r="D199" t="s">
        <v>30</v>
      </c>
      <c r="E199">
        <v>-2000000</v>
      </c>
      <c r="F199" t="s">
        <v>88</v>
      </c>
      <c r="G199" s="19">
        <v>45597</v>
      </c>
      <c r="H199" t="s">
        <v>7544</v>
      </c>
      <c r="I199" t="s">
        <v>7544</v>
      </c>
      <c r="Q199" s="3">
        <f t="shared" si="2"/>
        <v>-2000000</v>
      </c>
      <c r="R199" t="s">
        <v>393</v>
      </c>
      <c r="S199" t="s">
        <v>137</v>
      </c>
      <c r="T199" t="s">
        <v>65</v>
      </c>
    </row>
    <row r="200" spans="1:20" x14ac:dyDescent="0.35">
      <c r="A200" t="s">
        <v>0</v>
      </c>
      <c r="B200" t="s">
        <v>7520</v>
      </c>
      <c r="C200" t="s">
        <v>29</v>
      </c>
      <c r="D200" t="s">
        <v>30</v>
      </c>
      <c r="E200">
        <v>19.899999999999999</v>
      </c>
      <c r="F200" t="s">
        <v>88</v>
      </c>
      <c r="G200" s="19">
        <v>45602</v>
      </c>
      <c r="H200" t="s">
        <v>323</v>
      </c>
      <c r="I200" t="s">
        <v>7598</v>
      </c>
      <c r="Q200" s="3">
        <f t="shared" si="2"/>
        <v>19.899999999999999</v>
      </c>
      <c r="R200" t="s">
        <v>393</v>
      </c>
      <c r="S200" t="s">
        <v>137</v>
      </c>
      <c r="T200" t="s">
        <v>65</v>
      </c>
    </row>
    <row r="201" spans="1:20" x14ac:dyDescent="0.35">
      <c r="A201" t="s">
        <v>0</v>
      </c>
      <c r="B201" t="s">
        <v>7520</v>
      </c>
      <c r="C201" t="s">
        <v>29</v>
      </c>
      <c r="D201" t="s">
        <v>30</v>
      </c>
      <c r="E201">
        <v>649.74</v>
      </c>
      <c r="F201" t="s">
        <v>88</v>
      </c>
      <c r="G201" s="19">
        <v>45602</v>
      </c>
      <c r="H201" t="s">
        <v>323</v>
      </c>
      <c r="I201" t="s">
        <v>7599</v>
      </c>
      <c r="Q201" s="3">
        <f t="shared" ref="Q201:Q231" si="3">E201</f>
        <v>649.74</v>
      </c>
      <c r="R201" t="s">
        <v>393</v>
      </c>
      <c r="S201" t="s">
        <v>137</v>
      </c>
      <c r="T201" t="s">
        <v>65</v>
      </c>
    </row>
    <row r="202" spans="1:20" x14ac:dyDescent="0.35">
      <c r="A202" t="s">
        <v>0</v>
      </c>
      <c r="B202" t="s">
        <v>7520</v>
      </c>
      <c r="C202" t="s">
        <v>29</v>
      </c>
      <c r="D202" t="s">
        <v>30</v>
      </c>
      <c r="E202">
        <v>97.62</v>
      </c>
      <c r="F202" t="s">
        <v>88</v>
      </c>
      <c r="G202" s="19">
        <v>45602</v>
      </c>
      <c r="H202" t="s">
        <v>323</v>
      </c>
      <c r="I202" t="s">
        <v>7600</v>
      </c>
      <c r="Q202" s="3">
        <f t="shared" si="3"/>
        <v>97.62</v>
      </c>
      <c r="R202" t="s">
        <v>393</v>
      </c>
      <c r="S202" t="s">
        <v>137</v>
      </c>
      <c r="T202" t="s">
        <v>65</v>
      </c>
    </row>
    <row r="203" spans="1:20" x14ac:dyDescent="0.35">
      <c r="A203" t="s">
        <v>0</v>
      </c>
      <c r="B203" t="s">
        <v>7520</v>
      </c>
      <c r="C203" t="s">
        <v>29</v>
      </c>
      <c r="D203" t="s">
        <v>30</v>
      </c>
      <c r="E203">
        <v>114.79</v>
      </c>
      <c r="F203" t="s">
        <v>88</v>
      </c>
      <c r="G203" s="19">
        <v>45602</v>
      </c>
      <c r="H203" t="s">
        <v>323</v>
      </c>
      <c r="I203" t="s">
        <v>7601</v>
      </c>
      <c r="Q203" s="3">
        <f t="shared" si="3"/>
        <v>114.79</v>
      </c>
      <c r="R203" t="s">
        <v>393</v>
      </c>
      <c r="S203" t="s">
        <v>137</v>
      </c>
      <c r="T203" t="s">
        <v>65</v>
      </c>
    </row>
    <row r="204" spans="1:20" x14ac:dyDescent="0.35">
      <c r="A204" t="s">
        <v>0</v>
      </c>
      <c r="B204" t="s">
        <v>7520</v>
      </c>
      <c r="C204" t="s">
        <v>29</v>
      </c>
      <c r="D204" t="s">
        <v>30</v>
      </c>
      <c r="E204">
        <v>354.28</v>
      </c>
      <c r="F204" t="s">
        <v>88</v>
      </c>
      <c r="G204" s="19">
        <v>45607</v>
      </c>
      <c r="H204" t="s">
        <v>323</v>
      </c>
      <c r="I204" t="s">
        <v>7602</v>
      </c>
      <c r="Q204" s="3">
        <f t="shared" si="3"/>
        <v>354.28</v>
      </c>
      <c r="R204" t="s">
        <v>393</v>
      </c>
      <c r="S204" t="s">
        <v>137</v>
      </c>
      <c r="T204" t="s">
        <v>65</v>
      </c>
    </row>
    <row r="205" spans="1:20" x14ac:dyDescent="0.35">
      <c r="A205" t="s">
        <v>0</v>
      </c>
      <c r="B205" t="s">
        <v>7520</v>
      </c>
      <c r="C205" t="s">
        <v>29</v>
      </c>
      <c r="D205" t="s">
        <v>30</v>
      </c>
      <c r="E205">
        <v>110.11</v>
      </c>
      <c r="F205" t="s">
        <v>88</v>
      </c>
      <c r="G205" s="19">
        <v>45608</v>
      </c>
      <c r="H205" t="s">
        <v>323</v>
      </c>
      <c r="I205" t="s">
        <v>7603</v>
      </c>
      <c r="Q205" s="3">
        <f t="shared" si="3"/>
        <v>110.11</v>
      </c>
      <c r="R205" t="s">
        <v>393</v>
      </c>
      <c r="S205" t="s">
        <v>137</v>
      </c>
      <c r="T205" t="s">
        <v>65</v>
      </c>
    </row>
    <row r="206" spans="1:20" x14ac:dyDescent="0.35">
      <c r="A206" t="s">
        <v>0</v>
      </c>
      <c r="B206" t="s">
        <v>7520</v>
      </c>
      <c r="C206" t="s">
        <v>29</v>
      </c>
      <c r="D206" t="s">
        <v>30</v>
      </c>
      <c r="E206">
        <v>-2.65</v>
      </c>
      <c r="F206" t="s">
        <v>88</v>
      </c>
      <c r="G206" s="19">
        <v>45609</v>
      </c>
      <c r="H206" t="s">
        <v>323</v>
      </c>
      <c r="I206" t="s">
        <v>7604</v>
      </c>
      <c r="Q206" s="3">
        <f t="shared" si="3"/>
        <v>-2.65</v>
      </c>
      <c r="R206" t="s">
        <v>393</v>
      </c>
      <c r="S206" t="s">
        <v>137</v>
      </c>
      <c r="T206" t="s">
        <v>65</v>
      </c>
    </row>
    <row r="207" spans="1:20" x14ac:dyDescent="0.35">
      <c r="A207" t="s">
        <v>35</v>
      </c>
      <c r="B207" t="s">
        <v>638</v>
      </c>
      <c r="C207" t="s">
        <v>29</v>
      </c>
      <c r="D207" t="s">
        <v>30</v>
      </c>
      <c r="E207">
        <v>-0.41</v>
      </c>
      <c r="F207" t="s">
        <v>88</v>
      </c>
      <c r="G207" s="19">
        <v>45614</v>
      </c>
      <c r="H207" t="s">
        <v>7570</v>
      </c>
      <c r="I207" t="s">
        <v>7570</v>
      </c>
      <c r="Q207" s="3">
        <f t="shared" si="3"/>
        <v>-0.41</v>
      </c>
      <c r="R207" t="s">
        <v>393</v>
      </c>
      <c r="S207" t="s">
        <v>137</v>
      </c>
      <c r="T207" t="s">
        <v>65</v>
      </c>
    </row>
    <row r="208" spans="1:20" x14ac:dyDescent="0.35">
      <c r="A208" t="s">
        <v>0</v>
      </c>
      <c r="B208" t="s">
        <v>7520</v>
      </c>
      <c r="C208" t="s">
        <v>29</v>
      </c>
      <c r="D208" t="s">
        <v>30</v>
      </c>
      <c r="E208">
        <v>138.09</v>
      </c>
      <c r="F208" t="s">
        <v>88</v>
      </c>
      <c r="G208" s="19">
        <v>45616</v>
      </c>
      <c r="H208" t="s">
        <v>323</v>
      </c>
      <c r="I208" t="s">
        <v>7605</v>
      </c>
      <c r="Q208" s="3">
        <f t="shared" si="3"/>
        <v>138.09</v>
      </c>
      <c r="R208" t="s">
        <v>393</v>
      </c>
      <c r="S208" t="s">
        <v>137</v>
      </c>
      <c r="T208" t="s">
        <v>65</v>
      </c>
    </row>
    <row r="209" spans="1:20" x14ac:dyDescent="0.35">
      <c r="A209" t="s">
        <v>35</v>
      </c>
      <c r="B209" t="s">
        <v>638</v>
      </c>
      <c r="C209" t="s">
        <v>29</v>
      </c>
      <c r="D209" t="s">
        <v>30</v>
      </c>
      <c r="E209">
        <v>399533</v>
      </c>
      <c r="F209" t="s">
        <v>88</v>
      </c>
      <c r="G209" s="19">
        <v>45621</v>
      </c>
      <c r="H209" t="s">
        <v>7544</v>
      </c>
      <c r="I209" t="s">
        <v>7544</v>
      </c>
      <c r="Q209" s="3">
        <f t="shared" si="3"/>
        <v>399533</v>
      </c>
      <c r="R209" t="s">
        <v>393</v>
      </c>
      <c r="S209" t="s">
        <v>137</v>
      </c>
      <c r="T209" t="s">
        <v>65</v>
      </c>
    </row>
    <row r="210" spans="1:20" x14ac:dyDescent="0.35">
      <c r="A210" t="s">
        <v>35</v>
      </c>
      <c r="B210" t="s">
        <v>7542</v>
      </c>
      <c r="C210" t="s">
        <v>29</v>
      </c>
      <c r="D210" t="s">
        <v>30</v>
      </c>
      <c r="E210">
        <v>1801332.75</v>
      </c>
      <c r="F210" t="s">
        <v>88</v>
      </c>
      <c r="G210" s="19">
        <v>45621</v>
      </c>
      <c r="H210" t="s">
        <v>7544</v>
      </c>
      <c r="I210" t="s">
        <v>7544</v>
      </c>
      <c r="Q210" s="3">
        <f t="shared" si="3"/>
        <v>1801332.75</v>
      </c>
      <c r="R210" t="s">
        <v>393</v>
      </c>
      <c r="S210" t="s">
        <v>137</v>
      </c>
      <c r="T210" t="s">
        <v>65</v>
      </c>
    </row>
    <row r="211" spans="1:20" x14ac:dyDescent="0.35">
      <c r="A211" t="s">
        <v>35</v>
      </c>
      <c r="B211" t="s">
        <v>6098</v>
      </c>
      <c r="C211" t="s">
        <v>29</v>
      </c>
      <c r="D211" t="s">
        <v>30</v>
      </c>
      <c r="E211">
        <v>3000000</v>
      </c>
      <c r="F211" t="s">
        <v>88</v>
      </c>
      <c r="G211" s="19">
        <v>45621</v>
      </c>
      <c r="H211" t="s">
        <v>7544</v>
      </c>
      <c r="I211" t="s">
        <v>7544</v>
      </c>
      <c r="Q211" s="3">
        <f t="shared" si="3"/>
        <v>3000000</v>
      </c>
      <c r="R211" t="s">
        <v>393</v>
      </c>
      <c r="S211" t="s">
        <v>137</v>
      </c>
      <c r="T211" t="s">
        <v>65</v>
      </c>
    </row>
    <row r="212" spans="1:20" x14ac:dyDescent="0.35">
      <c r="A212" t="s">
        <v>35</v>
      </c>
      <c r="B212" t="s">
        <v>5994</v>
      </c>
      <c r="C212" t="s">
        <v>29</v>
      </c>
      <c r="D212" t="s">
        <v>30</v>
      </c>
      <c r="E212">
        <v>1537.29</v>
      </c>
      <c r="F212" t="s">
        <v>88</v>
      </c>
      <c r="G212" s="19">
        <v>45624</v>
      </c>
      <c r="H212" t="s">
        <v>7606</v>
      </c>
      <c r="I212" t="s">
        <v>7606</v>
      </c>
      <c r="Q212" s="3">
        <f t="shared" si="3"/>
        <v>1537.29</v>
      </c>
      <c r="R212" t="s">
        <v>393</v>
      </c>
      <c r="S212" t="s">
        <v>137</v>
      </c>
      <c r="T212" t="s">
        <v>65</v>
      </c>
    </row>
    <row r="213" spans="1:20" x14ac:dyDescent="0.35">
      <c r="A213" t="s">
        <v>35</v>
      </c>
      <c r="B213" t="s">
        <v>655</v>
      </c>
      <c r="C213" t="s">
        <v>29</v>
      </c>
      <c r="D213" t="s">
        <v>30</v>
      </c>
      <c r="E213">
        <v>12298.29</v>
      </c>
      <c r="F213" t="s">
        <v>88</v>
      </c>
      <c r="G213" s="19">
        <v>45624</v>
      </c>
      <c r="H213" t="s">
        <v>7606</v>
      </c>
      <c r="I213" t="s">
        <v>7606</v>
      </c>
      <c r="Q213" s="3">
        <f t="shared" si="3"/>
        <v>12298.29</v>
      </c>
      <c r="R213" t="s">
        <v>393</v>
      </c>
      <c r="S213" t="s">
        <v>137</v>
      </c>
      <c r="T213" t="s">
        <v>65</v>
      </c>
    </row>
    <row r="214" spans="1:20" x14ac:dyDescent="0.35">
      <c r="A214" t="s">
        <v>35</v>
      </c>
      <c r="B214" t="s">
        <v>5994</v>
      </c>
      <c r="C214" t="s">
        <v>29</v>
      </c>
      <c r="D214" t="s">
        <v>30</v>
      </c>
      <c r="E214">
        <v>-1537.29</v>
      </c>
      <c r="F214" t="s">
        <v>88</v>
      </c>
      <c r="G214" s="19">
        <v>45628</v>
      </c>
      <c r="H214" t="s">
        <v>7606</v>
      </c>
      <c r="I214" t="s">
        <v>7606</v>
      </c>
      <c r="Q214" s="3">
        <f t="shared" si="3"/>
        <v>-1537.29</v>
      </c>
      <c r="R214" t="s">
        <v>393</v>
      </c>
      <c r="S214" t="s">
        <v>137</v>
      </c>
      <c r="T214" t="s">
        <v>65</v>
      </c>
    </row>
    <row r="215" spans="1:20" x14ac:dyDescent="0.35">
      <c r="A215" t="s">
        <v>35</v>
      </c>
      <c r="B215" t="s">
        <v>655</v>
      </c>
      <c r="C215" t="s">
        <v>29</v>
      </c>
      <c r="D215" t="s">
        <v>30</v>
      </c>
      <c r="E215">
        <v>-12298.29</v>
      </c>
      <c r="F215" t="s">
        <v>88</v>
      </c>
      <c r="G215" s="19">
        <v>45628</v>
      </c>
      <c r="H215" t="s">
        <v>7606</v>
      </c>
      <c r="I215" t="s">
        <v>7606</v>
      </c>
      <c r="Q215" s="3">
        <f t="shared" si="3"/>
        <v>-12298.29</v>
      </c>
      <c r="R215" t="s">
        <v>393</v>
      </c>
      <c r="S215" t="s">
        <v>137</v>
      </c>
      <c r="T215" t="s">
        <v>65</v>
      </c>
    </row>
    <row r="216" spans="1:20" x14ac:dyDescent="0.35">
      <c r="A216" t="s">
        <v>35</v>
      </c>
      <c r="B216" t="s">
        <v>638</v>
      </c>
      <c r="C216" t="s">
        <v>29</v>
      </c>
      <c r="D216" t="s">
        <v>30</v>
      </c>
      <c r="E216">
        <v>-399533</v>
      </c>
      <c r="F216" t="s">
        <v>88</v>
      </c>
      <c r="G216" s="19">
        <v>45628</v>
      </c>
      <c r="H216" t="s">
        <v>7544</v>
      </c>
      <c r="I216" t="s">
        <v>7544</v>
      </c>
      <c r="Q216" s="3">
        <f t="shared" si="3"/>
        <v>-399533</v>
      </c>
      <c r="R216" t="s">
        <v>393</v>
      </c>
      <c r="S216" t="s">
        <v>137</v>
      </c>
      <c r="T216" t="s">
        <v>65</v>
      </c>
    </row>
    <row r="217" spans="1:20" x14ac:dyDescent="0.35">
      <c r="A217" t="s">
        <v>35</v>
      </c>
      <c r="B217" t="s">
        <v>7542</v>
      </c>
      <c r="C217" t="s">
        <v>29</v>
      </c>
      <c r="D217" t="s">
        <v>30</v>
      </c>
      <c r="E217">
        <v>-1801332.75</v>
      </c>
      <c r="F217" t="s">
        <v>88</v>
      </c>
      <c r="G217" s="19">
        <v>45628</v>
      </c>
      <c r="H217" t="s">
        <v>7544</v>
      </c>
      <c r="I217" t="s">
        <v>7544</v>
      </c>
      <c r="Q217" s="3">
        <f t="shared" si="3"/>
        <v>-1801332.75</v>
      </c>
      <c r="R217" t="s">
        <v>393</v>
      </c>
      <c r="S217" t="s">
        <v>137</v>
      </c>
      <c r="T217" t="s">
        <v>65</v>
      </c>
    </row>
    <row r="218" spans="1:20" x14ac:dyDescent="0.35">
      <c r="A218" t="s">
        <v>35</v>
      </c>
      <c r="B218" t="s">
        <v>6098</v>
      </c>
      <c r="C218" t="s">
        <v>29</v>
      </c>
      <c r="D218" t="s">
        <v>30</v>
      </c>
      <c r="E218">
        <v>-3000000</v>
      </c>
      <c r="F218" t="s">
        <v>88</v>
      </c>
      <c r="G218" s="19">
        <v>45628</v>
      </c>
      <c r="H218" t="s">
        <v>7544</v>
      </c>
      <c r="I218" t="s">
        <v>7544</v>
      </c>
      <c r="Q218" s="3">
        <f t="shared" si="3"/>
        <v>-3000000</v>
      </c>
      <c r="R218" t="s">
        <v>393</v>
      </c>
      <c r="S218" t="s">
        <v>137</v>
      </c>
      <c r="T218" t="s">
        <v>65</v>
      </c>
    </row>
    <row r="219" spans="1:20" x14ac:dyDescent="0.35">
      <c r="A219" t="s">
        <v>0</v>
      </c>
      <c r="B219" t="s">
        <v>7520</v>
      </c>
      <c r="C219" t="s">
        <v>29</v>
      </c>
      <c r="D219" t="s">
        <v>30</v>
      </c>
      <c r="E219">
        <v>100</v>
      </c>
      <c r="F219" t="s">
        <v>88</v>
      </c>
      <c r="G219" s="19">
        <v>45639</v>
      </c>
      <c r="H219" t="s">
        <v>323</v>
      </c>
      <c r="I219" t="s">
        <v>7607</v>
      </c>
      <c r="Q219" s="3">
        <f t="shared" si="3"/>
        <v>100</v>
      </c>
      <c r="R219" t="s">
        <v>393</v>
      </c>
      <c r="S219" t="s">
        <v>137</v>
      </c>
      <c r="T219" t="s">
        <v>65</v>
      </c>
    </row>
    <row r="220" spans="1:20" x14ac:dyDescent="0.35">
      <c r="A220" t="s">
        <v>0</v>
      </c>
      <c r="B220" t="s">
        <v>7520</v>
      </c>
      <c r="C220" t="s">
        <v>29</v>
      </c>
      <c r="D220" t="s">
        <v>30</v>
      </c>
      <c r="E220">
        <v>158.1</v>
      </c>
      <c r="F220" t="s">
        <v>88</v>
      </c>
      <c r="G220" s="19">
        <v>45639</v>
      </c>
      <c r="H220" t="s">
        <v>323</v>
      </c>
      <c r="I220" t="s">
        <v>7608</v>
      </c>
      <c r="Q220" s="3">
        <f t="shared" si="3"/>
        <v>158.1</v>
      </c>
      <c r="R220" t="s">
        <v>393</v>
      </c>
      <c r="S220" t="s">
        <v>137</v>
      </c>
      <c r="T220" t="s">
        <v>65</v>
      </c>
    </row>
    <row r="221" spans="1:20" x14ac:dyDescent="0.35">
      <c r="A221" t="s">
        <v>35</v>
      </c>
      <c r="B221" t="s">
        <v>5994</v>
      </c>
      <c r="C221" t="s">
        <v>29</v>
      </c>
      <c r="D221" t="s">
        <v>30</v>
      </c>
      <c r="E221">
        <v>1844.74</v>
      </c>
      <c r="F221" t="s">
        <v>88</v>
      </c>
      <c r="G221" s="19">
        <v>45641</v>
      </c>
      <c r="H221" t="s">
        <v>7609</v>
      </c>
      <c r="I221" t="s">
        <v>7609</v>
      </c>
      <c r="Q221" s="3">
        <f t="shared" si="3"/>
        <v>1844.74</v>
      </c>
      <c r="R221" t="s">
        <v>393</v>
      </c>
      <c r="S221" t="s">
        <v>137</v>
      </c>
      <c r="T221" t="s">
        <v>65</v>
      </c>
    </row>
    <row r="222" spans="1:20" x14ac:dyDescent="0.35">
      <c r="A222" t="s">
        <v>35</v>
      </c>
      <c r="B222" t="s">
        <v>655</v>
      </c>
      <c r="C222" t="s">
        <v>29</v>
      </c>
      <c r="D222" t="s">
        <v>30</v>
      </c>
      <c r="E222">
        <v>14757.95</v>
      </c>
      <c r="F222" t="s">
        <v>88</v>
      </c>
      <c r="G222" s="19">
        <v>45641</v>
      </c>
      <c r="H222" t="s">
        <v>7609</v>
      </c>
      <c r="I222" t="s">
        <v>7609</v>
      </c>
      <c r="Q222" s="3">
        <f t="shared" si="3"/>
        <v>14757.95</v>
      </c>
      <c r="R222" t="s">
        <v>393</v>
      </c>
      <c r="S222" t="s">
        <v>137</v>
      </c>
      <c r="T222" t="s">
        <v>65</v>
      </c>
    </row>
    <row r="223" spans="1:20" x14ac:dyDescent="0.35">
      <c r="A223" t="s">
        <v>35</v>
      </c>
      <c r="B223" t="s">
        <v>638</v>
      </c>
      <c r="C223" t="s">
        <v>29</v>
      </c>
      <c r="D223" t="s">
        <v>30</v>
      </c>
      <c r="E223">
        <v>399533</v>
      </c>
      <c r="F223" t="s">
        <v>88</v>
      </c>
      <c r="G223" s="19">
        <v>45641</v>
      </c>
      <c r="H223" t="s">
        <v>7544</v>
      </c>
      <c r="I223" t="s">
        <v>7544</v>
      </c>
      <c r="Q223" s="3">
        <f t="shared" si="3"/>
        <v>399533</v>
      </c>
      <c r="R223" t="s">
        <v>393</v>
      </c>
      <c r="S223" t="s">
        <v>137</v>
      </c>
      <c r="T223" t="s">
        <v>65</v>
      </c>
    </row>
    <row r="224" spans="1:20" x14ac:dyDescent="0.35">
      <c r="A224" t="s">
        <v>35</v>
      </c>
      <c r="B224" t="s">
        <v>7542</v>
      </c>
      <c r="C224" t="s">
        <v>29</v>
      </c>
      <c r="D224" t="s">
        <v>30</v>
      </c>
      <c r="E224">
        <v>1801332.75</v>
      </c>
      <c r="F224" t="s">
        <v>88</v>
      </c>
      <c r="G224" s="19">
        <v>45641</v>
      </c>
      <c r="H224" t="s">
        <v>7544</v>
      </c>
      <c r="I224" t="s">
        <v>7544</v>
      </c>
      <c r="Q224" s="3">
        <f t="shared" si="3"/>
        <v>1801332.75</v>
      </c>
      <c r="R224" t="s">
        <v>393</v>
      </c>
      <c r="S224" t="s">
        <v>137</v>
      </c>
      <c r="T224" t="s">
        <v>65</v>
      </c>
    </row>
    <row r="225" spans="1:20" x14ac:dyDescent="0.35">
      <c r="A225" t="s">
        <v>35</v>
      </c>
      <c r="B225" t="s">
        <v>6098</v>
      </c>
      <c r="C225" t="s">
        <v>29</v>
      </c>
      <c r="D225" t="s">
        <v>30</v>
      </c>
      <c r="E225">
        <v>4000000</v>
      </c>
      <c r="F225" t="s">
        <v>88</v>
      </c>
      <c r="G225" s="19">
        <v>45641</v>
      </c>
      <c r="H225" t="s">
        <v>7544</v>
      </c>
      <c r="I225" t="s">
        <v>7544</v>
      </c>
      <c r="Q225" s="3">
        <f t="shared" si="3"/>
        <v>4000000</v>
      </c>
      <c r="R225" t="s">
        <v>393</v>
      </c>
      <c r="S225" t="s">
        <v>137</v>
      </c>
      <c r="T225" t="s">
        <v>65</v>
      </c>
    </row>
    <row r="226" spans="1:20" x14ac:dyDescent="0.35">
      <c r="A226" t="s">
        <v>0</v>
      </c>
      <c r="B226" t="s">
        <v>7520</v>
      </c>
      <c r="C226" t="s">
        <v>29</v>
      </c>
      <c r="D226" t="s">
        <v>30</v>
      </c>
      <c r="E226">
        <v>63.59</v>
      </c>
      <c r="F226" t="s">
        <v>88</v>
      </c>
      <c r="G226" s="19">
        <v>45646</v>
      </c>
      <c r="H226" t="s">
        <v>323</v>
      </c>
      <c r="I226" t="s">
        <v>7610</v>
      </c>
      <c r="Q226" s="3">
        <f t="shared" si="3"/>
        <v>63.59</v>
      </c>
      <c r="R226" t="s">
        <v>393</v>
      </c>
      <c r="S226" t="s">
        <v>137</v>
      </c>
      <c r="T226" t="s">
        <v>65</v>
      </c>
    </row>
    <row r="227" spans="1:20" x14ac:dyDescent="0.35">
      <c r="A227" t="s">
        <v>0</v>
      </c>
      <c r="B227" t="s">
        <v>7520</v>
      </c>
      <c r="C227" t="s">
        <v>29</v>
      </c>
      <c r="D227" t="s">
        <v>30</v>
      </c>
      <c r="E227">
        <v>87.04</v>
      </c>
      <c r="F227" t="s">
        <v>88</v>
      </c>
      <c r="G227" s="19">
        <v>45646</v>
      </c>
      <c r="H227" t="s">
        <v>323</v>
      </c>
      <c r="I227" t="s">
        <v>7611</v>
      </c>
      <c r="Q227" s="3">
        <f t="shared" si="3"/>
        <v>87.04</v>
      </c>
      <c r="R227" t="s">
        <v>393</v>
      </c>
      <c r="S227" t="s">
        <v>137</v>
      </c>
      <c r="T227" t="s">
        <v>65</v>
      </c>
    </row>
    <row r="228" spans="1:20" x14ac:dyDescent="0.35">
      <c r="A228" t="s">
        <v>0</v>
      </c>
      <c r="B228" t="s">
        <v>7520</v>
      </c>
      <c r="C228" t="s">
        <v>29</v>
      </c>
      <c r="D228" t="s">
        <v>30</v>
      </c>
      <c r="E228">
        <v>2</v>
      </c>
      <c r="F228" t="s">
        <v>88</v>
      </c>
      <c r="G228" s="19">
        <v>45656</v>
      </c>
      <c r="H228" t="s">
        <v>323</v>
      </c>
      <c r="I228" t="s">
        <v>7612</v>
      </c>
      <c r="Q228" s="3">
        <f t="shared" si="3"/>
        <v>2</v>
      </c>
      <c r="R228" t="s">
        <v>393</v>
      </c>
      <c r="S228" t="s">
        <v>137</v>
      </c>
      <c r="T228" t="s">
        <v>65</v>
      </c>
    </row>
    <row r="229" spans="1:20" x14ac:dyDescent="0.35">
      <c r="A229" t="s">
        <v>0</v>
      </c>
      <c r="B229" t="s">
        <v>7520</v>
      </c>
      <c r="C229" t="s">
        <v>29</v>
      </c>
      <c r="D229" t="s">
        <v>30</v>
      </c>
      <c r="E229">
        <v>11.14</v>
      </c>
      <c r="F229" t="s">
        <v>88</v>
      </c>
      <c r="G229" s="19">
        <v>45656</v>
      </c>
      <c r="H229" t="s">
        <v>323</v>
      </c>
      <c r="I229" t="s">
        <v>7613</v>
      </c>
      <c r="Q229" s="3">
        <f t="shared" si="3"/>
        <v>11.14</v>
      </c>
      <c r="R229" t="s">
        <v>393</v>
      </c>
      <c r="S229" t="s">
        <v>137</v>
      </c>
      <c r="T229" t="s">
        <v>65</v>
      </c>
    </row>
    <row r="230" spans="1:20" x14ac:dyDescent="0.35">
      <c r="A230" t="s">
        <v>0</v>
      </c>
      <c r="B230" t="s">
        <v>7520</v>
      </c>
      <c r="C230" t="s">
        <v>29</v>
      </c>
      <c r="D230" t="s">
        <v>30</v>
      </c>
      <c r="E230">
        <v>279.75</v>
      </c>
      <c r="F230" t="s">
        <v>88</v>
      </c>
      <c r="G230" s="19">
        <v>45657</v>
      </c>
      <c r="H230" t="s">
        <v>323</v>
      </c>
      <c r="I230" t="s">
        <v>7614</v>
      </c>
      <c r="Q230" s="3">
        <f t="shared" si="3"/>
        <v>279.75</v>
      </c>
      <c r="R230" t="s">
        <v>393</v>
      </c>
      <c r="S230" t="s">
        <v>137</v>
      </c>
      <c r="T230" t="s">
        <v>65</v>
      </c>
    </row>
    <row r="231" spans="1:20" x14ac:dyDescent="0.35">
      <c r="A231" t="s">
        <v>0</v>
      </c>
      <c r="B231" t="s">
        <v>7520</v>
      </c>
      <c r="C231" t="s">
        <v>29</v>
      </c>
      <c r="D231" t="s">
        <v>30</v>
      </c>
      <c r="E231">
        <v>95.69</v>
      </c>
      <c r="F231" t="s">
        <v>88</v>
      </c>
      <c r="G231" s="19">
        <v>45657</v>
      </c>
      <c r="H231" t="s">
        <v>323</v>
      </c>
      <c r="I231" t="s">
        <v>7615</v>
      </c>
      <c r="Q231" s="3">
        <f t="shared" si="3"/>
        <v>95.69</v>
      </c>
      <c r="R231" t="s">
        <v>393</v>
      </c>
      <c r="S231" t="s">
        <v>137</v>
      </c>
      <c r="T231" t="s">
        <v>65</v>
      </c>
    </row>
  </sheetData>
  <autoFilter ref="A7:AE7" xr:uid="{7811D7E8-707C-4EF1-8B1F-5BBB88F0942E}">
    <sortState xmlns:xlrd2="http://schemas.microsoft.com/office/spreadsheetml/2017/richdata2" ref="A8:AE33">
      <sortCondition descending="1" ref="Q7"/>
    </sortState>
  </autoFilter>
  <sortState xmlns:xlrd2="http://schemas.microsoft.com/office/spreadsheetml/2017/richdata2" ref="A7:Q33">
    <sortCondition descending="1" ref="Q7:Q33"/>
  </sortState>
  <mergeCells count="1">
    <mergeCell ref="AC6:AD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73452-DFDE-4253-BABE-9313CDFBA6FE}">
  <dimension ref="A1:AF1824"/>
  <sheetViews>
    <sheetView workbookViewId="0">
      <selection activeCell="C3" sqref="C3"/>
    </sheetView>
  </sheetViews>
  <sheetFormatPr defaultRowHeight="14.5" x14ac:dyDescent="0.35"/>
  <cols>
    <col min="1" max="1" width="6.54296875" customWidth="1"/>
    <col min="2" max="2" width="4.1796875" customWidth="1"/>
    <col min="3" max="3" width="10.7265625" customWidth="1"/>
    <col min="4" max="4" width="5.453125" style="3" customWidth="1"/>
    <col min="5" max="5" width="5.453125" style="19" customWidth="1"/>
    <col min="6" max="6" width="5.453125" customWidth="1"/>
    <col min="7" max="7" width="5.453125" style="62" customWidth="1"/>
    <col min="8" max="8" width="5.453125" style="55" customWidth="1"/>
    <col min="9" max="9" width="19.54296875" style="55" customWidth="1"/>
    <col min="10" max="10" width="5.54296875" customWidth="1"/>
    <col min="11" max="11" width="27.81640625" bestFit="1" customWidth="1"/>
    <col min="12" max="12" width="9.7265625" customWidth="1"/>
    <col min="13" max="13" width="42.1796875" bestFit="1" customWidth="1"/>
    <col min="14" max="14" width="14.81640625" customWidth="1"/>
    <col min="15" max="15" width="12.1796875" customWidth="1"/>
    <col min="16" max="16" width="3.54296875" style="5" customWidth="1"/>
    <col min="17" max="17" width="10.1796875" style="3" bestFit="1" customWidth="1"/>
    <col min="18" max="18" width="3.1796875" style="55" customWidth="1"/>
    <col min="19" max="19" width="30.7265625" style="55" customWidth="1"/>
    <col min="21" max="21" width="11.81640625" style="3" bestFit="1" customWidth="1"/>
    <col min="29" max="29" width="10.54296875" bestFit="1" customWidth="1"/>
    <col min="30" max="30" width="11" bestFit="1" customWidth="1"/>
  </cols>
  <sheetData>
    <row r="1" spans="1:31" x14ac:dyDescent="0.35">
      <c r="A1" t="s">
        <v>69</v>
      </c>
      <c r="C1" s="24">
        <f>Summary!A25</f>
        <v>5100999000</v>
      </c>
    </row>
    <row r="2" spans="1:31" x14ac:dyDescent="0.35">
      <c r="A2" t="s">
        <v>70</v>
      </c>
      <c r="C2" s="24" t="str">
        <f>Summary!B25</f>
        <v>Other office expenses</v>
      </c>
      <c r="F2" t="s">
        <v>141</v>
      </c>
    </row>
    <row r="3" spans="1:31" x14ac:dyDescent="0.35">
      <c r="A3" t="s">
        <v>71</v>
      </c>
      <c r="C3" s="22">
        <v>351350.39000000007</v>
      </c>
      <c r="F3" t="s">
        <v>587</v>
      </c>
      <c r="T3" s="24" t="s">
        <v>0</v>
      </c>
      <c r="U3" s="3">
        <f>SUMIF($A$8:$A$23972,"AU001",U8:U23972)</f>
        <v>0</v>
      </c>
      <c r="AB3" t="s">
        <v>0</v>
      </c>
      <c r="AC3" s="3">
        <f>SUMIF($A$8:$A$20000,"AU001",AC8:AC20000)</f>
        <v>0</v>
      </c>
      <c r="AD3" s="3">
        <f>SUMIF($A$8:$A$20000,"AU001",AD8:AD20000)</f>
        <v>0</v>
      </c>
    </row>
    <row r="4" spans="1:31" x14ac:dyDescent="0.35">
      <c r="A4" t="s">
        <v>45</v>
      </c>
      <c r="C4" s="22">
        <f>SUM(E:E)</f>
        <v>351350.38999999844</v>
      </c>
      <c r="F4" t="s">
        <v>588</v>
      </c>
      <c r="T4" s="24" t="s">
        <v>35</v>
      </c>
      <c r="U4" s="3">
        <f>SUMIF($A$8:$A$23973,"AU052",U8:U23973)</f>
        <v>5241.7899999999991</v>
      </c>
      <c r="AB4" t="s">
        <v>35</v>
      </c>
      <c r="AC4" s="3">
        <f>SUMIF($A$8:$A$20000,"AU052",AC8:AC20000)</f>
        <v>5149.3200000000006</v>
      </c>
      <c r="AD4" s="3">
        <f>SUMIF($A$8:$A$20000,"AU052",AD8:AD20000)</f>
        <v>5401.8300000000008</v>
      </c>
    </row>
    <row r="5" spans="1:31" ht="15" thickBot="1" x14ac:dyDescent="0.4">
      <c r="A5" t="s">
        <v>72</v>
      </c>
      <c r="C5" s="3">
        <f>C3-C4</f>
        <v>1.6298145055770874E-9</v>
      </c>
      <c r="Q5" s="30"/>
      <c r="R5" s="57"/>
      <c r="U5" s="3">
        <f>U312</f>
        <v>130.91</v>
      </c>
    </row>
    <row r="6" spans="1:31" ht="15" thickBot="1" x14ac:dyDescent="0.4">
      <c r="F6" s="19"/>
      <c r="AC6" s="191" t="s">
        <v>44</v>
      </c>
      <c r="AD6" s="192"/>
    </row>
    <row r="7" spans="1:31" ht="87.5" thickBot="1" x14ac:dyDescent="0.4">
      <c r="A7" s="127" t="s">
        <v>74</v>
      </c>
      <c r="B7" s="127" t="s">
        <v>597</v>
      </c>
      <c r="C7" s="127" t="s">
        <v>75</v>
      </c>
      <c r="D7" s="127" t="s">
        <v>76</v>
      </c>
      <c r="E7" s="127" t="s">
        <v>77</v>
      </c>
      <c r="F7" s="127" t="s">
        <v>78</v>
      </c>
      <c r="G7" s="107" t="s">
        <v>79</v>
      </c>
      <c r="H7" s="127" t="s">
        <v>80</v>
      </c>
      <c r="I7" s="127" t="s">
        <v>81</v>
      </c>
      <c r="J7" s="127" t="s">
        <v>82</v>
      </c>
      <c r="K7" s="127" t="s">
        <v>83</v>
      </c>
      <c r="L7" s="127" t="s">
        <v>84</v>
      </c>
      <c r="M7" s="127" t="s">
        <v>85</v>
      </c>
      <c r="N7" s="127" t="s">
        <v>86</v>
      </c>
      <c r="O7" s="127" t="s">
        <v>585</v>
      </c>
      <c r="Q7" s="31" t="s">
        <v>136</v>
      </c>
      <c r="R7" s="25" t="s">
        <v>87</v>
      </c>
      <c r="S7" s="8" t="s">
        <v>46</v>
      </c>
      <c r="T7" s="7" t="s">
        <v>47</v>
      </c>
      <c r="U7" s="65" t="s">
        <v>48</v>
      </c>
      <c r="V7" s="9" t="s">
        <v>49</v>
      </c>
      <c r="W7" s="10" t="s">
        <v>50</v>
      </c>
      <c r="X7" s="11" t="s">
        <v>51</v>
      </c>
      <c r="Y7" s="12" t="s">
        <v>52</v>
      </c>
      <c r="Z7" s="13" t="s">
        <v>53</v>
      </c>
      <c r="AA7" s="13" t="s">
        <v>54</v>
      </c>
      <c r="AB7" s="13" t="s">
        <v>55</v>
      </c>
      <c r="AC7" s="14" t="s">
        <v>56</v>
      </c>
      <c r="AD7" s="14" t="s">
        <v>57</v>
      </c>
      <c r="AE7" s="15" t="s">
        <v>58</v>
      </c>
    </row>
    <row r="8" spans="1:31" x14ac:dyDescent="0.35">
      <c r="A8" s="126" t="s">
        <v>35</v>
      </c>
      <c r="B8" s="126" t="s">
        <v>4583</v>
      </c>
      <c r="C8" s="126" t="s">
        <v>2</v>
      </c>
      <c r="D8" s="126" t="s">
        <v>3</v>
      </c>
      <c r="E8" s="126">
        <v>4243.59</v>
      </c>
      <c r="F8" s="126" t="s">
        <v>88</v>
      </c>
      <c r="G8" s="108">
        <v>45455</v>
      </c>
      <c r="H8" s="126" t="s">
        <v>94</v>
      </c>
      <c r="I8" s="126" t="s">
        <v>7987</v>
      </c>
      <c r="K8" s="126" t="s">
        <v>7988</v>
      </c>
      <c r="L8" s="126"/>
      <c r="M8" s="126"/>
      <c r="N8" s="143"/>
      <c r="O8" s="143" t="s">
        <v>7989</v>
      </c>
      <c r="Q8" s="3">
        <f t="shared" ref="Q8:Q71" si="0">ABS(E8)</f>
        <v>4243.59</v>
      </c>
      <c r="S8" s="55" t="s">
        <v>9011</v>
      </c>
      <c r="U8" s="3" t="str">
        <f t="shared" ref="U8:U71" si="1">IF(T8="Y",E8,"")</f>
        <v/>
      </c>
      <c r="AC8">
        <f>E8</f>
        <v>4243.59</v>
      </c>
    </row>
    <row r="9" spans="1:31" x14ac:dyDescent="0.35">
      <c r="A9" s="126" t="s">
        <v>35</v>
      </c>
      <c r="B9" s="126" t="s">
        <v>740</v>
      </c>
      <c r="C9" s="126" t="s">
        <v>2</v>
      </c>
      <c r="D9" s="126" t="s">
        <v>3</v>
      </c>
      <c r="E9" s="126">
        <v>2181.8200000000002</v>
      </c>
      <c r="F9" s="126" t="s">
        <v>88</v>
      </c>
      <c r="G9" s="108">
        <v>45432</v>
      </c>
      <c r="H9" s="126" t="s">
        <v>94</v>
      </c>
      <c r="I9" s="126" t="s">
        <v>7857</v>
      </c>
      <c r="K9" s="126" t="s">
        <v>7858</v>
      </c>
      <c r="L9" s="126"/>
      <c r="M9" s="126"/>
      <c r="N9" s="126"/>
      <c r="O9" s="126" t="s">
        <v>7859</v>
      </c>
      <c r="Q9" s="3">
        <f t="shared" si="0"/>
        <v>2181.8200000000002</v>
      </c>
      <c r="S9" s="55" t="s">
        <v>2314</v>
      </c>
      <c r="U9" s="3" t="str">
        <f t="shared" si="1"/>
        <v/>
      </c>
      <c r="AD9">
        <f>E9</f>
        <v>2181.8200000000002</v>
      </c>
    </row>
    <row r="10" spans="1:31" x14ac:dyDescent="0.35">
      <c r="A10" s="126" t="s">
        <v>35</v>
      </c>
      <c r="B10" s="126" t="s">
        <v>1244</v>
      </c>
      <c r="C10" s="126" t="s">
        <v>2</v>
      </c>
      <c r="D10" s="126" t="s">
        <v>3</v>
      </c>
      <c r="E10" s="126">
        <v>637.54999999999995</v>
      </c>
      <c r="F10" s="126" t="s">
        <v>88</v>
      </c>
      <c r="G10" s="108">
        <v>45383</v>
      </c>
      <c r="H10" s="126" t="s">
        <v>89</v>
      </c>
      <c r="I10" s="126" t="s">
        <v>7616</v>
      </c>
      <c r="J10" s="126"/>
      <c r="K10" s="126" t="s">
        <v>7617</v>
      </c>
      <c r="L10" s="126" t="s">
        <v>7618</v>
      </c>
      <c r="M10" s="126" t="s">
        <v>7619</v>
      </c>
      <c r="N10" s="126"/>
      <c r="O10" s="126"/>
      <c r="Q10" s="3">
        <f t="shared" si="0"/>
        <v>637.54999999999995</v>
      </c>
      <c r="S10" s="55" t="s">
        <v>9011</v>
      </c>
      <c r="U10" s="3" t="str">
        <f t="shared" si="1"/>
        <v/>
      </c>
      <c r="AC10">
        <f>E10</f>
        <v>637.54999999999995</v>
      </c>
    </row>
    <row r="11" spans="1:31" x14ac:dyDescent="0.35">
      <c r="A11" s="126" t="s">
        <v>35</v>
      </c>
      <c r="B11" s="126" t="s">
        <v>869</v>
      </c>
      <c r="C11" s="126" t="s">
        <v>2</v>
      </c>
      <c r="D11" s="126" t="s">
        <v>3</v>
      </c>
      <c r="E11" s="126">
        <v>268.18</v>
      </c>
      <c r="F11" s="126" t="s">
        <v>88</v>
      </c>
      <c r="G11" s="108">
        <v>45580</v>
      </c>
      <c r="H11" s="126" t="s">
        <v>94</v>
      </c>
      <c r="I11" s="126" t="s">
        <v>7987</v>
      </c>
      <c r="J11" s="126" t="s">
        <v>8575</v>
      </c>
      <c r="K11" s="126"/>
      <c r="L11" s="126"/>
      <c r="M11" s="126"/>
      <c r="N11" s="126"/>
      <c r="O11" s="126" t="s">
        <v>522</v>
      </c>
      <c r="Q11" s="3">
        <f t="shared" si="0"/>
        <v>268.18</v>
      </c>
      <c r="S11" s="55" t="s">
        <v>9011</v>
      </c>
      <c r="U11" s="3" t="str">
        <f t="shared" si="1"/>
        <v/>
      </c>
      <c r="AC11">
        <f>E11</f>
        <v>268.18</v>
      </c>
    </row>
    <row r="12" spans="1:31" x14ac:dyDescent="0.35">
      <c r="A12" s="126" t="s">
        <v>0</v>
      </c>
      <c r="B12" s="126" t="s">
        <v>1627</v>
      </c>
      <c r="C12" s="126" t="s">
        <v>2</v>
      </c>
      <c r="D12" s="126" t="s">
        <v>3</v>
      </c>
      <c r="E12" s="126">
        <v>24125.99</v>
      </c>
      <c r="F12" s="126" t="s">
        <v>88</v>
      </c>
      <c r="G12" s="108">
        <v>45505</v>
      </c>
      <c r="H12" s="126" t="s">
        <v>89</v>
      </c>
      <c r="I12" s="126" t="s">
        <v>8253</v>
      </c>
      <c r="J12" s="126"/>
      <c r="K12" s="126" t="s">
        <v>8254</v>
      </c>
      <c r="L12" s="126" t="s">
        <v>8255</v>
      </c>
      <c r="M12" s="126" t="s">
        <v>361</v>
      </c>
      <c r="Q12" s="3">
        <f t="shared" si="0"/>
        <v>24125.99</v>
      </c>
      <c r="S12" s="55" t="s">
        <v>9013</v>
      </c>
      <c r="U12" s="3" t="str">
        <f t="shared" si="1"/>
        <v/>
      </c>
    </row>
    <row r="13" spans="1:31" x14ac:dyDescent="0.35">
      <c r="A13" s="126" t="s">
        <v>0</v>
      </c>
      <c r="B13" s="126" t="s">
        <v>1627</v>
      </c>
      <c r="C13" s="126" t="s">
        <v>2</v>
      </c>
      <c r="D13" s="126" t="s">
        <v>3</v>
      </c>
      <c r="E13" s="126">
        <v>16316.67</v>
      </c>
      <c r="F13" s="126" t="s">
        <v>88</v>
      </c>
      <c r="G13" s="108">
        <v>45463</v>
      </c>
      <c r="H13" s="126" t="s">
        <v>89</v>
      </c>
      <c r="I13" s="126" t="s">
        <v>8028</v>
      </c>
      <c r="J13" s="126"/>
      <c r="K13" s="126" t="s">
        <v>101</v>
      </c>
      <c r="L13" s="126" t="s">
        <v>8029</v>
      </c>
      <c r="M13" s="126" t="s">
        <v>361</v>
      </c>
      <c r="N13" s="126"/>
      <c r="O13" s="126"/>
      <c r="Q13" s="3">
        <f t="shared" si="0"/>
        <v>16316.67</v>
      </c>
      <c r="S13" s="55" t="s">
        <v>9013</v>
      </c>
      <c r="U13" s="3" t="str">
        <f t="shared" si="1"/>
        <v/>
      </c>
    </row>
    <row r="14" spans="1:31" x14ac:dyDescent="0.35">
      <c r="A14" s="126" t="s">
        <v>0</v>
      </c>
      <c r="B14" s="126" t="s">
        <v>1627</v>
      </c>
      <c r="C14" s="126" t="s">
        <v>2</v>
      </c>
      <c r="D14" s="126" t="s">
        <v>3</v>
      </c>
      <c r="E14" s="126">
        <v>14268.65</v>
      </c>
      <c r="F14" s="126" t="s">
        <v>88</v>
      </c>
      <c r="G14" s="108">
        <v>45597</v>
      </c>
      <c r="H14" s="126" t="s">
        <v>89</v>
      </c>
      <c r="I14" s="126" t="s">
        <v>8624</v>
      </c>
      <c r="J14" s="126"/>
      <c r="K14" s="126" t="s">
        <v>8254</v>
      </c>
      <c r="L14" s="126" t="s">
        <v>8625</v>
      </c>
      <c r="M14" s="126" t="s">
        <v>361</v>
      </c>
      <c r="N14" s="126"/>
      <c r="O14" s="126"/>
      <c r="Q14" s="3">
        <f t="shared" si="0"/>
        <v>14268.65</v>
      </c>
      <c r="S14" s="55" t="s">
        <v>9013</v>
      </c>
      <c r="U14" s="3" t="str">
        <f t="shared" si="1"/>
        <v/>
      </c>
    </row>
    <row r="15" spans="1:31" x14ac:dyDescent="0.35">
      <c r="A15" s="126" t="s">
        <v>0</v>
      </c>
      <c r="B15" s="126" t="s">
        <v>1627</v>
      </c>
      <c r="C15" s="126" t="s">
        <v>2</v>
      </c>
      <c r="D15" s="126" t="s">
        <v>3</v>
      </c>
      <c r="E15" s="126">
        <v>12894.69</v>
      </c>
      <c r="F15" s="126" t="s">
        <v>88</v>
      </c>
      <c r="G15" s="108">
        <v>45573</v>
      </c>
      <c r="H15" s="126" t="s">
        <v>89</v>
      </c>
      <c r="I15" s="126" t="s">
        <v>8539</v>
      </c>
      <c r="J15" s="126"/>
      <c r="K15" s="126" t="s">
        <v>8254</v>
      </c>
      <c r="L15" s="126" t="s">
        <v>8540</v>
      </c>
      <c r="M15" s="126" t="s">
        <v>361</v>
      </c>
      <c r="N15" s="126"/>
      <c r="O15" s="126"/>
      <c r="Q15" s="3">
        <f t="shared" si="0"/>
        <v>12894.69</v>
      </c>
      <c r="S15" s="55" t="s">
        <v>9013</v>
      </c>
      <c r="U15" s="3" t="str">
        <f t="shared" si="1"/>
        <v/>
      </c>
    </row>
    <row r="16" spans="1:31" x14ac:dyDescent="0.35">
      <c r="A16" s="126" t="s">
        <v>0</v>
      </c>
      <c r="B16" s="126" t="s">
        <v>1627</v>
      </c>
      <c r="C16" s="126" t="s">
        <v>2</v>
      </c>
      <c r="D16" s="126" t="s">
        <v>3</v>
      </c>
      <c r="E16" s="126">
        <v>12012.98</v>
      </c>
      <c r="F16" s="126" t="s">
        <v>88</v>
      </c>
      <c r="G16" s="108">
        <v>45432</v>
      </c>
      <c r="H16" s="126" t="s">
        <v>89</v>
      </c>
      <c r="I16" s="126" t="s">
        <v>7847</v>
      </c>
      <c r="J16" s="126"/>
      <c r="K16" s="126" t="s">
        <v>101</v>
      </c>
      <c r="L16" s="126" t="s">
        <v>7848</v>
      </c>
      <c r="M16" s="126" t="s">
        <v>361</v>
      </c>
      <c r="N16" s="143"/>
      <c r="O16" s="143"/>
      <c r="Q16" s="3">
        <f t="shared" si="0"/>
        <v>12012.98</v>
      </c>
      <c r="S16" s="55" t="s">
        <v>9013</v>
      </c>
      <c r="U16" s="3" t="str">
        <f t="shared" si="1"/>
        <v/>
      </c>
    </row>
    <row r="17" spans="1:21" x14ac:dyDescent="0.35">
      <c r="A17" s="126" t="s">
        <v>0</v>
      </c>
      <c r="B17" s="126" t="s">
        <v>1627</v>
      </c>
      <c r="C17" s="126" t="s">
        <v>2</v>
      </c>
      <c r="D17" s="126" t="s">
        <v>3</v>
      </c>
      <c r="E17" s="126">
        <v>11549.03</v>
      </c>
      <c r="F17" s="126" t="s">
        <v>88</v>
      </c>
      <c r="G17" s="108">
        <v>45397</v>
      </c>
      <c r="H17" s="126" t="s">
        <v>89</v>
      </c>
      <c r="I17" s="126" t="s">
        <v>7717</v>
      </c>
      <c r="J17" s="126"/>
      <c r="K17" s="126" t="s">
        <v>101</v>
      </c>
      <c r="L17" s="126" t="s">
        <v>7718</v>
      </c>
      <c r="M17" s="126" t="s">
        <v>361</v>
      </c>
      <c r="N17" s="126"/>
      <c r="O17" s="126"/>
      <c r="Q17" s="3">
        <f t="shared" si="0"/>
        <v>11549.03</v>
      </c>
      <c r="S17" s="55" t="s">
        <v>9013</v>
      </c>
      <c r="U17" s="3" t="str">
        <f t="shared" si="1"/>
        <v/>
      </c>
    </row>
    <row r="18" spans="1:21" x14ac:dyDescent="0.35">
      <c r="A18" s="126" t="s">
        <v>0</v>
      </c>
      <c r="B18" s="126" t="s">
        <v>1627</v>
      </c>
      <c r="C18" s="126" t="s">
        <v>2</v>
      </c>
      <c r="D18" s="126" t="s">
        <v>3</v>
      </c>
      <c r="E18" s="126">
        <v>10600.94</v>
      </c>
      <c r="F18" s="126" t="s">
        <v>88</v>
      </c>
      <c r="G18" s="108">
        <v>45615</v>
      </c>
      <c r="H18" s="126" t="s">
        <v>89</v>
      </c>
      <c r="I18" s="126" t="s">
        <v>8756</v>
      </c>
      <c r="J18" s="143"/>
      <c r="K18" s="126" t="s">
        <v>8757</v>
      </c>
      <c r="L18" s="126" t="s">
        <v>8758</v>
      </c>
      <c r="M18" s="126" t="s">
        <v>361</v>
      </c>
      <c r="N18" s="126"/>
      <c r="O18" s="126"/>
      <c r="Q18" s="3">
        <f t="shared" si="0"/>
        <v>10600.94</v>
      </c>
      <c r="S18" s="55" t="s">
        <v>9013</v>
      </c>
      <c r="U18" s="3" t="str">
        <f t="shared" si="1"/>
        <v/>
      </c>
    </row>
    <row r="19" spans="1:21" x14ac:dyDescent="0.35">
      <c r="A19" s="126" t="s">
        <v>0</v>
      </c>
      <c r="B19" s="126" t="s">
        <v>1627</v>
      </c>
      <c r="C19" s="126" t="s">
        <v>2</v>
      </c>
      <c r="D19" s="126" t="s">
        <v>3</v>
      </c>
      <c r="E19" s="126">
        <v>-8298.06</v>
      </c>
      <c r="F19" s="126" t="s">
        <v>88</v>
      </c>
      <c r="G19" s="108">
        <v>45432</v>
      </c>
      <c r="H19" s="126" t="s">
        <v>89</v>
      </c>
      <c r="I19" s="126" t="s">
        <v>6484</v>
      </c>
      <c r="J19" s="126"/>
      <c r="K19" s="126" t="s">
        <v>6485</v>
      </c>
      <c r="L19" s="126" t="s">
        <v>6486</v>
      </c>
      <c r="M19" s="126" t="s">
        <v>361</v>
      </c>
      <c r="N19" s="126"/>
      <c r="O19" s="126"/>
      <c r="Q19" s="3">
        <f t="shared" si="0"/>
        <v>8298.06</v>
      </c>
      <c r="S19" s="55" t="s">
        <v>9013</v>
      </c>
      <c r="U19" s="3" t="str">
        <f t="shared" si="1"/>
        <v/>
      </c>
    </row>
    <row r="20" spans="1:21" x14ac:dyDescent="0.35">
      <c r="A20" s="126" t="s">
        <v>0</v>
      </c>
      <c r="B20" s="126" t="s">
        <v>1627</v>
      </c>
      <c r="C20" s="126" t="s">
        <v>2</v>
      </c>
      <c r="D20" s="126" t="s">
        <v>3</v>
      </c>
      <c r="E20" s="126">
        <v>8265.9500000000007</v>
      </c>
      <c r="F20" s="126" t="s">
        <v>88</v>
      </c>
      <c r="G20" s="108">
        <v>45505</v>
      </c>
      <c r="H20" s="126" t="s">
        <v>89</v>
      </c>
      <c r="I20" s="126" t="s">
        <v>8250</v>
      </c>
      <c r="J20" s="126"/>
      <c r="K20" s="126" t="s">
        <v>8251</v>
      </c>
      <c r="L20" s="126" t="s">
        <v>8252</v>
      </c>
      <c r="M20" s="126" t="s">
        <v>361</v>
      </c>
      <c r="Q20" s="3">
        <f t="shared" si="0"/>
        <v>8265.9500000000007</v>
      </c>
      <c r="S20" s="55" t="s">
        <v>9013</v>
      </c>
      <c r="U20" s="3" t="str">
        <f t="shared" si="1"/>
        <v/>
      </c>
    </row>
    <row r="21" spans="1:21" x14ac:dyDescent="0.35">
      <c r="A21" s="126" t="s">
        <v>0</v>
      </c>
      <c r="B21" s="126" t="s">
        <v>614</v>
      </c>
      <c r="C21" s="126" t="s">
        <v>2</v>
      </c>
      <c r="D21" s="126" t="s">
        <v>3</v>
      </c>
      <c r="E21" s="126">
        <v>5893.24</v>
      </c>
      <c r="F21" s="126" t="s">
        <v>88</v>
      </c>
      <c r="G21" s="108">
        <v>45391</v>
      </c>
      <c r="H21" s="126" t="s">
        <v>89</v>
      </c>
      <c r="I21" s="126" t="s">
        <v>7691</v>
      </c>
      <c r="J21" s="126"/>
      <c r="K21" s="126" t="s">
        <v>7672</v>
      </c>
      <c r="L21" s="126" t="s">
        <v>7692</v>
      </c>
      <c r="M21" s="126" t="s">
        <v>399</v>
      </c>
      <c r="N21" s="126"/>
      <c r="O21" s="126"/>
      <c r="Q21" s="3">
        <f t="shared" si="0"/>
        <v>5893.24</v>
      </c>
      <c r="S21" s="55" t="s">
        <v>9013</v>
      </c>
      <c r="U21" s="3" t="str">
        <f t="shared" si="1"/>
        <v/>
      </c>
    </row>
    <row r="22" spans="1:21" x14ac:dyDescent="0.35">
      <c r="A22" s="126" t="s">
        <v>35</v>
      </c>
      <c r="B22" s="126" t="s">
        <v>869</v>
      </c>
      <c r="C22" s="126" t="s">
        <v>2</v>
      </c>
      <c r="D22" s="126" t="s">
        <v>3</v>
      </c>
      <c r="E22" s="126">
        <v>4042.51</v>
      </c>
      <c r="F22" s="126" t="s">
        <v>88</v>
      </c>
      <c r="G22" s="108">
        <v>45551</v>
      </c>
      <c r="H22" s="126" t="s">
        <v>89</v>
      </c>
      <c r="I22" s="126" t="s">
        <v>8436</v>
      </c>
      <c r="J22" s="126"/>
      <c r="K22" s="126" t="s">
        <v>412</v>
      </c>
      <c r="L22" s="126" t="s">
        <v>8437</v>
      </c>
      <c r="M22" s="126" t="s">
        <v>413</v>
      </c>
      <c r="N22" s="126"/>
      <c r="O22" s="126"/>
      <c r="Q22" s="3">
        <f t="shared" si="0"/>
        <v>4042.51</v>
      </c>
      <c r="S22" s="55" t="s">
        <v>9014</v>
      </c>
      <c r="U22" s="3" t="str">
        <f t="shared" si="1"/>
        <v/>
      </c>
    </row>
    <row r="23" spans="1:21" x14ac:dyDescent="0.35">
      <c r="A23" s="126" t="s">
        <v>35</v>
      </c>
      <c r="B23" s="126" t="s">
        <v>869</v>
      </c>
      <c r="C23" s="126" t="s">
        <v>2</v>
      </c>
      <c r="D23" s="126" t="s">
        <v>3</v>
      </c>
      <c r="E23" s="126">
        <v>3616</v>
      </c>
      <c r="F23" s="126" t="s">
        <v>88</v>
      </c>
      <c r="G23" s="108">
        <v>45628</v>
      </c>
      <c r="H23" s="126" t="s">
        <v>89</v>
      </c>
      <c r="I23" s="126" t="s">
        <v>8825</v>
      </c>
      <c r="J23" s="126"/>
      <c r="K23" s="126" t="s">
        <v>412</v>
      </c>
      <c r="L23" s="126" t="s">
        <v>8826</v>
      </c>
      <c r="M23" s="126" t="s">
        <v>413</v>
      </c>
      <c r="N23" s="126"/>
      <c r="O23" s="126"/>
      <c r="Q23" s="3">
        <f t="shared" si="0"/>
        <v>3616</v>
      </c>
      <c r="S23" s="55" t="s">
        <v>9014</v>
      </c>
      <c r="U23" s="3" t="str">
        <f t="shared" si="1"/>
        <v/>
      </c>
    </row>
    <row r="24" spans="1:21" x14ac:dyDescent="0.35">
      <c r="A24" s="126" t="s">
        <v>35</v>
      </c>
      <c r="B24" s="126" t="s">
        <v>869</v>
      </c>
      <c r="C24" s="126" t="s">
        <v>2</v>
      </c>
      <c r="D24" s="126" t="s">
        <v>3</v>
      </c>
      <c r="E24" s="126">
        <v>3585.61</v>
      </c>
      <c r="F24" s="126" t="s">
        <v>88</v>
      </c>
      <c r="G24" s="108">
        <v>45628</v>
      </c>
      <c r="H24" s="126" t="s">
        <v>89</v>
      </c>
      <c r="I24" s="126" t="s">
        <v>8827</v>
      </c>
      <c r="J24" s="126"/>
      <c r="K24" s="126" t="s">
        <v>412</v>
      </c>
      <c r="L24" s="126" t="s">
        <v>8828</v>
      </c>
      <c r="M24" s="126" t="s">
        <v>413</v>
      </c>
      <c r="N24" s="126"/>
      <c r="O24" s="126"/>
      <c r="Q24" s="3">
        <f t="shared" si="0"/>
        <v>3585.61</v>
      </c>
      <c r="S24" s="55" t="s">
        <v>9014</v>
      </c>
      <c r="U24" s="3" t="str">
        <f t="shared" si="1"/>
        <v/>
      </c>
    </row>
    <row r="25" spans="1:21" x14ac:dyDescent="0.35">
      <c r="A25" s="126" t="s">
        <v>35</v>
      </c>
      <c r="B25" s="126" t="s">
        <v>740</v>
      </c>
      <c r="C25" s="126" t="s">
        <v>2</v>
      </c>
      <c r="D25" s="126" t="s">
        <v>3</v>
      </c>
      <c r="E25" s="126">
        <v>3492</v>
      </c>
      <c r="F25" s="126" t="s">
        <v>88</v>
      </c>
      <c r="G25" s="108">
        <v>45467</v>
      </c>
      <c r="H25" s="126" t="s">
        <v>89</v>
      </c>
      <c r="I25" s="126" t="s">
        <v>8053</v>
      </c>
      <c r="J25" s="126"/>
      <c r="K25" s="126" t="s">
        <v>8054</v>
      </c>
      <c r="L25" s="126" t="s">
        <v>8055</v>
      </c>
      <c r="M25" s="126" t="s">
        <v>413</v>
      </c>
      <c r="N25" s="126"/>
      <c r="O25" s="126"/>
      <c r="Q25" s="3">
        <f t="shared" si="0"/>
        <v>3492</v>
      </c>
      <c r="S25" s="55" t="s">
        <v>9014</v>
      </c>
      <c r="U25" s="3" t="str">
        <f t="shared" si="1"/>
        <v/>
      </c>
    </row>
    <row r="26" spans="1:21" x14ac:dyDescent="0.35">
      <c r="A26" s="126" t="s">
        <v>35</v>
      </c>
      <c r="B26" s="126" t="s">
        <v>869</v>
      </c>
      <c r="C26" s="126" t="s">
        <v>2</v>
      </c>
      <c r="D26" s="126" t="s">
        <v>3</v>
      </c>
      <c r="E26" s="126">
        <v>3460</v>
      </c>
      <c r="F26" s="126" t="s">
        <v>88</v>
      </c>
      <c r="G26" s="108">
        <v>45558</v>
      </c>
      <c r="H26" s="126" t="s">
        <v>89</v>
      </c>
      <c r="I26" s="126" t="s">
        <v>8469</v>
      </c>
      <c r="J26" s="126"/>
      <c r="K26" s="126" t="s">
        <v>8470</v>
      </c>
      <c r="L26" s="126" t="s">
        <v>8471</v>
      </c>
      <c r="M26" s="126" t="s">
        <v>413</v>
      </c>
      <c r="N26" s="143"/>
      <c r="O26" s="143"/>
      <c r="Q26" s="3">
        <f t="shared" si="0"/>
        <v>3460</v>
      </c>
      <c r="S26" s="55" t="s">
        <v>9014</v>
      </c>
      <c r="U26" s="3" t="str">
        <f t="shared" si="1"/>
        <v/>
      </c>
    </row>
    <row r="27" spans="1:21" x14ac:dyDescent="0.35">
      <c r="A27" s="126" t="s">
        <v>35</v>
      </c>
      <c r="B27" s="126" t="s">
        <v>740</v>
      </c>
      <c r="C27" s="126" t="s">
        <v>2</v>
      </c>
      <c r="D27" s="126" t="s">
        <v>3</v>
      </c>
      <c r="E27" s="126">
        <v>3394</v>
      </c>
      <c r="F27" s="126" t="s">
        <v>88</v>
      </c>
      <c r="G27" s="108">
        <v>45439</v>
      </c>
      <c r="H27" s="126" t="s">
        <v>89</v>
      </c>
      <c r="I27" s="126" t="s">
        <v>7900</v>
      </c>
      <c r="J27" s="143"/>
      <c r="K27" s="126" t="s">
        <v>412</v>
      </c>
      <c r="L27" s="126" t="s">
        <v>7901</v>
      </c>
      <c r="M27" s="126" t="s">
        <v>413</v>
      </c>
      <c r="N27" s="126"/>
      <c r="O27" s="126"/>
      <c r="Q27" s="3">
        <f t="shared" si="0"/>
        <v>3394</v>
      </c>
      <c r="S27" s="55" t="s">
        <v>9014</v>
      </c>
      <c r="U27" s="3" t="str">
        <f t="shared" si="1"/>
        <v/>
      </c>
    </row>
    <row r="28" spans="1:21" x14ac:dyDescent="0.35">
      <c r="A28" s="126" t="s">
        <v>35</v>
      </c>
      <c r="B28" s="126" t="s">
        <v>869</v>
      </c>
      <c r="C28" s="126" t="s">
        <v>2</v>
      </c>
      <c r="D28" s="126" t="s">
        <v>3</v>
      </c>
      <c r="E28" s="126">
        <v>2922.3</v>
      </c>
      <c r="F28" s="126" t="s">
        <v>88</v>
      </c>
      <c r="G28" s="108">
        <v>45566</v>
      </c>
      <c r="H28" s="126" t="s">
        <v>89</v>
      </c>
      <c r="I28" s="126" t="s">
        <v>8500</v>
      </c>
      <c r="J28" s="126"/>
      <c r="K28" s="126" t="s">
        <v>8501</v>
      </c>
      <c r="L28" s="126" t="s">
        <v>8502</v>
      </c>
      <c r="M28" s="126" t="s">
        <v>411</v>
      </c>
      <c r="N28" s="126"/>
      <c r="O28" s="126"/>
      <c r="Q28" s="3">
        <f t="shared" si="0"/>
        <v>2922.3</v>
      </c>
      <c r="S28" s="55" t="s">
        <v>9014</v>
      </c>
      <c r="U28" s="3" t="str">
        <f t="shared" si="1"/>
        <v/>
      </c>
    </row>
    <row r="29" spans="1:21" x14ac:dyDescent="0.35">
      <c r="A29" s="126" t="s">
        <v>0</v>
      </c>
      <c r="B29" s="126" t="s">
        <v>1627</v>
      </c>
      <c r="C29" s="126" t="s">
        <v>2</v>
      </c>
      <c r="D29" s="126" t="s">
        <v>3</v>
      </c>
      <c r="E29" s="126">
        <v>2889.59</v>
      </c>
      <c r="F29" s="126" t="s">
        <v>88</v>
      </c>
      <c r="G29" s="108">
        <v>45432</v>
      </c>
      <c r="H29" s="126" t="s">
        <v>89</v>
      </c>
      <c r="I29" s="126" t="s">
        <v>7839</v>
      </c>
      <c r="J29" s="126"/>
      <c r="K29" s="126" t="s">
        <v>7840</v>
      </c>
      <c r="L29" s="126" t="s">
        <v>7841</v>
      </c>
      <c r="M29" s="126" t="s">
        <v>399</v>
      </c>
      <c r="N29" s="35"/>
      <c r="O29" s="35"/>
      <c r="Q29" s="3">
        <f t="shared" si="0"/>
        <v>2889.59</v>
      </c>
      <c r="S29" s="55" t="s">
        <v>9013</v>
      </c>
      <c r="U29" s="3" t="str">
        <f t="shared" si="1"/>
        <v/>
      </c>
    </row>
    <row r="30" spans="1:21" ht="43.5" x14ac:dyDescent="0.35">
      <c r="A30" s="126" t="s">
        <v>35</v>
      </c>
      <c r="B30" s="126" t="s">
        <v>869</v>
      </c>
      <c r="C30" s="126" t="s">
        <v>2</v>
      </c>
      <c r="D30" s="126" t="s">
        <v>3</v>
      </c>
      <c r="E30" s="126">
        <v>2698.69</v>
      </c>
      <c r="F30" s="126" t="s">
        <v>88</v>
      </c>
      <c r="G30" s="108">
        <v>45432</v>
      </c>
      <c r="H30" s="126" t="s">
        <v>94</v>
      </c>
      <c r="I30" s="126" t="s">
        <v>7860</v>
      </c>
      <c r="K30" s="126" t="s">
        <v>7861</v>
      </c>
      <c r="L30" s="126"/>
      <c r="M30" s="126"/>
      <c r="N30" s="126"/>
      <c r="O30" s="126" t="s">
        <v>7862</v>
      </c>
      <c r="Q30" s="3">
        <f t="shared" si="0"/>
        <v>2698.69</v>
      </c>
      <c r="S30" s="55" t="s">
        <v>9012</v>
      </c>
      <c r="U30" s="3" t="str">
        <f t="shared" si="1"/>
        <v/>
      </c>
    </row>
    <row r="31" spans="1:21" x14ac:dyDescent="0.35">
      <c r="A31" s="126" t="s">
        <v>0</v>
      </c>
      <c r="B31" s="126" t="s">
        <v>7696</v>
      </c>
      <c r="C31" s="126" t="s">
        <v>2</v>
      </c>
      <c r="D31" s="126" t="s">
        <v>3</v>
      </c>
      <c r="E31" s="126">
        <v>2669.55</v>
      </c>
      <c r="F31" s="126" t="s">
        <v>88</v>
      </c>
      <c r="G31" s="108">
        <v>45551</v>
      </c>
      <c r="H31" s="126" t="s">
        <v>89</v>
      </c>
      <c r="I31" s="126" t="s">
        <v>8431</v>
      </c>
      <c r="J31" s="126"/>
      <c r="K31" s="126" t="s">
        <v>8432</v>
      </c>
      <c r="L31" s="126" t="s">
        <v>8433</v>
      </c>
      <c r="M31" s="126" t="s">
        <v>399</v>
      </c>
      <c r="N31" s="126"/>
      <c r="O31" s="126"/>
      <c r="Q31" s="3">
        <f t="shared" si="0"/>
        <v>2669.55</v>
      </c>
      <c r="S31" s="55" t="s">
        <v>9013</v>
      </c>
      <c r="U31" s="3" t="str">
        <f t="shared" si="1"/>
        <v/>
      </c>
    </row>
    <row r="32" spans="1:21" x14ac:dyDescent="0.35">
      <c r="A32" s="126" t="s">
        <v>35</v>
      </c>
      <c r="B32" s="126" t="s">
        <v>869</v>
      </c>
      <c r="C32" s="126" t="s">
        <v>2</v>
      </c>
      <c r="D32" s="126" t="s">
        <v>3</v>
      </c>
      <c r="E32" s="126">
        <v>2532</v>
      </c>
      <c r="F32" s="126" t="s">
        <v>88</v>
      </c>
      <c r="G32" s="108">
        <v>45404</v>
      </c>
      <c r="H32" s="126" t="s">
        <v>89</v>
      </c>
      <c r="I32" s="126" t="s">
        <v>7746</v>
      </c>
      <c r="J32" s="126"/>
      <c r="K32" s="126" t="s">
        <v>412</v>
      </c>
      <c r="L32" s="126" t="s">
        <v>7747</v>
      </c>
      <c r="M32" s="126" t="s">
        <v>413</v>
      </c>
      <c r="N32" s="126"/>
      <c r="O32" s="126"/>
      <c r="Q32" s="3">
        <f t="shared" si="0"/>
        <v>2532</v>
      </c>
      <c r="S32" s="55" t="s">
        <v>9014</v>
      </c>
      <c r="U32" s="3" t="str">
        <f t="shared" si="1"/>
        <v/>
      </c>
    </row>
    <row r="33" spans="1:21" x14ac:dyDescent="0.35">
      <c r="A33" s="126" t="s">
        <v>35</v>
      </c>
      <c r="B33" s="126" t="s">
        <v>869</v>
      </c>
      <c r="C33" s="126" t="s">
        <v>2</v>
      </c>
      <c r="D33" s="126" t="s">
        <v>3</v>
      </c>
      <c r="E33" s="126">
        <v>2514.6799999999998</v>
      </c>
      <c r="F33" s="126" t="s">
        <v>88</v>
      </c>
      <c r="G33" s="108">
        <v>45597</v>
      </c>
      <c r="H33" s="126" t="s">
        <v>89</v>
      </c>
      <c r="I33" s="126" t="s">
        <v>8629</v>
      </c>
      <c r="J33" s="143"/>
      <c r="K33" s="126" t="s">
        <v>8501</v>
      </c>
      <c r="L33" s="126" t="s">
        <v>8630</v>
      </c>
      <c r="M33" s="126" t="s">
        <v>411</v>
      </c>
      <c r="N33" s="126"/>
      <c r="O33" s="126"/>
      <c r="Q33" s="3">
        <f t="shared" si="0"/>
        <v>2514.6799999999998</v>
      </c>
      <c r="S33" s="55" t="s">
        <v>9014</v>
      </c>
      <c r="U33" s="3" t="str">
        <f t="shared" si="1"/>
        <v/>
      </c>
    </row>
    <row r="34" spans="1:21" x14ac:dyDescent="0.35">
      <c r="A34" s="126" t="s">
        <v>0</v>
      </c>
      <c r="B34" s="126" t="s">
        <v>7674</v>
      </c>
      <c r="C34" s="126" t="s">
        <v>2</v>
      </c>
      <c r="D34" s="126" t="s">
        <v>3</v>
      </c>
      <c r="E34" s="126">
        <v>2499.59</v>
      </c>
      <c r="F34" s="126" t="s">
        <v>88</v>
      </c>
      <c r="G34" s="108">
        <v>45454</v>
      </c>
      <c r="H34" s="126" t="s">
        <v>89</v>
      </c>
      <c r="I34" s="126" t="s">
        <v>7961</v>
      </c>
      <c r="J34" s="126"/>
      <c r="K34" s="126" t="s">
        <v>7959</v>
      </c>
      <c r="L34" s="126" t="s">
        <v>7962</v>
      </c>
      <c r="M34" s="126" t="s">
        <v>399</v>
      </c>
      <c r="N34" s="126"/>
      <c r="O34" s="126"/>
      <c r="Q34" s="3">
        <f t="shared" si="0"/>
        <v>2499.59</v>
      </c>
      <c r="S34" s="55" t="s">
        <v>9013</v>
      </c>
      <c r="U34" s="3" t="str">
        <f t="shared" si="1"/>
        <v/>
      </c>
    </row>
    <row r="35" spans="1:21" x14ac:dyDescent="0.35">
      <c r="A35" s="126" t="s">
        <v>35</v>
      </c>
      <c r="B35" s="126" t="s">
        <v>740</v>
      </c>
      <c r="C35" s="126" t="s">
        <v>2</v>
      </c>
      <c r="D35" s="126" t="s">
        <v>3</v>
      </c>
      <c r="E35" s="126">
        <v>2186</v>
      </c>
      <c r="F35" s="126" t="s">
        <v>88</v>
      </c>
      <c r="G35" s="108">
        <v>45485</v>
      </c>
      <c r="H35" s="126" t="s">
        <v>89</v>
      </c>
      <c r="I35" s="126" t="s">
        <v>8143</v>
      </c>
      <c r="J35" s="143"/>
      <c r="K35" s="126" t="s">
        <v>101</v>
      </c>
      <c r="L35" s="126" t="s">
        <v>8144</v>
      </c>
      <c r="M35" s="126" t="s">
        <v>413</v>
      </c>
      <c r="N35" s="126"/>
      <c r="O35" s="126"/>
      <c r="Q35" s="3">
        <f t="shared" si="0"/>
        <v>2186</v>
      </c>
      <c r="S35" s="55" t="s">
        <v>9014</v>
      </c>
      <c r="U35" s="3" t="str">
        <f t="shared" si="1"/>
        <v/>
      </c>
    </row>
    <row r="36" spans="1:21" x14ac:dyDescent="0.35">
      <c r="A36" s="126" t="s">
        <v>35</v>
      </c>
      <c r="B36" s="126" t="s">
        <v>869</v>
      </c>
      <c r="C36" s="126" t="s">
        <v>2</v>
      </c>
      <c r="D36" s="126" t="s">
        <v>3</v>
      </c>
      <c r="E36" s="126">
        <v>2145.6</v>
      </c>
      <c r="F36" s="126" t="s">
        <v>88</v>
      </c>
      <c r="G36" s="108">
        <v>45530</v>
      </c>
      <c r="H36" s="126" t="s">
        <v>89</v>
      </c>
      <c r="I36" s="126" t="s">
        <v>8361</v>
      </c>
      <c r="J36" s="126"/>
      <c r="K36" s="126" t="s">
        <v>8362</v>
      </c>
      <c r="L36" s="126" t="s">
        <v>8363</v>
      </c>
      <c r="M36" s="126" t="s">
        <v>411</v>
      </c>
      <c r="N36" s="126"/>
      <c r="O36" s="126"/>
      <c r="Q36" s="3">
        <f t="shared" si="0"/>
        <v>2145.6</v>
      </c>
      <c r="S36" s="55" t="s">
        <v>9014</v>
      </c>
      <c r="U36" s="3" t="str">
        <f t="shared" si="1"/>
        <v/>
      </c>
    </row>
    <row r="37" spans="1:21" x14ac:dyDescent="0.35">
      <c r="A37" s="126" t="s">
        <v>35</v>
      </c>
      <c r="B37" s="126" t="s">
        <v>615</v>
      </c>
      <c r="C37" s="126" t="s">
        <v>2</v>
      </c>
      <c r="D37" s="126" t="s">
        <v>3</v>
      </c>
      <c r="E37" s="126">
        <v>1928.16</v>
      </c>
      <c r="F37" s="126" t="s">
        <v>88</v>
      </c>
      <c r="G37" s="108">
        <v>45397</v>
      </c>
      <c r="H37" s="126" t="s">
        <v>94</v>
      </c>
      <c r="I37" s="126" t="s">
        <v>7729</v>
      </c>
      <c r="K37" s="126" t="s">
        <v>7730</v>
      </c>
      <c r="L37" s="126"/>
      <c r="M37" s="126"/>
      <c r="N37" s="143"/>
      <c r="O37" s="143" t="s">
        <v>7731</v>
      </c>
      <c r="Q37" s="3">
        <f t="shared" si="0"/>
        <v>1928.16</v>
      </c>
      <c r="S37" s="55" t="s">
        <v>9014</v>
      </c>
      <c r="U37" s="3" t="str">
        <f t="shared" si="1"/>
        <v/>
      </c>
    </row>
    <row r="38" spans="1:21" x14ac:dyDescent="0.35">
      <c r="A38" s="126" t="s">
        <v>0</v>
      </c>
      <c r="B38" s="126" t="s">
        <v>614</v>
      </c>
      <c r="C38" s="126" t="s">
        <v>2</v>
      </c>
      <c r="D38" s="126" t="s">
        <v>3</v>
      </c>
      <c r="E38" s="126">
        <v>1893.48</v>
      </c>
      <c r="F38" s="126" t="s">
        <v>88</v>
      </c>
      <c r="G38" s="108">
        <v>45551</v>
      </c>
      <c r="H38" s="126" t="s">
        <v>89</v>
      </c>
      <c r="I38" s="126" t="s">
        <v>8431</v>
      </c>
      <c r="J38" s="126"/>
      <c r="K38" s="126" t="s">
        <v>8432</v>
      </c>
      <c r="L38" s="126" t="s">
        <v>8433</v>
      </c>
      <c r="M38" s="126" t="s">
        <v>399</v>
      </c>
      <c r="N38" s="126"/>
      <c r="O38" s="126"/>
      <c r="Q38" s="3">
        <f t="shared" si="0"/>
        <v>1893.48</v>
      </c>
      <c r="S38" s="55" t="s">
        <v>9013</v>
      </c>
      <c r="U38" s="3" t="str">
        <f t="shared" si="1"/>
        <v/>
      </c>
    </row>
    <row r="39" spans="1:21" x14ac:dyDescent="0.35">
      <c r="A39" s="126" t="s">
        <v>0</v>
      </c>
      <c r="B39" s="126" t="s">
        <v>5393</v>
      </c>
      <c r="C39" s="126" t="s">
        <v>2</v>
      </c>
      <c r="D39" s="126" t="s">
        <v>3</v>
      </c>
      <c r="E39" s="126">
        <v>1884.77</v>
      </c>
      <c r="F39" s="126" t="s">
        <v>88</v>
      </c>
      <c r="G39" s="108">
        <v>45391</v>
      </c>
      <c r="H39" s="126" t="s">
        <v>89</v>
      </c>
      <c r="I39" s="126" t="s">
        <v>7691</v>
      </c>
      <c r="J39" s="126"/>
      <c r="K39" s="126" t="s">
        <v>7672</v>
      </c>
      <c r="L39" s="126" t="s">
        <v>7692</v>
      </c>
      <c r="M39" s="126" t="s">
        <v>399</v>
      </c>
      <c r="N39" s="35"/>
      <c r="O39" s="35"/>
      <c r="Q39" s="3">
        <f t="shared" si="0"/>
        <v>1884.77</v>
      </c>
      <c r="S39" s="55" t="s">
        <v>9013</v>
      </c>
      <c r="U39" s="3" t="str">
        <f t="shared" si="1"/>
        <v/>
      </c>
    </row>
    <row r="40" spans="1:21" x14ac:dyDescent="0.35">
      <c r="A40" s="126" t="s">
        <v>0</v>
      </c>
      <c r="B40" s="126" t="s">
        <v>5393</v>
      </c>
      <c r="C40" s="126" t="s">
        <v>2</v>
      </c>
      <c r="D40" s="126" t="s">
        <v>3</v>
      </c>
      <c r="E40" s="126">
        <v>1854.83</v>
      </c>
      <c r="F40" s="126" t="s">
        <v>88</v>
      </c>
      <c r="G40" s="108">
        <v>45551</v>
      </c>
      <c r="H40" s="126" t="s">
        <v>89</v>
      </c>
      <c r="I40" s="126" t="s">
        <v>8431</v>
      </c>
      <c r="J40" s="126"/>
      <c r="K40" s="126" t="s">
        <v>8432</v>
      </c>
      <c r="L40" s="126" t="s">
        <v>8433</v>
      </c>
      <c r="M40" s="126" t="s">
        <v>399</v>
      </c>
      <c r="N40" s="143"/>
      <c r="O40" s="143"/>
      <c r="Q40" s="3">
        <f t="shared" si="0"/>
        <v>1854.83</v>
      </c>
      <c r="S40" s="55" t="s">
        <v>9013</v>
      </c>
      <c r="U40" s="3" t="str">
        <f t="shared" si="1"/>
        <v/>
      </c>
    </row>
    <row r="41" spans="1:21" x14ac:dyDescent="0.35">
      <c r="A41" s="126" t="s">
        <v>0</v>
      </c>
      <c r="B41" s="126" t="s">
        <v>5393</v>
      </c>
      <c r="C41" s="126" t="s">
        <v>2</v>
      </c>
      <c r="D41" s="126" t="s">
        <v>3</v>
      </c>
      <c r="E41" s="126">
        <v>1833.55</v>
      </c>
      <c r="F41" s="126" t="s">
        <v>88</v>
      </c>
      <c r="G41" s="108">
        <v>45635</v>
      </c>
      <c r="H41" s="126" t="s">
        <v>89</v>
      </c>
      <c r="I41" s="126" t="s">
        <v>8878</v>
      </c>
      <c r="J41" s="126"/>
      <c r="K41" s="126" t="s">
        <v>8879</v>
      </c>
      <c r="L41" s="126" t="s">
        <v>8880</v>
      </c>
      <c r="M41" s="126" t="s">
        <v>399</v>
      </c>
      <c r="Q41" s="3">
        <f t="shared" si="0"/>
        <v>1833.55</v>
      </c>
      <c r="S41" s="55" t="s">
        <v>9013</v>
      </c>
      <c r="U41" s="3" t="str">
        <f t="shared" si="1"/>
        <v/>
      </c>
    </row>
    <row r="42" spans="1:21" x14ac:dyDescent="0.35">
      <c r="A42" s="126" t="s">
        <v>0</v>
      </c>
      <c r="B42" s="126" t="s">
        <v>5393</v>
      </c>
      <c r="C42" s="126" t="s">
        <v>2</v>
      </c>
      <c r="D42" s="126" t="s">
        <v>3</v>
      </c>
      <c r="E42" s="126">
        <v>1828.45</v>
      </c>
      <c r="F42" s="126" t="s">
        <v>88</v>
      </c>
      <c r="G42" s="108">
        <v>45517</v>
      </c>
      <c r="H42" s="126" t="s">
        <v>89</v>
      </c>
      <c r="I42" s="126" t="s">
        <v>8320</v>
      </c>
      <c r="J42" s="126"/>
      <c r="K42" s="126" t="s">
        <v>8321</v>
      </c>
      <c r="L42" s="126" t="s">
        <v>8322</v>
      </c>
      <c r="M42" s="126" t="s">
        <v>399</v>
      </c>
      <c r="Q42" s="3">
        <f t="shared" si="0"/>
        <v>1828.45</v>
      </c>
      <c r="S42" s="55" t="s">
        <v>9013</v>
      </c>
      <c r="U42" s="3" t="str">
        <f t="shared" si="1"/>
        <v/>
      </c>
    </row>
    <row r="43" spans="1:21" x14ac:dyDescent="0.35">
      <c r="A43" s="126" t="s">
        <v>0</v>
      </c>
      <c r="B43" s="126" t="s">
        <v>5393</v>
      </c>
      <c r="C43" s="126" t="s">
        <v>2</v>
      </c>
      <c r="D43" s="126" t="s">
        <v>3</v>
      </c>
      <c r="E43" s="126">
        <v>1819.16</v>
      </c>
      <c r="F43" s="126" t="s">
        <v>88</v>
      </c>
      <c r="G43" s="108">
        <v>45485</v>
      </c>
      <c r="H43" s="126" t="s">
        <v>89</v>
      </c>
      <c r="I43" s="126" t="s">
        <v>8134</v>
      </c>
      <c r="J43" s="126"/>
      <c r="K43" s="126" t="s">
        <v>8135</v>
      </c>
      <c r="L43" s="126" t="s">
        <v>8136</v>
      </c>
      <c r="M43" s="126" t="s">
        <v>399</v>
      </c>
      <c r="Q43" s="3">
        <f t="shared" si="0"/>
        <v>1819.16</v>
      </c>
      <c r="S43" s="55" t="s">
        <v>9013</v>
      </c>
      <c r="U43" s="3" t="str">
        <f t="shared" si="1"/>
        <v/>
      </c>
    </row>
    <row r="44" spans="1:21" x14ac:dyDescent="0.35">
      <c r="A44" s="126" t="s">
        <v>0</v>
      </c>
      <c r="B44" s="126" t="s">
        <v>5393</v>
      </c>
      <c r="C44" s="126" t="s">
        <v>2</v>
      </c>
      <c r="D44" s="126" t="s">
        <v>3</v>
      </c>
      <c r="E44" s="126">
        <v>1809.89</v>
      </c>
      <c r="F44" s="126" t="s">
        <v>88</v>
      </c>
      <c r="G44" s="108">
        <v>45432</v>
      </c>
      <c r="H44" s="126" t="s">
        <v>89</v>
      </c>
      <c r="I44" s="126" t="s">
        <v>7839</v>
      </c>
      <c r="J44" s="126"/>
      <c r="K44" s="126" t="s">
        <v>7840</v>
      </c>
      <c r="L44" s="126" t="s">
        <v>7841</v>
      </c>
      <c r="M44" s="126" t="s">
        <v>399</v>
      </c>
      <c r="N44" s="35"/>
      <c r="O44" s="35"/>
      <c r="Q44" s="3">
        <f t="shared" si="0"/>
        <v>1809.89</v>
      </c>
      <c r="S44" s="55" t="s">
        <v>9013</v>
      </c>
      <c r="U44" s="3" t="str">
        <f t="shared" si="1"/>
        <v/>
      </c>
    </row>
    <row r="45" spans="1:21" x14ac:dyDescent="0.35">
      <c r="A45" s="126" t="s">
        <v>0</v>
      </c>
      <c r="B45" s="126" t="s">
        <v>5393</v>
      </c>
      <c r="C45" s="126" t="s">
        <v>2</v>
      </c>
      <c r="D45" s="126" t="s">
        <v>3</v>
      </c>
      <c r="E45" s="126">
        <v>1730.63</v>
      </c>
      <c r="F45" s="126" t="s">
        <v>88</v>
      </c>
      <c r="G45" s="108">
        <v>45569</v>
      </c>
      <c r="H45" s="126" t="s">
        <v>89</v>
      </c>
      <c r="I45" s="126" t="s">
        <v>8521</v>
      </c>
      <c r="J45" s="126"/>
      <c r="K45" s="126" t="s">
        <v>8522</v>
      </c>
      <c r="L45" s="126" t="s">
        <v>8523</v>
      </c>
      <c r="M45" s="126" t="s">
        <v>399</v>
      </c>
      <c r="Q45" s="3">
        <f t="shared" si="0"/>
        <v>1730.63</v>
      </c>
      <c r="S45" s="55" t="s">
        <v>9013</v>
      </c>
      <c r="U45" s="3" t="str">
        <f t="shared" si="1"/>
        <v/>
      </c>
    </row>
    <row r="46" spans="1:21" x14ac:dyDescent="0.35">
      <c r="A46" s="126" t="s">
        <v>0</v>
      </c>
      <c r="B46" s="126" t="s">
        <v>1627</v>
      </c>
      <c r="C46" s="126" t="s">
        <v>2</v>
      </c>
      <c r="D46" s="126" t="s">
        <v>3</v>
      </c>
      <c r="E46" s="126">
        <v>1702.89</v>
      </c>
      <c r="F46" s="126" t="s">
        <v>88</v>
      </c>
      <c r="G46" s="108">
        <v>45432</v>
      </c>
      <c r="H46" s="126" t="s">
        <v>89</v>
      </c>
      <c r="I46" s="126" t="s">
        <v>7844</v>
      </c>
      <c r="J46" s="126"/>
      <c r="K46" s="126" t="s">
        <v>7845</v>
      </c>
      <c r="L46" s="126" t="s">
        <v>7846</v>
      </c>
      <c r="M46" s="126" t="s">
        <v>361</v>
      </c>
      <c r="N46" s="143"/>
      <c r="O46" s="143"/>
      <c r="Q46" s="3">
        <f t="shared" si="0"/>
        <v>1702.89</v>
      </c>
      <c r="S46" s="55" t="s">
        <v>9013</v>
      </c>
      <c r="U46" s="3" t="str">
        <f t="shared" si="1"/>
        <v/>
      </c>
    </row>
    <row r="47" spans="1:21" x14ac:dyDescent="0.35">
      <c r="A47" s="126" t="s">
        <v>0</v>
      </c>
      <c r="B47" s="126" t="s">
        <v>5393</v>
      </c>
      <c r="C47" s="126" t="s">
        <v>2</v>
      </c>
      <c r="D47" s="126" t="s">
        <v>3</v>
      </c>
      <c r="E47" s="126">
        <v>1683.25</v>
      </c>
      <c r="F47" s="126" t="s">
        <v>88</v>
      </c>
      <c r="G47" s="108">
        <v>45611</v>
      </c>
      <c r="H47" s="126" t="s">
        <v>89</v>
      </c>
      <c r="I47" s="126" t="s">
        <v>8734</v>
      </c>
      <c r="J47" s="126"/>
      <c r="K47" s="126" t="s">
        <v>8735</v>
      </c>
      <c r="L47" s="126" t="s">
        <v>8736</v>
      </c>
      <c r="M47" s="126" t="s">
        <v>399</v>
      </c>
      <c r="Q47" s="3">
        <f t="shared" si="0"/>
        <v>1683.25</v>
      </c>
      <c r="S47" s="55" t="s">
        <v>9013</v>
      </c>
      <c r="U47" s="3" t="str">
        <f t="shared" si="1"/>
        <v/>
      </c>
    </row>
    <row r="48" spans="1:21" x14ac:dyDescent="0.35">
      <c r="A48" s="126" t="s">
        <v>0</v>
      </c>
      <c r="B48" s="126" t="s">
        <v>5393</v>
      </c>
      <c r="C48" s="126" t="s">
        <v>2</v>
      </c>
      <c r="D48" s="126" t="s">
        <v>3</v>
      </c>
      <c r="E48" s="126">
        <v>1672.46</v>
      </c>
      <c r="F48" s="126" t="s">
        <v>88</v>
      </c>
      <c r="G48" s="108">
        <v>45454</v>
      </c>
      <c r="H48" s="126" t="s">
        <v>89</v>
      </c>
      <c r="I48" s="126" t="s">
        <v>7958</v>
      </c>
      <c r="J48" s="126"/>
      <c r="K48" s="126" t="s">
        <v>7959</v>
      </c>
      <c r="L48" s="126" t="s">
        <v>7960</v>
      </c>
      <c r="M48" s="126" t="s">
        <v>399</v>
      </c>
      <c r="Q48" s="3">
        <f t="shared" si="0"/>
        <v>1672.46</v>
      </c>
      <c r="S48" s="55" t="s">
        <v>9013</v>
      </c>
      <c r="U48" s="3" t="str">
        <f t="shared" si="1"/>
        <v/>
      </c>
    </row>
    <row r="49" spans="1:30" x14ac:dyDescent="0.35">
      <c r="A49" s="126" t="s">
        <v>0</v>
      </c>
      <c r="B49" s="126" t="s">
        <v>1627</v>
      </c>
      <c r="C49" s="126" t="s">
        <v>2</v>
      </c>
      <c r="D49" s="126" t="s">
        <v>3</v>
      </c>
      <c r="E49" s="126">
        <v>1663.9199999999998</v>
      </c>
      <c r="F49" s="126" t="s">
        <v>88</v>
      </c>
      <c r="G49" s="108">
        <v>45551</v>
      </c>
      <c r="H49" s="126" t="s">
        <v>89</v>
      </c>
      <c r="I49" s="126" t="s">
        <v>8431</v>
      </c>
      <c r="J49" s="126"/>
      <c r="K49" s="126" t="s">
        <v>8432</v>
      </c>
      <c r="L49" s="126" t="s">
        <v>8433</v>
      </c>
      <c r="M49" s="126" t="s">
        <v>399</v>
      </c>
      <c r="N49" s="126"/>
      <c r="O49" s="126"/>
      <c r="Q49" s="3">
        <f t="shared" si="0"/>
        <v>1663.9199999999998</v>
      </c>
      <c r="S49" s="55" t="s">
        <v>9013</v>
      </c>
      <c r="U49" s="3" t="str">
        <f t="shared" si="1"/>
        <v/>
      </c>
    </row>
    <row r="50" spans="1:30" x14ac:dyDescent="0.35">
      <c r="A50" s="126" t="s">
        <v>0</v>
      </c>
      <c r="B50" s="126" t="s">
        <v>1627</v>
      </c>
      <c r="C50" s="126" t="s">
        <v>2</v>
      </c>
      <c r="D50" s="126" t="s">
        <v>3</v>
      </c>
      <c r="E50" s="126">
        <v>1601.77</v>
      </c>
      <c r="F50" s="126" t="s">
        <v>88</v>
      </c>
      <c r="G50" s="108">
        <v>45454</v>
      </c>
      <c r="H50" s="126" t="s">
        <v>89</v>
      </c>
      <c r="I50" s="126" t="s">
        <v>7958</v>
      </c>
      <c r="J50" s="143"/>
      <c r="K50" s="126" t="s">
        <v>7959</v>
      </c>
      <c r="L50" s="126" t="s">
        <v>7960</v>
      </c>
      <c r="M50" s="126" t="s">
        <v>399</v>
      </c>
      <c r="Q50" s="3">
        <f t="shared" si="0"/>
        <v>1601.77</v>
      </c>
      <c r="S50" s="55" t="s">
        <v>9013</v>
      </c>
      <c r="U50" s="3" t="str">
        <f t="shared" si="1"/>
        <v/>
      </c>
    </row>
    <row r="51" spans="1:30" x14ac:dyDescent="0.35">
      <c r="A51" s="126" t="s">
        <v>35</v>
      </c>
      <c r="B51" s="126" t="s">
        <v>740</v>
      </c>
      <c r="C51" s="126" t="s">
        <v>2</v>
      </c>
      <c r="D51" s="126" t="s">
        <v>3</v>
      </c>
      <c r="E51" s="126">
        <v>1555</v>
      </c>
      <c r="F51" s="126" t="s">
        <v>88</v>
      </c>
      <c r="G51" s="108">
        <v>45506</v>
      </c>
      <c r="H51" s="126" t="s">
        <v>89</v>
      </c>
      <c r="I51" s="126" t="s">
        <v>8266</v>
      </c>
      <c r="J51" s="126"/>
      <c r="K51" s="126" t="s">
        <v>8267</v>
      </c>
      <c r="L51" s="126" t="s">
        <v>8268</v>
      </c>
      <c r="M51" s="126" t="s">
        <v>411</v>
      </c>
      <c r="N51" s="143"/>
      <c r="O51" s="143"/>
      <c r="Q51" s="3">
        <f t="shared" si="0"/>
        <v>1555</v>
      </c>
      <c r="S51" s="55" t="s">
        <v>9014</v>
      </c>
      <c r="U51" s="3" t="str">
        <f t="shared" si="1"/>
        <v/>
      </c>
    </row>
    <row r="52" spans="1:30" x14ac:dyDescent="0.35">
      <c r="A52" s="126" t="s">
        <v>35</v>
      </c>
      <c r="B52" s="126" t="s">
        <v>740</v>
      </c>
      <c r="C52" s="126" t="s">
        <v>2</v>
      </c>
      <c r="D52" s="126" t="s">
        <v>3</v>
      </c>
      <c r="E52" s="126">
        <v>1467.1200000000001</v>
      </c>
      <c r="F52" s="126" t="s">
        <v>88</v>
      </c>
      <c r="G52" s="108">
        <v>45636</v>
      </c>
      <c r="H52" s="126" t="s">
        <v>94</v>
      </c>
      <c r="I52" s="126" t="s">
        <v>426</v>
      </c>
      <c r="K52" s="126" t="s">
        <v>8679</v>
      </c>
      <c r="L52" s="126"/>
      <c r="M52" s="126"/>
      <c r="N52" s="126"/>
      <c r="O52" s="126" t="s">
        <v>541</v>
      </c>
      <c r="Q52" s="3">
        <f t="shared" si="0"/>
        <v>1467.1200000000001</v>
      </c>
      <c r="S52" s="55" t="s">
        <v>9014</v>
      </c>
      <c r="U52" s="3" t="str">
        <f t="shared" si="1"/>
        <v/>
      </c>
    </row>
    <row r="53" spans="1:30" x14ac:dyDescent="0.35">
      <c r="A53" s="126" t="s">
        <v>0</v>
      </c>
      <c r="B53" s="126" t="s">
        <v>1627</v>
      </c>
      <c r="C53" s="126" t="s">
        <v>2</v>
      </c>
      <c r="D53" s="126" t="s">
        <v>3</v>
      </c>
      <c r="E53" s="126">
        <v>1449.8100000000002</v>
      </c>
      <c r="F53" s="126" t="s">
        <v>88</v>
      </c>
      <c r="G53" s="108">
        <v>45517</v>
      </c>
      <c r="H53" s="126" t="s">
        <v>89</v>
      </c>
      <c r="I53" s="126" t="s">
        <v>8320</v>
      </c>
      <c r="J53" s="126"/>
      <c r="K53" s="126" t="s">
        <v>8321</v>
      </c>
      <c r="L53" s="126" t="s">
        <v>8322</v>
      </c>
      <c r="M53" s="126" t="s">
        <v>399</v>
      </c>
      <c r="Q53" s="3">
        <f t="shared" si="0"/>
        <v>1449.8100000000002</v>
      </c>
      <c r="S53" s="55" t="s">
        <v>9013</v>
      </c>
      <c r="U53" s="3" t="str">
        <f t="shared" si="1"/>
        <v/>
      </c>
    </row>
    <row r="54" spans="1:30" x14ac:dyDescent="0.35">
      <c r="A54" s="126" t="s">
        <v>0</v>
      </c>
      <c r="B54" s="126" t="s">
        <v>1627</v>
      </c>
      <c r="C54" s="126" t="s">
        <v>2</v>
      </c>
      <c r="D54" s="126" t="s">
        <v>3</v>
      </c>
      <c r="E54" s="126">
        <v>1440.45</v>
      </c>
      <c r="F54" s="126" t="s">
        <v>88</v>
      </c>
      <c r="G54" s="108">
        <v>45397</v>
      </c>
      <c r="H54" s="126" t="s">
        <v>89</v>
      </c>
      <c r="I54" s="126" t="s">
        <v>7714</v>
      </c>
      <c r="J54" s="126"/>
      <c r="K54" s="126" t="s">
        <v>7715</v>
      </c>
      <c r="L54" s="126" t="s">
        <v>7716</v>
      </c>
      <c r="M54" s="126" t="s">
        <v>361</v>
      </c>
      <c r="N54" s="126"/>
      <c r="O54" s="126"/>
      <c r="Q54" s="3">
        <f t="shared" si="0"/>
        <v>1440.45</v>
      </c>
      <c r="S54" s="55" t="s">
        <v>9013</v>
      </c>
      <c r="U54" s="3" t="str">
        <f t="shared" si="1"/>
        <v/>
      </c>
    </row>
    <row r="55" spans="1:30" x14ac:dyDescent="0.35">
      <c r="A55" s="126" t="s">
        <v>0</v>
      </c>
      <c r="B55" s="126" t="s">
        <v>1627</v>
      </c>
      <c r="C55" s="126" t="s">
        <v>2</v>
      </c>
      <c r="D55" s="126" t="s">
        <v>3</v>
      </c>
      <c r="E55" s="126">
        <v>1429.84</v>
      </c>
      <c r="F55" s="126" t="s">
        <v>88</v>
      </c>
      <c r="G55" s="108">
        <v>45475</v>
      </c>
      <c r="H55" s="126" t="s">
        <v>89</v>
      </c>
      <c r="I55" s="126" t="s">
        <v>8083</v>
      </c>
      <c r="J55" s="126"/>
      <c r="K55" s="126" t="s">
        <v>8084</v>
      </c>
      <c r="L55" s="126" t="s">
        <v>8085</v>
      </c>
      <c r="M55" s="126" t="s">
        <v>361</v>
      </c>
      <c r="N55" s="143"/>
      <c r="O55" s="143"/>
      <c r="Q55" s="3">
        <f t="shared" si="0"/>
        <v>1429.84</v>
      </c>
      <c r="S55" s="55" t="s">
        <v>9013</v>
      </c>
      <c r="U55" s="3" t="str">
        <f t="shared" si="1"/>
        <v/>
      </c>
    </row>
    <row r="56" spans="1:30" x14ac:dyDescent="0.35">
      <c r="A56" s="126" t="s">
        <v>35</v>
      </c>
      <c r="B56" s="126" t="s">
        <v>740</v>
      </c>
      <c r="C56" s="126" t="s">
        <v>2</v>
      </c>
      <c r="D56" s="126" t="s">
        <v>3</v>
      </c>
      <c r="E56" s="126">
        <v>1404</v>
      </c>
      <c r="F56" s="126" t="s">
        <v>88</v>
      </c>
      <c r="G56" s="108">
        <v>45454</v>
      </c>
      <c r="H56" s="126" t="s">
        <v>89</v>
      </c>
      <c r="I56" s="126" t="s">
        <v>7963</v>
      </c>
      <c r="J56" s="126"/>
      <c r="K56" s="126" t="s">
        <v>7967</v>
      </c>
      <c r="L56" s="126" t="s">
        <v>7965</v>
      </c>
      <c r="M56" s="126" t="s">
        <v>7966</v>
      </c>
      <c r="N56" s="143"/>
      <c r="O56" s="143"/>
      <c r="Q56" s="3">
        <f t="shared" si="0"/>
        <v>1404</v>
      </c>
      <c r="S56" s="55" t="s">
        <v>9014</v>
      </c>
      <c r="U56" s="3" t="str">
        <f t="shared" si="1"/>
        <v/>
      </c>
    </row>
    <row r="57" spans="1:30" x14ac:dyDescent="0.35">
      <c r="A57" s="126" t="s">
        <v>0</v>
      </c>
      <c r="B57" s="126" t="s">
        <v>1627</v>
      </c>
      <c r="C57" s="126" t="s">
        <v>2</v>
      </c>
      <c r="D57" s="126" t="s">
        <v>3</v>
      </c>
      <c r="E57" s="126">
        <v>1375.96</v>
      </c>
      <c r="F57" s="126" t="s">
        <v>88</v>
      </c>
      <c r="G57" s="108">
        <v>45485</v>
      </c>
      <c r="H57" s="126" t="s">
        <v>89</v>
      </c>
      <c r="I57" s="126" t="s">
        <v>8134</v>
      </c>
      <c r="J57" s="126"/>
      <c r="K57" s="126" t="s">
        <v>8135</v>
      </c>
      <c r="L57" s="126" t="s">
        <v>8136</v>
      </c>
      <c r="M57" s="126" t="s">
        <v>399</v>
      </c>
      <c r="Q57" s="3">
        <f t="shared" si="0"/>
        <v>1375.96</v>
      </c>
      <c r="S57" s="55" t="s">
        <v>9013</v>
      </c>
      <c r="U57" s="3" t="str">
        <f t="shared" si="1"/>
        <v/>
      </c>
    </row>
    <row r="58" spans="1:30" x14ac:dyDescent="0.35">
      <c r="A58" s="126" t="s">
        <v>0</v>
      </c>
      <c r="B58" s="126" t="s">
        <v>1627</v>
      </c>
      <c r="C58" s="126" t="s">
        <v>2</v>
      </c>
      <c r="D58" s="126" t="s">
        <v>3</v>
      </c>
      <c r="E58" s="126">
        <v>1315.95</v>
      </c>
      <c r="F58" s="126" t="s">
        <v>88</v>
      </c>
      <c r="G58" s="108">
        <v>45391</v>
      </c>
      <c r="H58" s="126" t="s">
        <v>89</v>
      </c>
      <c r="I58" s="126" t="s">
        <v>7691</v>
      </c>
      <c r="J58" s="143"/>
      <c r="K58" s="126" t="s">
        <v>7672</v>
      </c>
      <c r="L58" s="126" t="s">
        <v>7692</v>
      </c>
      <c r="M58" s="126" t="s">
        <v>399</v>
      </c>
      <c r="N58" s="35"/>
      <c r="O58" s="35"/>
      <c r="Q58" s="3">
        <f t="shared" si="0"/>
        <v>1315.95</v>
      </c>
      <c r="S58" s="55" t="s">
        <v>9013</v>
      </c>
      <c r="U58" s="3" t="str">
        <f t="shared" si="1"/>
        <v/>
      </c>
    </row>
    <row r="59" spans="1:30" x14ac:dyDescent="0.35">
      <c r="A59" s="126" t="s">
        <v>0</v>
      </c>
      <c r="B59" s="126" t="s">
        <v>2473</v>
      </c>
      <c r="C59" s="126" t="s">
        <v>2</v>
      </c>
      <c r="D59" s="126" t="s">
        <v>3</v>
      </c>
      <c r="E59" s="126">
        <v>1247.1300000000001</v>
      </c>
      <c r="F59" s="126" t="s">
        <v>88</v>
      </c>
      <c r="G59" s="108">
        <v>45569</v>
      </c>
      <c r="H59" s="126" t="s">
        <v>89</v>
      </c>
      <c r="I59" s="126" t="s">
        <v>8521</v>
      </c>
      <c r="J59" s="126"/>
      <c r="K59" s="126" t="s">
        <v>8522</v>
      </c>
      <c r="L59" s="126" t="s">
        <v>8523</v>
      </c>
      <c r="M59" s="126" t="s">
        <v>399</v>
      </c>
      <c r="Q59" s="3">
        <f t="shared" si="0"/>
        <v>1247.1300000000001</v>
      </c>
      <c r="S59" s="55" t="s">
        <v>9013</v>
      </c>
      <c r="U59" s="3" t="str">
        <f t="shared" si="1"/>
        <v/>
      </c>
    </row>
    <row r="60" spans="1:30" x14ac:dyDescent="0.35">
      <c r="A60" s="126" t="s">
        <v>35</v>
      </c>
      <c r="B60" s="126" t="s">
        <v>6387</v>
      </c>
      <c r="C60" s="126" t="s">
        <v>2</v>
      </c>
      <c r="D60" s="126" t="s">
        <v>3</v>
      </c>
      <c r="E60" s="126">
        <v>1246.9099999999999</v>
      </c>
      <c r="F60" s="126" t="s">
        <v>88</v>
      </c>
      <c r="G60" s="108">
        <v>45474</v>
      </c>
      <c r="H60" s="126" t="s">
        <v>94</v>
      </c>
      <c r="I60" s="126" t="s">
        <v>8078</v>
      </c>
      <c r="K60" s="126" t="s">
        <v>8076</v>
      </c>
      <c r="L60" s="126"/>
      <c r="M60" s="126"/>
      <c r="N60" s="143"/>
      <c r="O60" s="143" t="s">
        <v>8079</v>
      </c>
      <c r="Q60" s="3">
        <f t="shared" si="0"/>
        <v>1246.9099999999999</v>
      </c>
      <c r="S60" s="55" t="s">
        <v>2314</v>
      </c>
      <c r="U60" s="3" t="str">
        <f t="shared" si="1"/>
        <v/>
      </c>
      <c r="AD60">
        <f>E60</f>
        <v>1246.9099999999999</v>
      </c>
    </row>
    <row r="61" spans="1:30" x14ac:dyDescent="0.35">
      <c r="A61" s="126" t="s">
        <v>0</v>
      </c>
      <c r="B61" s="126" t="s">
        <v>633</v>
      </c>
      <c r="C61" s="126" t="s">
        <v>2</v>
      </c>
      <c r="D61" s="126" t="s">
        <v>3</v>
      </c>
      <c r="E61" s="126">
        <v>1177.05</v>
      </c>
      <c r="F61" s="126" t="s">
        <v>88</v>
      </c>
      <c r="G61" s="108">
        <v>45611</v>
      </c>
      <c r="H61" s="126" t="s">
        <v>89</v>
      </c>
      <c r="I61" s="126" t="s">
        <v>8737</v>
      </c>
      <c r="J61" s="126"/>
      <c r="K61" s="126" t="s">
        <v>8522</v>
      </c>
      <c r="L61" s="126" t="s">
        <v>8738</v>
      </c>
      <c r="M61" s="126" t="s">
        <v>399</v>
      </c>
      <c r="Q61" s="3">
        <f t="shared" si="0"/>
        <v>1177.05</v>
      </c>
      <c r="S61" s="55" t="s">
        <v>9013</v>
      </c>
      <c r="U61" s="3" t="str">
        <f t="shared" si="1"/>
        <v/>
      </c>
    </row>
    <row r="62" spans="1:30" x14ac:dyDescent="0.35">
      <c r="A62" s="126" t="s">
        <v>0</v>
      </c>
      <c r="B62" s="126" t="s">
        <v>2728</v>
      </c>
      <c r="C62" s="126" t="s">
        <v>2</v>
      </c>
      <c r="D62" s="126" t="s">
        <v>3</v>
      </c>
      <c r="E62" s="126">
        <v>1109.74</v>
      </c>
      <c r="F62" s="126" t="s">
        <v>88</v>
      </c>
      <c r="G62" s="108">
        <v>45569</v>
      </c>
      <c r="H62" s="126" t="s">
        <v>89</v>
      </c>
      <c r="I62" s="126" t="s">
        <v>8524</v>
      </c>
      <c r="J62" s="143"/>
      <c r="K62" s="126" t="s">
        <v>8525</v>
      </c>
      <c r="L62" s="126" t="s">
        <v>8526</v>
      </c>
      <c r="M62" s="126" t="s">
        <v>399</v>
      </c>
      <c r="Q62" s="3">
        <f t="shared" si="0"/>
        <v>1109.74</v>
      </c>
      <c r="S62" s="55" t="s">
        <v>9013</v>
      </c>
      <c r="U62" s="3" t="str">
        <f t="shared" si="1"/>
        <v/>
      </c>
    </row>
    <row r="63" spans="1:30" x14ac:dyDescent="0.35">
      <c r="A63" s="126" t="s">
        <v>35</v>
      </c>
      <c r="B63" s="126" t="s">
        <v>740</v>
      </c>
      <c r="C63" s="126" t="s">
        <v>2</v>
      </c>
      <c r="D63" s="126" t="s">
        <v>3</v>
      </c>
      <c r="E63" s="126">
        <v>1107.9000000000001</v>
      </c>
      <c r="F63" s="126" t="s">
        <v>88</v>
      </c>
      <c r="G63" s="108">
        <v>45485</v>
      </c>
      <c r="H63" s="126" t="s">
        <v>89</v>
      </c>
      <c r="I63" s="126" t="s">
        <v>8141</v>
      </c>
      <c r="J63" s="143"/>
      <c r="K63" s="126" t="s">
        <v>101</v>
      </c>
      <c r="L63" s="126" t="s">
        <v>8142</v>
      </c>
      <c r="M63" s="126" t="s">
        <v>411</v>
      </c>
      <c r="N63" s="126"/>
      <c r="O63" s="126"/>
      <c r="Q63" s="3">
        <f t="shared" si="0"/>
        <v>1107.9000000000001</v>
      </c>
      <c r="S63" s="55" t="s">
        <v>9014</v>
      </c>
      <c r="U63" s="3" t="str">
        <f t="shared" si="1"/>
        <v/>
      </c>
    </row>
    <row r="64" spans="1:30" x14ac:dyDescent="0.35">
      <c r="A64" s="126" t="s">
        <v>35</v>
      </c>
      <c r="B64" s="126" t="s">
        <v>615</v>
      </c>
      <c r="C64" s="126" t="s">
        <v>2</v>
      </c>
      <c r="D64" s="126" t="s">
        <v>3</v>
      </c>
      <c r="E64" s="126">
        <v>1094.18</v>
      </c>
      <c r="F64" s="126" t="s">
        <v>88</v>
      </c>
      <c r="G64" s="108">
        <v>45434</v>
      </c>
      <c r="H64" s="126" t="s">
        <v>94</v>
      </c>
      <c r="I64" s="126" t="s">
        <v>7876</v>
      </c>
      <c r="K64" s="126" t="s">
        <v>7877</v>
      </c>
      <c r="L64" s="126"/>
      <c r="M64" s="126"/>
      <c r="N64" s="126"/>
      <c r="O64" s="126" t="s">
        <v>7878</v>
      </c>
      <c r="Q64" s="3">
        <f t="shared" si="0"/>
        <v>1094.18</v>
      </c>
      <c r="S64" s="55" t="s">
        <v>2390</v>
      </c>
      <c r="U64" s="3" t="str">
        <f t="shared" si="1"/>
        <v/>
      </c>
    </row>
    <row r="65" spans="1:30" x14ac:dyDescent="0.35">
      <c r="A65" s="126" t="s">
        <v>35</v>
      </c>
      <c r="B65" s="126" t="s">
        <v>740</v>
      </c>
      <c r="C65" s="126" t="s">
        <v>2</v>
      </c>
      <c r="D65" s="126" t="s">
        <v>3</v>
      </c>
      <c r="E65" s="126">
        <v>1090.9100000000001</v>
      </c>
      <c r="F65" s="126" t="s">
        <v>88</v>
      </c>
      <c r="G65" s="108">
        <v>45602</v>
      </c>
      <c r="H65" s="126" t="s">
        <v>94</v>
      </c>
      <c r="I65" s="126" t="s">
        <v>7857</v>
      </c>
      <c r="K65" s="126" t="s">
        <v>8686</v>
      </c>
      <c r="L65" s="126"/>
      <c r="M65" s="126"/>
      <c r="N65" s="143"/>
      <c r="O65" s="143" t="s">
        <v>7859</v>
      </c>
      <c r="Q65" s="3">
        <f t="shared" si="0"/>
        <v>1090.9100000000001</v>
      </c>
      <c r="S65" s="55" t="s">
        <v>2314</v>
      </c>
      <c r="U65" s="3" t="str">
        <f t="shared" si="1"/>
        <v/>
      </c>
      <c r="AD65">
        <f>E65</f>
        <v>1090.9100000000001</v>
      </c>
    </row>
    <row r="66" spans="1:30" x14ac:dyDescent="0.35">
      <c r="A66" s="126" t="s">
        <v>35</v>
      </c>
      <c r="B66" s="126" t="s">
        <v>740</v>
      </c>
      <c r="C66" s="126" t="s">
        <v>2</v>
      </c>
      <c r="D66" s="126" t="s">
        <v>3</v>
      </c>
      <c r="E66" s="126">
        <v>1088.4000000000001</v>
      </c>
      <c r="F66" s="126" t="s">
        <v>88</v>
      </c>
      <c r="G66" s="108">
        <v>45454</v>
      </c>
      <c r="H66" s="126" t="s">
        <v>89</v>
      </c>
      <c r="I66" s="126" t="s">
        <v>7973</v>
      </c>
      <c r="J66" s="126"/>
      <c r="K66" s="126" t="s">
        <v>101</v>
      </c>
      <c r="L66" s="126" t="s">
        <v>7974</v>
      </c>
      <c r="M66" s="126" t="s">
        <v>7975</v>
      </c>
      <c r="N66" s="126"/>
      <c r="O66" s="126"/>
      <c r="Q66" s="3">
        <f t="shared" si="0"/>
        <v>1088.4000000000001</v>
      </c>
      <c r="S66" s="55" t="s">
        <v>9013</v>
      </c>
      <c r="U66" s="3" t="str">
        <f t="shared" si="1"/>
        <v/>
      </c>
    </row>
    <row r="67" spans="1:30" x14ac:dyDescent="0.35">
      <c r="A67" s="126" t="s">
        <v>0</v>
      </c>
      <c r="B67" s="126" t="s">
        <v>615</v>
      </c>
      <c r="C67" s="126" t="s">
        <v>2</v>
      </c>
      <c r="D67" s="126" t="s">
        <v>3</v>
      </c>
      <c r="E67" s="126">
        <v>1085.2</v>
      </c>
      <c r="F67" s="126" t="s">
        <v>88</v>
      </c>
      <c r="G67" s="108">
        <v>45432</v>
      </c>
      <c r="H67" s="126" t="s">
        <v>89</v>
      </c>
      <c r="I67" s="126" t="s">
        <v>7842</v>
      </c>
      <c r="J67" s="143"/>
      <c r="K67" s="126" t="s">
        <v>7840</v>
      </c>
      <c r="L67" s="126" t="s">
        <v>7843</v>
      </c>
      <c r="M67" s="126" t="s">
        <v>399</v>
      </c>
      <c r="Q67" s="3">
        <f t="shared" si="0"/>
        <v>1085.2</v>
      </c>
      <c r="S67" s="55" t="s">
        <v>9013</v>
      </c>
      <c r="U67" s="3" t="str">
        <f t="shared" si="1"/>
        <v/>
      </c>
    </row>
    <row r="68" spans="1:30" x14ac:dyDescent="0.35">
      <c r="A68" s="126" t="s">
        <v>0</v>
      </c>
      <c r="B68" s="126" t="s">
        <v>789</v>
      </c>
      <c r="C68" s="126" t="s">
        <v>2</v>
      </c>
      <c r="D68" s="126" t="s">
        <v>3</v>
      </c>
      <c r="E68" s="126">
        <v>1035</v>
      </c>
      <c r="F68" s="126" t="s">
        <v>88</v>
      </c>
      <c r="G68" s="108">
        <v>45390</v>
      </c>
      <c r="H68" s="126" t="s">
        <v>89</v>
      </c>
      <c r="I68" s="126" t="s">
        <v>7667</v>
      </c>
      <c r="J68" s="143"/>
      <c r="K68" s="126" t="s">
        <v>7668</v>
      </c>
      <c r="L68" s="126" t="s">
        <v>7669</v>
      </c>
      <c r="M68" s="126" t="s">
        <v>7670</v>
      </c>
      <c r="N68" s="126"/>
      <c r="O68" s="126"/>
      <c r="Q68" s="3">
        <f t="shared" si="0"/>
        <v>1035</v>
      </c>
      <c r="S68" s="55" t="s">
        <v>9013</v>
      </c>
      <c r="U68" s="3" t="str">
        <f t="shared" si="1"/>
        <v/>
      </c>
    </row>
    <row r="69" spans="1:30" x14ac:dyDescent="0.35">
      <c r="A69" s="126" t="s">
        <v>35</v>
      </c>
      <c r="B69" s="126" t="s">
        <v>664</v>
      </c>
      <c r="C69" s="126" t="s">
        <v>2</v>
      </c>
      <c r="D69" s="126" t="s">
        <v>3</v>
      </c>
      <c r="E69" s="126">
        <v>1000</v>
      </c>
      <c r="F69" s="126" t="s">
        <v>88</v>
      </c>
      <c r="G69" s="108">
        <v>45488</v>
      </c>
      <c r="H69" s="126" t="s">
        <v>94</v>
      </c>
      <c r="I69" s="126" t="s">
        <v>8162</v>
      </c>
      <c r="K69" s="126" t="s">
        <v>8163</v>
      </c>
      <c r="L69" s="126"/>
      <c r="M69" s="126"/>
      <c r="N69" s="143"/>
      <c r="O69" s="143" t="s">
        <v>8164</v>
      </c>
      <c r="Q69" s="3">
        <f t="shared" si="0"/>
        <v>1000</v>
      </c>
      <c r="S69" s="55" t="s">
        <v>53</v>
      </c>
      <c r="T69" t="s">
        <v>64</v>
      </c>
      <c r="U69" s="3">
        <f t="shared" si="1"/>
        <v>1000</v>
      </c>
    </row>
    <row r="70" spans="1:30" x14ac:dyDescent="0.35">
      <c r="A70" s="126" t="s">
        <v>35</v>
      </c>
      <c r="B70" s="126" t="s">
        <v>740</v>
      </c>
      <c r="C70" s="126" t="s">
        <v>2</v>
      </c>
      <c r="D70" s="126" t="s">
        <v>3</v>
      </c>
      <c r="E70" s="126">
        <v>987.79</v>
      </c>
      <c r="F70" s="126" t="s">
        <v>88</v>
      </c>
      <c r="G70" s="108">
        <v>45602</v>
      </c>
      <c r="H70" s="126" t="s">
        <v>94</v>
      </c>
      <c r="I70" s="126" t="s">
        <v>426</v>
      </c>
      <c r="K70" s="126" t="s">
        <v>8679</v>
      </c>
      <c r="L70" s="126"/>
      <c r="M70" s="126"/>
      <c r="N70" s="126"/>
      <c r="O70" s="126" t="s">
        <v>541</v>
      </c>
      <c r="Q70" s="3">
        <f t="shared" si="0"/>
        <v>987.79</v>
      </c>
      <c r="S70" s="55" t="s">
        <v>9014</v>
      </c>
      <c r="U70" s="3" t="str">
        <f t="shared" si="1"/>
        <v/>
      </c>
    </row>
    <row r="71" spans="1:30" x14ac:dyDescent="0.35">
      <c r="A71" s="126" t="s">
        <v>0</v>
      </c>
      <c r="B71" s="126" t="s">
        <v>756</v>
      </c>
      <c r="C71" s="126" t="s">
        <v>2</v>
      </c>
      <c r="D71" s="126" t="s">
        <v>3</v>
      </c>
      <c r="E71" s="126">
        <v>977.57</v>
      </c>
      <c r="F71" s="126" t="s">
        <v>88</v>
      </c>
      <c r="G71" s="108">
        <v>45569</v>
      </c>
      <c r="H71" s="126" t="s">
        <v>89</v>
      </c>
      <c r="I71" s="126" t="s">
        <v>8521</v>
      </c>
      <c r="J71" s="143"/>
      <c r="K71" s="126" t="s">
        <v>8522</v>
      </c>
      <c r="L71" s="126" t="s">
        <v>8523</v>
      </c>
      <c r="M71" s="126" t="s">
        <v>399</v>
      </c>
      <c r="Q71" s="3">
        <f t="shared" si="0"/>
        <v>977.57</v>
      </c>
      <c r="S71" s="55" t="s">
        <v>9013</v>
      </c>
      <c r="U71" s="3" t="str">
        <f t="shared" si="1"/>
        <v/>
      </c>
    </row>
    <row r="72" spans="1:30" x14ac:dyDescent="0.35">
      <c r="A72" s="126" t="s">
        <v>35</v>
      </c>
      <c r="B72" s="126" t="s">
        <v>869</v>
      </c>
      <c r="C72" s="126" t="s">
        <v>2</v>
      </c>
      <c r="D72" s="126" t="s">
        <v>3</v>
      </c>
      <c r="E72" s="126">
        <v>972.33</v>
      </c>
      <c r="F72" s="126" t="s">
        <v>88</v>
      </c>
      <c r="G72" s="108">
        <v>45544</v>
      </c>
      <c r="H72" s="126" t="s">
        <v>89</v>
      </c>
      <c r="I72" s="126" t="s">
        <v>8409</v>
      </c>
      <c r="J72" s="126"/>
      <c r="K72" s="126" t="s">
        <v>8410</v>
      </c>
      <c r="L72" s="126" t="s">
        <v>8411</v>
      </c>
      <c r="M72" s="126" t="s">
        <v>7975</v>
      </c>
      <c r="N72" s="143"/>
      <c r="O72" s="143"/>
      <c r="Q72" s="3">
        <f t="shared" ref="Q72:Q135" si="2">ABS(E72)</f>
        <v>972.33</v>
      </c>
      <c r="S72" s="55" t="s">
        <v>9013</v>
      </c>
      <c r="U72" s="3" t="str">
        <f t="shared" ref="U72:U135" si="3">IF(T72="Y",E72,"")</f>
        <v/>
      </c>
    </row>
    <row r="73" spans="1:30" x14ac:dyDescent="0.35">
      <c r="A73" s="126" t="s">
        <v>35</v>
      </c>
      <c r="B73" s="126" t="s">
        <v>4622</v>
      </c>
      <c r="C73" s="126" t="s">
        <v>2</v>
      </c>
      <c r="D73" s="126" t="s">
        <v>3</v>
      </c>
      <c r="E73" s="126">
        <v>943.72</v>
      </c>
      <c r="F73" s="126" t="s">
        <v>88</v>
      </c>
      <c r="G73" s="108">
        <v>45630</v>
      </c>
      <c r="H73" s="126" t="s">
        <v>94</v>
      </c>
      <c r="I73" s="126" t="s">
        <v>425</v>
      </c>
      <c r="K73" s="126" t="s">
        <v>8847</v>
      </c>
      <c r="L73" s="126"/>
      <c r="M73" s="126"/>
      <c r="N73" s="126"/>
      <c r="O73" s="126" t="s">
        <v>8848</v>
      </c>
      <c r="Q73" s="3">
        <f t="shared" si="2"/>
        <v>943.72</v>
      </c>
      <c r="S73" s="55" t="s">
        <v>9013</v>
      </c>
      <c r="U73" s="3" t="str">
        <f t="shared" si="3"/>
        <v/>
      </c>
    </row>
    <row r="74" spans="1:30" x14ac:dyDescent="0.35">
      <c r="A74" s="126" t="s">
        <v>35</v>
      </c>
      <c r="B74" s="126" t="s">
        <v>740</v>
      </c>
      <c r="C74" s="126" t="s">
        <v>2</v>
      </c>
      <c r="D74" s="126" t="s">
        <v>3</v>
      </c>
      <c r="E74" s="126">
        <v>936</v>
      </c>
      <c r="F74" s="126" t="s">
        <v>88</v>
      </c>
      <c r="G74" s="108">
        <v>45485</v>
      </c>
      <c r="H74" s="126" t="s">
        <v>89</v>
      </c>
      <c r="I74" s="126" t="s">
        <v>8137</v>
      </c>
      <c r="J74" s="126"/>
      <c r="K74" s="126" t="s">
        <v>8138</v>
      </c>
      <c r="L74" s="126" t="s">
        <v>8139</v>
      </c>
      <c r="M74" s="126" t="s">
        <v>7966</v>
      </c>
      <c r="Q74" s="3">
        <f t="shared" si="2"/>
        <v>936</v>
      </c>
      <c r="S74" s="55" t="s">
        <v>9014</v>
      </c>
      <c r="U74" s="3" t="str">
        <f t="shared" si="3"/>
        <v/>
      </c>
    </row>
    <row r="75" spans="1:30" x14ac:dyDescent="0.35">
      <c r="A75" s="126" t="s">
        <v>0</v>
      </c>
      <c r="B75" s="126" t="s">
        <v>1995</v>
      </c>
      <c r="C75" s="126" t="s">
        <v>2</v>
      </c>
      <c r="D75" s="126" t="s">
        <v>3</v>
      </c>
      <c r="E75" s="126">
        <v>919.61</v>
      </c>
      <c r="F75" s="126" t="s">
        <v>88</v>
      </c>
      <c r="G75" s="108">
        <v>45454</v>
      </c>
      <c r="H75" s="126" t="s">
        <v>89</v>
      </c>
      <c r="I75" s="126" t="s">
        <v>7961</v>
      </c>
      <c r="J75" s="143"/>
      <c r="K75" s="126" t="s">
        <v>7959</v>
      </c>
      <c r="L75" s="126" t="s">
        <v>7962</v>
      </c>
      <c r="M75" s="126" t="s">
        <v>399</v>
      </c>
      <c r="N75" s="126"/>
      <c r="O75" s="126"/>
      <c r="Q75" s="3">
        <f t="shared" si="2"/>
        <v>919.61</v>
      </c>
      <c r="S75" s="55" t="s">
        <v>9013</v>
      </c>
      <c r="U75" s="3" t="str">
        <f t="shared" si="3"/>
        <v/>
      </c>
    </row>
    <row r="76" spans="1:30" x14ac:dyDescent="0.35">
      <c r="A76" s="126" t="s">
        <v>0</v>
      </c>
      <c r="B76" s="126" t="s">
        <v>7696</v>
      </c>
      <c r="C76" s="126" t="s">
        <v>2</v>
      </c>
      <c r="D76" s="126" t="s">
        <v>3</v>
      </c>
      <c r="E76" s="126">
        <v>904.86</v>
      </c>
      <c r="F76" s="126" t="s">
        <v>88</v>
      </c>
      <c r="G76" s="108">
        <v>45517</v>
      </c>
      <c r="H76" s="126" t="s">
        <v>89</v>
      </c>
      <c r="I76" s="126" t="s">
        <v>8320</v>
      </c>
      <c r="J76" s="143"/>
      <c r="K76" s="126" t="s">
        <v>8321</v>
      </c>
      <c r="L76" s="126" t="s">
        <v>8322</v>
      </c>
      <c r="M76" s="126" t="s">
        <v>399</v>
      </c>
      <c r="Q76" s="3">
        <f t="shared" si="2"/>
        <v>904.86</v>
      </c>
      <c r="S76" s="55" t="s">
        <v>9013</v>
      </c>
      <c r="U76" s="3" t="str">
        <f t="shared" si="3"/>
        <v/>
      </c>
    </row>
    <row r="77" spans="1:30" x14ac:dyDescent="0.35">
      <c r="A77" s="126" t="s">
        <v>35</v>
      </c>
      <c r="B77" s="126" t="s">
        <v>969</v>
      </c>
      <c r="C77" s="126" t="s">
        <v>2</v>
      </c>
      <c r="D77" s="126" t="s">
        <v>3</v>
      </c>
      <c r="E77" s="126">
        <v>902.47</v>
      </c>
      <c r="F77" s="126" t="s">
        <v>88</v>
      </c>
      <c r="G77" s="108">
        <v>45443</v>
      </c>
      <c r="H77" s="126" t="s">
        <v>94</v>
      </c>
      <c r="I77" s="126" t="s">
        <v>425</v>
      </c>
      <c r="K77" s="126" t="s">
        <v>7916</v>
      </c>
      <c r="L77" s="126"/>
      <c r="M77" s="126"/>
      <c r="N77" s="126"/>
      <c r="O77" s="126" t="s">
        <v>7318</v>
      </c>
      <c r="Q77" s="3">
        <f t="shared" si="2"/>
        <v>902.47</v>
      </c>
      <c r="S77" s="55" t="s">
        <v>9013</v>
      </c>
      <c r="U77" s="3" t="str">
        <f t="shared" si="3"/>
        <v/>
      </c>
    </row>
    <row r="78" spans="1:30" x14ac:dyDescent="0.35">
      <c r="A78" s="126" t="s">
        <v>35</v>
      </c>
      <c r="B78" s="126" t="s">
        <v>740</v>
      </c>
      <c r="C78" s="126" t="s">
        <v>2</v>
      </c>
      <c r="D78" s="126" t="s">
        <v>3</v>
      </c>
      <c r="E78" s="126">
        <v>883.91000000000008</v>
      </c>
      <c r="F78" s="126" t="s">
        <v>88</v>
      </c>
      <c r="G78" s="108">
        <v>45636</v>
      </c>
      <c r="H78" s="126" t="s">
        <v>94</v>
      </c>
      <c r="I78" s="126" t="s">
        <v>426</v>
      </c>
      <c r="K78" s="126" t="s">
        <v>8679</v>
      </c>
      <c r="L78" s="126"/>
      <c r="M78" s="126"/>
      <c r="N78" s="126"/>
      <c r="O78" s="126" t="s">
        <v>7745</v>
      </c>
      <c r="Q78" s="3">
        <f t="shared" si="2"/>
        <v>883.91000000000008</v>
      </c>
      <c r="S78" s="55" t="s">
        <v>9014</v>
      </c>
      <c r="U78" s="3" t="str">
        <f t="shared" si="3"/>
        <v/>
      </c>
    </row>
    <row r="79" spans="1:30" x14ac:dyDescent="0.35">
      <c r="A79" s="126" t="s">
        <v>35</v>
      </c>
      <c r="B79" s="126" t="s">
        <v>869</v>
      </c>
      <c r="C79" s="126" t="s">
        <v>2</v>
      </c>
      <c r="D79" s="126" t="s">
        <v>3</v>
      </c>
      <c r="E79" s="126">
        <v>875.11</v>
      </c>
      <c r="F79" s="126" t="s">
        <v>88</v>
      </c>
      <c r="G79" s="108">
        <v>45621</v>
      </c>
      <c r="H79" s="126" t="s">
        <v>89</v>
      </c>
      <c r="I79" s="126" t="s">
        <v>8785</v>
      </c>
      <c r="J79" s="126"/>
      <c r="K79" s="126" t="s">
        <v>8786</v>
      </c>
      <c r="L79" s="126" t="s">
        <v>8787</v>
      </c>
      <c r="M79" s="126" t="s">
        <v>413</v>
      </c>
      <c r="N79" s="126"/>
      <c r="O79" s="126"/>
      <c r="Q79" s="3">
        <f t="shared" si="2"/>
        <v>875.11</v>
      </c>
      <c r="S79" s="55" t="s">
        <v>9015</v>
      </c>
      <c r="U79" s="3" t="str">
        <f t="shared" si="3"/>
        <v/>
      </c>
    </row>
    <row r="80" spans="1:30" x14ac:dyDescent="0.35">
      <c r="A80" s="126" t="s">
        <v>35</v>
      </c>
      <c r="B80" s="126" t="s">
        <v>740</v>
      </c>
      <c r="C80" s="126" t="s">
        <v>2</v>
      </c>
      <c r="D80" s="126" t="s">
        <v>3</v>
      </c>
      <c r="E80" s="126">
        <v>873.46</v>
      </c>
      <c r="F80" s="126" t="s">
        <v>88</v>
      </c>
      <c r="G80" s="108">
        <v>45485</v>
      </c>
      <c r="H80" s="126" t="s">
        <v>89</v>
      </c>
      <c r="I80" s="126" t="s">
        <v>8147</v>
      </c>
      <c r="J80" s="126"/>
      <c r="K80" s="126" t="s">
        <v>101</v>
      </c>
      <c r="L80" s="126" t="s">
        <v>8148</v>
      </c>
      <c r="M80" s="126" t="s">
        <v>7975</v>
      </c>
      <c r="N80" s="126"/>
      <c r="O80" s="126"/>
      <c r="Q80" s="3">
        <f t="shared" si="2"/>
        <v>873.46</v>
      </c>
      <c r="S80" s="55" t="s">
        <v>9014</v>
      </c>
      <c r="U80" s="3" t="str">
        <f t="shared" si="3"/>
        <v/>
      </c>
    </row>
    <row r="81" spans="1:21" x14ac:dyDescent="0.35">
      <c r="A81" s="126" t="s">
        <v>35</v>
      </c>
      <c r="B81" s="126" t="s">
        <v>869</v>
      </c>
      <c r="C81" s="126" t="s">
        <v>2</v>
      </c>
      <c r="D81" s="126" t="s">
        <v>3</v>
      </c>
      <c r="E81" s="126">
        <v>846.57</v>
      </c>
      <c r="F81" s="126" t="s">
        <v>88</v>
      </c>
      <c r="G81" s="108">
        <v>45383</v>
      </c>
      <c r="H81" s="126" t="s">
        <v>89</v>
      </c>
      <c r="I81" s="126" t="s">
        <v>7620</v>
      </c>
      <c r="J81" s="126"/>
      <c r="K81" s="126" t="s">
        <v>7621</v>
      </c>
      <c r="L81" s="126" t="s">
        <v>7622</v>
      </c>
      <c r="M81" s="126" t="s">
        <v>7623</v>
      </c>
      <c r="N81" s="126"/>
      <c r="O81" s="126"/>
      <c r="Q81" s="3">
        <f t="shared" si="2"/>
        <v>846.57</v>
      </c>
      <c r="S81" s="55" t="s">
        <v>9014</v>
      </c>
      <c r="U81" s="3" t="str">
        <f t="shared" si="3"/>
        <v/>
      </c>
    </row>
    <row r="82" spans="1:21" x14ac:dyDescent="0.35">
      <c r="A82" s="126" t="s">
        <v>35</v>
      </c>
      <c r="B82" s="126" t="s">
        <v>852</v>
      </c>
      <c r="C82" s="126" t="s">
        <v>2</v>
      </c>
      <c r="D82" s="126" t="s">
        <v>3</v>
      </c>
      <c r="E82" s="126">
        <v>826</v>
      </c>
      <c r="F82" s="126" t="s">
        <v>88</v>
      </c>
      <c r="G82" s="108">
        <v>45397</v>
      </c>
      <c r="H82" s="126" t="s">
        <v>89</v>
      </c>
      <c r="I82" s="126" t="s">
        <v>7722</v>
      </c>
      <c r="J82" s="143"/>
      <c r="K82" s="126" t="s">
        <v>7723</v>
      </c>
      <c r="L82" s="126" t="s">
        <v>7724</v>
      </c>
      <c r="M82" s="126" t="s">
        <v>413</v>
      </c>
      <c r="N82" s="126"/>
      <c r="O82" s="126"/>
      <c r="Q82" s="3">
        <f t="shared" si="2"/>
        <v>826</v>
      </c>
      <c r="S82" s="55" t="s">
        <v>9015</v>
      </c>
      <c r="U82" s="3" t="str">
        <f t="shared" si="3"/>
        <v/>
      </c>
    </row>
    <row r="83" spans="1:21" x14ac:dyDescent="0.35">
      <c r="A83" s="126" t="s">
        <v>35</v>
      </c>
      <c r="B83" s="126" t="s">
        <v>869</v>
      </c>
      <c r="C83" s="126" t="s">
        <v>2</v>
      </c>
      <c r="D83" s="126" t="s">
        <v>3</v>
      </c>
      <c r="E83" s="126">
        <v>780</v>
      </c>
      <c r="F83" s="126" t="s">
        <v>88</v>
      </c>
      <c r="G83" s="108">
        <v>45404</v>
      </c>
      <c r="H83" s="126" t="s">
        <v>89</v>
      </c>
      <c r="I83" s="126" t="s">
        <v>7748</v>
      </c>
      <c r="J83" s="126"/>
      <c r="K83" s="126" t="s">
        <v>412</v>
      </c>
      <c r="L83" s="126" t="s">
        <v>7749</v>
      </c>
      <c r="M83" s="126" t="s">
        <v>413</v>
      </c>
      <c r="N83" s="143"/>
      <c r="O83" s="143"/>
      <c r="Q83" s="3">
        <f t="shared" si="2"/>
        <v>780</v>
      </c>
      <c r="S83" s="55" t="s">
        <v>9015</v>
      </c>
      <c r="U83" s="3" t="str">
        <f t="shared" si="3"/>
        <v/>
      </c>
    </row>
    <row r="84" spans="1:21" x14ac:dyDescent="0.35">
      <c r="A84" s="126" t="s">
        <v>35</v>
      </c>
      <c r="B84" s="126" t="s">
        <v>740</v>
      </c>
      <c r="C84" s="126" t="s">
        <v>2</v>
      </c>
      <c r="D84" s="126" t="s">
        <v>3</v>
      </c>
      <c r="E84" s="126">
        <v>757.17</v>
      </c>
      <c r="F84" s="126" t="s">
        <v>88</v>
      </c>
      <c r="G84" s="108">
        <v>45467</v>
      </c>
      <c r="H84" s="126" t="s">
        <v>94</v>
      </c>
      <c r="I84" s="126" t="s">
        <v>426</v>
      </c>
      <c r="K84" s="126" t="s">
        <v>8061</v>
      </c>
      <c r="L84" s="126"/>
      <c r="M84" s="126"/>
      <c r="N84" s="126"/>
      <c r="O84" s="126" t="s">
        <v>541</v>
      </c>
      <c r="Q84" s="3">
        <f t="shared" si="2"/>
        <v>757.17</v>
      </c>
      <c r="S84" s="55" t="s">
        <v>9014</v>
      </c>
      <c r="U84" s="3" t="str">
        <f t="shared" si="3"/>
        <v/>
      </c>
    </row>
    <row r="85" spans="1:21" x14ac:dyDescent="0.35">
      <c r="A85" s="126" t="s">
        <v>0</v>
      </c>
      <c r="B85" s="126" t="s">
        <v>1423</v>
      </c>
      <c r="C85" s="126" t="s">
        <v>2</v>
      </c>
      <c r="D85" s="126" t="s">
        <v>3</v>
      </c>
      <c r="E85" s="126">
        <v>752.66</v>
      </c>
      <c r="F85" s="126" t="s">
        <v>88</v>
      </c>
      <c r="G85" s="108">
        <v>45454</v>
      </c>
      <c r="H85" s="126" t="s">
        <v>89</v>
      </c>
      <c r="I85" s="126" t="s">
        <v>7961</v>
      </c>
      <c r="J85" s="126"/>
      <c r="K85" s="126" t="s">
        <v>7959</v>
      </c>
      <c r="L85" s="126" t="s">
        <v>7962</v>
      </c>
      <c r="M85" s="126" t="s">
        <v>399</v>
      </c>
      <c r="Q85" s="3">
        <f t="shared" si="2"/>
        <v>752.66</v>
      </c>
      <c r="S85" s="55" t="s">
        <v>9013</v>
      </c>
      <c r="U85" s="3" t="str">
        <f t="shared" si="3"/>
        <v/>
      </c>
    </row>
    <row r="86" spans="1:21" x14ac:dyDescent="0.35">
      <c r="A86" s="126" t="s">
        <v>35</v>
      </c>
      <c r="B86" s="126" t="s">
        <v>615</v>
      </c>
      <c r="C86" s="126" t="s">
        <v>2</v>
      </c>
      <c r="D86" s="126" t="s">
        <v>3</v>
      </c>
      <c r="E86" s="126">
        <v>726.42</v>
      </c>
      <c r="F86" s="126" t="s">
        <v>88</v>
      </c>
      <c r="G86" s="108">
        <v>45477</v>
      </c>
      <c r="H86" s="126" t="s">
        <v>94</v>
      </c>
      <c r="I86" s="126" t="s">
        <v>425</v>
      </c>
      <c r="K86" s="126" t="s">
        <v>8122</v>
      </c>
      <c r="L86" s="126"/>
      <c r="M86" s="126"/>
      <c r="N86" s="126"/>
      <c r="O86" s="126" t="s">
        <v>8123</v>
      </c>
      <c r="Q86" s="3">
        <f t="shared" si="2"/>
        <v>726.42</v>
      </c>
      <c r="S86" s="55" t="s">
        <v>9020</v>
      </c>
      <c r="U86" s="3" t="str">
        <f t="shared" si="3"/>
        <v/>
      </c>
    </row>
    <row r="87" spans="1:21" x14ac:dyDescent="0.35">
      <c r="A87" s="126" t="s">
        <v>0</v>
      </c>
      <c r="B87" s="126" t="s">
        <v>1043</v>
      </c>
      <c r="C87" s="126" t="s">
        <v>2</v>
      </c>
      <c r="D87" s="126" t="s">
        <v>3</v>
      </c>
      <c r="E87" s="126">
        <v>700.89</v>
      </c>
      <c r="F87" s="126" t="s">
        <v>88</v>
      </c>
      <c r="G87" s="108">
        <v>45611</v>
      </c>
      <c r="H87" s="126" t="s">
        <v>89</v>
      </c>
      <c r="I87" s="126" t="s">
        <v>8734</v>
      </c>
      <c r="J87" s="126"/>
      <c r="K87" s="126" t="s">
        <v>8522</v>
      </c>
      <c r="L87" s="126" t="s">
        <v>8736</v>
      </c>
      <c r="M87" s="126" t="s">
        <v>399</v>
      </c>
      <c r="Q87" s="3">
        <f t="shared" si="2"/>
        <v>700.89</v>
      </c>
      <c r="S87" s="55" t="s">
        <v>9013</v>
      </c>
      <c r="U87" s="3" t="str">
        <f t="shared" si="3"/>
        <v/>
      </c>
    </row>
    <row r="88" spans="1:21" x14ac:dyDescent="0.35">
      <c r="A88" s="126" t="s">
        <v>0</v>
      </c>
      <c r="B88" s="126" t="s">
        <v>797</v>
      </c>
      <c r="C88" s="126" t="s">
        <v>2</v>
      </c>
      <c r="D88" s="126" t="s">
        <v>3</v>
      </c>
      <c r="E88" s="126">
        <v>692.86</v>
      </c>
      <c r="F88" s="126" t="s">
        <v>88</v>
      </c>
      <c r="G88" s="108">
        <v>45457</v>
      </c>
      <c r="H88" s="126" t="s">
        <v>89</v>
      </c>
      <c r="I88" s="126" t="s">
        <v>7995</v>
      </c>
      <c r="J88" s="126"/>
      <c r="K88" s="126" t="s">
        <v>7996</v>
      </c>
      <c r="L88" s="126" t="s">
        <v>7997</v>
      </c>
      <c r="M88" s="126" t="s">
        <v>7998</v>
      </c>
      <c r="N88" s="143"/>
      <c r="O88" s="143"/>
      <c r="Q88" s="3">
        <f t="shared" si="2"/>
        <v>692.86</v>
      </c>
      <c r="S88" s="55" t="s">
        <v>9013</v>
      </c>
      <c r="U88" s="3" t="str">
        <f t="shared" si="3"/>
        <v/>
      </c>
    </row>
    <row r="89" spans="1:21" x14ac:dyDescent="0.35">
      <c r="A89" s="126" t="s">
        <v>35</v>
      </c>
      <c r="B89" s="126" t="s">
        <v>869</v>
      </c>
      <c r="C89" s="126" t="s">
        <v>2</v>
      </c>
      <c r="D89" s="126" t="s">
        <v>3</v>
      </c>
      <c r="E89" s="126">
        <v>688.35</v>
      </c>
      <c r="F89" s="126" t="s">
        <v>88</v>
      </c>
      <c r="G89" s="108">
        <v>45390</v>
      </c>
      <c r="H89" s="126" t="s">
        <v>89</v>
      </c>
      <c r="I89" s="126" t="s">
        <v>7680</v>
      </c>
      <c r="J89" s="126"/>
      <c r="K89" s="126" t="s">
        <v>7681</v>
      </c>
      <c r="L89" s="126" t="s">
        <v>7682</v>
      </c>
      <c r="M89" s="126" t="s">
        <v>506</v>
      </c>
      <c r="N89" s="126"/>
      <c r="O89" s="126"/>
      <c r="Q89" s="3">
        <f t="shared" si="2"/>
        <v>688.35</v>
      </c>
      <c r="S89" s="55" t="s">
        <v>9016</v>
      </c>
      <c r="U89" s="3" t="str">
        <f t="shared" si="3"/>
        <v/>
      </c>
    </row>
    <row r="90" spans="1:21" x14ac:dyDescent="0.35">
      <c r="A90" s="126" t="s">
        <v>0</v>
      </c>
      <c r="B90" s="126" t="s">
        <v>1106</v>
      </c>
      <c r="C90" s="126" t="s">
        <v>2</v>
      </c>
      <c r="D90" s="126" t="s">
        <v>3</v>
      </c>
      <c r="E90" s="126">
        <v>661.45</v>
      </c>
      <c r="F90" s="126" t="s">
        <v>88</v>
      </c>
      <c r="G90" s="108">
        <v>45569</v>
      </c>
      <c r="H90" s="126" t="s">
        <v>89</v>
      </c>
      <c r="I90" s="126" t="s">
        <v>8524</v>
      </c>
      <c r="J90" s="126"/>
      <c r="K90" s="126" t="s">
        <v>8525</v>
      </c>
      <c r="L90" s="126" t="s">
        <v>8526</v>
      </c>
      <c r="M90" s="126" t="s">
        <v>399</v>
      </c>
      <c r="Q90" s="3">
        <f t="shared" si="2"/>
        <v>661.45</v>
      </c>
      <c r="S90" s="55" t="s">
        <v>9013</v>
      </c>
      <c r="U90" s="3" t="str">
        <f t="shared" si="3"/>
        <v/>
      </c>
    </row>
    <row r="91" spans="1:21" x14ac:dyDescent="0.35">
      <c r="A91" s="126" t="s">
        <v>0</v>
      </c>
      <c r="B91" s="126" t="s">
        <v>6398</v>
      </c>
      <c r="C91" s="126" t="s">
        <v>2</v>
      </c>
      <c r="D91" s="126" t="s">
        <v>3</v>
      </c>
      <c r="E91" s="126">
        <v>660.61</v>
      </c>
      <c r="F91" s="126" t="s">
        <v>88</v>
      </c>
      <c r="G91" s="108">
        <v>45391</v>
      </c>
      <c r="H91" s="126" t="s">
        <v>89</v>
      </c>
      <c r="I91" s="126" t="s">
        <v>7691</v>
      </c>
      <c r="J91" s="126"/>
      <c r="K91" s="126" t="s">
        <v>7672</v>
      </c>
      <c r="L91" s="126" t="s">
        <v>7692</v>
      </c>
      <c r="M91" s="126" t="s">
        <v>399</v>
      </c>
      <c r="N91" s="143"/>
      <c r="O91" s="143"/>
      <c r="Q91" s="3">
        <f t="shared" si="2"/>
        <v>660.61</v>
      </c>
      <c r="S91" s="55" t="s">
        <v>9013</v>
      </c>
      <c r="U91" s="3" t="str">
        <f t="shared" si="3"/>
        <v/>
      </c>
    </row>
    <row r="92" spans="1:21" x14ac:dyDescent="0.35">
      <c r="A92" s="126" t="s">
        <v>0</v>
      </c>
      <c r="B92" s="126" t="s">
        <v>4583</v>
      </c>
      <c r="C92" s="126" t="s">
        <v>2</v>
      </c>
      <c r="D92" s="126" t="s">
        <v>3</v>
      </c>
      <c r="E92" s="126">
        <v>631.9</v>
      </c>
      <c r="F92" s="126" t="s">
        <v>88</v>
      </c>
      <c r="G92" s="108">
        <v>45544</v>
      </c>
      <c r="H92" s="126" t="s">
        <v>89</v>
      </c>
      <c r="I92" s="126" t="s">
        <v>8400</v>
      </c>
      <c r="J92" s="126"/>
      <c r="K92" s="126" t="s">
        <v>8321</v>
      </c>
      <c r="L92" s="126" t="s">
        <v>8401</v>
      </c>
      <c r="M92" s="126" t="s">
        <v>399</v>
      </c>
      <c r="Q92" s="3">
        <f t="shared" si="2"/>
        <v>631.9</v>
      </c>
      <c r="S92" s="55" t="s">
        <v>9013</v>
      </c>
      <c r="U92" s="3" t="str">
        <f t="shared" si="3"/>
        <v/>
      </c>
    </row>
    <row r="93" spans="1:21" x14ac:dyDescent="0.35">
      <c r="A93" s="126" t="s">
        <v>0</v>
      </c>
      <c r="B93" s="126" t="s">
        <v>7696</v>
      </c>
      <c r="C93" s="126" t="s">
        <v>2</v>
      </c>
      <c r="D93" s="126" t="s">
        <v>3</v>
      </c>
      <c r="E93" s="126">
        <v>631.45000000000005</v>
      </c>
      <c r="F93" s="126" t="s">
        <v>88</v>
      </c>
      <c r="G93" s="108">
        <v>45485</v>
      </c>
      <c r="H93" s="126" t="s">
        <v>89</v>
      </c>
      <c r="I93" s="126" t="s">
        <v>8134</v>
      </c>
      <c r="J93" s="126"/>
      <c r="K93" s="126" t="s">
        <v>8135</v>
      </c>
      <c r="L93" s="126" t="s">
        <v>8136</v>
      </c>
      <c r="M93" s="126" t="s">
        <v>399</v>
      </c>
      <c r="Q93" s="3">
        <f t="shared" si="2"/>
        <v>631.45000000000005</v>
      </c>
      <c r="S93" s="55" t="s">
        <v>9013</v>
      </c>
      <c r="U93" s="3" t="str">
        <f t="shared" si="3"/>
        <v/>
      </c>
    </row>
    <row r="94" spans="1:21" x14ac:dyDescent="0.35">
      <c r="A94" s="126" t="s">
        <v>0</v>
      </c>
      <c r="B94" s="126" t="s">
        <v>7675</v>
      </c>
      <c r="C94" s="126" t="s">
        <v>2</v>
      </c>
      <c r="D94" s="126" t="s">
        <v>3</v>
      </c>
      <c r="E94" s="126">
        <v>617.15</v>
      </c>
      <c r="F94" s="126" t="s">
        <v>88</v>
      </c>
      <c r="G94" s="108">
        <v>45505</v>
      </c>
      <c r="H94" s="126" t="s">
        <v>89</v>
      </c>
      <c r="I94" s="126" t="s">
        <v>8248</v>
      </c>
      <c r="J94" s="126"/>
      <c r="K94" s="126" t="s">
        <v>8135</v>
      </c>
      <c r="L94" s="126" t="s">
        <v>8249</v>
      </c>
      <c r="M94" s="126" t="s">
        <v>399</v>
      </c>
      <c r="Q94" s="3">
        <f t="shared" si="2"/>
        <v>617.15</v>
      </c>
      <c r="S94" s="55" t="s">
        <v>9013</v>
      </c>
      <c r="U94" s="3" t="str">
        <f t="shared" si="3"/>
        <v/>
      </c>
    </row>
    <row r="95" spans="1:21" x14ac:dyDescent="0.35">
      <c r="A95" s="126" t="s">
        <v>0</v>
      </c>
      <c r="B95" s="126" t="s">
        <v>7696</v>
      </c>
      <c r="C95" s="126" t="s">
        <v>2</v>
      </c>
      <c r="D95" s="126" t="s">
        <v>3</v>
      </c>
      <c r="E95" s="126">
        <v>608.69000000000005</v>
      </c>
      <c r="F95" s="126" t="s">
        <v>88</v>
      </c>
      <c r="G95" s="108">
        <v>45391</v>
      </c>
      <c r="H95" s="126" t="s">
        <v>89</v>
      </c>
      <c r="I95" s="126" t="s">
        <v>7691</v>
      </c>
      <c r="J95" s="126"/>
      <c r="K95" s="126" t="s">
        <v>7672</v>
      </c>
      <c r="L95" s="126" t="s">
        <v>7692</v>
      </c>
      <c r="M95" s="126" t="s">
        <v>399</v>
      </c>
      <c r="N95" s="35"/>
      <c r="O95" s="35"/>
      <c r="Q95" s="3">
        <f t="shared" si="2"/>
        <v>608.69000000000005</v>
      </c>
      <c r="S95" s="55" t="s">
        <v>9013</v>
      </c>
      <c r="U95" s="3" t="str">
        <f t="shared" si="3"/>
        <v/>
      </c>
    </row>
    <row r="96" spans="1:21" x14ac:dyDescent="0.35">
      <c r="A96" s="126" t="s">
        <v>0</v>
      </c>
      <c r="B96" s="126" t="s">
        <v>7696</v>
      </c>
      <c r="C96" s="126" t="s">
        <v>2</v>
      </c>
      <c r="D96" s="126" t="s">
        <v>3</v>
      </c>
      <c r="E96" s="126">
        <v>608.69000000000005</v>
      </c>
      <c r="F96" s="126" t="s">
        <v>88</v>
      </c>
      <c r="G96" s="108">
        <v>45432</v>
      </c>
      <c r="H96" s="126" t="s">
        <v>89</v>
      </c>
      <c r="I96" s="126" t="s">
        <v>7839</v>
      </c>
      <c r="J96" s="126"/>
      <c r="K96" s="126" t="s">
        <v>7840</v>
      </c>
      <c r="L96" s="126" t="s">
        <v>7841</v>
      </c>
      <c r="M96" s="126" t="s">
        <v>399</v>
      </c>
      <c r="N96" s="35"/>
      <c r="O96" s="35"/>
      <c r="Q96" s="3">
        <f t="shared" si="2"/>
        <v>608.69000000000005</v>
      </c>
      <c r="S96" s="55" t="s">
        <v>9013</v>
      </c>
      <c r="U96" s="3" t="str">
        <f t="shared" si="3"/>
        <v/>
      </c>
    </row>
    <row r="97" spans="1:21" x14ac:dyDescent="0.35">
      <c r="A97" s="126" t="s">
        <v>0</v>
      </c>
      <c r="B97" s="126" t="s">
        <v>7696</v>
      </c>
      <c r="C97" s="126" t="s">
        <v>2</v>
      </c>
      <c r="D97" s="126" t="s">
        <v>3</v>
      </c>
      <c r="E97" s="126">
        <v>608.69000000000005</v>
      </c>
      <c r="F97" s="126" t="s">
        <v>88</v>
      </c>
      <c r="G97" s="108">
        <v>45454</v>
      </c>
      <c r="H97" s="126" t="s">
        <v>89</v>
      </c>
      <c r="I97" s="126" t="s">
        <v>7958</v>
      </c>
      <c r="J97" s="126"/>
      <c r="K97" s="126" t="s">
        <v>7959</v>
      </c>
      <c r="L97" s="126" t="s">
        <v>7960</v>
      </c>
      <c r="M97" s="126" t="s">
        <v>399</v>
      </c>
      <c r="Q97" s="3">
        <f t="shared" si="2"/>
        <v>608.69000000000005</v>
      </c>
      <c r="S97" s="55" t="s">
        <v>9013</v>
      </c>
      <c r="U97" s="3" t="str">
        <f t="shared" si="3"/>
        <v/>
      </c>
    </row>
    <row r="98" spans="1:21" x14ac:dyDescent="0.35">
      <c r="A98" s="126" t="s">
        <v>0</v>
      </c>
      <c r="B98" s="126" t="s">
        <v>789</v>
      </c>
      <c r="C98" s="126" t="s">
        <v>2</v>
      </c>
      <c r="D98" s="126" t="s">
        <v>3</v>
      </c>
      <c r="E98" s="126">
        <v>605.73</v>
      </c>
      <c r="F98" s="126" t="s">
        <v>88</v>
      </c>
      <c r="G98" s="108">
        <v>45569</v>
      </c>
      <c r="H98" s="126" t="s">
        <v>89</v>
      </c>
      <c r="I98" s="126" t="s">
        <v>8524</v>
      </c>
      <c r="J98" s="126"/>
      <c r="K98" s="126" t="s">
        <v>8525</v>
      </c>
      <c r="L98" s="126" t="s">
        <v>8526</v>
      </c>
      <c r="M98" s="126" t="s">
        <v>399</v>
      </c>
      <c r="Q98" s="3">
        <f t="shared" si="2"/>
        <v>605.73</v>
      </c>
      <c r="S98" s="55" t="s">
        <v>9013</v>
      </c>
      <c r="U98" s="3" t="str">
        <f t="shared" si="3"/>
        <v/>
      </c>
    </row>
    <row r="99" spans="1:21" x14ac:dyDescent="0.35">
      <c r="A99" s="126" t="s">
        <v>35</v>
      </c>
      <c r="B99" s="126" t="s">
        <v>740</v>
      </c>
      <c r="C99" s="126" t="s">
        <v>2</v>
      </c>
      <c r="D99" s="126" t="s">
        <v>3</v>
      </c>
      <c r="E99" s="126">
        <v>597.72</v>
      </c>
      <c r="F99" s="126" t="s">
        <v>88</v>
      </c>
      <c r="G99" s="108">
        <v>45636</v>
      </c>
      <c r="H99" s="126" t="s">
        <v>94</v>
      </c>
      <c r="I99" s="126" t="s">
        <v>8922</v>
      </c>
      <c r="J99" s="126" t="s">
        <v>8923</v>
      </c>
      <c r="K99" s="126"/>
      <c r="L99" s="126"/>
      <c r="M99" s="126"/>
      <c r="N99" s="126"/>
      <c r="O99" s="126" t="s">
        <v>4704</v>
      </c>
      <c r="Q99" s="3">
        <f t="shared" si="2"/>
        <v>597.72</v>
      </c>
      <c r="S99" s="55" t="s">
        <v>9017</v>
      </c>
      <c r="T99" t="s">
        <v>64</v>
      </c>
      <c r="U99" s="3">
        <f t="shared" si="3"/>
        <v>597.72</v>
      </c>
    </row>
    <row r="100" spans="1:21" x14ac:dyDescent="0.35">
      <c r="A100" s="126" t="s">
        <v>35</v>
      </c>
      <c r="B100" s="126" t="s">
        <v>869</v>
      </c>
      <c r="C100" s="126" t="s">
        <v>2</v>
      </c>
      <c r="D100" s="126" t="s">
        <v>3</v>
      </c>
      <c r="E100" s="126">
        <v>597.41</v>
      </c>
      <c r="F100" s="126" t="s">
        <v>88</v>
      </c>
      <c r="G100" s="108">
        <v>45419</v>
      </c>
      <c r="H100" s="126" t="s">
        <v>89</v>
      </c>
      <c r="I100" s="126" t="s">
        <v>7802</v>
      </c>
      <c r="J100" s="126"/>
      <c r="K100" s="126" t="s">
        <v>412</v>
      </c>
      <c r="L100" s="126" t="s">
        <v>7803</v>
      </c>
      <c r="M100" s="126" t="s">
        <v>413</v>
      </c>
      <c r="N100" s="143"/>
      <c r="O100" s="143"/>
      <c r="Q100" s="3">
        <f t="shared" si="2"/>
        <v>597.41</v>
      </c>
      <c r="S100" s="55" t="s">
        <v>9015</v>
      </c>
      <c r="U100" s="3" t="str">
        <f t="shared" si="3"/>
        <v/>
      </c>
    </row>
    <row r="101" spans="1:21" x14ac:dyDescent="0.35">
      <c r="A101" s="126" t="s">
        <v>35</v>
      </c>
      <c r="B101" s="126" t="s">
        <v>740</v>
      </c>
      <c r="C101" s="126" t="s">
        <v>2</v>
      </c>
      <c r="D101" s="126" t="s">
        <v>3</v>
      </c>
      <c r="E101" s="126">
        <v>597.41</v>
      </c>
      <c r="F101" s="126" t="s">
        <v>88</v>
      </c>
      <c r="G101" s="108">
        <v>45505</v>
      </c>
      <c r="H101" s="126" t="s">
        <v>89</v>
      </c>
      <c r="I101" s="126" t="s">
        <v>8260</v>
      </c>
      <c r="J101" s="126"/>
      <c r="K101" s="126" t="s">
        <v>412</v>
      </c>
      <c r="L101" s="126" t="s">
        <v>8261</v>
      </c>
      <c r="M101" s="126" t="s">
        <v>413</v>
      </c>
      <c r="Q101" s="3">
        <f t="shared" si="2"/>
        <v>597.41</v>
      </c>
      <c r="S101" s="55" t="s">
        <v>9015</v>
      </c>
      <c r="U101" s="3" t="str">
        <f t="shared" si="3"/>
        <v/>
      </c>
    </row>
    <row r="102" spans="1:21" x14ac:dyDescent="0.35">
      <c r="A102" s="126" t="s">
        <v>35</v>
      </c>
      <c r="B102" s="126" t="s">
        <v>869</v>
      </c>
      <c r="C102" s="126" t="s">
        <v>2</v>
      </c>
      <c r="D102" s="126" t="s">
        <v>3</v>
      </c>
      <c r="E102" s="126">
        <v>597.41</v>
      </c>
      <c r="F102" s="126" t="s">
        <v>88</v>
      </c>
      <c r="G102" s="108">
        <v>45544</v>
      </c>
      <c r="H102" s="126" t="s">
        <v>89</v>
      </c>
      <c r="I102" s="126" t="s">
        <v>8404</v>
      </c>
      <c r="J102" s="126"/>
      <c r="K102" s="126" t="s">
        <v>8054</v>
      </c>
      <c r="L102" s="126" t="s">
        <v>8405</v>
      </c>
      <c r="M102" s="126" t="s">
        <v>413</v>
      </c>
      <c r="N102" s="126"/>
      <c r="O102" s="126"/>
      <c r="Q102" s="3">
        <f t="shared" si="2"/>
        <v>597.41</v>
      </c>
      <c r="S102" s="55" t="s">
        <v>9015</v>
      </c>
      <c r="U102" s="3" t="str">
        <f t="shared" si="3"/>
        <v/>
      </c>
    </row>
    <row r="103" spans="1:21" x14ac:dyDescent="0.35">
      <c r="A103" s="126" t="s">
        <v>35</v>
      </c>
      <c r="B103" s="126" t="s">
        <v>869</v>
      </c>
      <c r="C103" s="126" t="s">
        <v>2</v>
      </c>
      <c r="D103" s="126" t="s">
        <v>3</v>
      </c>
      <c r="E103" s="126">
        <v>597.41</v>
      </c>
      <c r="F103" s="126" t="s">
        <v>88</v>
      </c>
      <c r="G103" s="108">
        <v>45551</v>
      </c>
      <c r="H103" s="126" t="s">
        <v>89</v>
      </c>
      <c r="I103" s="126" t="s">
        <v>8438</v>
      </c>
      <c r="J103" s="126"/>
      <c r="K103" s="126" t="s">
        <v>412</v>
      </c>
      <c r="L103" s="126" t="s">
        <v>8439</v>
      </c>
      <c r="M103" s="126" t="s">
        <v>413</v>
      </c>
      <c r="N103" s="126"/>
      <c r="O103" s="126"/>
      <c r="Q103" s="3">
        <f t="shared" si="2"/>
        <v>597.41</v>
      </c>
      <c r="S103" s="55" t="s">
        <v>9015</v>
      </c>
      <c r="U103" s="3" t="str">
        <f t="shared" si="3"/>
        <v/>
      </c>
    </row>
    <row r="104" spans="1:21" x14ac:dyDescent="0.35">
      <c r="A104" s="126" t="s">
        <v>35</v>
      </c>
      <c r="B104" s="126" t="s">
        <v>869</v>
      </c>
      <c r="C104" s="126" t="s">
        <v>2</v>
      </c>
      <c r="D104" s="126" t="s">
        <v>3</v>
      </c>
      <c r="E104" s="126">
        <v>597.41</v>
      </c>
      <c r="F104" s="126" t="s">
        <v>88</v>
      </c>
      <c r="G104" s="108">
        <v>45569</v>
      </c>
      <c r="H104" s="126" t="s">
        <v>89</v>
      </c>
      <c r="I104" s="126" t="s">
        <v>8527</v>
      </c>
      <c r="J104" s="126"/>
      <c r="K104" s="126" t="s">
        <v>8528</v>
      </c>
      <c r="L104" s="126" t="s">
        <v>8529</v>
      </c>
      <c r="M104" s="126" t="s">
        <v>413</v>
      </c>
      <c r="N104" s="126"/>
      <c r="O104" s="126"/>
      <c r="Q104" s="3">
        <f t="shared" si="2"/>
        <v>597.41</v>
      </c>
      <c r="S104" s="55" t="s">
        <v>9015</v>
      </c>
      <c r="U104" s="3" t="str">
        <f t="shared" si="3"/>
        <v/>
      </c>
    </row>
    <row r="105" spans="1:21" x14ac:dyDescent="0.35">
      <c r="A105" s="126" t="s">
        <v>35</v>
      </c>
      <c r="B105" s="126" t="s">
        <v>869</v>
      </c>
      <c r="C105" s="126" t="s">
        <v>2</v>
      </c>
      <c r="D105" s="126" t="s">
        <v>3</v>
      </c>
      <c r="E105" s="126">
        <v>597.41</v>
      </c>
      <c r="F105" s="126" t="s">
        <v>88</v>
      </c>
      <c r="G105" s="108">
        <v>45597</v>
      </c>
      <c r="H105" s="126" t="s">
        <v>89</v>
      </c>
      <c r="I105" s="126" t="s">
        <v>8633</v>
      </c>
      <c r="J105" s="126"/>
      <c r="K105" s="126" t="s">
        <v>8054</v>
      </c>
      <c r="L105" s="126" t="s">
        <v>8634</v>
      </c>
      <c r="M105" s="126" t="s">
        <v>413</v>
      </c>
      <c r="N105" s="126"/>
      <c r="O105" s="126"/>
      <c r="Q105" s="3">
        <f t="shared" si="2"/>
        <v>597.41</v>
      </c>
      <c r="S105" s="55" t="s">
        <v>9015</v>
      </c>
      <c r="U105" s="3" t="str">
        <f t="shared" si="3"/>
        <v/>
      </c>
    </row>
    <row r="106" spans="1:21" x14ac:dyDescent="0.35">
      <c r="A106" s="126" t="s">
        <v>35</v>
      </c>
      <c r="B106" s="126" t="s">
        <v>869</v>
      </c>
      <c r="C106" s="126" t="s">
        <v>2</v>
      </c>
      <c r="D106" s="126" t="s">
        <v>3</v>
      </c>
      <c r="E106" s="126">
        <v>597.41</v>
      </c>
      <c r="F106" s="126" t="s">
        <v>88</v>
      </c>
      <c r="G106" s="108">
        <v>45635</v>
      </c>
      <c r="H106" s="126" t="s">
        <v>89</v>
      </c>
      <c r="I106" s="126" t="s">
        <v>8885</v>
      </c>
      <c r="J106" s="126"/>
      <c r="K106" s="126" t="s">
        <v>8054</v>
      </c>
      <c r="L106" s="126" t="s">
        <v>8886</v>
      </c>
      <c r="M106" s="126" t="s">
        <v>413</v>
      </c>
      <c r="N106" s="126"/>
      <c r="O106" s="126"/>
      <c r="Q106" s="3">
        <f t="shared" si="2"/>
        <v>597.41</v>
      </c>
      <c r="S106" s="55" t="s">
        <v>9015</v>
      </c>
      <c r="U106" s="3" t="str">
        <f t="shared" si="3"/>
        <v/>
      </c>
    </row>
    <row r="107" spans="1:21" x14ac:dyDescent="0.35">
      <c r="A107" s="126" t="s">
        <v>35</v>
      </c>
      <c r="B107" s="126" t="s">
        <v>740</v>
      </c>
      <c r="C107" s="126" t="s">
        <v>2</v>
      </c>
      <c r="D107" s="126" t="s">
        <v>3</v>
      </c>
      <c r="E107" s="126">
        <v>595.83000000000004</v>
      </c>
      <c r="F107" s="126" t="s">
        <v>88</v>
      </c>
      <c r="G107" s="108">
        <v>45454</v>
      </c>
      <c r="H107" s="126" t="s">
        <v>89</v>
      </c>
      <c r="I107" s="126" t="s">
        <v>7968</v>
      </c>
      <c r="J107" s="143"/>
      <c r="K107" s="126" t="s">
        <v>7969</v>
      </c>
      <c r="L107" s="126" t="s">
        <v>7970</v>
      </c>
      <c r="M107" s="126" t="s">
        <v>413</v>
      </c>
      <c r="N107" s="126"/>
      <c r="O107" s="126"/>
      <c r="Q107" s="3">
        <f t="shared" si="2"/>
        <v>595.83000000000004</v>
      </c>
      <c r="S107" s="55" t="s">
        <v>9015</v>
      </c>
      <c r="U107" s="3" t="str">
        <f t="shared" si="3"/>
        <v/>
      </c>
    </row>
    <row r="108" spans="1:21" x14ac:dyDescent="0.35">
      <c r="A108" s="126" t="s">
        <v>35</v>
      </c>
      <c r="B108" s="126" t="s">
        <v>633</v>
      </c>
      <c r="C108" s="126" t="s">
        <v>2</v>
      </c>
      <c r="D108" s="126" t="s">
        <v>3</v>
      </c>
      <c r="E108" s="126">
        <v>577.45000000000005</v>
      </c>
      <c r="F108" s="126" t="s">
        <v>88</v>
      </c>
      <c r="G108" s="108">
        <v>45637</v>
      </c>
      <c r="H108" s="126" t="s">
        <v>94</v>
      </c>
      <c r="I108" s="126" t="s">
        <v>495</v>
      </c>
      <c r="K108" s="126" t="s">
        <v>496</v>
      </c>
      <c r="L108" s="126"/>
      <c r="M108" s="126"/>
      <c r="N108" s="143"/>
      <c r="O108" s="143" t="s">
        <v>541</v>
      </c>
      <c r="Q108" s="3">
        <f t="shared" si="2"/>
        <v>577.45000000000005</v>
      </c>
      <c r="S108" s="55" t="s">
        <v>9014</v>
      </c>
      <c r="U108" s="3" t="str">
        <f t="shared" si="3"/>
        <v/>
      </c>
    </row>
    <row r="109" spans="1:21" x14ac:dyDescent="0.35">
      <c r="A109" s="126" t="s">
        <v>0</v>
      </c>
      <c r="B109" s="126" t="s">
        <v>1627</v>
      </c>
      <c r="C109" s="126" t="s">
        <v>2</v>
      </c>
      <c r="D109" s="126" t="s">
        <v>3</v>
      </c>
      <c r="E109" s="126">
        <v>577</v>
      </c>
      <c r="F109" s="126" t="s">
        <v>88</v>
      </c>
      <c r="G109" s="108">
        <v>45611</v>
      </c>
      <c r="H109" s="126" t="s">
        <v>89</v>
      </c>
      <c r="I109" s="126" t="s">
        <v>8734</v>
      </c>
      <c r="J109" s="126"/>
      <c r="K109" s="126" t="s">
        <v>8735</v>
      </c>
      <c r="L109" s="126" t="s">
        <v>8736</v>
      </c>
      <c r="M109" s="126" t="s">
        <v>399</v>
      </c>
      <c r="Q109" s="3">
        <f t="shared" si="2"/>
        <v>577</v>
      </c>
      <c r="S109" s="55" t="s">
        <v>9013</v>
      </c>
      <c r="U109" s="3" t="str">
        <f t="shared" si="3"/>
        <v/>
      </c>
    </row>
    <row r="110" spans="1:21" x14ac:dyDescent="0.35">
      <c r="A110" s="126" t="s">
        <v>0</v>
      </c>
      <c r="B110" s="126" t="s">
        <v>724</v>
      </c>
      <c r="C110" s="126" t="s">
        <v>2</v>
      </c>
      <c r="D110" s="126" t="s">
        <v>3</v>
      </c>
      <c r="E110" s="126">
        <v>558.80999999999995</v>
      </c>
      <c r="F110" s="126" t="s">
        <v>88</v>
      </c>
      <c r="G110" s="108">
        <v>45635</v>
      </c>
      <c r="H110" s="126" t="s">
        <v>89</v>
      </c>
      <c r="I110" s="126" t="s">
        <v>8881</v>
      </c>
      <c r="J110" s="126"/>
      <c r="K110" s="126" t="s">
        <v>8735</v>
      </c>
      <c r="L110" s="126" t="s">
        <v>8882</v>
      </c>
      <c r="M110" s="126" t="s">
        <v>399</v>
      </c>
      <c r="Q110" s="3">
        <f t="shared" si="2"/>
        <v>558.80999999999995</v>
      </c>
      <c r="S110" s="55" t="s">
        <v>9013</v>
      </c>
      <c r="U110" s="3" t="str">
        <f t="shared" si="3"/>
        <v/>
      </c>
    </row>
    <row r="111" spans="1:21" x14ac:dyDescent="0.35">
      <c r="A111" s="126" t="s">
        <v>35</v>
      </c>
      <c r="B111" s="126" t="s">
        <v>740</v>
      </c>
      <c r="C111" s="126" t="s">
        <v>2</v>
      </c>
      <c r="D111" s="126" t="s">
        <v>3</v>
      </c>
      <c r="E111" s="126">
        <v>558.53</v>
      </c>
      <c r="F111" s="126" t="s">
        <v>88</v>
      </c>
      <c r="G111" s="108">
        <v>45485</v>
      </c>
      <c r="H111" s="126" t="s">
        <v>89</v>
      </c>
      <c r="I111" s="126" t="s">
        <v>8149</v>
      </c>
      <c r="J111" s="126"/>
      <c r="K111" s="126" t="s">
        <v>8150</v>
      </c>
      <c r="L111" s="126" t="s">
        <v>8151</v>
      </c>
      <c r="M111" s="126" t="s">
        <v>7623</v>
      </c>
      <c r="N111" s="143"/>
      <c r="O111" s="143"/>
      <c r="Q111" s="3">
        <f t="shared" si="2"/>
        <v>558.53</v>
      </c>
      <c r="S111" s="55" t="s">
        <v>9021</v>
      </c>
      <c r="U111" s="3" t="str">
        <f t="shared" si="3"/>
        <v/>
      </c>
    </row>
    <row r="112" spans="1:21" x14ac:dyDescent="0.35">
      <c r="A112" s="126" t="s">
        <v>0</v>
      </c>
      <c r="B112" s="126" t="s">
        <v>614</v>
      </c>
      <c r="C112" s="126" t="s">
        <v>2</v>
      </c>
      <c r="D112" s="126" t="s">
        <v>3</v>
      </c>
      <c r="E112" s="126">
        <v>546.79999999999995</v>
      </c>
      <c r="F112" s="126" t="s">
        <v>88</v>
      </c>
      <c r="G112" s="108">
        <v>45517</v>
      </c>
      <c r="H112" s="126" t="s">
        <v>89</v>
      </c>
      <c r="I112" s="126" t="s">
        <v>8320</v>
      </c>
      <c r="J112" s="143"/>
      <c r="K112" s="126" t="s">
        <v>8321</v>
      </c>
      <c r="L112" s="126" t="s">
        <v>8322</v>
      </c>
      <c r="M112" s="126" t="s">
        <v>399</v>
      </c>
      <c r="Q112" s="3">
        <f t="shared" si="2"/>
        <v>546.79999999999995</v>
      </c>
      <c r="S112" s="55" t="s">
        <v>9013</v>
      </c>
      <c r="U112" s="3" t="str">
        <f t="shared" si="3"/>
        <v/>
      </c>
    </row>
    <row r="113" spans="1:31" x14ac:dyDescent="0.35">
      <c r="A113" s="126" t="s">
        <v>35</v>
      </c>
      <c r="B113" s="126" t="s">
        <v>740</v>
      </c>
      <c r="C113" s="126" t="s">
        <v>2</v>
      </c>
      <c r="D113" s="126" t="s">
        <v>3</v>
      </c>
      <c r="E113" s="126">
        <v>545.45000000000005</v>
      </c>
      <c r="F113" s="126" t="s">
        <v>88</v>
      </c>
      <c r="G113" s="108">
        <v>45636</v>
      </c>
      <c r="H113" s="126" t="s">
        <v>94</v>
      </c>
      <c r="I113" s="126" t="s">
        <v>7857</v>
      </c>
      <c r="K113" s="126" t="s">
        <v>8936</v>
      </c>
      <c r="L113" s="126"/>
      <c r="M113" s="126"/>
      <c r="N113" s="143"/>
      <c r="O113" s="143" t="s">
        <v>8937</v>
      </c>
      <c r="Q113" s="3">
        <f t="shared" si="2"/>
        <v>545.45000000000005</v>
      </c>
      <c r="S113" s="55" t="s">
        <v>9016</v>
      </c>
      <c r="U113" s="3" t="str">
        <f t="shared" si="3"/>
        <v/>
      </c>
    </row>
    <row r="114" spans="1:31" x14ac:dyDescent="0.35">
      <c r="A114" s="126" t="s">
        <v>0</v>
      </c>
      <c r="B114" s="126" t="s">
        <v>1627</v>
      </c>
      <c r="C114" s="126" t="s">
        <v>2</v>
      </c>
      <c r="D114" s="126" t="s">
        <v>3</v>
      </c>
      <c r="E114" s="126">
        <v>537.12</v>
      </c>
      <c r="F114" s="126" t="s">
        <v>88</v>
      </c>
      <c r="G114" s="108">
        <v>45569</v>
      </c>
      <c r="H114" s="126" t="s">
        <v>89</v>
      </c>
      <c r="I114" s="126" t="s">
        <v>8521</v>
      </c>
      <c r="J114" s="126"/>
      <c r="K114" s="126" t="s">
        <v>8522</v>
      </c>
      <c r="L114" s="126" t="s">
        <v>8523</v>
      </c>
      <c r="M114" s="126" t="s">
        <v>399</v>
      </c>
      <c r="Q114" s="3">
        <f t="shared" si="2"/>
        <v>537.12</v>
      </c>
      <c r="S114" s="55" t="s">
        <v>9013</v>
      </c>
      <c r="U114" s="3" t="str">
        <f t="shared" si="3"/>
        <v/>
      </c>
    </row>
    <row r="115" spans="1:31" x14ac:dyDescent="0.35">
      <c r="A115" s="126" t="s">
        <v>0</v>
      </c>
      <c r="B115" s="126" t="s">
        <v>1627</v>
      </c>
      <c r="C115" s="126" t="s">
        <v>2</v>
      </c>
      <c r="D115" s="126" t="s">
        <v>3</v>
      </c>
      <c r="E115" s="126">
        <v>537.12</v>
      </c>
      <c r="F115" s="126" t="s">
        <v>88</v>
      </c>
      <c r="G115" s="108">
        <v>45635</v>
      </c>
      <c r="H115" s="126" t="s">
        <v>89</v>
      </c>
      <c r="I115" s="126" t="s">
        <v>8878</v>
      </c>
      <c r="J115" s="126"/>
      <c r="K115" s="126" t="s">
        <v>8879</v>
      </c>
      <c r="L115" s="126" t="s">
        <v>8880</v>
      </c>
      <c r="M115" s="126" t="s">
        <v>399</v>
      </c>
      <c r="Q115" s="3">
        <f t="shared" si="2"/>
        <v>537.12</v>
      </c>
      <c r="S115" s="55" t="s">
        <v>9013</v>
      </c>
      <c r="U115" s="3" t="str">
        <f t="shared" si="3"/>
        <v/>
      </c>
    </row>
    <row r="116" spans="1:31" x14ac:dyDescent="0.35">
      <c r="A116" s="126" t="s">
        <v>0</v>
      </c>
      <c r="B116" s="126" t="s">
        <v>1216</v>
      </c>
      <c r="C116" s="126" t="s">
        <v>2</v>
      </c>
      <c r="D116" s="126" t="s">
        <v>3</v>
      </c>
      <c r="E116" s="126">
        <v>535.16999999999996</v>
      </c>
      <c r="F116" s="126" t="s">
        <v>88</v>
      </c>
      <c r="G116" s="108">
        <v>45635</v>
      </c>
      <c r="H116" s="126" t="s">
        <v>89</v>
      </c>
      <c r="I116" s="126" t="s">
        <v>8881</v>
      </c>
      <c r="J116" s="143"/>
      <c r="K116" s="126" t="s">
        <v>8735</v>
      </c>
      <c r="L116" s="126" t="s">
        <v>8882</v>
      </c>
      <c r="M116" s="126" t="s">
        <v>399</v>
      </c>
      <c r="Q116" s="3">
        <f t="shared" si="2"/>
        <v>535.16999999999996</v>
      </c>
      <c r="S116" s="55" t="s">
        <v>9013</v>
      </c>
      <c r="U116" s="3" t="str">
        <f t="shared" si="3"/>
        <v/>
      </c>
    </row>
    <row r="117" spans="1:31" x14ac:dyDescent="0.35">
      <c r="A117" s="126" t="s">
        <v>35</v>
      </c>
      <c r="B117" s="126" t="s">
        <v>615</v>
      </c>
      <c r="C117" s="126" t="s">
        <v>2</v>
      </c>
      <c r="D117" s="126" t="s">
        <v>3</v>
      </c>
      <c r="E117" s="126">
        <v>526.77</v>
      </c>
      <c r="F117" s="126" t="s">
        <v>88</v>
      </c>
      <c r="G117" s="108">
        <v>45477</v>
      </c>
      <c r="H117" s="126" t="s">
        <v>94</v>
      </c>
      <c r="I117" s="126" t="s">
        <v>426</v>
      </c>
      <c r="K117" s="126" t="s">
        <v>8126</v>
      </c>
      <c r="L117" s="126"/>
      <c r="M117" s="126"/>
      <c r="N117" s="143"/>
      <c r="O117" s="143" t="s">
        <v>539</v>
      </c>
      <c r="Q117" s="3">
        <f t="shared" si="2"/>
        <v>526.77</v>
      </c>
      <c r="S117" s="55" t="s">
        <v>586</v>
      </c>
      <c r="U117" s="3" t="str">
        <f t="shared" si="3"/>
        <v/>
      </c>
    </row>
    <row r="118" spans="1:31" x14ac:dyDescent="0.35">
      <c r="A118" s="126" t="s">
        <v>0</v>
      </c>
      <c r="B118" s="126" t="s">
        <v>1416</v>
      </c>
      <c r="C118" s="126" t="s">
        <v>2</v>
      </c>
      <c r="D118" s="126" t="s">
        <v>3</v>
      </c>
      <c r="E118" s="126">
        <v>526.34</v>
      </c>
      <c r="F118" s="126" t="s">
        <v>88</v>
      </c>
      <c r="G118" s="108">
        <v>45569</v>
      </c>
      <c r="H118" s="126" t="s">
        <v>89</v>
      </c>
      <c r="I118" s="126" t="s">
        <v>8524</v>
      </c>
      <c r="J118" s="126"/>
      <c r="K118" s="126" t="s">
        <v>8525</v>
      </c>
      <c r="L118" s="126" t="s">
        <v>8526</v>
      </c>
      <c r="M118" s="126" t="s">
        <v>399</v>
      </c>
      <c r="Q118" s="3">
        <f t="shared" si="2"/>
        <v>526.34</v>
      </c>
      <c r="S118" s="55" t="s">
        <v>9013</v>
      </c>
      <c r="U118" s="3" t="str">
        <f t="shared" si="3"/>
        <v/>
      </c>
    </row>
    <row r="119" spans="1:31" x14ac:dyDescent="0.35">
      <c r="A119" s="126" t="s">
        <v>35</v>
      </c>
      <c r="B119" s="126" t="s">
        <v>868</v>
      </c>
      <c r="C119" s="126" t="s">
        <v>2</v>
      </c>
      <c r="D119" s="126" t="s">
        <v>3</v>
      </c>
      <c r="E119" s="126">
        <v>524.15</v>
      </c>
      <c r="F119" s="126" t="s">
        <v>88</v>
      </c>
      <c r="G119" s="108">
        <v>45495</v>
      </c>
      <c r="H119" s="126" t="s">
        <v>94</v>
      </c>
      <c r="I119" s="126" t="s">
        <v>8202</v>
      </c>
      <c r="J119" s="126" t="s">
        <v>8203</v>
      </c>
      <c r="K119" s="126"/>
      <c r="L119" s="126"/>
      <c r="M119" s="126"/>
      <c r="N119" s="126"/>
      <c r="O119" s="126" t="s">
        <v>8204</v>
      </c>
      <c r="Q119" s="3">
        <f t="shared" si="2"/>
        <v>524.15</v>
      </c>
      <c r="S119" s="55" t="s">
        <v>9028</v>
      </c>
      <c r="U119" s="3" t="str">
        <f t="shared" si="3"/>
        <v/>
      </c>
    </row>
    <row r="120" spans="1:31" x14ac:dyDescent="0.35">
      <c r="A120" s="126" t="s">
        <v>35</v>
      </c>
      <c r="B120" s="126" t="s">
        <v>615</v>
      </c>
      <c r="C120" s="126" t="s">
        <v>2</v>
      </c>
      <c r="D120" s="126" t="s">
        <v>3</v>
      </c>
      <c r="E120" s="126">
        <v>523.51</v>
      </c>
      <c r="F120" s="126" t="s">
        <v>88</v>
      </c>
      <c r="G120" s="108">
        <v>45477</v>
      </c>
      <c r="H120" s="126" t="s">
        <v>94</v>
      </c>
      <c r="I120" s="126" t="s">
        <v>425</v>
      </c>
      <c r="J120" s="126" t="s">
        <v>8119</v>
      </c>
      <c r="K120" s="126"/>
      <c r="L120" s="126"/>
      <c r="M120" s="126"/>
      <c r="N120" s="143"/>
      <c r="O120" s="143" t="s">
        <v>8120</v>
      </c>
      <c r="Q120" s="3">
        <f t="shared" si="2"/>
        <v>523.51</v>
      </c>
      <c r="S120" s="55" t="s">
        <v>9020</v>
      </c>
      <c r="U120" s="3" t="str">
        <f t="shared" si="3"/>
        <v/>
      </c>
    </row>
    <row r="121" spans="1:31" x14ac:dyDescent="0.35">
      <c r="A121" s="126" t="s">
        <v>0</v>
      </c>
      <c r="B121" s="126" t="s">
        <v>672</v>
      </c>
      <c r="C121" s="126" t="s">
        <v>2</v>
      </c>
      <c r="D121" s="126" t="s">
        <v>3</v>
      </c>
      <c r="E121" s="126">
        <v>521.9</v>
      </c>
      <c r="F121" s="126" t="s">
        <v>88</v>
      </c>
      <c r="G121" s="108">
        <v>45611</v>
      </c>
      <c r="H121" s="126" t="s">
        <v>89</v>
      </c>
      <c r="I121" s="126" t="s">
        <v>8737</v>
      </c>
      <c r="J121" s="126"/>
      <c r="K121" s="126" t="s">
        <v>8522</v>
      </c>
      <c r="L121" s="126" t="s">
        <v>8738</v>
      </c>
      <c r="M121" s="126" t="s">
        <v>399</v>
      </c>
      <c r="Q121" s="3">
        <f t="shared" si="2"/>
        <v>521.9</v>
      </c>
      <c r="S121" s="55" t="s">
        <v>9013</v>
      </c>
      <c r="U121" s="3" t="str">
        <f t="shared" si="3"/>
        <v/>
      </c>
    </row>
    <row r="122" spans="1:31" x14ac:dyDescent="0.35">
      <c r="A122" s="126" t="s">
        <v>0</v>
      </c>
      <c r="B122" s="126" t="s">
        <v>1423</v>
      </c>
      <c r="C122" s="126" t="s">
        <v>2</v>
      </c>
      <c r="D122" s="126" t="s">
        <v>3</v>
      </c>
      <c r="E122" s="126">
        <v>521.07000000000005</v>
      </c>
      <c r="F122" s="126" t="s">
        <v>88</v>
      </c>
      <c r="G122" s="108">
        <v>45432</v>
      </c>
      <c r="H122" s="126" t="s">
        <v>89</v>
      </c>
      <c r="I122" s="126" t="s">
        <v>7842</v>
      </c>
      <c r="J122" s="126"/>
      <c r="K122" s="126" t="s">
        <v>7840</v>
      </c>
      <c r="L122" s="126" t="s">
        <v>7843</v>
      </c>
      <c r="M122" s="126" t="s">
        <v>399</v>
      </c>
      <c r="N122" s="88"/>
      <c r="O122" s="88"/>
      <c r="P122" s="86"/>
      <c r="Q122" s="3">
        <f t="shared" si="2"/>
        <v>521.07000000000005</v>
      </c>
      <c r="R122" s="85"/>
      <c r="S122" s="55" t="s">
        <v>9013</v>
      </c>
      <c r="T122" s="88"/>
      <c r="U122" s="3" t="str">
        <f t="shared" si="3"/>
        <v/>
      </c>
      <c r="V122" s="88"/>
      <c r="W122" s="88"/>
      <c r="X122" s="88"/>
      <c r="Y122" s="88"/>
      <c r="Z122" s="88"/>
      <c r="AA122" s="88"/>
      <c r="AB122" s="88"/>
      <c r="AC122" s="88"/>
      <c r="AD122" s="88"/>
      <c r="AE122" s="88"/>
    </row>
    <row r="123" spans="1:31" x14ac:dyDescent="0.35">
      <c r="A123" s="126" t="s">
        <v>0</v>
      </c>
      <c r="B123" s="126" t="s">
        <v>825</v>
      </c>
      <c r="C123" s="126" t="s">
        <v>2</v>
      </c>
      <c r="D123" s="126" t="s">
        <v>3</v>
      </c>
      <c r="E123" s="126">
        <v>500</v>
      </c>
      <c r="F123" s="126" t="s">
        <v>88</v>
      </c>
      <c r="G123" s="108">
        <v>45513</v>
      </c>
      <c r="H123" s="126" t="s">
        <v>89</v>
      </c>
      <c r="I123" s="126" t="s">
        <v>8297</v>
      </c>
      <c r="J123" s="143"/>
      <c r="K123" s="126" t="s">
        <v>405</v>
      </c>
      <c r="L123" s="126" t="s">
        <v>8298</v>
      </c>
      <c r="M123" s="126" t="s">
        <v>404</v>
      </c>
      <c r="N123" s="126"/>
      <c r="O123" s="126"/>
      <c r="Q123" s="3">
        <f t="shared" si="2"/>
        <v>500</v>
      </c>
      <c r="S123" s="55" t="s">
        <v>9021</v>
      </c>
      <c r="U123" s="3" t="str">
        <f t="shared" si="3"/>
        <v/>
      </c>
    </row>
    <row r="124" spans="1:31" x14ac:dyDescent="0.35">
      <c r="A124" s="126" t="s">
        <v>35</v>
      </c>
      <c r="B124" s="126" t="s">
        <v>724</v>
      </c>
      <c r="C124" s="126" t="s">
        <v>2</v>
      </c>
      <c r="D124" s="126" t="s">
        <v>3</v>
      </c>
      <c r="E124" s="126">
        <v>499.09</v>
      </c>
      <c r="F124" s="126" t="s">
        <v>88</v>
      </c>
      <c r="G124" s="108">
        <v>45625</v>
      </c>
      <c r="H124" s="126" t="s">
        <v>94</v>
      </c>
      <c r="I124" s="126" t="s">
        <v>8810</v>
      </c>
      <c r="K124" s="126" t="s">
        <v>8811</v>
      </c>
      <c r="L124" s="126"/>
      <c r="M124" s="126"/>
      <c r="N124" s="126"/>
      <c r="O124" s="126" t="s">
        <v>8812</v>
      </c>
      <c r="Q124" s="3">
        <f t="shared" si="2"/>
        <v>499.09</v>
      </c>
      <c r="S124" s="55" t="s">
        <v>9018</v>
      </c>
      <c r="U124" s="3" t="str">
        <f t="shared" si="3"/>
        <v/>
      </c>
    </row>
    <row r="125" spans="1:31" x14ac:dyDescent="0.35">
      <c r="A125" s="126" t="s">
        <v>35</v>
      </c>
      <c r="B125" s="126" t="s">
        <v>740</v>
      </c>
      <c r="C125" s="126" t="s">
        <v>2</v>
      </c>
      <c r="D125" s="126" t="s">
        <v>3</v>
      </c>
      <c r="E125" s="126">
        <v>479.14</v>
      </c>
      <c r="F125" s="126" t="s">
        <v>88</v>
      </c>
      <c r="G125" s="108">
        <v>45602</v>
      </c>
      <c r="H125" s="126" t="s">
        <v>94</v>
      </c>
      <c r="I125" s="126" t="s">
        <v>426</v>
      </c>
      <c r="K125" s="126" t="s">
        <v>8683</v>
      </c>
      <c r="L125" s="126"/>
      <c r="M125" s="126"/>
      <c r="N125" s="126"/>
      <c r="O125" s="126" t="s">
        <v>8176</v>
      </c>
      <c r="Q125" s="3">
        <f t="shared" si="2"/>
        <v>479.14</v>
      </c>
      <c r="S125" s="55" t="s">
        <v>586</v>
      </c>
      <c r="U125" s="3" t="str">
        <f t="shared" si="3"/>
        <v/>
      </c>
    </row>
    <row r="126" spans="1:31" x14ac:dyDescent="0.35">
      <c r="A126" s="126" t="s">
        <v>0</v>
      </c>
      <c r="B126" s="126" t="s">
        <v>1043</v>
      </c>
      <c r="C126" s="126" t="s">
        <v>2</v>
      </c>
      <c r="D126" s="126" t="s">
        <v>3</v>
      </c>
      <c r="E126" s="126">
        <v>478.59</v>
      </c>
      <c r="F126" s="126" t="s">
        <v>88</v>
      </c>
      <c r="G126" s="108">
        <v>45391</v>
      </c>
      <c r="H126" s="126" t="s">
        <v>89</v>
      </c>
      <c r="I126" s="126" t="s">
        <v>7691</v>
      </c>
      <c r="J126" s="143"/>
      <c r="K126" s="126" t="s">
        <v>7672</v>
      </c>
      <c r="L126" s="126" t="s">
        <v>7692</v>
      </c>
      <c r="M126" s="126" t="s">
        <v>399</v>
      </c>
      <c r="N126" s="126"/>
      <c r="O126" s="126"/>
      <c r="Q126" s="3">
        <f t="shared" si="2"/>
        <v>478.59</v>
      </c>
      <c r="S126" s="55" t="s">
        <v>9013</v>
      </c>
      <c r="U126" s="3" t="str">
        <f t="shared" si="3"/>
        <v/>
      </c>
    </row>
    <row r="127" spans="1:31" x14ac:dyDescent="0.35">
      <c r="A127" s="126" t="s">
        <v>35</v>
      </c>
      <c r="B127" s="126" t="s">
        <v>740</v>
      </c>
      <c r="C127" s="126" t="s">
        <v>2</v>
      </c>
      <c r="D127" s="126" t="s">
        <v>3</v>
      </c>
      <c r="E127" s="126">
        <v>477.88</v>
      </c>
      <c r="F127" s="126" t="s">
        <v>88</v>
      </c>
      <c r="G127" s="108">
        <v>45401</v>
      </c>
      <c r="H127" s="126" t="s">
        <v>94</v>
      </c>
      <c r="I127" s="126" t="s">
        <v>426</v>
      </c>
      <c r="K127" s="126" t="s">
        <v>7744</v>
      </c>
      <c r="L127" s="126"/>
      <c r="M127" s="126"/>
      <c r="N127" s="143"/>
      <c r="O127" s="143" t="s">
        <v>7745</v>
      </c>
      <c r="Q127" s="3">
        <f t="shared" si="2"/>
        <v>477.88</v>
      </c>
      <c r="S127" s="55" t="s">
        <v>53</v>
      </c>
      <c r="T127" t="s">
        <v>64</v>
      </c>
      <c r="U127" s="3">
        <f t="shared" si="3"/>
        <v>477.88</v>
      </c>
    </row>
    <row r="128" spans="1:31" x14ac:dyDescent="0.35">
      <c r="A128" s="126" t="s">
        <v>0</v>
      </c>
      <c r="B128" s="126" t="s">
        <v>7696</v>
      </c>
      <c r="C128" s="126" t="s">
        <v>2</v>
      </c>
      <c r="D128" s="126" t="s">
        <v>3</v>
      </c>
      <c r="E128" s="126">
        <v>455.02</v>
      </c>
      <c r="F128" s="126" t="s">
        <v>88</v>
      </c>
      <c r="G128" s="108">
        <v>45569</v>
      </c>
      <c r="H128" s="126" t="s">
        <v>89</v>
      </c>
      <c r="I128" s="126" t="s">
        <v>8521</v>
      </c>
      <c r="J128" s="126"/>
      <c r="K128" s="126" t="s">
        <v>8522</v>
      </c>
      <c r="L128" s="126" t="s">
        <v>8523</v>
      </c>
      <c r="M128" s="126" t="s">
        <v>399</v>
      </c>
      <c r="Q128" s="3">
        <f t="shared" si="2"/>
        <v>455.02</v>
      </c>
      <c r="S128" s="55" t="s">
        <v>9013</v>
      </c>
      <c r="U128" s="3" t="str">
        <f t="shared" si="3"/>
        <v/>
      </c>
    </row>
    <row r="129" spans="1:30" x14ac:dyDescent="0.35">
      <c r="A129" s="126" t="s">
        <v>0</v>
      </c>
      <c r="B129" s="126" t="s">
        <v>4583</v>
      </c>
      <c r="C129" s="126" t="s">
        <v>2</v>
      </c>
      <c r="D129" s="126" t="s">
        <v>3</v>
      </c>
      <c r="E129" s="126">
        <v>454.93</v>
      </c>
      <c r="F129" s="126" t="s">
        <v>88</v>
      </c>
      <c r="G129" s="108">
        <v>45390</v>
      </c>
      <c r="H129" s="126" t="s">
        <v>89</v>
      </c>
      <c r="I129" s="126" t="s">
        <v>7671</v>
      </c>
      <c r="J129" s="143"/>
      <c r="K129" s="126" t="s">
        <v>7672</v>
      </c>
      <c r="L129" s="126" t="s">
        <v>7673</v>
      </c>
      <c r="M129" s="126" t="s">
        <v>399</v>
      </c>
      <c r="N129" s="126"/>
      <c r="O129" s="126"/>
      <c r="Q129" s="3">
        <f t="shared" si="2"/>
        <v>454.93</v>
      </c>
      <c r="S129" s="55" t="s">
        <v>9013</v>
      </c>
      <c r="U129" s="3" t="str">
        <f t="shared" si="3"/>
        <v/>
      </c>
    </row>
    <row r="130" spans="1:30" ht="29" x14ac:dyDescent="0.35">
      <c r="A130" s="126" t="s">
        <v>35</v>
      </c>
      <c r="B130" s="126" t="s">
        <v>740</v>
      </c>
      <c r="C130" s="126" t="s">
        <v>2</v>
      </c>
      <c r="D130" s="126" t="s">
        <v>3</v>
      </c>
      <c r="E130" s="126">
        <v>454.55</v>
      </c>
      <c r="F130" s="126" t="s">
        <v>88</v>
      </c>
      <c r="G130" s="108">
        <v>45490</v>
      </c>
      <c r="H130" s="126" t="s">
        <v>94</v>
      </c>
      <c r="I130" s="126" t="s">
        <v>7857</v>
      </c>
      <c r="K130" s="126" t="s">
        <v>8177</v>
      </c>
      <c r="L130" s="126"/>
      <c r="M130" s="126"/>
      <c r="N130" s="143"/>
      <c r="O130" s="143" t="s">
        <v>7859</v>
      </c>
      <c r="Q130" s="3">
        <f t="shared" si="2"/>
        <v>454.55</v>
      </c>
      <c r="S130" s="55" t="s">
        <v>9022</v>
      </c>
      <c r="U130" s="3" t="str">
        <f t="shared" si="3"/>
        <v/>
      </c>
      <c r="AD130">
        <f>E130</f>
        <v>454.55</v>
      </c>
    </row>
    <row r="131" spans="1:30" x14ac:dyDescent="0.35">
      <c r="A131" s="126" t="s">
        <v>0</v>
      </c>
      <c r="B131" s="126" t="s">
        <v>4583</v>
      </c>
      <c r="C131" s="126" t="s">
        <v>2</v>
      </c>
      <c r="D131" s="126" t="s">
        <v>3</v>
      </c>
      <c r="E131" s="126">
        <v>454.55</v>
      </c>
      <c r="F131" s="126" t="s">
        <v>88</v>
      </c>
      <c r="G131" s="108">
        <v>45635</v>
      </c>
      <c r="H131" s="126" t="s">
        <v>89</v>
      </c>
      <c r="I131" s="126" t="s">
        <v>8881</v>
      </c>
      <c r="J131" s="126"/>
      <c r="K131" s="126" t="s">
        <v>8735</v>
      </c>
      <c r="L131" s="126" t="s">
        <v>8882</v>
      </c>
      <c r="M131" s="126" t="s">
        <v>399</v>
      </c>
      <c r="Q131" s="3">
        <f t="shared" si="2"/>
        <v>454.55</v>
      </c>
      <c r="S131" s="55" t="s">
        <v>9013</v>
      </c>
      <c r="U131" s="3" t="str">
        <f t="shared" si="3"/>
        <v/>
      </c>
    </row>
    <row r="132" spans="1:30" x14ac:dyDescent="0.35">
      <c r="A132" s="126" t="s">
        <v>0</v>
      </c>
      <c r="B132" s="126" t="s">
        <v>1106</v>
      </c>
      <c r="C132" s="126" t="s">
        <v>2</v>
      </c>
      <c r="D132" s="126" t="s">
        <v>3</v>
      </c>
      <c r="E132" s="126">
        <v>449.04</v>
      </c>
      <c r="F132" s="126" t="s">
        <v>88</v>
      </c>
      <c r="G132" s="108">
        <v>45551</v>
      </c>
      <c r="H132" s="126" t="s">
        <v>89</v>
      </c>
      <c r="I132" s="126" t="s">
        <v>8431</v>
      </c>
      <c r="J132" s="143"/>
      <c r="K132" s="126" t="s">
        <v>8432</v>
      </c>
      <c r="L132" s="126" t="s">
        <v>8433</v>
      </c>
      <c r="M132" s="126" t="s">
        <v>399</v>
      </c>
      <c r="Q132" s="3">
        <f t="shared" si="2"/>
        <v>449.04</v>
      </c>
      <c r="S132" s="55" t="s">
        <v>9013</v>
      </c>
      <c r="U132" s="3" t="str">
        <f t="shared" si="3"/>
        <v/>
      </c>
    </row>
    <row r="133" spans="1:30" x14ac:dyDescent="0.35">
      <c r="A133" s="126" t="s">
        <v>35</v>
      </c>
      <c r="B133" s="126" t="s">
        <v>4622</v>
      </c>
      <c r="C133" s="126" t="s">
        <v>2</v>
      </c>
      <c r="D133" s="126" t="s">
        <v>3</v>
      </c>
      <c r="E133" s="126">
        <v>437.09999999999997</v>
      </c>
      <c r="F133" s="126" t="s">
        <v>88</v>
      </c>
      <c r="G133" s="108">
        <v>45630</v>
      </c>
      <c r="H133" s="126" t="s">
        <v>94</v>
      </c>
      <c r="I133" s="126" t="s">
        <v>426</v>
      </c>
      <c r="K133" s="126" t="s">
        <v>8850</v>
      </c>
      <c r="L133" s="126"/>
      <c r="M133" s="126"/>
      <c r="N133" s="143"/>
      <c r="O133" s="143" t="s">
        <v>570</v>
      </c>
      <c r="Q133" s="3">
        <f t="shared" si="2"/>
        <v>437.09999999999997</v>
      </c>
      <c r="S133" s="55" t="s">
        <v>9021</v>
      </c>
      <c r="U133" s="3" t="str">
        <f t="shared" si="3"/>
        <v/>
      </c>
    </row>
    <row r="134" spans="1:30" x14ac:dyDescent="0.35">
      <c r="A134" s="126" t="s">
        <v>0</v>
      </c>
      <c r="B134" s="126" t="s">
        <v>4583</v>
      </c>
      <c r="C134" s="126" t="s">
        <v>2</v>
      </c>
      <c r="D134" s="126" t="s">
        <v>3</v>
      </c>
      <c r="E134" s="126">
        <v>436.85</v>
      </c>
      <c r="F134" s="126" t="s">
        <v>88</v>
      </c>
      <c r="G134" s="108">
        <v>45432</v>
      </c>
      <c r="H134" s="126" t="s">
        <v>89</v>
      </c>
      <c r="I134" s="126" t="s">
        <v>7842</v>
      </c>
      <c r="J134" s="126"/>
      <c r="K134" s="126" t="s">
        <v>7840</v>
      </c>
      <c r="L134" s="126" t="s">
        <v>7843</v>
      </c>
      <c r="M134" s="126" t="s">
        <v>399</v>
      </c>
      <c r="Q134" s="3">
        <f t="shared" si="2"/>
        <v>436.85</v>
      </c>
      <c r="S134" s="55" t="s">
        <v>9013</v>
      </c>
      <c r="U134" s="3" t="str">
        <f t="shared" si="3"/>
        <v/>
      </c>
    </row>
    <row r="135" spans="1:30" x14ac:dyDescent="0.35">
      <c r="A135" s="126" t="s">
        <v>0</v>
      </c>
      <c r="B135" s="126" t="s">
        <v>4583</v>
      </c>
      <c r="C135" s="126" t="s">
        <v>2</v>
      </c>
      <c r="D135" s="126" t="s">
        <v>3</v>
      </c>
      <c r="E135" s="126">
        <v>436.85</v>
      </c>
      <c r="F135" s="126" t="s">
        <v>88</v>
      </c>
      <c r="G135" s="108">
        <v>45505</v>
      </c>
      <c r="H135" s="126" t="s">
        <v>89</v>
      </c>
      <c r="I135" s="126" t="s">
        <v>8248</v>
      </c>
      <c r="J135" s="126"/>
      <c r="K135" s="126" t="s">
        <v>8135</v>
      </c>
      <c r="L135" s="126" t="s">
        <v>8249</v>
      </c>
      <c r="M135" s="126" t="s">
        <v>399</v>
      </c>
      <c r="Q135" s="3">
        <f t="shared" si="2"/>
        <v>436.85</v>
      </c>
      <c r="S135" s="55" t="s">
        <v>9013</v>
      </c>
      <c r="U135" s="3" t="str">
        <f t="shared" si="3"/>
        <v/>
      </c>
    </row>
    <row r="136" spans="1:30" x14ac:dyDescent="0.35">
      <c r="A136" s="126" t="s">
        <v>0</v>
      </c>
      <c r="B136" s="126" t="s">
        <v>4583</v>
      </c>
      <c r="C136" s="126" t="s">
        <v>2</v>
      </c>
      <c r="D136" s="126" t="s">
        <v>3</v>
      </c>
      <c r="E136" s="126">
        <v>436.85</v>
      </c>
      <c r="F136" s="126" t="s">
        <v>88</v>
      </c>
      <c r="G136" s="108">
        <v>45569</v>
      </c>
      <c r="H136" s="126" t="s">
        <v>89</v>
      </c>
      <c r="I136" s="126" t="s">
        <v>8524</v>
      </c>
      <c r="J136" s="126"/>
      <c r="K136" s="126" t="s">
        <v>8525</v>
      </c>
      <c r="L136" s="126" t="s">
        <v>8526</v>
      </c>
      <c r="M136" s="126" t="s">
        <v>399</v>
      </c>
      <c r="Q136" s="3">
        <f t="shared" ref="Q136:Q199" si="4">ABS(E136)</f>
        <v>436.85</v>
      </c>
      <c r="S136" s="55" t="s">
        <v>9013</v>
      </c>
      <c r="U136" s="3" t="str">
        <f t="shared" ref="U136:U199" si="5">IF(T136="Y",E136,"")</f>
        <v/>
      </c>
    </row>
    <row r="137" spans="1:30" x14ac:dyDescent="0.35">
      <c r="A137" s="126" t="s">
        <v>0</v>
      </c>
      <c r="B137" s="126" t="s">
        <v>4583</v>
      </c>
      <c r="C137" s="126" t="s">
        <v>2</v>
      </c>
      <c r="D137" s="126" t="s">
        <v>3</v>
      </c>
      <c r="E137" s="126">
        <v>436.85</v>
      </c>
      <c r="F137" s="126" t="s">
        <v>88</v>
      </c>
      <c r="G137" s="108">
        <v>45611</v>
      </c>
      <c r="H137" s="126" t="s">
        <v>89</v>
      </c>
      <c r="I137" s="126" t="s">
        <v>8737</v>
      </c>
      <c r="J137" s="126"/>
      <c r="K137" s="126" t="s">
        <v>8522</v>
      </c>
      <c r="L137" s="126" t="s">
        <v>8738</v>
      </c>
      <c r="M137" s="126" t="s">
        <v>399</v>
      </c>
      <c r="Q137" s="3">
        <f t="shared" si="4"/>
        <v>436.85</v>
      </c>
      <c r="S137" s="55" t="s">
        <v>9013</v>
      </c>
      <c r="U137" s="3" t="str">
        <f t="shared" si="5"/>
        <v/>
      </c>
    </row>
    <row r="138" spans="1:30" x14ac:dyDescent="0.35">
      <c r="A138" s="126" t="s">
        <v>0</v>
      </c>
      <c r="B138" s="126" t="s">
        <v>7696</v>
      </c>
      <c r="C138" s="126" t="s">
        <v>2</v>
      </c>
      <c r="D138" s="126" t="s">
        <v>3</v>
      </c>
      <c r="E138" s="126">
        <v>432.5</v>
      </c>
      <c r="F138" s="126" t="s">
        <v>88</v>
      </c>
      <c r="G138" s="108">
        <v>45611</v>
      </c>
      <c r="H138" s="126" t="s">
        <v>89</v>
      </c>
      <c r="I138" s="126" t="s">
        <v>8734</v>
      </c>
      <c r="J138" s="126"/>
      <c r="K138" s="126" t="s">
        <v>8735</v>
      </c>
      <c r="L138" s="126" t="s">
        <v>8736</v>
      </c>
      <c r="M138" s="126" t="s">
        <v>399</v>
      </c>
      <c r="Q138" s="3">
        <f t="shared" si="4"/>
        <v>432.5</v>
      </c>
      <c r="S138" s="55" t="s">
        <v>9013</v>
      </c>
      <c r="U138" s="3" t="str">
        <f t="shared" si="5"/>
        <v/>
      </c>
    </row>
    <row r="139" spans="1:30" x14ac:dyDescent="0.35">
      <c r="A139" s="126" t="s">
        <v>0</v>
      </c>
      <c r="B139" s="126" t="s">
        <v>7696</v>
      </c>
      <c r="C139" s="126" t="s">
        <v>2</v>
      </c>
      <c r="D139" s="126" t="s">
        <v>3</v>
      </c>
      <c r="E139" s="126">
        <v>432.5</v>
      </c>
      <c r="F139" s="126" t="s">
        <v>88</v>
      </c>
      <c r="G139" s="108">
        <v>45635</v>
      </c>
      <c r="H139" s="126" t="s">
        <v>89</v>
      </c>
      <c r="I139" s="126" t="s">
        <v>8878</v>
      </c>
      <c r="J139" s="126"/>
      <c r="K139" s="126" t="s">
        <v>8879</v>
      </c>
      <c r="L139" s="126" t="s">
        <v>8880</v>
      </c>
      <c r="M139" s="126" t="s">
        <v>399</v>
      </c>
      <c r="Q139" s="3">
        <f t="shared" si="4"/>
        <v>432.5</v>
      </c>
      <c r="S139" s="55" t="s">
        <v>9013</v>
      </c>
      <c r="U139" s="3" t="str">
        <f t="shared" si="5"/>
        <v/>
      </c>
    </row>
    <row r="140" spans="1:30" x14ac:dyDescent="0.35">
      <c r="A140" s="126" t="s">
        <v>0</v>
      </c>
      <c r="B140" s="126" t="s">
        <v>789</v>
      </c>
      <c r="C140" s="126" t="s">
        <v>2</v>
      </c>
      <c r="D140" s="126" t="s">
        <v>3</v>
      </c>
      <c r="E140" s="126">
        <v>431.87</v>
      </c>
      <c r="F140" s="126" t="s">
        <v>88</v>
      </c>
      <c r="G140" s="108">
        <v>45611</v>
      </c>
      <c r="H140" s="126" t="s">
        <v>89</v>
      </c>
      <c r="I140" s="126" t="s">
        <v>8737</v>
      </c>
      <c r="J140" s="143"/>
      <c r="K140" s="126" t="s">
        <v>8522</v>
      </c>
      <c r="L140" s="126" t="s">
        <v>8738</v>
      </c>
      <c r="M140" s="126" t="s">
        <v>399</v>
      </c>
      <c r="Q140" s="3">
        <f t="shared" si="4"/>
        <v>431.87</v>
      </c>
      <c r="S140" s="55" t="s">
        <v>9013</v>
      </c>
      <c r="U140" s="3" t="str">
        <f t="shared" si="5"/>
        <v/>
      </c>
    </row>
    <row r="141" spans="1:30" x14ac:dyDescent="0.35">
      <c r="A141" s="126" t="s">
        <v>35</v>
      </c>
      <c r="B141" s="126" t="s">
        <v>1075</v>
      </c>
      <c r="C141" s="126" t="s">
        <v>2</v>
      </c>
      <c r="D141" s="126" t="s">
        <v>3</v>
      </c>
      <c r="E141" s="126">
        <v>428.54</v>
      </c>
      <c r="F141" s="126" t="s">
        <v>88</v>
      </c>
      <c r="G141" s="108">
        <v>45609</v>
      </c>
      <c r="H141" s="126" t="s">
        <v>94</v>
      </c>
      <c r="I141" s="126" t="s">
        <v>8727</v>
      </c>
      <c r="K141" s="126" t="s">
        <v>8728</v>
      </c>
      <c r="L141" s="126"/>
      <c r="M141" s="126"/>
      <c r="N141" s="126"/>
      <c r="O141" s="126" t="s">
        <v>8729</v>
      </c>
      <c r="Q141" s="3">
        <f t="shared" si="4"/>
        <v>428.54</v>
      </c>
      <c r="S141" s="55" t="s">
        <v>9020</v>
      </c>
      <c r="U141" s="3" t="str">
        <f t="shared" si="5"/>
        <v/>
      </c>
    </row>
    <row r="142" spans="1:30" x14ac:dyDescent="0.35">
      <c r="A142" s="126" t="s">
        <v>35</v>
      </c>
      <c r="B142" s="126" t="s">
        <v>6387</v>
      </c>
      <c r="C142" s="126" t="s">
        <v>2</v>
      </c>
      <c r="D142" s="126" t="s">
        <v>3</v>
      </c>
      <c r="E142" s="126">
        <v>427.64</v>
      </c>
      <c r="F142" s="126" t="s">
        <v>88</v>
      </c>
      <c r="G142" s="108">
        <v>45474</v>
      </c>
      <c r="H142" s="126" t="s">
        <v>94</v>
      </c>
      <c r="I142" s="126" t="s">
        <v>8075</v>
      </c>
      <c r="K142" s="126" t="s">
        <v>8076</v>
      </c>
      <c r="L142" s="126"/>
      <c r="M142" s="126"/>
      <c r="N142" s="126"/>
      <c r="O142" s="126" t="s">
        <v>8077</v>
      </c>
      <c r="Q142" s="3">
        <f t="shared" si="4"/>
        <v>427.64</v>
      </c>
      <c r="S142" s="55" t="s">
        <v>5807</v>
      </c>
      <c r="U142" s="3" t="str">
        <f t="shared" si="5"/>
        <v/>
      </c>
      <c r="AD142">
        <f>E142</f>
        <v>427.64</v>
      </c>
    </row>
    <row r="143" spans="1:30" x14ac:dyDescent="0.35">
      <c r="A143" s="126" t="s">
        <v>35</v>
      </c>
      <c r="B143" s="126" t="s">
        <v>740</v>
      </c>
      <c r="C143" s="126" t="s">
        <v>2</v>
      </c>
      <c r="D143" s="126" t="s">
        <v>3</v>
      </c>
      <c r="E143" s="126">
        <v>425.55</v>
      </c>
      <c r="F143" s="126" t="s">
        <v>88</v>
      </c>
      <c r="G143" s="108">
        <v>45635</v>
      </c>
      <c r="H143" s="126" t="s">
        <v>94</v>
      </c>
      <c r="I143" s="126" t="s">
        <v>426</v>
      </c>
      <c r="K143" s="126" t="s">
        <v>8679</v>
      </c>
      <c r="L143" s="126"/>
      <c r="M143" s="126"/>
      <c r="N143" s="126"/>
      <c r="O143" s="126" t="s">
        <v>7745</v>
      </c>
      <c r="Q143" s="3">
        <f t="shared" si="4"/>
        <v>425.55</v>
      </c>
      <c r="S143" s="55" t="s">
        <v>586</v>
      </c>
      <c r="U143" s="3" t="str">
        <f t="shared" si="5"/>
        <v/>
      </c>
    </row>
    <row r="144" spans="1:30" x14ac:dyDescent="0.35">
      <c r="A144" s="126" t="s">
        <v>35</v>
      </c>
      <c r="B144" s="126" t="s">
        <v>708</v>
      </c>
      <c r="C144" s="126" t="s">
        <v>2</v>
      </c>
      <c r="D144" s="126" t="s">
        <v>3</v>
      </c>
      <c r="E144" s="126">
        <v>419.76</v>
      </c>
      <c r="F144" s="126" t="s">
        <v>88</v>
      </c>
      <c r="G144" s="108">
        <v>45574</v>
      </c>
      <c r="H144" s="126" t="s">
        <v>94</v>
      </c>
      <c r="I144" s="126" t="s">
        <v>477</v>
      </c>
      <c r="K144" s="126" t="s">
        <v>8549</v>
      </c>
      <c r="L144" s="126"/>
      <c r="M144" s="126"/>
      <c r="N144" s="143"/>
      <c r="O144" s="143" t="s">
        <v>8550</v>
      </c>
      <c r="Q144" s="3">
        <f t="shared" si="4"/>
        <v>419.76</v>
      </c>
      <c r="S144" s="55" t="s">
        <v>9023</v>
      </c>
      <c r="U144" s="3" t="str">
        <f t="shared" si="5"/>
        <v/>
      </c>
    </row>
    <row r="145" spans="1:21" x14ac:dyDescent="0.35">
      <c r="A145" s="126" t="s">
        <v>0</v>
      </c>
      <c r="B145" s="126" t="s">
        <v>2728</v>
      </c>
      <c r="C145" s="126" t="s">
        <v>2</v>
      </c>
      <c r="D145" s="126" t="s">
        <v>3</v>
      </c>
      <c r="E145" s="126">
        <v>419.27</v>
      </c>
      <c r="F145" s="126" t="s">
        <v>88</v>
      </c>
      <c r="G145" s="108">
        <v>45544</v>
      </c>
      <c r="H145" s="126" t="s">
        <v>89</v>
      </c>
      <c r="I145" s="126" t="s">
        <v>8400</v>
      </c>
      <c r="J145" s="143"/>
      <c r="K145" s="126" t="s">
        <v>8321</v>
      </c>
      <c r="L145" s="126" t="s">
        <v>8401</v>
      </c>
      <c r="M145" s="126" t="s">
        <v>399</v>
      </c>
      <c r="Q145" s="3">
        <f t="shared" si="4"/>
        <v>419.27</v>
      </c>
      <c r="S145" s="55" t="s">
        <v>9013</v>
      </c>
      <c r="U145" s="3" t="str">
        <f t="shared" si="5"/>
        <v/>
      </c>
    </row>
    <row r="146" spans="1:21" x14ac:dyDescent="0.35">
      <c r="A146" s="126" t="s">
        <v>35</v>
      </c>
      <c r="B146" s="126" t="s">
        <v>893</v>
      </c>
      <c r="C146" s="126" t="s">
        <v>2</v>
      </c>
      <c r="D146" s="126" t="s">
        <v>3</v>
      </c>
      <c r="E146" s="126">
        <v>404.27</v>
      </c>
      <c r="F146" s="126" t="s">
        <v>88</v>
      </c>
      <c r="G146" s="108">
        <v>45553</v>
      </c>
      <c r="H146" s="126" t="s">
        <v>94</v>
      </c>
      <c r="I146" s="126" t="s">
        <v>457</v>
      </c>
      <c r="K146" s="126" t="s">
        <v>8450</v>
      </c>
      <c r="L146" s="126"/>
      <c r="M146" s="126"/>
      <c r="N146" s="126"/>
      <c r="O146" s="126" t="s">
        <v>8451</v>
      </c>
      <c r="Q146" s="3">
        <f t="shared" si="4"/>
        <v>404.27</v>
      </c>
      <c r="S146" s="55" t="s">
        <v>9021</v>
      </c>
      <c r="U146" s="3" t="str">
        <f t="shared" si="5"/>
        <v/>
      </c>
    </row>
    <row r="147" spans="1:21" x14ac:dyDescent="0.35">
      <c r="A147" s="126" t="s">
        <v>35</v>
      </c>
      <c r="B147" s="126" t="s">
        <v>1075</v>
      </c>
      <c r="C147" s="126" t="s">
        <v>2</v>
      </c>
      <c r="D147" s="126" t="s">
        <v>3</v>
      </c>
      <c r="E147" s="126">
        <v>403.64</v>
      </c>
      <c r="F147" s="126" t="s">
        <v>88</v>
      </c>
      <c r="G147" s="108">
        <v>45595</v>
      </c>
      <c r="H147" s="126" t="s">
        <v>94</v>
      </c>
      <c r="I147" s="126" t="s">
        <v>8615</v>
      </c>
      <c r="K147" s="126" t="s">
        <v>8616</v>
      </c>
      <c r="L147" s="126"/>
      <c r="M147" s="126"/>
      <c r="N147" s="126"/>
      <c r="O147" s="126" t="s">
        <v>7259</v>
      </c>
      <c r="Q147" s="3">
        <f t="shared" si="4"/>
        <v>403.64</v>
      </c>
      <c r="S147" s="55" t="s">
        <v>9024</v>
      </c>
      <c r="U147" s="3" t="str">
        <f t="shared" si="5"/>
        <v/>
      </c>
    </row>
    <row r="148" spans="1:21" x14ac:dyDescent="0.35">
      <c r="A148" s="126" t="s">
        <v>35</v>
      </c>
      <c r="B148" s="126" t="s">
        <v>869</v>
      </c>
      <c r="C148" s="126" t="s">
        <v>2</v>
      </c>
      <c r="D148" s="126" t="s">
        <v>3</v>
      </c>
      <c r="E148" s="126">
        <v>397.21</v>
      </c>
      <c r="F148" s="126" t="s">
        <v>88</v>
      </c>
      <c r="G148" s="108">
        <v>45432</v>
      </c>
      <c r="H148" s="126" t="s">
        <v>94</v>
      </c>
      <c r="I148" s="126" t="s">
        <v>425</v>
      </c>
      <c r="K148" s="126" t="s">
        <v>7855</v>
      </c>
      <c r="L148" s="126"/>
      <c r="M148" s="126"/>
      <c r="N148" s="126"/>
      <c r="O148" s="126" t="s">
        <v>7856</v>
      </c>
      <c r="Q148" s="3">
        <f t="shared" si="4"/>
        <v>397.21</v>
      </c>
      <c r="S148" s="55" t="s">
        <v>9024</v>
      </c>
      <c r="U148" s="3" t="str">
        <f t="shared" si="5"/>
        <v/>
      </c>
    </row>
    <row r="149" spans="1:21" x14ac:dyDescent="0.35">
      <c r="A149" s="126" t="s">
        <v>35</v>
      </c>
      <c r="B149" s="126" t="s">
        <v>869</v>
      </c>
      <c r="C149" s="126" t="s">
        <v>2</v>
      </c>
      <c r="D149" s="126" t="s">
        <v>3</v>
      </c>
      <c r="E149" s="126">
        <v>387.97</v>
      </c>
      <c r="F149" s="126" t="s">
        <v>88</v>
      </c>
      <c r="G149" s="108">
        <v>45636</v>
      </c>
      <c r="H149" s="126" t="s">
        <v>94</v>
      </c>
      <c r="I149" s="126" t="s">
        <v>426</v>
      </c>
      <c r="K149" s="126" t="s">
        <v>8679</v>
      </c>
      <c r="L149" s="126"/>
      <c r="M149" s="126"/>
      <c r="N149" s="126"/>
      <c r="O149" s="126" t="s">
        <v>541</v>
      </c>
      <c r="Q149" s="3">
        <f t="shared" si="4"/>
        <v>387.97</v>
      </c>
      <c r="S149" s="55" t="s">
        <v>586</v>
      </c>
      <c r="U149" s="3" t="str">
        <f t="shared" si="5"/>
        <v/>
      </c>
    </row>
    <row r="150" spans="1:21" x14ac:dyDescent="0.35">
      <c r="A150" s="126" t="s">
        <v>35</v>
      </c>
      <c r="B150" s="126" t="s">
        <v>740</v>
      </c>
      <c r="C150" s="126" t="s">
        <v>2</v>
      </c>
      <c r="D150" s="126" t="s">
        <v>3</v>
      </c>
      <c r="E150" s="126">
        <v>385.26</v>
      </c>
      <c r="F150" s="126" t="s">
        <v>88</v>
      </c>
      <c r="G150" s="108">
        <v>45411</v>
      </c>
      <c r="H150" s="126" t="s">
        <v>94</v>
      </c>
      <c r="I150" s="126" t="s">
        <v>426</v>
      </c>
      <c r="K150" s="126" t="s">
        <v>7777</v>
      </c>
      <c r="L150" s="126"/>
      <c r="M150" s="126"/>
      <c r="N150" s="126"/>
      <c r="O150" s="126" t="s">
        <v>7778</v>
      </c>
      <c r="Q150" s="3">
        <f t="shared" si="4"/>
        <v>385.26</v>
      </c>
      <c r="S150" s="55" t="s">
        <v>9021</v>
      </c>
      <c r="U150" s="3" t="str">
        <f t="shared" si="5"/>
        <v/>
      </c>
    </row>
    <row r="151" spans="1:21" x14ac:dyDescent="0.35">
      <c r="A151" s="126" t="s">
        <v>35</v>
      </c>
      <c r="B151" s="126" t="s">
        <v>756</v>
      </c>
      <c r="C151" s="126" t="s">
        <v>2</v>
      </c>
      <c r="D151" s="126" t="s">
        <v>3</v>
      </c>
      <c r="E151" s="126">
        <v>382.47</v>
      </c>
      <c r="F151" s="126" t="s">
        <v>88</v>
      </c>
      <c r="G151" s="108">
        <v>45385</v>
      </c>
      <c r="H151" s="126" t="s">
        <v>89</v>
      </c>
      <c r="I151" s="126" t="s">
        <v>7639</v>
      </c>
      <c r="J151" s="126"/>
      <c r="K151" s="126" t="s">
        <v>7640</v>
      </c>
      <c r="L151" s="126" t="s">
        <v>7641</v>
      </c>
      <c r="M151" s="126" t="s">
        <v>462</v>
      </c>
      <c r="N151" s="126"/>
      <c r="O151" s="126"/>
      <c r="Q151" s="3">
        <f t="shared" si="4"/>
        <v>382.47</v>
      </c>
      <c r="S151" s="55" t="s">
        <v>9025</v>
      </c>
      <c r="U151" s="3" t="str">
        <f t="shared" si="5"/>
        <v/>
      </c>
    </row>
    <row r="152" spans="1:21" x14ac:dyDescent="0.35">
      <c r="A152" s="126" t="s">
        <v>35</v>
      </c>
      <c r="B152" s="126" t="s">
        <v>869</v>
      </c>
      <c r="C152" s="126" t="s">
        <v>2</v>
      </c>
      <c r="D152" s="126" t="s">
        <v>3</v>
      </c>
      <c r="E152" s="126">
        <v>377.86</v>
      </c>
      <c r="F152" s="126" t="s">
        <v>88</v>
      </c>
      <c r="G152" s="108">
        <v>45544</v>
      </c>
      <c r="H152" s="126" t="s">
        <v>89</v>
      </c>
      <c r="I152" s="126" t="s">
        <v>8406</v>
      </c>
      <c r="J152" s="143"/>
      <c r="K152" s="126" t="s">
        <v>8407</v>
      </c>
      <c r="L152" s="126" t="s">
        <v>8408</v>
      </c>
      <c r="M152" s="126" t="s">
        <v>8093</v>
      </c>
      <c r="N152" s="126"/>
      <c r="O152" s="126"/>
      <c r="Q152" s="3">
        <f t="shared" si="4"/>
        <v>377.86</v>
      </c>
      <c r="S152" s="55" t="s">
        <v>9016</v>
      </c>
      <c r="U152" s="3" t="str">
        <f t="shared" si="5"/>
        <v/>
      </c>
    </row>
    <row r="153" spans="1:21" x14ac:dyDescent="0.35">
      <c r="A153" s="126" t="s">
        <v>35</v>
      </c>
      <c r="B153" s="126" t="s">
        <v>740</v>
      </c>
      <c r="C153" s="126" t="s">
        <v>2</v>
      </c>
      <c r="D153" s="126" t="s">
        <v>3</v>
      </c>
      <c r="E153" s="126">
        <v>377.68</v>
      </c>
      <c r="F153" s="126" t="s">
        <v>88</v>
      </c>
      <c r="G153" s="108">
        <v>45602</v>
      </c>
      <c r="H153" s="126" t="s">
        <v>94</v>
      </c>
      <c r="I153" s="126" t="s">
        <v>426</v>
      </c>
      <c r="K153" s="126" t="s">
        <v>8678</v>
      </c>
      <c r="L153" s="126"/>
      <c r="M153" s="126"/>
      <c r="N153" s="126"/>
      <c r="O153" s="126" t="s">
        <v>7745</v>
      </c>
      <c r="Q153" s="3">
        <f t="shared" si="4"/>
        <v>377.68</v>
      </c>
      <c r="S153" s="55" t="s">
        <v>586</v>
      </c>
      <c r="U153" s="3" t="str">
        <f t="shared" si="5"/>
        <v/>
      </c>
    </row>
    <row r="154" spans="1:21" x14ac:dyDescent="0.35">
      <c r="A154" s="126" t="s">
        <v>35</v>
      </c>
      <c r="B154" s="126" t="s">
        <v>852</v>
      </c>
      <c r="C154" s="126" t="s">
        <v>2</v>
      </c>
      <c r="D154" s="126" t="s">
        <v>3</v>
      </c>
      <c r="E154" s="126">
        <v>377.04</v>
      </c>
      <c r="F154" s="126" t="s">
        <v>88</v>
      </c>
      <c r="G154" s="108">
        <v>45632</v>
      </c>
      <c r="H154" s="126" t="s">
        <v>94</v>
      </c>
      <c r="I154" s="126" t="s">
        <v>6261</v>
      </c>
      <c r="K154" s="126" t="s">
        <v>8873</v>
      </c>
      <c r="L154" s="126"/>
      <c r="M154" s="126"/>
      <c r="N154" s="126"/>
      <c r="O154" s="126" t="s">
        <v>8874</v>
      </c>
      <c r="Q154" s="3">
        <f t="shared" si="4"/>
        <v>377.04</v>
      </c>
      <c r="S154" s="55" t="s">
        <v>9024</v>
      </c>
      <c r="U154" s="3" t="str">
        <f t="shared" si="5"/>
        <v/>
      </c>
    </row>
    <row r="155" spans="1:21" x14ac:dyDescent="0.35">
      <c r="A155" s="126" t="s">
        <v>35</v>
      </c>
      <c r="B155" s="126" t="s">
        <v>740</v>
      </c>
      <c r="C155" s="126" t="s">
        <v>2</v>
      </c>
      <c r="D155" s="126" t="s">
        <v>3</v>
      </c>
      <c r="E155" s="126">
        <v>376.59</v>
      </c>
      <c r="F155" s="126" t="s">
        <v>88</v>
      </c>
      <c r="G155" s="108">
        <v>45636</v>
      </c>
      <c r="H155" s="126" t="s">
        <v>94</v>
      </c>
      <c r="I155" s="126" t="s">
        <v>426</v>
      </c>
      <c r="K155" s="126" t="s">
        <v>8927</v>
      </c>
      <c r="L155" s="126"/>
      <c r="M155" s="126"/>
      <c r="N155" s="126"/>
      <c r="O155" s="126" t="s">
        <v>541</v>
      </c>
      <c r="Q155" s="3">
        <f t="shared" si="4"/>
        <v>376.59</v>
      </c>
      <c r="S155" s="55" t="s">
        <v>9021</v>
      </c>
      <c r="U155" s="3" t="str">
        <f t="shared" si="5"/>
        <v/>
      </c>
    </row>
    <row r="156" spans="1:21" x14ac:dyDescent="0.35">
      <c r="A156" s="126" t="s">
        <v>35</v>
      </c>
      <c r="B156" s="126" t="s">
        <v>740</v>
      </c>
      <c r="C156" s="126" t="s">
        <v>2</v>
      </c>
      <c r="D156" s="126" t="s">
        <v>3</v>
      </c>
      <c r="E156" s="126">
        <v>370.18</v>
      </c>
      <c r="F156" s="126" t="s">
        <v>88</v>
      </c>
      <c r="G156" s="108">
        <v>45490</v>
      </c>
      <c r="H156" s="126" t="s">
        <v>94</v>
      </c>
      <c r="I156" s="126" t="s">
        <v>426</v>
      </c>
      <c r="K156" s="126" t="s">
        <v>8171</v>
      </c>
      <c r="L156" s="126"/>
      <c r="M156" s="126"/>
      <c r="N156" s="126"/>
      <c r="O156" s="126" t="s">
        <v>541</v>
      </c>
      <c r="Q156" s="3">
        <f t="shared" si="4"/>
        <v>370.18</v>
      </c>
      <c r="S156" s="55" t="s">
        <v>586</v>
      </c>
      <c r="U156" s="3" t="str">
        <f t="shared" si="5"/>
        <v/>
      </c>
    </row>
    <row r="157" spans="1:21" x14ac:dyDescent="0.35">
      <c r="A157" s="126" t="s">
        <v>35</v>
      </c>
      <c r="B157" s="126" t="s">
        <v>969</v>
      </c>
      <c r="C157" s="126" t="s">
        <v>2</v>
      </c>
      <c r="D157" s="126" t="s">
        <v>3</v>
      </c>
      <c r="E157" s="126">
        <v>369.67</v>
      </c>
      <c r="F157" s="126" t="s">
        <v>88</v>
      </c>
      <c r="G157" s="108">
        <v>45443</v>
      </c>
      <c r="H157" s="126" t="s">
        <v>94</v>
      </c>
      <c r="I157" s="126" t="s">
        <v>426</v>
      </c>
      <c r="K157" s="126" t="s">
        <v>7917</v>
      </c>
      <c r="L157" s="126"/>
      <c r="M157" s="126"/>
      <c r="N157" s="126"/>
      <c r="O157" s="126" t="s">
        <v>7918</v>
      </c>
      <c r="Q157" s="3">
        <f t="shared" si="4"/>
        <v>369.67</v>
      </c>
      <c r="S157" s="55" t="s">
        <v>586</v>
      </c>
      <c r="U157" s="3" t="str">
        <f t="shared" si="5"/>
        <v/>
      </c>
    </row>
    <row r="158" spans="1:21" x14ac:dyDescent="0.35">
      <c r="A158" s="126" t="s">
        <v>35</v>
      </c>
      <c r="B158" s="126" t="s">
        <v>740</v>
      </c>
      <c r="C158" s="126" t="s">
        <v>2</v>
      </c>
      <c r="D158" s="126" t="s">
        <v>3</v>
      </c>
      <c r="E158" s="126">
        <v>360.86</v>
      </c>
      <c r="F158" s="126" t="s">
        <v>88</v>
      </c>
      <c r="G158" s="108">
        <v>45602</v>
      </c>
      <c r="H158" s="126" t="s">
        <v>94</v>
      </c>
      <c r="I158" s="126" t="s">
        <v>508</v>
      </c>
      <c r="K158" s="126" t="s">
        <v>8687</v>
      </c>
      <c r="L158" s="126"/>
      <c r="M158" s="126"/>
      <c r="N158" s="126"/>
      <c r="O158" s="126" t="s">
        <v>578</v>
      </c>
      <c r="Q158" s="3">
        <f t="shared" si="4"/>
        <v>360.86</v>
      </c>
      <c r="S158" s="55" t="s">
        <v>6269</v>
      </c>
      <c r="U158" s="3" t="str">
        <f t="shared" si="5"/>
        <v/>
      </c>
    </row>
    <row r="159" spans="1:21" x14ac:dyDescent="0.35">
      <c r="A159" s="126" t="s">
        <v>35</v>
      </c>
      <c r="B159" s="126" t="s">
        <v>633</v>
      </c>
      <c r="C159" s="126" t="s">
        <v>2</v>
      </c>
      <c r="D159" s="126" t="s">
        <v>3</v>
      </c>
      <c r="E159" s="126">
        <v>359.51</v>
      </c>
      <c r="F159" s="126" t="s">
        <v>88</v>
      </c>
      <c r="G159" s="108">
        <v>45581</v>
      </c>
      <c r="H159" s="126" t="s">
        <v>94</v>
      </c>
      <c r="I159" s="126" t="s">
        <v>495</v>
      </c>
      <c r="K159" s="126" t="s">
        <v>496</v>
      </c>
      <c r="L159" s="126"/>
      <c r="M159" s="126"/>
      <c r="N159" s="126"/>
      <c r="O159" s="126" t="s">
        <v>541</v>
      </c>
      <c r="Q159" s="3">
        <f t="shared" si="4"/>
        <v>359.51</v>
      </c>
      <c r="S159" s="55" t="s">
        <v>9014</v>
      </c>
      <c r="U159" s="3" t="str">
        <f t="shared" si="5"/>
        <v/>
      </c>
    </row>
    <row r="160" spans="1:21" x14ac:dyDescent="0.35">
      <c r="A160" s="126" t="s">
        <v>35</v>
      </c>
      <c r="B160" s="126" t="s">
        <v>740</v>
      </c>
      <c r="C160" s="126" t="s">
        <v>2</v>
      </c>
      <c r="D160" s="126" t="s">
        <v>3</v>
      </c>
      <c r="E160" s="126">
        <v>354.36</v>
      </c>
      <c r="F160" s="126" t="s">
        <v>88</v>
      </c>
      <c r="G160" s="108">
        <v>45602</v>
      </c>
      <c r="H160" s="126" t="s">
        <v>94</v>
      </c>
      <c r="I160" s="126" t="s">
        <v>426</v>
      </c>
      <c r="K160" s="126" t="s">
        <v>8677</v>
      </c>
      <c r="L160" s="126"/>
      <c r="M160" s="126"/>
      <c r="N160" s="126"/>
      <c r="O160" s="126" t="s">
        <v>7745</v>
      </c>
      <c r="Q160" s="3">
        <f t="shared" si="4"/>
        <v>354.36</v>
      </c>
      <c r="S160" s="55" t="s">
        <v>586</v>
      </c>
      <c r="U160" s="3" t="str">
        <f t="shared" si="5"/>
        <v/>
      </c>
    </row>
    <row r="161" spans="1:21" x14ac:dyDescent="0.35">
      <c r="A161" s="126" t="s">
        <v>0</v>
      </c>
      <c r="B161" s="126" t="s">
        <v>1627</v>
      </c>
      <c r="C161" s="126" t="s">
        <v>2</v>
      </c>
      <c r="D161" s="126" t="s">
        <v>3</v>
      </c>
      <c r="E161" s="126">
        <v>348.58</v>
      </c>
      <c r="F161" s="126" t="s">
        <v>88</v>
      </c>
      <c r="G161" s="108">
        <v>45581</v>
      </c>
      <c r="H161" s="126" t="s">
        <v>89</v>
      </c>
      <c r="I161" s="126" t="s">
        <v>8578</v>
      </c>
      <c r="J161" s="126"/>
      <c r="K161" s="126" t="s">
        <v>398</v>
      </c>
      <c r="L161" s="126" t="s">
        <v>8579</v>
      </c>
      <c r="M161" s="126" t="s">
        <v>361</v>
      </c>
      <c r="N161" s="143"/>
      <c r="O161" s="143"/>
      <c r="Q161" s="3">
        <f t="shared" si="4"/>
        <v>348.58</v>
      </c>
      <c r="S161" s="55" t="s">
        <v>9013</v>
      </c>
      <c r="U161" s="3" t="str">
        <f t="shared" si="5"/>
        <v/>
      </c>
    </row>
    <row r="162" spans="1:21" x14ac:dyDescent="0.35">
      <c r="A162" s="126" t="s">
        <v>0</v>
      </c>
      <c r="B162" s="126" t="s">
        <v>614</v>
      </c>
      <c r="C162" s="126" t="s">
        <v>2</v>
      </c>
      <c r="D162" s="126" t="s">
        <v>3</v>
      </c>
      <c r="E162" s="126">
        <v>346.08</v>
      </c>
      <c r="F162" s="126" t="s">
        <v>88</v>
      </c>
      <c r="G162" s="108">
        <v>45432</v>
      </c>
      <c r="H162" s="126" t="s">
        <v>89</v>
      </c>
      <c r="I162" s="126" t="s">
        <v>7839</v>
      </c>
      <c r="J162" s="126"/>
      <c r="K162" s="126" t="s">
        <v>7840</v>
      </c>
      <c r="L162" s="126" t="s">
        <v>7841</v>
      </c>
      <c r="M162" s="126" t="s">
        <v>399</v>
      </c>
      <c r="Q162" s="3">
        <f t="shared" si="4"/>
        <v>346.08</v>
      </c>
      <c r="S162" s="55" t="s">
        <v>9013</v>
      </c>
      <c r="U162" s="3" t="str">
        <f t="shared" si="5"/>
        <v/>
      </c>
    </row>
    <row r="163" spans="1:21" x14ac:dyDescent="0.35">
      <c r="A163" s="126" t="s">
        <v>0</v>
      </c>
      <c r="B163" s="126" t="s">
        <v>614</v>
      </c>
      <c r="C163" s="126" t="s">
        <v>2</v>
      </c>
      <c r="D163" s="126" t="s">
        <v>3</v>
      </c>
      <c r="E163" s="126">
        <v>346.08</v>
      </c>
      <c r="F163" s="126" t="s">
        <v>88</v>
      </c>
      <c r="G163" s="108">
        <v>45454</v>
      </c>
      <c r="H163" s="126" t="s">
        <v>89</v>
      </c>
      <c r="I163" s="126" t="s">
        <v>7958</v>
      </c>
      <c r="J163" s="126"/>
      <c r="K163" s="126" t="s">
        <v>7959</v>
      </c>
      <c r="L163" s="126" t="s">
        <v>7960</v>
      </c>
      <c r="M163" s="126" t="s">
        <v>399</v>
      </c>
      <c r="N163" s="126"/>
      <c r="O163" s="126"/>
      <c r="Q163" s="3">
        <f t="shared" si="4"/>
        <v>346.08</v>
      </c>
      <c r="S163" s="55" t="s">
        <v>9013</v>
      </c>
      <c r="U163" s="3" t="str">
        <f t="shared" si="5"/>
        <v/>
      </c>
    </row>
    <row r="164" spans="1:21" x14ac:dyDescent="0.35">
      <c r="A164" s="126" t="s">
        <v>0</v>
      </c>
      <c r="B164" s="126" t="s">
        <v>614</v>
      </c>
      <c r="C164" s="126" t="s">
        <v>2</v>
      </c>
      <c r="D164" s="126" t="s">
        <v>3</v>
      </c>
      <c r="E164" s="126">
        <v>346.08</v>
      </c>
      <c r="F164" s="126" t="s">
        <v>88</v>
      </c>
      <c r="G164" s="108">
        <v>45485</v>
      </c>
      <c r="H164" s="126" t="s">
        <v>89</v>
      </c>
      <c r="I164" s="126" t="s">
        <v>8134</v>
      </c>
      <c r="J164" s="126"/>
      <c r="K164" s="126" t="s">
        <v>8135</v>
      </c>
      <c r="L164" s="126" t="s">
        <v>8136</v>
      </c>
      <c r="M164" s="126" t="s">
        <v>399</v>
      </c>
      <c r="N164" s="143"/>
      <c r="O164" s="143"/>
      <c r="Q164" s="3">
        <f t="shared" si="4"/>
        <v>346.08</v>
      </c>
      <c r="S164" s="55" t="s">
        <v>9013</v>
      </c>
      <c r="U164" s="3" t="str">
        <f t="shared" si="5"/>
        <v/>
      </c>
    </row>
    <row r="165" spans="1:21" x14ac:dyDescent="0.35">
      <c r="A165" s="126" t="s">
        <v>0</v>
      </c>
      <c r="B165" s="126" t="s">
        <v>2473</v>
      </c>
      <c r="C165" s="126" t="s">
        <v>2</v>
      </c>
      <c r="D165" s="126" t="s">
        <v>3</v>
      </c>
      <c r="E165" s="126">
        <v>344.38</v>
      </c>
      <c r="F165" s="126" t="s">
        <v>88</v>
      </c>
      <c r="G165" s="108">
        <v>45611</v>
      </c>
      <c r="H165" s="126" t="s">
        <v>89</v>
      </c>
      <c r="I165" s="126" t="s">
        <v>8737</v>
      </c>
      <c r="J165" s="126"/>
      <c r="K165" s="126" t="s">
        <v>8522</v>
      </c>
      <c r="L165" s="126" t="s">
        <v>8738</v>
      </c>
      <c r="M165" s="126" t="s">
        <v>399</v>
      </c>
      <c r="Q165" s="3">
        <f t="shared" si="4"/>
        <v>344.38</v>
      </c>
      <c r="S165" s="55" t="s">
        <v>9013</v>
      </c>
      <c r="U165" s="3" t="str">
        <f t="shared" si="5"/>
        <v/>
      </c>
    </row>
    <row r="166" spans="1:21" x14ac:dyDescent="0.35">
      <c r="A166" s="126" t="s">
        <v>0</v>
      </c>
      <c r="B166" s="126" t="s">
        <v>5426</v>
      </c>
      <c r="C166" s="126" t="s">
        <v>2</v>
      </c>
      <c r="D166" s="126" t="s">
        <v>3</v>
      </c>
      <c r="E166" s="126">
        <v>343.78</v>
      </c>
      <c r="F166" s="126" t="s">
        <v>88</v>
      </c>
      <c r="G166" s="108">
        <v>45454</v>
      </c>
      <c r="H166" s="126" t="s">
        <v>89</v>
      </c>
      <c r="I166" s="126" t="s">
        <v>7954</v>
      </c>
      <c r="J166" s="143"/>
      <c r="K166" s="126" t="s">
        <v>101</v>
      </c>
      <c r="L166" s="126" t="s">
        <v>7955</v>
      </c>
      <c r="M166" s="126" t="s">
        <v>399</v>
      </c>
      <c r="N166" s="126"/>
      <c r="O166" s="126"/>
      <c r="Q166" s="3">
        <f t="shared" si="4"/>
        <v>343.78</v>
      </c>
      <c r="S166" s="55" t="s">
        <v>9013</v>
      </c>
      <c r="U166" s="3" t="str">
        <f t="shared" si="5"/>
        <v/>
      </c>
    </row>
    <row r="167" spans="1:21" x14ac:dyDescent="0.35">
      <c r="A167" s="126" t="s">
        <v>35</v>
      </c>
      <c r="B167" s="126" t="s">
        <v>869</v>
      </c>
      <c r="C167" s="126" t="s">
        <v>2</v>
      </c>
      <c r="D167" s="126" t="s">
        <v>3</v>
      </c>
      <c r="E167" s="126">
        <v>341.18</v>
      </c>
      <c r="F167" s="126" t="s">
        <v>88</v>
      </c>
      <c r="G167" s="108">
        <v>45635</v>
      </c>
      <c r="H167" s="126" t="s">
        <v>94</v>
      </c>
      <c r="I167" s="126" t="s">
        <v>425</v>
      </c>
      <c r="K167" s="126" t="s">
        <v>8904</v>
      </c>
      <c r="L167" s="126"/>
      <c r="M167" s="126"/>
      <c r="N167" s="143"/>
      <c r="O167" s="143" t="s">
        <v>8905</v>
      </c>
      <c r="Q167" s="3">
        <f t="shared" si="4"/>
        <v>341.18</v>
      </c>
      <c r="S167" s="55" t="s">
        <v>9024</v>
      </c>
      <c r="U167" s="3" t="str">
        <f t="shared" si="5"/>
        <v/>
      </c>
    </row>
    <row r="168" spans="1:21" x14ac:dyDescent="0.35">
      <c r="A168" s="126" t="s">
        <v>0</v>
      </c>
      <c r="B168" s="126" t="s">
        <v>756</v>
      </c>
      <c r="C168" s="126" t="s">
        <v>2</v>
      </c>
      <c r="D168" s="126" t="s">
        <v>3</v>
      </c>
      <c r="E168" s="126">
        <v>333.85</v>
      </c>
      <c r="F168" s="126" t="s">
        <v>88</v>
      </c>
      <c r="G168" s="108">
        <v>45635</v>
      </c>
      <c r="H168" s="126" t="s">
        <v>89</v>
      </c>
      <c r="I168" s="126" t="s">
        <v>8878</v>
      </c>
      <c r="J168" s="143"/>
      <c r="K168" s="126" t="s">
        <v>8879</v>
      </c>
      <c r="L168" s="126" t="s">
        <v>8880</v>
      </c>
      <c r="M168" s="126" t="s">
        <v>399</v>
      </c>
      <c r="Q168" s="3">
        <f t="shared" si="4"/>
        <v>333.85</v>
      </c>
      <c r="S168" s="55" t="s">
        <v>9013</v>
      </c>
      <c r="U168" s="3" t="str">
        <f t="shared" si="5"/>
        <v/>
      </c>
    </row>
    <row r="169" spans="1:21" x14ac:dyDescent="0.35">
      <c r="A169" s="126" t="s">
        <v>35</v>
      </c>
      <c r="B169" s="126" t="s">
        <v>869</v>
      </c>
      <c r="C169" s="126" t="s">
        <v>2</v>
      </c>
      <c r="D169" s="126" t="s">
        <v>3</v>
      </c>
      <c r="E169" s="126">
        <v>330.69</v>
      </c>
      <c r="F169" s="126" t="s">
        <v>88</v>
      </c>
      <c r="G169" s="108">
        <v>45492</v>
      </c>
      <c r="H169" s="126" t="s">
        <v>94</v>
      </c>
      <c r="I169" s="126" t="s">
        <v>7860</v>
      </c>
      <c r="K169" s="126" t="s">
        <v>8178</v>
      </c>
      <c r="L169" s="126"/>
      <c r="M169" s="126"/>
      <c r="N169" s="126"/>
      <c r="O169" s="126" t="s">
        <v>7862</v>
      </c>
      <c r="Q169" s="3">
        <f t="shared" si="4"/>
        <v>330.69</v>
      </c>
      <c r="S169" s="55" t="s">
        <v>9026</v>
      </c>
      <c r="U169" s="3" t="str">
        <f t="shared" si="5"/>
        <v/>
      </c>
    </row>
    <row r="170" spans="1:21" x14ac:dyDescent="0.35">
      <c r="A170" s="126" t="s">
        <v>35</v>
      </c>
      <c r="B170" s="126" t="s">
        <v>740</v>
      </c>
      <c r="C170" s="126" t="s">
        <v>2</v>
      </c>
      <c r="D170" s="126" t="s">
        <v>3</v>
      </c>
      <c r="E170" s="126">
        <v>328.58</v>
      </c>
      <c r="F170" s="126" t="s">
        <v>88</v>
      </c>
      <c r="G170" s="108">
        <v>45475</v>
      </c>
      <c r="H170" s="126" t="s">
        <v>89</v>
      </c>
      <c r="I170" s="126" t="s">
        <v>8090</v>
      </c>
      <c r="J170" s="126"/>
      <c r="K170" s="126" t="s">
        <v>8091</v>
      </c>
      <c r="L170" s="126" t="s">
        <v>8092</v>
      </c>
      <c r="M170" s="126" t="s">
        <v>8093</v>
      </c>
      <c r="N170" s="126"/>
      <c r="O170" s="126"/>
      <c r="Q170" s="3">
        <f t="shared" si="4"/>
        <v>328.58</v>
      </c>
      <c r="S170" s="55" t="s">
        <v>9016</v>
      </c>
      <c r="U170" s="3" t="str">
        <f t="shared" si="5"/>
        <v/>
      </c>
    </row>
    <row r="171" spans="1:21" x14ac:dyDescent="0.35">
      <c r="A171" s="126" t="s">
        <v>35</v>
      </c>
      <c r="B171" s="126" t="s">
        <v>740</v>
      </c>
      <c r="C171" s="126" t="s">
        <v>2</v>
      </c>
      <c r="D171" s="126" t="s">
        <v>3</v>
      </c>
      <c r="E171" s="126">
        <v>328.58</v>
      </c>
      <c r="F171" s="126" t="s">
        <v>88</v>
      </c>
      <c r="G171" s="108">
        <v>45475</v>
      </c>
      <c r="H171" s="126" t="s">
        <v>89</v>
      </c>
      <c r="I171" s="126" t="s">
        <v>8094</v>
      </c>
      <c r="J171" s="126"/>
      <c r="K171" s="126" t="s">
        <v>8095</v>
      </c>
      <c r="L171" s="126" t="s">
        <v>8096</v>
      </c>
      <c r="M171" s="126" t="s">
        <v>8093</v>
      </c>
      <c r="N171" s="126"/>
      <c r="O171" s="126"/>
      <c r="Q171" s="3">
        <f t="shared" si="4"/>
        <v>328.58</v>
      </c>
      <c r="S171" s="55" t="s">
        <v>9016</v>
      </c>
      <c r="U171" s="3" t="str">
        <f t="shared" si="5"/>
        <v/>
      </c>
    </row>
    <row r="172" spans="1:21" x14ac:dyDescent="0.35">
      <c r="A172" s="126" t="s">
        <v>35</v>
      </c>
      <c r="B172" s="126" t="s">
        <v>740</v>
      </c>
      <c r="C172" s="126" t="s">
        <v>2</v>
      </c>
      <c r="D172" s="126" t="s">
        <v>3</v>
      </c>
      <c r="E172" s="126">
        <v>328.58</v>
      </c>
      <c r="F172" s="126" t="s">
        <v>88</v>
      </c>
      <c r="G172" s="108">
        <v>45475</v>
      </c>
      <c r="H172" s="126" t="s">
        <v>89</v>
      </c>
      <c r="I172" s="126" t="s">
        <v>8097</v>
      </c>
      <c r="J172" s="126"/>
      <c r="K172" s="126" t="s">
        <v>8098</v>
      </c>
      <c r="L172" s="126" t="s">
        <v>8099</v>
      </c>
      <c r="M172" s="126" t="s">
        <v>8093</v>
      </c>
      <c r="N172" s="126"/>
      <c r="O172" s="126"/>
      <c r="Q172" s="3">
        <f t="shared" si="4"/>
        <v>328.58</v>
      </c>
      <c r="S172" s="55" t="s">
        <v>9016</v>
      </c>
      <c r="U172" s="3" t="str">
        <f t="shared" si="5"/>
        <v/>
      </c>
    </row>
    <row r="173" spans="1:21" x14ac:dyDescent="0.35">
      <c r="A173" s="126" t="s">
        <v>35</v>
      </c>
      <c r="B173" s="126" t="s">
        <v>740</v>
      </c>
      <c r="C173" s="126" t="s">
        <v>2</v>
      </c>
      <c r="D173" s="126" t="s">
        <v>3</v>
      </c>
      <c r="E173" s="126">
        <v>328.58</v>
      </c>
      <c r="F173" s="126" t="s">
        <v>88</v>
      </c>
      <c r="G173" s="108">
        <v>45475</v>
      </c>
      <c r="H173" s="126" t="s">
        <v>89</v>
      </c>
      <c r="I173" s="126" t="s">
        <v>8100</v>
      </c>
      <c r="J173" s="126"/>
      <c r="K173" s="126" t="s">
        <v>8101</v>
      </c>
      <c r="L173" s="126" t="s">
        <v>8102</v>
      </c>
      <c r="M173" s="126" t="s">
        <v>8093</v>
      </c>
      <c r="N173" s="126"/>
      <c r="O173" s="126"/>
      <c r="Q173" s="3">
        <f t="shared" si="4"/>
        <v>328.58</v>
      </c>
      <c r="S173" s="55" t="s">
        <v>9016</v>
      </c>
      <c r="U173" s="3" t="str">
        <f t="shared" si="5"/>
        <v/>
      </c>
    </row>
    <row r="174" spans="1:21" x14ac:dyDescent="0.35">
      <c r="A174" s="126" t="s">
        <v>35</v>
      </c>
      <c r="B174" s="126" t="s">
        <v>756</v>
      </c>
      <c r="C174" s="126" t="s">
        <v>2</v>
      </c>
      <c r="D174" s="126" t="s">
        <v>3</v>
      </c>
      <c r="E174" s="126">
        <v>322.51</v>
      </c>
      <c r="F174" s="126" t="s">
        <v>88</v>
      </c>
      <c r="G174" s="108">
        <v>45530</v>
      </c>
      <c r="H174" s="126" t="s">
        <v>89</v>
      </c>
      <c r="I174" s="126" t="s">
        <v>8366</v>
      </c>
      <c r="J174" s="126"/>
      <c r="K174" s="126" t="s">
        <v>7871</v>
      </c>
      <c r="L174" s="126" t="s">
        <v>8367</v>
      </c>
      <c r="M174" s="126" t="s">
        <v>7873</v>
      </c>
      <c r="N174" s="126"/>
      <c r="O174" s="126"/>
      <c r="Q174" s="3">
        <f t="shared" si="4"/>
        <v>322.51</v>
      </c>
      <c r="S174" s="55" t="s">
        <v>9027</v>
      </c>
      <c r="U174" s="3" t="str">
        <f t="shared" si="5"/>
        <v/>
      </c>
    </row>
    <row r="175" spans="1:21" x14ac:dyDescent="0.35">
      <c r="A175" s="126" t="s">
        <v>35</v>
      </c>
      <c r="B175" s="126" t="s">
        <v>4583</v>
      </c>
      <c r="C175" s="126" t="s">
        <v>2</v>
      </c>
      <c r="D175" s="126" t="s">
        <v>3</v>
      </c>
      <c r="E175" s="126">
        <v>320</v>
      </c>
      <c r="F175" s="126" t="s">
        <v>88</v>
      </c>
      <c r="G175" s="108">
        <v>45517</v>
      </c>
      <c r="H175" s="126" t="s">
        <v>94</v>
      </c>
      <c r="I175" s="126" t="s">
        <v>8065</v>
      </c>
      <c r="J175" s="126" t="s">
        <v>8327</v>
      </c>
      <c r="K175" s="126"/>
      <c r="L175" s="126"/>
      <c r="M175" s="126"/>
      <c r="N175" s="126"/>
      <c r="O175" s="126" t="s">
        <v>8328</v>
      </c>
      <c r="Q175" s="3">
        <f t="shared" si="4"/>
        <v>320</v>
      </c>
      <c r="S175" s="55" t="s">
        <v>9029</v>
      </c>
      <c r="U175" s="3" t="str">
        <f t="shared" si="5"/>
        <v/>
      </c>
    </row>
    <row r="176" spans="1:21" x14ac:dyDescent="0.35">
      <c r="A176" s="126" t="s">
        <v>35</v>
      </c>
      <c r="B176" s="126" t="s">
        <v>1280</v>
      </c>
      <c r="C176" s="126" t="s">
        <v>2</v>
      </c>
      <c r="D176" s="126" t="s">
        <v>3</v>
      </c>
      <c r="E176" s="126">
        <v>319.47000000000003</v>
      </c>
      <c r="F176" s="126" t="s">
        <v>88</v>
      </c>
      <c r="G176" s="108">
        <v>45554</v>
      </c>
      <c r="H176" s="126" t="s">
        <v>94</v>
      </c>
      <c r="I176" s="126" t="s">
        <v>426</v>
      </c>
      <c r="J176" s="126" t="s">
        <v>8455</v>
      </c>
      <c r="K176" s="126"/>
      <c r="L176" s="126"/>
      <c r="M176" s="126"/>
      <c r="N176" s="126"/>
      <c r="O176" s="126" t="s">
        <v>7745</v>
      </c>
      <c r="Q176" s="3">
        <f t="shared" si="4"/>
        <v>319.47000000000003</v>
      </c>
      <c r="S176" s="55" t="s">
        <v>53</v>
      </c>
      <c r="T176" t="s">
        <v>64</v>
      </c>
      <c r="U176" s="3">
        <f t="shared" si="5"/>
        <v>319.47000000000003</v>
      </c>
    </row>
    <row r="177" spans="1:21" x14ac:dyDescent="0.35">
      <c r="A177" s="126" t="s">
        <v>35</v>
      </c>
      <c r="B177" s="126" t="s">
        <v>615</v>
      </c>
      <c r="C177" s="126" t="s">
        <v>2</v>
      </c>
      <c r="D177" s="126" t="s">
        <v>3</v>
      </c>
      <c r="E177" s="126">
        <v>317.73</v>
      </c>
      <c r="F177" s="126" t="s">
        <v>88</v>
      </c>
      <c r="G177" s="108">
        <v>45470</v>
      </c>
      <c r="H177" s="126" t="s">
        <v>94</v>
      </c>
      <c r="I177" s="126" t="s">
        <v>7987</v>
      </c>
      <c r="J177" s="126" t="s">
        <v>8068</v>
      </c>
      <c r="K177" s="126"/>
      <c r="L177" s="126"/>
      <c r="M177" s="126"/>
      <c r="N177" s="126"/>
      <c r="O177" s="126" t="s">
        <v>8069</v>
      </c>
      <c r="Q177" s="3">
        <f t="shared" si="4"/>
        <v>317.73</v>
      </c>
      <c r="S177" s="55" t="s">
        <v>586</v>
      </c>
      <c r="U177" s="3" t="str">
        <f t="shared" si="5"/>
        <v/>
      </c>
    </row>
    <row r="178" spans="1:21" x14ac:dyDescent="0.35">
      <c r="A178" s="126" t="s">
        <v>35</v>
      </c>
      <c r="B178" s="126" t="s">
        <v>633</v>
      </c>
      <c r="C178" s="126" t="s">
        <v>2</v>
      </c>
      <c r="D178" s="126" t="s">
        <v>3</v>
      </c>
      <c r="E178" s="126">
        <v>314.73</v>
      </c>
      <c r="F178" s="126" t="s">
        <v>88</v>
      </c>
      <c r="G178" s="108">
        <v>45496</v>
      </c>
      <c r="H178" s="126" t="s">
        <v>94</v>
      </c>
      <c r="I178" s="126" t="s">
        <v>495</v>
      </c>
      <c r="J178" s="126" t="s">
        <v>496</v>
      </c>
      <c r="K178" s="126"/>
      <c r="L178" s="126"/>
      <c r="M178" s="126"/>
      <c r="N178" s="143"/>
      <c r="O178" s="143" t="s">
        <v>541</v>
      </c>
      <c r="Q178" s="3">
        <f t="shared" si="4"/>
        <v>314.73</v>
      </c>
      <c r="S178" s="55" t="s">
        <v>9014</v>
      </c>
      <c r="U178" s="3" t="str">
        <f t="shared" si="5"/>
        <v/>
      </c>
    </row>
    <row r="179" spans="1:21" x14ac:dyDescent="0.35">
      <c r="A179" s="126" t="s">
        <v>0</v>
      </c>
      <c r="B179" s="126" t="s">
        <v>4583</v>
      </c>
      <c r="C179" s="126" t="s">
        <v>2</v>
      </c>
      <c r="D179" s="126" t="s">
        <v>3</v>
      </c>
      <c r="E179" s="126">
        <v>312.63</v>
      </c>
      <c r="F179" s="126" t="s">
        <v>88</v>
      </c>
      <c r="G179" s="108">
        <v>45454</v>
      </c>
      <c r="H179" s="126" t="s">
        <v>89</v>
      </c>
      <c r="I179" s="126" t="s">
        <v>7961</v>
      </c>
      <c r="J179" s="126"/>
      <c r="K179" s="126" t="s">
        <v>7959</v>
      </c>
      <c r="L179" s="126" t="s">
        <v>7962</v>
      </c>
      <c r="M179" s="126" t="s">
        <v>399</v>
      </c>
      <c r="Q179" s="3">
        <f t="shared" si="4"/>
        <v>312.63</v>
      </c>
      <c r="S179" s="55" t="s">
        <v>9013</v>
      </c>
      <c r="U179" s="3" t="str">
        <f t="shared" si="5"/>
        <v/>
      </c>
    </row>
    <row r="180" spans="1:21" x14ac:dyDescent="0.35">
      <c r="A180" s="126" t="s">
        <v>35</v>
      </c>
      <c r="B180" s="126" t="s">
        <v>6387</v>
      </c>
      <c r="C180" s="126" t="s">
        <v>2</v>
      </c>
      <c r="D180" s="126" t="s">
        <v>3</v>
      </c>
      <c r="E180" s="126">
        <v>310.19</v>
      </c>
      <c r="F180" s="126" t="s">
        <v>88</v>
      </c>
      <c r="G180" s="108">
        <v>45488</v>
      </c>
      <c r="H180" s="126" t="s">
        <v>94</v>
      </c>
      <c r="I180" s="126" t="s">
        <v>8078</v>
      </c>
      <c r="J180" s="126" t="s">
        <v>8157</v>
      </c>
      <c r="K180" s="126"/>
      <c r="L180" s="126"/>
      <c r="M180" s="126"/>
      <c r="N180" s="126"/>
      <c r="O180" s="126" t="s">
        <v>8158</v>
      </c>
      <c r="Q180" s="3">
        <f t="shared" si="4"/>
        <v>310.19</v>
      </c>
      <c r="S180" s="55" t="s">
        <v>53</v>
      </c>
      <c r="T180" t="s">
        <v>64</v>
      </c>
      <c r="U180" s="3">
        <f t="shared" si="5"/>
        <v>310.19</v>
      </c>
    </row>
    <row r="181" spans="1:21" x14ac:dyDescent="0.35">
      <c r="A181" s="126" t="s">
        <v>35</v>
      </c>
      <c r="B181" s="126" t="s">
        <v>756</v>
      </c>
      <c r="C181" s="126" t="s">
        <v>2</v>
      </c>
      <c r="D181" s="126" t="s">
        <v>3</v>
      </c>
      <c r="E181" s="126">
        <v>306.02</v>
      </c>
      <c r="F181" s="126" t="s">
        <v>88</v>
      </c>
      <c r="G181" s="108">
        <v>45419</v>
      </c>
      <c r="H181" s="126" t="s">
        <v>89</v>
      </c>
      <c r="I181" s="126" t="s">
        <v>7798</v>
      </c>
      <c r="J181" s="126"/>
      <c r="K181" s="126" t="s">
        <v>7640</v>
      </c>
      <c r="L181" s="126" t="s">
        <v>7799</v>
      </c>
      <c r="M181" s="126" t="s">
        <v>462</v>
      </c>
      <c r="N181" s="126"/>
      <c r="O181" s="126"/>
      <c r="Q181" s="3">
        <f t="shared" si="4"/>
        <v>306.02</v>
      </c>
      <c r="S181" s="55" t="s">
        <v>9025</v>
      </c>
      <c r="U181" s="3" t="str">
        <f t="shared" si="5"/>
        <v/>
      </c>
    </row>
    <row r="182" spans="1:21" x14ac:dyDescent="0.35">
      <c r="A182" s="126" t="s">
        <v>35</v>
      </c>
      <c r="B182" s="126" t="s">
        <v>740</v>
      </c>
      <c r="C182" s="126" t="s">
        <v>2</v>
      </c>
      <c r="D182" s="126" t="s">
        <v>3</v>
      </c>
      <c r="E182" s="126">
        <v>304.55</v>
      </c>
      <c r="F182" s="126" t="s">
        <v>88</v>
      </c>
      <c r="G182" s="108">
        <v>45635</v>
      </c>
      <c r="H182" s="126" t="s">
        <v>94</v>
      </c>
      <c r="I182" s="126" t="s">
        <v>425</v>
      </c>
      <c r="J182" s="126" t="s">
        <v>8902</v>
      </c>
      <c r="K182" s="126"/>
      <c r="L182" s="126"/>
      <c r="M182" s="126"/>
      <c r="N182" s="126"/>
      <c r="O182" s="126" t="s">
        <v>8903</v>
      </c>
      <c r="Q182" s="3">
        <f t="shared" si="4"/>
        <v>304.55</v>
      </c>
      <c r="S182" s="55" t="s">
        <v>586</v>
      </c>
      <c r="U182" s="3" t="str">
        <f t="shared" si="5"/>
        <v/>
      </c>
    </row>
    <row r="183" spans="1:21" x14ac:dyDescent="0.35">
      <c r="A183" s="126" t="s">
        <v>35</v>
      </c>
      <c r="B183" s="126" t="s">
        <v>756</v>
      </c>
      <c r="C183" s="126" t="s">
        <v>2</v>
      </c>
      <c r="D183" s="126" t="s">
        <v>3</v>
      </c>
      <c r="E183" s="126">
        <v>300.64999999999998</v>
      </c>
      <c r="F183" s="126" t="s">
        <v>88</v>
      </c>
      <c r="G183" s="108">
        <v>45495</v>
      </c>
      <c r="H183" s="126" t="s">
        <v>89</v>
      </c>
      <c r="I183" s="126" t="s">
        <v>8196</v>
      </c>
      <c r="J183" s="126"/>
      <c r="K183" s="126" t="s">
        <v>7871</v>
      </c>
      <c r="L183" s="126" t="s">
        <v>8197</v>
      </c>
      <c r="M183" s="126" t="s">
        <v>7873</v>
      </c>
      <c r="N183" s="143"/>
      <c r="O183" s="143"/>
      <c r="Q183" s="3">
        <f t="shared" si="4"/>
        <v>300.64999999999998</v>
      </c>
      <c r="S183" s="55" t="s">
        <v>9027</v>
      </c>
      <c r="U183" s="3" t="str">
        <f t="shared" si="5"/>
        <v/>
      </c>
    </row>
    <row r="184" spans="1:21" x14ac:dyDescent="0.35">
      <c r="A184" s="126" t="s">
        <v>0</v>
      </c>
      <c r="B184" s="126" t="s">
        <v>4583</v>
      </c>
      <c r="C184" s="126" t="s">
        <v>2</v>
      </c>
      <c r="D184" s="126" t="s">
        <v>3</v>
      </c>
      <c r="E184" s="126">
        <v>295.12</v>
      </c>
      <c r="F184" s="126" t="s">
        <v>88</v>
      </c>
      <c r="G184" s="108">
        <v>45517</v>
      </c>
      <c r="H184" s="126" t="s">
        <v>89</v>
      </c>
      <c r="I184" s="126" t="s">
        <v>8323</v>
      </c>
      <c r="J184" s="126"/>
      <c r="K184" s="126" t="s">
        <v>8321</v>
      </c>
      <c r="L184" s="126" t="s">
        <v>8324</v>
      </c>
      <c r="M184" s="126" t="s">
        <v>399</v>
      </c>
      <c r="Q184" s="3">
        <f t="shared" si="4"/>
        <v>295.12</v>
      </c>
      <c r="S184" s="55" t="s">
        <v>9013</v>
      </c>
      <c r="U184" s="3" t="str">
        <f t="shared" si="5"/>
        <v/>
      </c>
    </row>
    <row r="185" spans="1:21" x14ac:dyDescent="0.35">
      <c r="A185" s="126" t="s">
        <v>0</v>
      </c>
      <c r="B185" s="126" t="s">
        <v>1487</v>
      </c>
      <c r="C185" s="126" t="s">
        <v>2</v>
      </c>
      <c r="D185" s="126" t="s">
        <v>3</v>
      </c>
      <c r="E185" s="126">
        <v>294.2</v>
      </c>
      <c r="F185" s="126" t="s">
        <v>88</v>
      </c>
      <c r="G185" s="108">
        <v>45390</v>
      </c>
      <c r="H185" s="126" t="s">
        <v>89</v>
      </c>
      <c r="I185" s="126" t="s">
        <v>7671</v>
      </c>
      <c r="J185" s="126"/>
      <c r="K185" s="126" t="s">
        <v>7672</v>
      </c>
      <c r="L185" s="126" t="s">
        <v>7673</v>
      </c>
      <c r="M185" s="126" t="s">
        <v>399</v>
      </c>
      <c r="N185" s="35"/>
      <c r="O185" s="35"/>
      <c r="Q185" s="3">
        <f t="shared" si="4"/>
        <v>294.2</v>
      </c>
      <c r="S185" s="55" t="s">
        <v>9013</v>
      </c>
      <c r="U185" s="3" t="str">
        <f t="shared" si="5"/>
        <v/>
      </c>
    </row>
    <row r="186" spans="1:21" x14ac:dyDescent="0.35">
      <c r="A186" s="126" t="s">
        <v>35</v>
      </c>
      <c r="B186" s="126" t="s">
        <v>633</v>
      </c>
      <c r="C186" s="126" t="s">
        <v>2</v>
      </c>
      <c r="D186" s="126" t="s">
        <v>3</v>
      </c>
      <c r="E186" s="126">
        <v>286.52999999999997</v>
      </c>
      <c r="F186" s="126" t="s">
        <v>88</v>
      </c>
      <c r="G186" s="108">
        <v>45485</v>
      </c>
      <c r="H186" s="126" t="s">
        <v>94</v>
      </c>
      <c r="I186" s="126" t="s">
        <v>495</v>
      </c>
      <c r="J186" s="126" t="s">
        <v>8152</v>
      </c>
      <c r="K186" s="126"/>
      <c r="L186" s="126"/>
      <c r="M186" s="126"/>
      <c r="N186" s="126"/>
      <c r="O186" s="126" t="s">
        <v>541</v>
      </c>
      <c r="Q186" s="3">
        <f t="shared" si="4"/>
        <v>286.52999999999997</v>
      </c>
      <c r="S186" s="55" t="s">
        <v>586</v>
      </c>
      <c r="U186" s="3" t="str">
        <f t="shared" si="5"/>
        <v/>
      </c>
    </row>
    <row r="187" spans="1:21" x14ac:dyDescent="0.35">
      <c r="A187" s="126" t="s">
        <v>35</v>
      </c>
      <c r="B187" s="126" t="s">
        <v>2031</v>
      </c>
      <c r="C187" s="126" t="s">
        <v>2</v>
      </c>
      <c r="D187" s="126" t="s">
        <v>3</v>
      </c>
      <c r="E187" s="126">
        <v>275.47000000000003</v>
      </c>
      <c r="F187" s="126" t="s">
        <v>88</v>
      </c>
      <c r="G187" s="108">
        <v>45581</v>
      </c>
      <c r="H187" s="126" t="s">
        <v>94</v>
      </c>
      <c r="I187" s="126" t="s">
        <v>497</v>
      </c>
      <c r="J187" s="126" t="s">
        <v>8583</v>
      </c>
      <c r="K187" s="126"/>
      <c r="L187" s="126"/>
      <c r="M187" s="126"/>
      <c r="N187" s="126"/>
      <c r="O187" s="126" t="s">
        <v>8584</v>
      </c>
      <c r="Q187" s="3">
        <f t="shared" si="4"/>
        <v>275.47000000000003</v>
      </c>
      <c r="S187" s="55" t="s">
        <v>9025</v>
      </c>
      <c r="U187" s="3" t="str">
        <f t="shared" si="5"/>
        <v/>
      </c>
    </row>
    <row r="188" spans="1:21" x14ac:dyDescent="0.35">
      <c r="A188" s="126" t="s">
        <v>35</v>
      </c>
      <c r="B188" s="126" t="s">
        <v>756</v>
      </c>
      <c r="C188" s="126" t="s">
        <v>2</v>
      </c>
      <c r="D188" s="126" t="s">
        <v>3</v>
      </c>
      <c r="E188" s="126">
        <v>263.25</v>
      </c>
      <c r="F188" s="126" t="s">
        <v>88</v>
      </c>
      <c r="G188" s="108">
        <v>45621</v>
      </c>
      <c r="H188" s="126" t="s">
        <v>89</v>
      </c>
      <c r="I188" s="126" t="s">
        <v>8788</v>
      </c>
      <c r="J188" s="126"/>
      <c r="K188" s="126" t="s">
        <v>7871</v>
      </c>
      <c r="L188" s="126" t="s">
        <v>8789</v>
      </c>
      <c r="M188" s="126" t="s">
        <v>7873</v>
      </c>
      <c r="N188" s="126"/>
      <c r="O188" s="126"/>
      <c r="Q188" s="3">
        <f t="shared" si="4"/>
        <v>263.25</v>
      </c>
      <c r="S188" s="55" t="s">
        <v>9027</v>
      </c>
      <c r="U188" s="3" t="str">
        <f t="shared" si="5"/>
        <v/>
      </c>
    </row>
    <row r="189" spans="1:21" x14ac:dyDescent="0.35">
      <c r="A189" s="126" t="s">
        <v>0</v>
      </c>
      <c r="B189" s="126" t="s">
        <v>1075</v>
      </c>
      <c r="C189" s="126" t="s">
        <v>2</v>
      </c>
      <c r="D189" s="126" t="s">
        <v>3</v>
      </c>
      <c r="E189" s="126">
        <v>251.01999999999998</v>
      </c>
      <c r="F189" s="126" t="s">
        <v>88</v>
      </c>
      <c r="G189" s="108">
        <v>45448</v>
      </c>
      <c r="H189" s="126" t="s">
        <v>89</v>
      </c>
      <c r="I189" s="126" t="s">
        <v>7938</v>
      </c>
      <c r="J189" s="126"/>
      <c r="K189" s="126" t="s">
        <v>7880</v>
      </c>
      <c r="L189" s="126" t="s">
        <v>7939</v>
      </c>
      <c r="M189" s="126" t="s">
        <v>396</v>
      </c>
      <c r="N189" s="126"/>
      <c r="O189" s="126"/>
      <c r="Q189" s="3">
        <f t="shared" si="4"/>
        <v>251.01999999999998</v>
      </c>
      <c r="S189" s="55" t="s">
        <v>9016</v>
      </c>
      <c r="U189" s="3" t="str">
        <f t="shared" si="5"/>
        <v/>
      </c>
    </row>
    <row r="190" spans="1:21" x14ac:dyDescent="0.35">
      <c r="A190" s="126" t="s">
        <v>35</v>
      </c>
      <c r="B190" s="126" t="s">
        <v>1075</v>
      </c>
      <c r="C190" s="126" t="s">
        <v>2</v>
      </c>
      <c r="D190" s="126" t="s">
        <v>3</v>
      </c>
      <c r="E190" s="126">
        <v>251.01999999999998</v>
      </c>
      <c r="F190" s="126" t="s">
        <v>88</v>
      </c>
      <c r="G190" s="108">
        <v>45448</v>
      </c>
      <c r="H190" s="126" t="s">
        <v>89</v>
      </c>
      <c r="I190" s="126" t="s">
        <v>7938</v>
      </c>
      <c r="J190" s="126"/>
      <c r="K190" s="126" t="s">
        <v>7880</v>
      </c>
      <c r="L190" s="126" t="s">
        <v>7939</v>
      </c>
      <c r="M190" s="126" t="s">
        <v>396</v>
      </c>
      <c r="N190" s="126"/>
      <c r="O190" s="126"/>
      <c r="Q190" s="3">
        <f t="shared" si="4"/>
        <v>251.01999999999998</v>
      </c>
      <c r="S190" s="55" t="s">
        <v>9016</v>
      </c>
      <c r="U190" s="3" t="str">
        <f t="shared" si="5"/>
        <v/>
      </c>
    </row>
    <row r="191" spans="1:21" x14ac:dyDescent="0.35">
      <c r="A191" s="126" t="s">
        <v>35</v>
      </c>
      <c r="B191" s="126" t="s">
        <v>1075</v>
      </c>
      <c r="C191" s="126" t="s">
        <v>2</v>
      </c>
      <c r="D191" s="126" t="s">
        <v>3</v>
      </c>
      <c r="E191" s="126">
        <v>-251.01999999999998</v>
      </c>
      <c r="F191" s="126" t="s">
        <v>88</v>
      </c>
      <c r="G191" s="108">
        <v>45455</v>
      </c>
      <c r="H191" s="126" t="s">
        <v>89</v>
      </c>
      <c r="I191" s="126" t="s">
        <v>7938</v>
      </c>
      <c r="J191" s="126"/>
      <c r="K191" s="126" t="s">
        <v>7880</v>
      </c>
      <c r="L191" s="126" t="s">
        <v>7939</v>
      </c>
      <c r="M191" s="126" t="s">
        <v>396</v>
      </c>
      <c r="N191" s="126"/>
      <c r="O191" s="126"/>
      <c r="Q191" s="3">
        <f t="shared" si="4"/>
        <v>251.01999999999998</v>
      </c>
      <c r="S191" s="55" t="s">
        <v>9016</v>
      </c>
      <c r="U191" s="3" t="str">
        <f t="shared" si="5"/>
        <v/>
      </c>
    </row>
    <row r="192" spans="1:21" x14ac:dyDescent="0.35">
      <c r="A192" s="126" t="s">
        <v>35</v>
      </c>
      <c r="B192" s="126" t="s">
        <v>740</v>
      </c>
      <c r="C192" s="126" t="s">
        <v>2</v>
      </c>
      <c r="D192" s="126" t="s">
        <v>3</v>
      </c>
      <c r="E192" s="126">
        <v>250.28</v>
      </c>
      <c r="F192" s="126" t="s">
        <v>88</v>
      </c>
      <c r="G192" s="108">
        <v>45490</v>
      </c>
      <c r="H192" s="126" t="s">
        <v>94</v>
      </c>
      <c r="I192" s="126" t="s">
        <v>426</v>
      </c>
      <c r="J192" s="126" t="s">
        <v>8175</v>
      </c>
      <c r="K192" s="126"/>
      <c r="L192" s="126"/>
      <c r="M192" s="126"/>
      <c r="N192" s="126"/>
      <c r="O192" s="126" t="s">
        <v>8176</v>
      </c>
      <c r="Q192" s="3">
        <f t="shared" si="4"/>
        <v>250.28</v>
      </c>
      <c r="S192" s="55" t="s">
        <v>53</v>
      </c>
      <c r="T192" t="s">
        <v>64</v>
      </c>
      <c r="U192" s="3">
        <f t="shared" si="5"/>
        <v>250.28</v>
      </c>
    </row>
    <row r="193" spans="1:21" x14ac:dyDescent="0.35">
      <c r="A193" s="126" t="s">
        <v>35</v>
      </c>
      <c r="B193" s="126" t="s">
        <v>740</v>
      </c>
      <c r="C193" s="126" t="s">
        <v>2</v>
      </c>
      <c r="D193" s="126" t="s">
        <v>3</v>
      </c>
      <c r="E193" s="126">
        <v>244.55</v>
      </c>
      <c r="F193" s="126" t="s">
        <v>88</v>
      </c>
      <c r="G193" s="108">
        <v>45602</v>
      </c>
      <c r="H193" s="126" t="s">
        <v>94</v>
      </c>
      <c r="I193" s="126" t="s">
        <v>426</v>
      </c>
      <c r="J193" s="126" t="s">
        <v>8679</v>
      </c>
      <c r="K193" s="126"/>
      <c r="L193" s="126"/>
      <c r="M193" s="126"/>
      <c r="N193" s="126"/>
      <c r="O193" s="126" t="s">
        <v>7745</v>
      </c>
      <c r="Q193" s="3">
        <f t="shared" si="4"/>
        <v>244.55</v>
      </c>
      <c r="S193" s="55" t="s">
        <v>586</v>
      </c>
      <c r="U193" s="3" t="str">
        <f t="shared" si="5"/>
        <v/>
      </c>
    </row>
    <row r="194" spans="1:21" x14ac:dyDescent="0.35">
      <c r="A194" s="126" t="s">
        <v>35</v>
      </c>
      <c r="B194" s="126" t="s">
        <v>756</v>
      </c>
      <c r="C194" s="126" t="s">
        <v>2</v>
      </c>
      <c r="D194" s="126" t="s">
        <v>3</v>
      </c>
      <c r="E194" s="126">
        <v>243.33</v>
      </c>
      <c r="F194" s="126" t="s">
        <v>88</v>
      </c>
      <c r="G194" s="108">
        <v>45624</v>
      </c>
      <c r="H194" s="126" t="s">
        <v>94</v>
      </c>
      <c r="I194" s="126" t="s">
        <v>8805</v>
      </c>
      <c r="J194" s="126" t="s">
        <v>8803</v>
      </c>
      <c r="K194" s="126"/>
      <c r="L194" s="126"/>
      <c r="M194" s="126"/>
      <c r="N194" s="126"/>
      <c r="O194" s="126" t="s">
        <v>8806</v>
      </c>
      <c r="Q194" s="3">
        <f t="shared" si="4"/>
        <v>243.33</v>
      </c>
      <c r="S194" s="55" t="s">
        <v>53</v>
      </c>
      <c r="T194" t="s">
        <v>64</v>
      </c>
      <c r="U194" s="3">
        <f t="shared" si="5"/>
        <v>243.33</v>
      </c>
    </row>
    <row r="195" spans="1:21" x14ac:dyDescent="0.35">
      <c r="A195" s="126" t="s">
        <v>35</v>
      </c>
      <c r="B195" s="126" t="s">
        <v>756</v>
      </c>
      <c r="C195" s="126" t="s">
        <v>2</v>
      </c>
      <c r="D195" s="126" t="s">
        <v>3</v>
      </c>
      <c r="E195" s="126">
        <v>242.23</v>
      </c>
      <c r="F195" s="126" t="s">
        <v>88</v>
      </c>
      <c r="G195" s="108">
        <v>45464</v>
      </c>
      <c r="H195" s="126" t="s">
        <v>89</v>
      </c>
      <c r="I195" s="126" t="s">
        <v>8035</v>
      </c>
      <c r="J195" s="126"/>
      <c r="K195" s="126" t="s">
        <v>7871</v>
      </c>
      <c r="L195" s="126" t="s">
        <v>8036</v>
      </c>
      <c r="M195" s="126" t="s">
        <v>7873</v>
      </c>
      <c r="N195" s="126"/>
      <c r="O195" s="126"/>
      <c r="Q195" s="3">
        <f t="shared" si="4"/>
        <v>242.23</v>
      </c>
      <c r="S195" s="55" t="s">
        <v>9027</v>
      </c>
      <c r="U195" s="3" t="str">
        <f t="shared" si="5"/>
        <v/>
      </c>
    </row>
    <row r="196" spans="1:21" x14ac:dyDescent="0.35">
      <c r="A196" s="126" t="s">
        <v>0</v>
      </c>
      <c r="B196" s="126" t="s">
        <v>1053</v>
      </c>
      <c r="C196" s="126" t="s">
        <v>2</v>
      </c>
      <c r="D196" s="126" t="s">
        <v>3</v>
      </c>
      <c r="E196" s="126">
        <v>239.56</v>
      </c>
      <c r="F196" s="126" t="s">
        <v>88</v>
      </c>
      <c r="G196" s="108">
        <v>45390</v>
      </c>
      <c r="H196" s="126" t="s">
        <v>89</v>
      </c>
      <c r="I196" s="126" t="s">
        <v>7671</v>
      </c>
      <c r="J196" s="126"/>
      <c r="K196" s="126" t="s">
        <v>7672</v>
      </c>
      <c r="L196" s="126" t="s">
        <v>7673</v>
      </c>
      <c r="M196" s="126" t="s">
        <v>399</v>
      </c>
      <c r="N196" s="35"/>
      <c r="O196" s="35"/>
      <c r="Q196" s="3">
        <f t="shared" si="4"/>
        <v>239.56</v>
      </c>
      <c r="S196" s="55" t="s">
        <v>9013</v>
      </c>
      <c r="U196" s="3" t="str">
        <f t="shared" si="5"/>
        <v/>
      </c>
    </row>
    <row r="197" spans="1:21" x14ac:dyDescent="0.35">
      <c r="A197" s="126" t="s">
        <v>35</v>
      </c>
      <c r="B197" s="126" t="s">
        <v>708</v>
      </c>
      <c r="C197" s="126" t="s">
        <v>2</v>
      </c>
      <c r="D197" s="126" t="s">
        <v>3</v>
      </c>
      <c r="E197" s="126">
        <v>236.27</v>
      </c>
      <c r="F197" s="126" t="s">
        <v>88</v>
      </c>
      <c r="G197" s="108">
        <v>45387</v>
      </c>
      <c r="H197" s="126" t="s">
        <v>94</v>
      </c>
      <c r="I197" s="126" t="s">
        <v>7665</v>
      </c>
      <c r="J197" s="126" t="s">
        <v>7666</v>
      </c>
      <c r="K197" s="126"/>
      <c r="L197" s="126"/>
      <c r="M197" s="126"/>
      <c r="N197" s="126"/>
      <c r="O197" s="126" t="s">
        <v>546</v>
      </c>
      <c r="Q197" s="3">
        <f t="shared" si="4"/>
        <v>236.27</v>
      </c>
      <c r="S197" s="55" t="s">
        <v>9029</v>
      </c>
      <c r="U197" s="3" t="str">
        <f t="shared" si="5"/>
        <v/>
      </c>
    </row>
    <row r="198" spans="1:21" x14ac:dyDescent="0.35">
      <c r="A198" s="126" t="s">
        <v>35</v>
      </c>
      <c r="B198" s="126" t="s">
        <v>740</v>
      </c>
      <c r="C198" s="126" t="s">
        <v>2</v>
      </c>
      <c r="D198" s="126" t="s">
        <v>3</v>
      </c>
      <c r="E198" s="126">
        <v>233.93</v>
      </c>
      <c r="F198" s="126" t="s">
        <v>88</v>
      </c>
      <c r="G198" s="108">
        <v>45602</v>
      </c>
      <c r="H198" s="126" t="s">
        <v>94</v>
      </c>
      <c r="I198" s="126" t="s">
        <v>426</v>
      </c>
      <c r="J198" s="126" t="s">
        <v>8676</v>
      </c>
      <c r="K198" s="126"/>
      <c r="L198" s="126"/>
      <c r="M198" s="126"/>
      <c r="N198" s="126"/>
      <c r="O198" s="126" t="s">
        <v>541</v>
      </c>
      <c r="Q198" s="3">
        <f t="shared" si="4"/>
        <v>233.93</v>
      </c>
      <c r="S198" s="55" t="s">
        <v>9016</v>
      </c>
      <c r="U198" s="3" t="str">
        <f t="shared" si="5"/>
        <v/>
      </c>
    </row>
    <row r="199" spans="1:21" x14ac:dyDescent="0.35">
      <c r="A199" s="126" t="s">
        <v>35</v>
      </c>
      <c r="B199" s="126" t="s">
        <v>740</v>
      </c>
      <c r="C199" s="126" t="s">
        <v>2</v>
      </c>
      <c r="D199" s="126" t="s">
        <v>3</v>
      </c>
      <c r="E199" s="126">
        <v>232.73</v>
      </c>
      <c r="F199" s="126" t="s">
        <v>88</v>
      </c>
      <c r="G199" s="108">
        <v>45636</v>
      </c>
      <c r="H199" s="126" t="s">
        <v>94</v>
      </c>
      <c r="I199" s="126" t="s">
        <v>8929</v>
      </c>
      <c r="J199" s="126" t="s">
        <v>8932</v>
      </c>
      <c r="K199" s="126"/>
      <c r="L199" s="126"/>
      <c r="M199" s="126"/>
      <c r="N199" s="126"/>
      <c r="O199" s="126" t="s">
        <v>8933</v>
      </c>
      <c r="Q199" s="3">
        <f t="shared" si="4"/>
        <v>232.73</v>
      </c>
      <c r="S199" s="55" t="s">
        <v>586</v>
      </c>
      <c r="U199" s="3" t="str">
        <f t="shared" si="5"/>
        <v/>
      </c>
    </row>
    <row r="200" spans="1:21" x14ac:dyDescent="0.35">
      <c r="A200" s="126" t="s">
        <v>35</v>
      </c>
      <c r="B200" s="126" t="s">
        <v>869</v>
      </c>
      <c r="C200" s="126" t="s">
        <v>2</v>
      </c>
      <c r="D200" s="126" t="s">
        <v>3</v>
      </c>
      <c r="E200" s="126">
        <v>231.36</v>
      </c>
      <c r="F200" s="126" t="s">
        <v>88</v>
      </c>
      <c r="G200" s="108">
        <v>45635</v>
      </c>
      <c r="H200" s="126" t="s">
        <v>94</v>
      </c>
      <c r="I200" s="126" t="s">
        <v>426</v>
      </c>
      <c r="J200" s="126" t="s">
        <v>8906</v>
      </c>
      <c r="K200" s="126"/>
      <c r="L200" s="126"/>
      <c r="M200" s="126"/>
      <c r="N200" s="126"/>
      <c r="O200" s="126" t="s">
        <v>8907</v>
      </c>
      <c r="Q200" s="3">
        <f t="shared" ref="Q200:Q263" si="6">ABS(E200)</f>
        <v>231.36</v>
      </c>
      <c r="S200" s="55" t="s">
        <v>9030</v>
      </c>
      <c r="U200" s="3" t="str">
        <f t="shared" ref="U200:U263" si="7">IF(T200="Y",E200,"")</f>
        <v/>
      </c>
    </row>
    <row r="201" spans="1:21" x14ac:dyDescent="0.35">
      <c r="A201" s="126" t="s">
        <v>0</v>
      </c>
      <c r="B201" s="126" t="s">
        <v>614</v>
      </c>
      <c r="C201" s="126" t="s">
        <v>2</v>
      </c>
      <c r="D201" s="126" t="s">
        <v>3</v>
      </c>
      <c r="E201" s="126">
        <v>230.86</v>
      </c>
      <c r="F201" s="126" t="s">
        <v>88</v>
      </c>
      <c r="G201" s="108">
        <v>45611</v>
      </c>
      <c r="H201" s="126" t="s">
        <v>89</v>
      </c>
      <c r="I201" s="126" t="s">
        <v>8734</v>
      </c>
      <c r="J201" s="126"/>
      <c r="K201" s="126" t="s">
        <v>8522</v>
      </c>
      <c r="L201" s="126" t="s">
        <v>8736</v>
      </c>
      <c r="M201" s="126" t="s">
        <v>399</v>
      </c>
      <c r="Q201" s="3">
        <f t="shared" si="6"/>
        <v>230.86</v>
      </c>
      <c r="S201" s="55" t="s">
        <v>9013</v>
      </c>
      <c r="U201" s="3" t="str">
        <f t="shared" si="7"/>
        <v/>
      </c>
    </row>
    <row r="202" spans="1:21" x14ac:dyDescent="0.35">
      <c r="A202" s="126" t="s">
        <v>35</v>
      </c>
      <c r="B202" s="126" t="s">
        <v>708</v>
      </c>
      <c r="C202" s="126" t="s">
        <v>2</v>
      </c>
      <c r="D202" s="126" t="s">
        <v>3</v>
      </c>
      <c r="E202" s="126">
        <v>230.73</v>
      </c>
      <c r="F202" s="126" t="s">
        <v>88</v>
      </c>
      <c r="G202" s="108">
        <v>45544</v>
      </c>
      <c r="H202" s="126" t="s">
        <v>94</v>
      </c>
      <c r="I202" s="126" t="s">
        <v>7665</v>
      </c>
      <c r="J202" s="126" t="s">
        <v>8421</v>
      </c>
      <c r="K202" s="126"/>
      <c r="L202" s="126"/>
      <c r="M202" s="126"/>
      <c r="N202" s="126"/>
      <c r="O202" s="126" t="s">
        <v>546</v>
      </c>
      <c r="Q202" s="3">
        <f t="shared" si="6"/>
        <v>230.73</v>
      </c>
      <c r="S202" s="55" t="s">
        <v>9016</v>
      </c>
      <c r="U202" s="3" t="str">
        <f t="shared" si="7"/>
        <v/>
      </c>
    </row>
    <row r="203" spans="1:21" x14ac:dyDescent="0.35">
      <c r="A203" s="126" t="s">
        <v>0</v>
      </c>
      <c r="B203" s="126" t="s">
        <v>7675</v>
      </c>
      <c r="C203" s="126" t="s">
        <v>2</v>
      </c>
      <c r="D203" s="126" t="s">
        <v>3</v>
      </c>
      <c r="E203" s="126">
        <v>227.67</v>
      </c>
      <c r="F203" s="126" t="s">
        <v>88</v>
      </c>
      <c r="G203" s="108">
        <v>45569</v>
      </c>
      <c r="H203" s="126" t="s">
        <v>89</v>
      </c>
      <c r="I203" s="126" t="s">
        <v>8524</v>
      </c>
      <c r="J203" s="126"/>
      <c r="K203" s="126" t="s">
        <v>8525</v>
      </c>
      <c r="L203" s="126" t="s">
        <v>8526</v>
      </c>
      <c r="M203" s="126" t="s">
        <v>399</v>
      </c>
      <c r="N203" s="126"/>
      <c r="O203" s="126"/>
      <c r="Q203" s="3">
        <f t="shared" si="6"/>
        <v>227.67</v>
      </c>
      <c r="S203" s="55" t="s">
        <v>9013</v>
      </c>
      <c r="U203" s="3" t="str">
        <f t="shared" si="7"/>
        <v/>
      </c>
    </row>
    <row r="204" spans="1:21" ht="29" x14ac:dyDescent="0.35">
      <c r="A204" s="126" t="s">
        <v>35</v>
      </c>
      <c r="B204" s="126" t="s">
        <v>869</v>
      </c>
      <c r="C204" s="126" t="s">
        <v>2</v>
      </c>
      <c r="D204" s="126" t="s">
        <v>3</v>
      </c>
      <c r="E204" s="126">
        <v>227.27</v>
      </c>
      <c r="F204" s="126" t="s">
        <v>88</v>
      </c>
      <c r="G204" s="108">
        <v>45580</v>
      </c>
      <c r="H204" s="126" t="s">
        <v>94</v>
      </c>
      <c r="I204" s="126" t="s">
        <v>7987</v>
      </c>
      <c r="J204" s="126" t="s">
        <v>8573</v>
      </c>
      <c r="K204" s="126"/>
      <c r="L204" s="126"/>
      <c r="M204" s="126"/>
      <c r="N204" s="126"/>
      <c r="O204" s="126" t="s">
        <v>8574</v>
      </c>
      <c r="Q204" s="3">
        <f t="shared" si="6"/>
        <v>227.27</v>
      </c>
      <c r="S204" s="55" t="s">
        <v>9031</v>
      </c>
      <c r="U204" s="3" t="str">
        <f t="shared" si="7"/>
        <v/>
      </c>
    </row>
    <row r="205" spans="1:21" x14ac:dyDescent="0.35">
      <c r="A205" s="126" t="s">
        <v>35</v>
      </c>
      <c r="B205" s="126" t="s">
        <v>756</v>
      </c>
      <c r="C205" s="126" t="s">
        <v>2</v>
      </c>
      <c r="D205" s="126" t="s">
        <v>3</v>
      </c>
      <c r="E205" s="126">
        <v>225.34</v>
      </c>
      <c r="F205" s="126" t="s">
        <v>88</v>
      </c>
      <c r="G205" s="108">
        <v>45434</v>
      </c>
      <c r="H205" s="126" t="s">
        <v>89</v>
      </c>
      <c r="I205" s="126" t="s">
        <v>7870</v>
      </c>
      <c r="J205" s="126"/>
      <c r="K205" s="126" t="s">
        <v>7871</v>
      </c>
      <c r="L205" s="126" t="s">
        <v>7872</v>
      </c>
      <c r="M205" s="126" t="s">
        <v>7873</v>
      </c>
      <c r="N205" s="126"/>
      <c r="O205" s="126"/>
      <c r="Q205" s="3">
        <f t="shared" si="6"/>
        <v>225.34</v>
      </c>
      <c r="S205" s="55" t="s">
        <v>9027</v>
      </c>
      <c r="U205" s="3" t="str">
        <f t="shared" si="7"/>
        <v/>
      </c>
    </row>
    <row r="206" spans="1:21" x14ac:dyDescent="0.35">
      <c r="A206" s="126" t="s">
        <v>35</v>
      </c>
      <c r="B206" s="126" t="s">
        <v>2208</v>
      </c>
      <c r="C206" s="126" t="s">
        <v>2</v>
      </c>
      <c r="D206" s="126" t="s">
        <v>3</v>
      </c>
      <c r="E206" s="126">
        <v>221.86</v>
      </c>
      <c r="F206" s="126" t="s">
        <v>88</v>
      </c>
      <c r="G206" s="108">
        <v>45554</v>
      </c>
      <c r="H206" s="126" t="s">
        <v>94</v>
      </c>
      <c r="I206" s="126" t="s">
        <v>7850</v>
      </c>
      <c r="J206" s="126" t="s">
        <v>7851</v>
      </c>
      <c r="K206" s="126"/>
      <c r="L206" s="126"/>
      <c r="M206" s="126"/>
      <c r="N206" s="126"/>
      <c r="O206" s="126" t="s">
        <v>7852</v>
      </c>
      <c r="Q206" s="3">
        <f t="shared" si="6"/>
        <v>221.86</v>
      </c>
      <c r="S206" s="55" t="s">
        <v>9016</v>
      </c>
      <c r="U206" s="3" t="str">
        <f t="shared" si="7"/>
        <v/>
      </c>
    </row>
    <row r="207" spans="1:21" x14ac:dyDescent="0.35">
      <c r="A207" s="126" t="s">
        <v>0</v>
      </c>
      <c r="B207" s="126" t="s">
        <v>756</v>
      </c>
      <c r="C207" s="126" t="s">
        <v>2</v>
      </c>
      <c r="D207" s="126" t="s">
        <v>3</v>
      </c>
      <c r="E207" s="126">
        <v>220.93</v>
      </c>
      <c r="F207" s="126" t="s">
        <v>88</v>
      </c>
      <c r="G207" s="108">
        <v>45611</v>
      </c>
      <c r="H207" s="126" t="s">
        <v>89</v>
      </c>
      <c r="I207" s="126" t="s">
        <v>8734</v>
      </c>
      <c r="J207" s="126"/>
      <c r="K207" s="126" t="s">
        <v>8522</v>
      </c>
      <c r="L207" s="126" t="s">
        <v>8736</v>
      </c>
      <c r="M207" s="126" t="s">
        <v>399</v>
      </c>
      <c r="Q207" s="3">
        <f t="shared" si="6"/>
        <v>220.93</v>
      </c>
      <c r="S207" s="55" t="s">
        <v>9013</v>
      </c>
      <c r="U207" s="3" t="str">
        <f t="shared" si="7"/>
        <v/>
      </c>
    </row>
    <row r="208" spans="1:21" x14ac:dyDescent="0.35">
      <c r="A208" s="126" t="s">
        <v>0</v>
      </c>
      <c r="B208" s="126" t="s">
        <v>614</v>
      </c>
      <c r="C208" s="126" t="s">
        <v>2</v>
      </c>
      <c r="D208" s="126" t="s">
        <v>3</v>
      </c>
      <c r="E208" s="126">
        <v>219.52</v>
      </c>
      <c r="F208" s="126" t="s">
        <v>88</v>
      </c>
      <c r="G208" s="108">
        <v>45569</v>
      </c>
      <c r="H208" s="126" t="s">
        <v>89</v>
      </c>
      <c r="I208" s="126" t="s">
        <v>8521</v>
      </c>
      <c r="J208" s="126"/>
      <c r="K208" s="126" t="s">
        <v>8522</v>
      </c>
      <c r="L208" s="126" t="s">
        <v>8523</v>
      </c>
      <c r="M208" s="126" t="s">
        <v>399</v>
      </c>
      <c r="N208" s="126"/>
      <c r="O208" s="126"/>
      <c r="Q208" s="3">
        <f t="shared" si="6"/>
        <v>219.52</v>
      </c>
      <c r="S208" s="55" t="s">
        <v>9013</v>
      </c>
      <c r="U208" s="3" t="str">
        <f t="shared" si="7"/>
        <v/>
      </c>
    </row>
    <row r="209" spans="1:21" x14ac:dyDescent="0.35">
      <c r="A209" s="126" t="s">
        <v>0</v>
      </c>
      <c r="B209" s="126" t="s">
        <v>614</v>
      </c>
      <c r="C209" s="126" t="s">
        <v>2</v>
      </c>
      <c r="D209" s="126" t="s">
        <v>3</v>
      </c>
      <c r="E209" s="126">
        <v>219.52</v>
      </c>
      <c r="F209" s="126" t="s">
        <v>88</v>
      </c>
      <c r="G209" s="108">
        <v>45635</v>
      </c>
      <c r="H209" s="126" t="s">
        <v>89</v>
      </c>
      <c r="I209" s="126" t="s">
        <v>8878</v>
      </c>
      <c r="J209" s="126"/>
      <c r="K209" s="126" t="s">
        <v>8879</v>
      </c>
      <c r="L209" s="126" t="s">
        <v>8880</v>
      </c>
      <c r="M209" s="126" t="s">
        <v>399</v>
      </c>
      <c r="Q209" s="3">
        <f t="shared" si="6"/>
        <v>219.52</v>
      </c>
      <c r="S209" s="55" t="s">
        <v>9013</v>
      </c>
      <c r="U209" s="3" t="str">
        <f t="shared" si="7"/>
        <v/>
      </c>
    </row>
    <row r="210" spans="1:21" x14ac:dyDescent="0.35">
      <c r="A210" s="126" t="s">
        <v>35</v>
      </c>
      <c r="B210" s="126" t="s">
        <v>615</v>
      </c>
      <c r="C210" s="126" t="s">
        <v>2</v>
      </c>
      <c r="D210" s="126" t="s">
        <v>3</v>
      </c>
      <c r="E210" s="126">
        <v>218.18</v>
      </c>
      <c r="F210" s="126" t="s">
        <v>88</v>
      </c>
      <c r="G210" s="108">
        <v>45477</v>
      </c>
      <c r="H210" s="126" t="s">
        <v>94</v>
      </c>
      <c r="I210" s="126" t="s">
        <v>425</v>
      </c>
      <c r="J210" s="126" t="s">
        <v>8121</v>
      </c>
      <c r="K210" s="126"/>
      <c r="L210" s="126"/>
      <c r="M210" s="126"/>
      <c r="N210" s="126"/>
      <c r="O210" s="126" t="s">
        <v>8069</v>
      </c>
      <c r="Q210" s="3">
        <f t="shared" si="6"/>
        <v>218.18</v>
      </c>
      <c r="S210" s="55" t="s">
        <v>586</v>
      </c>
      <c r="U210" s="3" t="str">
        <f t="shared" si="7"/>
        <v/>
      </c>
    </row>
    <row r="211" spans="1:21" x14ac:dyDescent="0.35">
      <c r="A211" s="126" t="s">
        <v>35</v>
      </c>
      <c r="B211" s="126" t="s">
        <v>1075</v>
      </c>
      <c r="C211" s="126" t="s">
        <v>2</v>
      </c>
      <c r="D211" s="126" t="s">
        <v>3</v>
      </c>
      <c r="E211" s="126">
        <v>218.07</v>
      </c>
      <c r="F211" s="126" t="s">
        <v>88</v>
      </c>
      <c r="G211" s="108">
        <v>45483</v>
      </c>
      <c r="H211" s="126" t="s">
        <v>89</v>
      </c>
      <c r="I211" s="126" t="s">
        <v>8129</v>
      </c>
      <c r="J211" s="126"/>
      <c r="K211" s="126" t="s">
        <v>7880</v>
      </c>
      <c r="L211" s="126" t="s">
        <v>8130</v>
      </c>
      <c r="M211" s="126" t="s">
        <v>396</v>
      </c>
      <c r="N211" s="126"/>
      <c r="O211" s="126"/>
      <c r="Q211" s="3">
        <f t="shared" si="6"/>
        <v>218.07</v>
      </c>
      <c r="S211" s="55" t="s">
        <v>9016</v>
      </c>
      <c r="U211" s="3" t="str">
        <f t="shared" si="7"/>
        <v/>
      </c>
    </row>
    <row r="212" spans="1:21" x14ac:dyDescent="0.35">
      <c r="A212" s="126" t="s">
        <v>35</v>
      </c>
      <c r="B212" s="126" t="s">
        <v>2208</v>
      </c>
      <c r="C212" s="126" t="s">
        <v>2</v>
      </c>
      <c r="D212" s="126" t="s">
        <v>3</v>
      </c>
      <c r="E212" s="126">
        <v>211.93</v>
      </c>
      <c r="F212" s="126" t="s">
        <v>88</v>
      </c>
      <c r="G212" s="108">
        <v>45432</v>
      </c>
      <c r="H212" s="126" t="s">
        <v>94</v>
      </c>
      <c r="I212" s="126" t="s">
        <v>7850</v>
      </c>
      <c r="J212" s="126" t="s">
        <v>7851</v>
      </c>
      <c r="K212" s="126"/>
      <c r="L212" s="126"/>
      <c r="M212" s="126"/>
      <c r="N212" s="126"/>
      <c r="O212" s="126" t="s">
        <v>7852</v>
      </c>
      <c r="Q212" s="3">
        <f t="shared" si="6"/>
        <v>211.93</v>
      </c>
      <c r="S212" s="55" t="s">
        <v>9016</v>
      </c>
      <c r="U212" s="3" t="str">
        <f t="shared" si="7"/>
        <v/>
      </c>
    </row>
    <row r="213" spans="1:21" x14ac:dyDescent="0.35">
      <c r="A213" s="126" t="s">
        <v>35</v>
      </c>
      <c r="B213" s="126" t="s">
        <v>1533</v>
      </c>
      <c r="C213" s="126" t="s">
        <v>2</v>
      </c>
      <c r="D213" s="126" t="s">
        <v>3</v>
      </c>
      <c r="E213" s="126">
        <v>206.18</v>
      </c>
      <c r="F213" s="126" t="s">
        <v>88</v>
      </c>
      <c r="G213" s="108">
        <v>45656</v>
      </c>
      <c r="H213" s="126" t="s">
        <v>94</v>
      </c>
      <c r="I213" s="126" t="s">
        <v>9004</v>
      </c>
      <c r="J213" s="126" t="s">
        <v>9005</v>
      </c>
      <c r="K213" s="126"/>
      <c r="L213" s="126"/>
      <c r="M213" s="126"/>
      <c r="N213" s="126"/>
      <c r="O213" s="126" t="s">
        <v>9006</v>
      </c>
      <c r="Q213" s="3">
        <f t="shared" si="6"/>
        <v>206.18</v>
      </c>
      <c r="S213" s="55" t="s">
        <v>9017</v>
      </c>
      <c r="T213" t="s">
        <v>64</v>
      </c>
      <c r="U213" s="3">
        <f t="shared" si="7"/>
        <v>206.18</v>
      </c>
    </row>
    <row r="214" spans="1:21" x14ac:dyDescent="0.35">
      <c r="A214" s="126" t="s">
        <v>0</v>
      </c>
      <c r="B214" s="126" t="s">
        <v>756</v>
      </c>
      <c r="C214" s="126" t="s">
        <v>2</v>
      </c>
      <c r="D214" s="126" t="s">
        <v>3</v>
      </c>
      <c r="E214" s="126">
        <v>203.83</v>
      </c>
      <c r="F214" s="126" t="s">
        <v>88</v>
      </c>
      <c r="G214" s="108">
        <v>45432</v>
      </c>
      <c r="H214" s="126" t="s">
        <v>89</v>
      </c>
      <c r="I214" s="126" t="s">
        <v>7839</v>
      </c>
      <c r="J214" s="126"/>
      <c r="K214" s="126" t="s">
        <v>7840</v>
      </c>
      <c r="L214" s="126" t="s">
        <v>7841</v>
      </c>
      <c r="M214" s="126" t="s">
        <v>399</v>
      </c>
      <c r="N214" s="35"/>
      <c r="O214" s="35"/>
      <c r="Q214" s="3">
        <f t="shared" si="6"/>
        <v>203.83</v>
      </c>
      <c r="S214" s="55" t="s">
        <v>9013</v>
      </c>
      <c r="U214" s="3" t="str">
        <f t="shared" si="7"/>
        <v/>
      </c>
    </row>
    <row r="215" spans="1:21" x14ac:dyDescent="0.35">
      <c r="A215" s="126" t="s">
        <v>0</v>
      </c>
      <c r="B215" s="126" t="s">
        <v>756</v>
      </c>
      <c r="C215" s="126" t="s">
        <v>2</v>
      </c>
      <c r="D215" s="126" t="s">
        <v>3</v>
      </c>
      <c r="E215" s="126">
        <v>203.83</v>
      </c>
      <c r="F215" s="126" t="s">
        <v>88</v>
      </c>
      <c r="G215" s="108">
        <v>45454</v>
      </c>
      <c r="H215" s="126" t="s">
        <v>89</v>
      </c>
      <c r="I215" s="126" t="s">
        <v>7958</v>
      </c>
      <c r="J215" s="126"/>
      <c r="K215" s="126" t="s">
        <v>7959</v>
      </c>
      <c r="L215" s="126" t="s">
        <v>7960</v>
      </c>
      <c r="M215" s="126" t="s">
        <v>399</v>
      </c>
      <c r="Q215" s="3">
        <f t="shared" si="6"/>
        <v>203.83</v>
      </c>
      <c r="S215" s="55" t="s">
        <v>9013</v>
      </c>
      <c r="U215" s="3" t="str">
        <f t="shared" si="7"/>
        <v/>
      </c>
    </row>
    <row r="216" spans="1:21" x14ac:dyDescent="0.35">
      <c r="A216" s="126" t="s">
        <v>0</v>
      </c>
      <c r="B216" s="126" t="s">
        <v>756</v>
      </c>
      <c r="C216" s="126" t="s">
        <v>2</v>
      </c>
      <c r="D216" s="126" t="s">
        <v>3</v>
      </c>
      <c r="E216" s="126">
        <v>203.83</v>
      </c>
      <c r="F216" s="126" t="s">
        <v>88</v>
      </c>
      <c r="G216" s="108">
        <v>45485</v>
      </c>
      <c r="H216" s="126" t="s">
        <v>89</v>
      </c>
      <c r="I216" s="126" t="s">
        <v>8134</v>
      </c>
      <c r="J216" s="126"/>
      <c r="K216" s="126" t="s">
        <v>8135</v>
      </c>
      <c r="L216" s="126" t="s">
        <v>8136</v>
      </c>
      <c r="M216" s="126" t="s">
        <v>399</v>
      </c>
      <c r="Q216" s="3">
        <f t="shared" si="6"/>
        <v>203.83</v>
      </c>
      <c r="S216" s="55" t="s">
        <v>9013</v>
      </c>
      <c r="U216" s="3" t="str">
        <f t="shared" si="7"/>
        <v/>
      </c>
    </row>
    <row r="217" spans="1:21" x14ac:dyDescent="0.35">
      <c r="A217" s="126" t="s">
        <v>0</v>
      </c>
      <c r="B217" s="126" t="s">
        <v>756</v>
      </c>
      <c r="C217" s="126" t="s">
        <v>2</v>
      </c>
      <c r="D217" s="126" t="s">
        <v>3</v>
      </c>
      <c r="E217" s="126">
        <v>203.83</v>
      </c>
      <c r="F217" s="126" t="s">
        <v>88</v>
      </c>
      <c r="G217" s="108">
        <v>45517</v>
      </c>
      <c r="H217" s="126" t="s">
        <v>89</v>
      </c>
      <c r="I217" s="126" t="s">
        <v>8320</v>
      </c>
      <c r="J217" s="126"/>
      <c r="K217" s="126" t="s">
        <v>8321</v>
      </c>
      <c r="L217" s="126" t="s">
        <v>8322</v>
      </c>
      <c r="M217" s="126" t="s">
        <v>399</v>
      </c>
      <c r="Q217" s="3">
        <f t="shared" si="6"/>
        <v>203.83</v>
      </c>
      <c r="S217" s="55" t="s">
        <v>9013</v>
      </c>
      <c r="U217" s="3" t="str">
        <f t="shared" si="7"/>
        <v/>
      </c>
    </row>
    <row r="218" spans="1:21" x14ac:dyDescent="0.35">
      <c r="A218" s="126" t="s">
        <v>0</v>
      </c>
      <c r="B218" s="126" t="s">
        <v>756</v>
      </c>
      <c r="C218" s="126" t="s">
        <v>2</v>
      </c>
      <c r="D218" s="126" t="s">
        <v>3</v>
      </c>
      <c r="E218" s="126">
        <v>203.83</v>
      </c>
      <c r="F218" s="126" t="s">
        <v>88</v>
      </c>
      <c r="G218" s="108">
        <v>45551</v>
      </c>
      <c r="H218" s="126" t="s">
        <v>89</v>
      </c>
      <c r="I218" s="126" t="s">
        <v>8431</v>
      </c>
      <c r="J218" s="126"/>
      <c r="K218" s="126" t="s">
        <v>8432</v>
      </c>
      <c r="L218" s="126" t="s">
        <v>8433</v>
      </c>
      <c r="M218" s="126" t="s">
        <v>399</v>
      </c>
      <c r="N218" s="126"/>
      <c r="O218" s="126"/>
      <c r="Q218" s="3">
        <f t="shared" si="6"/>
        <v>203.83</v>
      </c>
      <c r="S218" s="55" t="s">
        <v>9013</v>
      </c>
      <c r="U218" s="3" t="str">
        <f t="shared" si="7"/>
        <v/>
      </c>
    </row>
    <row r="219" spans="1:21" x14ac:dyDescent="0.35">
      <c r="A219" s="126" t="s">
        <v>0</v>
      </c>
      <c r="B219" s="126" t="s">
        <v>756</v>
      </c>
      <c r="C219" s="126" t="s">
        <v>2</v>
      </c>
      <c r="D219" s="126" t="s">
        <v>3</v>
      </c>
      <c r="E219" s="126">
        <v>203.8</v>
      </c>
      <c r="F219" s="126" t="s">
        <v>88</v>
      </c>
      <c r="G219" s="108">
        <v>45391</v>
      </c>
      <c r="H219" s="126" t="s">
        <v>89</v>
      </c>
      <c r="I219" s="126" t="s">
        <v>7691</v>
      </c>
      <c r="J219" s="126"/>
      <c r="K219" s="126" t="s">
        <v>7672</v>
      </c>
      <c r="L219" s="126" t="s">
        <v>7692</v>
      </c>
      <c r="M219" s="126" t="s">
        <v>399</v>
      </c>
      <c r="Q219" s="3">
        <f t="shared" si="6"/>
        <v>203.8</v>
      </c>
      <c r="S219" s="55" t="s">
        <v>9013</v>
      </c>
      <c r="U219" s="3" t="str">
        <f t="shared" si="7"/>
        <v/>
      </c>
    </row>
    <row r="220" spans="1:21" x14ac:dyDescent="0.35">
      <c r="A220" s="126" t="s">
        <v>35</v>
      </c>
      <c r="B220" s="126" t="s">
        <v>5426</v>
      </c>
      <c r="C220" s="126" t="s">
        <v>2</v>
      </c>
      <c r="D220" s="126" t="s">
        <v>3</v>
      </c>
      <c r="E220" s="126">
        <v>202.73</v>
      </c>
      <c r="F220" s="126" t="s">
        <v>88</v>
      </c>
      <c r="G220" s="108">
        <v>45614</v>
      </c>
      <c r="H220" s="126" t="s">
        <v>94</v>
      </c>
      <c r="I220" s="126" t="s">
        <v>8566</v>
      </c>
      <c r="J220" s="126" t="s">
        <v>409</v>
      </c>
      <c r="K220" s="126"/>
      <c r="L220" s="126"/>
      <c r="M220" s="126"/>
      <c r="N220" s="126"/>
      <c r="O220" s="126" t="s">
        <v>8752</v>
      </c>
      <c r="Q220" s="3">
        <f t="shared" si="6"/>
        <v>202.73</v>
      </c>
      <c r="S220" s="55" t="s">
        <v>586</v>
      </c>
      <c r="U220" s="3" t="str">
        <f t="shared" si="7"/>
        <v/>
      </c>
    </row>
    <row r="221" spans="1:21" x14ac:dyDescent="0.35">
      <c r="A221" s="126" t="s">
        <v>35</v>
      </c>
      <c r="B221" s="126" t="s">
        <v>740</v>
      </c>
      <c r="C221" s="126" t="s">
        <v>2</v>
      </c>
      <c r="D221" s="126" t="s">
        <v>3</v>
      </c>
      <c r="E221" s="126">
        <v>202.18</v>
      </c>
      <c r="F221" s="126" t="s">
        <v>88</v>
      </c>
      <c r="G221" s="108">
        <v>45636</v>
      </c>
      <c r="H221" s="126" t="s">
        <v>94</v>
      </c>
      <c r="I221" s="126" t="s">
        <v>8929</v>
      </c>
      <c r="J221" s="126" t="s">
        <v>8934</v>
      </c>
      <c r="K221" s="126"/>
      <c r="L221" s="126"/>
      <c r="M221" s="126"/>
      <c r="N221" s="126"/>
      <c r="O221" s="126" t="s">
        <v>8935</v>
      </c>
      <c r="Q221" s="3">
        <f t="shared" si="6"/>
        <v>202.18</v>
      </c>
      <c r="S221" s="55" t="s">
        <v>9032</v>
      </c>
      <c r="U221" s="3" t="str">
        <f t="shared" si="7"/>
        <v/>
      </c>
    </row>
    <row r="222" spans="1:21" x14ac:dyDescent="0.35">
      <c r="A222" s="126" t="s">
        <v>0</v>
      </c>
      <c r="B222" s="126" t="s">
        <v>756</v>
      </c>
      <c r="C222" s="126" t="s">
        <v>2</v>
      </c>
      <c r="D222" s="126" t="s">
        <v>3</v>
      </c>
      <c r="E222" s="126">
        <v>201.33</v>
      </c>
      <c r="F222" s="126" t="s">
        <v>88</v>
      </c>
      <c r="G222" s="108">
        <v>45390</v>
      </c>
      <c r="H222" s="126" t="s">
        <v>89</v>
      </c>
      <c r="I222" s="126" t="s">
        <v>7671</v>
      </c>
      <c r="J222" s="126"/>
      <c r="K222" s="126" t="s">
        <v>7672</v>
      </c>
      <c r="L222" s="126" t="s">
        <v>7673</v>
      </c>
      <c r="M222" s="126" t="s">
        <v>399</v>
      </c>
      <c r="N222" s="126"/>
      <c r="O222" s="126"/>
      <c r="Q222" s="3">
        <f t="shared" si="6"/>
        <v>201.33</v>
      </c>
      <c r="S222" s="55" t="s">
        <v>9013</v>
      </c>
      <c r="U222" s="3" t="str">
        <f t="shared" si="7"/>
        <v/>
      </c>
    </row>
    <row r="223" spans="1:21" x14ac:dyDescent="0.35">
      <c r="A223" s="126" t="s">
        <v>35</v>
      </c>
      <c r="B223" s="126" t="s">
        <v>633</v>
      </c>
      <c r="C223" s="126" t="s">
        <v>2</v>
      </c>
      <c r="D223" s="126" t="s">
        <v>3</v>
      </c>
      <c r="E223" s="126">
        <v>199.91</v>
      </c>
      <c r="F223" s="126" t="s">
        <v>88</v>
      </c>
      <c r="G223" s="108">
        <v>45485</v>
      </c>
      <c r="H223" s="126" t="s">
        <v>94</v>
      </c>
      <c r="I223" s="126" t="s">
        <v>495</v>
      </c>
      <c r="J223" s="126" t="s">
        <v>8153</v>
      </c>
      <c r="K223" s="126"/>
      <c r="L223" s="126"/>
      <c r="M223" s="126"/>
      <c r="N223" s="126"/>
      <c r="O223" s="126" t="s">
        <v>541</v>
      </c>
      <c r="Q223" s="3">
        <f t="shared" si="6"/>
        <v>199.91</v>
      </c>
      <c r="S223" s="55" t="s">
        <v>586</v>
      </c>
      <c r="U223" s="3" t="str">
        <f t="shared" si="7"/>
        <v/>
      </c>
    </row>
    <row r="224" spans="1:21" x14ac:dyDescent="0.35">
      <c r="A224" s="126" t="s">
        <v>35</v>
      </c>
      <c r="B224" s="126" t="s">
        <v>615</v>
      </c>
      <c r="C224" s="126" t="s">
        <v>2</v>
      </c>
      <c r="D224" s="126" t="s">
        <v>3</v>
      </c>
      <c r="E224" s="126">
        <v>199.73</v>
      </c>
      <c r="F224" s="126" t="s">
        <v>88</v>
      </c>
      <c r="G224" s="108">
        <v>45565</v>
      </c>
      <c r="H224" s="126" t="s">
        <v>94</v>
      </c>
      <c r="I224" s="126" t="s">
        <v>447</v>
      </c>
      <c r="J224" s="126" t="s">
        <v>332</v>
      </c>
      <c r="K224" s="126"/>
      <c r="L224" s="126"/>
      <c r="M224" s="126"/>
      <c r="N224" s="126"/>
      <c r="O224" s="126" t="s">
        <v>539</v>
      </c>
      <c r="Q224" s="3">
        <f t="shared" si="6"/>
        <v>199.73</v>
      </c>
      <c r="S224" s="55" t="s">
        <v>9013</v>
      </c>
      <c r="U224" s="3" t="str">
        <f t="shared" si="7"/>
        <v/>
      </c>
    </row>
    <row r="225" spans="1:21" x14ac:dyDescent="0.35">
      <c r="A225" s="126" t="s">
        <v>35</v>
      </c>
      <c r="B225" s="126" t="s">
        <v>756</v>
      </c>
      <c r="C225" s="126" t="s">
        <v>2</v>
      </c>
      <c r="D225" s="126" t="s">
        <v>3</v>
      </c>
      <c r="E225" s="126">
        <v>197.92</v>
      </c>
      <c r="F225" s="126" t="s">
        <v>88</v>
      </c>
      <c r="G225" s="108">
        <v>45566</v>
      </c>
      <c r="H225" s="126" t="s">
        <v>89</v>
      </c>
      <c r="I225" s="126" t="s">
        <v>8507</v>
      </c>
      <c r="J225" s="126"/>
      <c r="K225" s="126" t="s">
        <v>7871</v>
      </c>
      <c r="L225" s="126" t="s">
        <v>8508</v>
      </c>
      <c r="M225" s="126" t="s">
        <v>7873</v>
      </c>
      <c r="N225" s="126"/>
      <c r="O225" s="126"/>
      <c r="Q225" s="3">
        <f t="shared" si="6"/>
        <v>197.92</v>
      </c>
      <c r="S225" s="55" t="s">
        <v>9027</v>
      </c>
      <c r="U225" s="3" t="str">
        <f t="shared" si="7"/>
        <v/>
      </c>
    </row>
    <row r="226" spans="1:21" x14ac:dyDescent="0.35">
      <c r="A226" s="126" t="s">
        <v>35</v>
      </c>
      <c r="B226" s="126" t="s">
        <v>756</v>
      </c>
      <c r="C226" s="126" t="s">
        <v>2</v>
      </c>
      <c r="D226" s="126" t="s">
        <v>3</v>
      </c>
      <c r="E226" s="126">
        <v>197.92</v>
      </c>
      <c r="F226" s="126" t="s">
        <v>88</v>
      </c>
      <c r="G226" s="108">
        <v>45597</v>
      </c>
      <c r="H226" s="126" t="s">
        <v>89</v>
      </c>
      <c r="I226" s="126" t="s">
        <v>8640</v>
      </c>
      <c r="J226" s="126"/>
      <c r="K226" s="126" t="s">
        <v>7871</v>
      </c>
      <c r="L226" s="126" t="s">
        <v>8641</v>
      </c>
      <c r="M226" s="126" t="s">
        <v>7873</v>
      </c>
      <c r="N226" s="126"/>
      <c r="O226" s="126"/>
      <c r="Q226" s="3">
        <f t="shared" si="6"/>
        <v>197.92</v>
      </c>
      <c r="S226" s="55" t="s">
        <v>9027</v>
      </c>
      <c r="U226" s="3" t="str">
        <f t="shared" si="7"/>
        <v/>
      </c>
    </row>
    <row r="227" spans="1:21" x14ac:dyDescent="0.35">
      <c r="A227" s="126" t="s">
        <v>0</v>
      </c>
      <c r="B227" s="126" t="s">
        <v>756</v>
      </c>
      <c r="C227" s="126" t="s">
        <v>2</v>
      </c>
      <c r="D227" s="126" t="s">
        <v>3</v>
      </c>
      <c r="E227" s="126">
        <v>196.11</v>
      </c>
      <c r="F227" s="126" t="s">
        <v>88</v>
      </c>
      <c r="G227" s="108">
        <v>45517</v>
      </c>
      <c r="H227" s="126" t="s">
        <v>89</v>
      </c>
      <c r="I227" s="126" t="s">
        <v>8323</v>
      </c>
      <c r="J227" s="126"/>
      <c r="K227" s="126" t="s">
        <v>8321</v>
      </c>
      <c r="L227" s="126" t="s">
        <v>8324</v>
      </c>
      <c r="M227" s="126" t="s">
        <v>399</v>
      </c>
      <c r="Q227" s="3">
        <f t="shared" si="6"/>
        <v>196.11</v>
      </c>
      <c r="S227" s="55" t="s">
        <v>9013</v>
      </c>
      <c r="U227" s="3" t="str">
        <f t="shared" si="7"/>
        <v/>
      </c>
    </row>
    <row r="228" spans="1:21" x14ac:dyDescent="0.35">
      <c r="A228" s="126" t="s">
        <v>35</v>
      </c>
      <c r="B228" s="126" t="s">
        <v>1043</v>
      </c>
      <c r="C228" s="126" t="s">
        <v>2</v>
      </c>
      <c r="D228" s="126" t="s">
        <v>3</v>
      </c>
      <c r="E228" s="126">
        <v>194.5</v>
      </c>
      <c r="F228" s="126" t="s">
        <v>88</v>
      </c>
      <c r="G228" s="108">
        <v>45467</v>
      </c>
      <c r="H228" s="126" t="s">
        <v>94</v>
      </c>
      <c r="I228" s="126" t="s">
        <v>8056</v>
      </c>
      <c r="J228" s="126" t="s">
        <v>8057</v>
      </c>
      <c r="K228" s="126"/>
      <c r="L228" s="126"/>
      <c r="M228" s="126"/>
      <c r="N228" s="126"/>
      <c r="O228" s="126" t="s">
        <v>4028</v>
      </c>
      <c r="Q228" s="3">
        <f t="shared" si="6"/>
        <v>194.5</v>
      </c>
      <c r="S228" s="55" t="s">
        <v>9013</v>
      </c>
      <c r="U228" s="3" t="str">
        <f t="shared" si="7"/>
        <v/>
      </c>
    </row>
    <row r="229" spans="1:21" x14ac:dyDescent="0.35">
      <c r="A229" s="126" t="s">
        <v>0</v>
      </c>
      <c r="B229" s="126" t="s">
        <v>1053</v>
      </c>
      <c r="C229" s="126" t="s">
        <v>2</v>
      </c>
      <c r="D229" s="126" t="s">
        <v>3</v>
      </c>
      <c r="E229" s="126">
        <v>193.99</v>
      </c>
      <c r="F229" s="126" t="s">
        <v>88</v>
      </c>
      <c r="G229" s="108">
        <v>45611</v>
      </c>
      <c r="H229" s="126" t="s">
        <v>89</v>
      </c>
      <c r="I229" s="126" t="s">
        <v>8737</v>
      </c>
      <c r="J229" s="126"/>
      <c r="K229" s="126" t="s">
        <v>8522</v>
      </c>
      <c r="L229" s="126" t="s">
        <v>8738</v>
      </c>
      <c r="M229" s="126" t="s">
        <v>399</v>
      </c>
      <c r="Q229" s="3">
        <f t="shared" si="6"/>
        <v>193.99</v>
      </c>
      <c r="S229" s="55" t="s">
        <v>9013</v>
      </c>
      <c r="U229" s="3" t="str">
        <f t="shared" si="7"/>
        <v/>
      </c>
    </row>
    <row r="230" spans="1:21" x14ac:dyDescent="0.35">
      <c r="A230" s="126" t="s">
        <v>0</v>
      </c>
      <c r="B230" s="126" t="s">
        <v>881</v>
      </c>
      <c r="C230" s="126" t="s">
        <v>2</v>
      </c>
      <c r="D230" s="126" t="s">
        <v>3</v>
      </c>
      <c r="E230" s="126">
        <v>193.79</v>
      </c>
      <c r="F230" s="126" t="s">
        <v>88</v>
      </c>
      <c r="G230" s="108">
        <v>45569</v>
      </c>
      <c r="H230" s="126" t="s">
        <v>89</v>
      </c>
      <c r="I230" s="126" t="s">
        <v>8524</v>
      </c>
      <c r="J230" s="126"/>
      <c r="K230" s="126" t="s">
        <v>8525</v>
      </c>
      <c r="L230" s="126" t="s">
        <v>8526</v>
      </c>
      <c r="M230" s="126" t="s">
        <v>399</v>
      </c>
      <c r="N230" s="126"/>
      <c r="O230" s="126"/>
      <c r="Q230" s="3">
        <f t="shared" si="6"/>
        <v>193.79</v>
      </c>
      <c r="S230" s="55" t="s">
        <v>9013</v>
      </c>
      <c r="U230" s="3" t="str">
        <f t="shared" si="7"/>
        <v/>
      </c>
    </row>
    <row r="231" spans="1:21" x14ac:dyDescent="0.35">
      <c r="A231" s="126" t="s">
        <v>35</v>
      </c>
      <c r="B231" s="126" t="s">
        <v>6405</v>
      </c>
      <c r="C231" s="126" t="s">
        <v>2</v>
      </c>
      <c r="D231" s="126" t="s">
        <v>3</v>
      </c>
      <c r="E231" s="126">
        <v>191.04</v>
      </c>
      <c r="F231" s="126" t="s">
        <v>88</v>
      </c>
      <c r="G231" s="108">
        <v>45524</v>
      </c>
      <c r="H231" s="126" t="s">
        <v>94</v>
      </c>
      <c r="I231" s="126" t="s">
        <v>8159</v>
      </c>
      <c r="J231" s="126" t="s">
        <v>8160</v>
      </c>
      <c r="K231" s="126"/>
      <c r="L231" s="126"/>
      <c r="M231" s="126"/>
      <c r="N231" s="126"/>
      <c r="O231" s="126" t="s">
        <v>8161</v>
      </c>
      <c r="Q231" s="3">
        <f t="shared" si="6"/>
        <v>191.04</v>
      </c>
      <c r="S231" s="55" t="s">
        <v>9013</v>
      </c>
      <c r="U231" s="3" t="str">
        <f t="shared" si="7"/>
        <v/>
      </c>
    </row>
    <row r="232" spans="1:21" x14ac:dyDescent="0.35">
      <c r="A232" s="126" t="s">
        <v>0</v>
      </c>
      <c r="B232" s="126" t="s">
        <v>1106</v>
      </c>
      <c r="C232" s="126" t="s">
        <v>2</v>
      </c>
      <c r="D232" s="126" t="s">
        <v>3</v>
      </c>
      <c r="E232" s="126">
        <v>191.02</v>
      </c>
      <c r="F232" s="126" t="s">
        <v>88</v>
      </c>
      <c r="G232" s="108">
        <v>45611</v>
      </c>
      <c r="H232" s="126" t="s">
        <v>89</v>
      </c>
      <c r="I232" s="126" t="s">
        <v>8737</v>
      </c>
      <c r="J232" s="126"/>
      <c r="K232" s="126" t="s">
        <v>8522</v>
      </c>
      <c r="L232" s="126" t="s">
        <v>8738</v>
      </c>
      <c r="M232" s="126" t="s">
        <v>399</v>
      </c>
      <c r="Q232" s="3">
        <f t="shared" si="6"/>
        <v>191.02</v>
      </c>
      <c r="S232" s="55" t="s">
        <v>9013</v>
      </c>
      <c r="U232" s="3" t="str">
        <f t="shared" si="7"/>
        <v/>
      </c>
    </row>
    <row r="233" spans="1:21" x14ac:dyDescent="0.35">
      <c r="A233" s="126" t="s">
        <v>0</v>
      </c>
      <c r="B233" s="126" t="s">
        <v>2473</v>
      </c>
      <c r="C233" s="126" t="s">
        <v>2</v>
      </c>
      <c r="D233" s="126" t="s">
        <v>3</v>
      </c>
      <c r="E233" s="126">
        <v>189.19</v>
      </c>
      <c r="F233" s="126" t="s">
        <v>88</v>
      </c>
      <c r="G233" s="108">
        <v>45635</v>
      </c>
      <c r="H233" s="126" t="s">
        <v>89</v>
      </c>
      <c r="I233" s="126" t="s">
        <v>8881</v>
      </c>
      <c r="J233" s="126"/>
      <c r="K233" s="126" t="s">
        <v>8735</v>
      </c>
      <c r="L233" s="126" t="s">
        <v>8882</v>
      </c>
      <c r="M233" s="126" t="s">
        <v>399</v>
      </c>
      <c r="Q233" s="3">
        <f t="shared" si="6"/>
        <v>189.19</v>
      </c>
      <c r="S233" s="55" t="s">
        <v>9013</v>
      </c>
      <c r="U233" s="3" t="str">
        <f t="shared" si="7"/>
        <v/>
      </c>
    </row>
    <row r="234" spans="1:21" x14ac:dyDescent="0.35">
      <c r="A234" s="126" t="s">
        <v>35</v>
      </c>
      <c r="B234" s="126" t="s">
        <v>740</v>
      </c>
      <c r="C234" s="126" t="s">
        <v>2</v>
      </c>
      <c r="D234" s="126" t="s">
        <v>3</v>
      </c>
      <c r="E234" s="126">
        <v>187.64</v>
      </c>
      <c r="F234" s="126" t="s">
        <v>88</v>
      </c>
      <c r="G234" s="108">
        <v>45602</v>
      </c>
      <c r="H234" s="126" t="s">
        <v>94</v>
      </c>
      <c r="I234" s="126" t="s">
        <v>426</v>
      </c>
      <c r="J234" s="126" t="s">
        <v>8681</v>
      </c>
      <c r="K234" s="126"/>
      <c r="L234" s="126"/>
      <c r="M234" s="126"/>
      <c r="N234" s="126"/>
      <c r="O234" s="126" t="s">
        <v>7745</v>
      </c>
      <c r="Q234" s="3">
        <f t="shared" si="6"/>
        <v>187.64</v>
      </c>
      <c r="S234" s="55" t="s">
        <v>586</v>
      </c>
      <c r="U234" s="3" t="str">
        <f t="shared" si="7"/>
        <v/>
      </c>
    </row>
    <row r="235" spans="1:21" x14ac:dyDescent="0.35">
      <c r="A235" s="126" t="s">
        <v>35</v>
      </c>
      <c r="B235" s="126" t="s">
        <v>934</v>
      </c>
      <c r="C235" s="126" t="s">
        <v>2</v>
      </c>
      <c r="D235" s="126" t="s">
        <v>3</v>
      </c>
      <c r="E235" s="126">
        <v>187.27</v>
      </c>
      <c r="F235" s="126" t="s">
        <v>88</v>
      </c>
      <c r="G235" s="108">
        <v>45547</v>
      </c>
      <c r="H235" s="126" t="s">
        <v>94</v>
      </c>
      <c r="I235" s="126" t="s">
        <v>8425</v>
      </c>
      <c r="J235" s="126" t="s">
        <v>8426</v>
      </c>
      <c r="K235" s="126"/>
      <c r="L235" s="126"/>
      <c r="M235" s="126"/>
      <c r="N235" s="126"/>
      <c r="O235" s="126" t="s">
        <v>8427</v>
      </c>
      <c r="Q235" s="3">
        <f t="shared" si="6"/>
        <v>187.27</v>
      </c>
      <c r="S235" s="55" t="s">
        <v>9018</v>
      </c>
      <c r="U235" s="3" t="str">
        <f t="shared" si="7"/>
        <v/>
      </c>
    </row>
    <row r="236" spans="1:21" x14ac:dyDescent="0.35">
      <c r="A236" s="126" t="s">
        <v>35</v>
      </c>
      <c r="B236" s="126" t="s">
        <v>2031</v>
      </c>
      <c r="C236" s="126" t="s">
        <v>2</v>
      </c>
      <c r="D236" s="126" t="s">
        <v>3</v>
      </c>
      <c r="E236" s="126">
        <v>186.36</v>
      </c>
      <c r="F236" s="126" t="s">
        <v>88</v>
      </c>
      <c r="G236" s="108">
        <v>45581</v>
      </c>
      <c r="H236" s="126" t="s">
        <v>94</v>
      </c>
      <c r="I236" s="126" t="s">
        <v>215</v>
      </c>
      <c r="J236" s="126" t="s">
        <v>8580</v>
      </c>
      <c r="K236" s="126"/>
      <c r="L236" s="126"/>
      <c r="M236" s="126"/>
      <c r="N236" s="126"/>
      <c r="O236" s="126" t="s">
        <v>8581</v>
      </c>
      <c r="Q236" s="3">
        <f t="shared" si="6"/>
        <v>186.36</v>
      </c>
      <c r="S236" s="55" t="s">
        <v>9013</v>
      </c>
      <c r="U236" s="3" t="str">
        <f t="shared" si="7"/>
        <v/>
      </c>
    </row>
    <row r="237" spans="1:21" x14ac:dyDescent="0.35">
      <c r="A237" s="126" t="s">
        <v>35</v>
      </c>
      <c r="B237" s="126" t="s">
        <v>6405</v>
      </c>
      <c r="C237" s="126" t="s">
        <v>2</v>
      </c>
      <c r="D237" s="126" t="s">
        <v>3</v>
      </c>
      <c r="E237" s="126">
        <v>185.91</v>
      </c>
      <c r="F237" s="126" t="s">
        <v>88</v>
      </c>
      <c r="G237" s="108">
        <v>45488</v>
      </c>
      <c r="H237" s="126" t="s">
        <v>94</v>
      </c>
      <c r="I237" s="126" t="s">
        <v>8159</v>
      </c>
      <c r="J237" s="126" t="s">
        <v>8160</v>
      </c>
      <c r="K237" s="126"/>
      <c r="L237" s="126"/>
      <c r="M237" s="126"/>
      <c r="N237" s="126"/>
      <c r="O237" s="126" t="s">
        <v>8161</v>
      </c>
      <c r="Q237" s="3">
        <f t="shared" si="6"/>
        <v>185.91</v>
      </c>
      <c r="S237" s="55" t="s">
        <v>9013</v>
      </c>
      <c r="U237" s="3" t="str">
        <f t="shared" si="7"/>
        <v/>
      </c>
    </row>
    <row r="238" spans="1:21" x14ac:dyDescent="0.35">
      <c r="A238" s="126" t="s">
        <v>35</v>
      </c>
      <c r="B238" s="126" t="s">
        <v>3422</v>
      </c>
      <c r="C238" s="126" t="s">
        <v>2</v>
      </c>
      <c r="D238" s="126" t="s">
        <v>3</v>
      </c>
      <c r="E238" s="126">
        <v>182.73</v>
      </c>
      <c r="F238" s="126" t="s">
        <v>88</v>
      </c>
      <c r="G238" s="108">
        <v>45513</v>
      </c>
      <c r="H238" s="126" t="s">
        <v>94</v>
      </c>
      <c r="I238" s="126" t="s">
        <v>4612</v>
      </c>
      <c r="J238" s="126" t="s">
        <v>8301</v>
      </c>
      <c r="K238" s="126"/>
      <c r="L238" s="126"/>
      <c r="M238" s="126"/>
      <c r="N238" s="126"/>
      <c r="O238" s="126" t="s">
        <v>5012</v>
      </c>
      <c r="Q238" s="3">
        <f t="shared" si="6"/>
        <v>182.73</v>
      </c>
      <c r="S238" s="55" t="s">
        <v>9034</v>
      </c>
      <c r="U238" s="3" t="str">
        <f t="shared" si="7"/>
        <v/>
      </c>
    </row>
    <row r="239" spans="1:21" x14ac:dyDescent="0.35">
      <c r="A239" s="126" t="s">
        <v>35</v>
      </c>
      <c r="B239" s="126" t="s">
        <v>2543</v>
      </c>
      <c r="C239" s="126" t="s">
        <v>2</v>
      </c>
      <c r="D239" s="126" t="s">
        <v>3</v>
      </c>
      <c r="E239" s="126">
        <v>182.73</v>
      </c>
      <c r="F239" s="126" t="s">
        <v>88</v>
      </c>
      <c r="G239" s="108">
        <v>45623</v>
      </c>
      <c r="H239" s="126" t="s">
        <v>94</v>
      </c>
      <c r="I239" s="126" t="s">
        <v>513</v>
      </c>
      <c r="J239" s="126" t="s">
        <v>514</v>
      </c>
      <c r="K239" s="126"/>
      <c r="L239" s="126"/>
      <c r="M239" s="126"/>
      <c r="N239" s="126"/>
      <c r="O239" s="126" t="s">
        <v>7774</v>
      </c>
      <c r="Q239" s="3">
        <f t="shared" si="6"/>
        <v>182.73</v>
      </c>
      <c r="S239" s="55" t="s">
        <v>9013</v>
      </c>
      <c r="U239" s="3" t="str">
        <f t="shared" si="7"/>
        <v/>
      </c>
    </row>
    <row r="240" spans="1:21" x14ac:dyDescent="0.35">
      <c r="A240" s="126" t="s">
        <v>35</v>
      </c>
      <c r="B240" s="126" t="s">
        <v>869</v>
      </c>
      <c r="C240" s="126" t="s">
        <v>2</v>
      </c>
      <c r="D240" s="126" t="s">
        <v>3</v>
      </c>
      <c r="E240" s="126">
        <v>182.66</v>
      </c>
      <c r="F240" s="126" t="s">
        <v>88</v>
      </c>
      <c r="G240" s="108">
        <v>45531</v>
      </c>
      <c r="H240" s="126" t="s">
        <v>94</v>
      </c>
      <c r="I240" s="126" t="s">
        <v>7987</v>
      </c>
      <c r="J240" s="126" t="s">
        <v>8369</v>
      </c>
      <c r="K240" s="126"/>
      <c r="L240" s="126"/>
      <c r="M240" s="126"/>
      <c r="N240" s="126"/>
      <c r="O240" s="126" t="s">
        <v>8370</v>
      </c>
      <c r="Q240" s="3">
        <f t="shared" si="6"/>
        <v>182.66</v>
      </c>
      <c r="S240" s="55" t="s">
        <v>9013</v>
      </c>
      <c r="U240" s="3" t="str">
        <f t="shared" si="7"/>
        <v/>
      </c>
    </row>
    <row r="241" spans="1:21" x14ac:dyDescent="0.35">
      <c r="A241" s="126" t="s">
        <v>0</v>
      </c>
      <c r="B241" s="126" t="s">
        <v>724</v>
      </c>
      <c r="C241" s="126" t="s">
        <v>2</v>
      </c>
      <c r="D241" s="126" t="s">
        <v>3</v>
      </c>
      <c r="E241" s="126">
        <v>178.2</v>
      </c>
      <c r="F241" s="126" t="s">
        <v>88</v>
      </c>
      <c r="G241" s="108">
        <v>45457</v>
      </c>
      <c r="H241" s="126" t="s">
        <v>89</v>
      </c>
      <c r="I241" s="126" t="s">
        <v>7995</v>
      </c>
      <c r="J241" s="126"/>
      <c r="K241" s="126" t="s">
        <v>7996</v>
      </c>
      <c r="L241" s="126" t="s">
        <v>7997</v>
      </c>
      <c r="M241" s="126" t="s">
        <v>7998</v>
      </c>
      <c r="N241" s="126"/>
      <c r="O241" s="126"/>
      <c r="Q241" s="3">
        <f t="shared" si="6"/>
        <v>178.2</v>
      </c>
      <c r="S241" s="55" t="s">
        <v>9013</v>
      </c>
      <c r="U241" s="3" t="str">
        <f t="shared" si="7"/>
        <v/>
      </c>
    </row>
    <row r="242" spans="1:21" x14ac:dyDescent="0.35">
      <c r="A242" s="126" t="s">
        <v>35</v>
      </c>
      <c r="B242" s="126" t="s">
        <v>1533</v>
      </c>
      <c r="C242" s="126" t="s">
        <v>2</v>
      </c>
      <c r="D242" s="126" t="s">
        <v>3</v>
      </c>
      <c r="E242" s="126">
        <v>177.27</v>
      </c>
      <c r="F242" s="126" t="s">
        <v>88</v>
      </c>
      <c r="G242" s="108">
        <v>45391</v>
      </c>
      <c r="H242" s="126" t="s">
        <v>94</v>
      </c>
      <c r="I242" s="126" t="s">
        <v>423</v>
      </c>
      <c r="J242" s="126" t="s">
        <v>7699</v>
      </c>
      <c r="K242" s="126"/>
      <c r="L242" s="126"/>
      <c r="M242" s="126"/>
      <c r="N242" s="126"/>
      <c r="O242" s="126" t="s">
        <v>7700</v>
      </c>
      <c r="Q242" s="3">
        <f t="shared" si="6"/>
        <v>177.27</v>
      </c>
      <c r="S242" s="55" t="s">
        <v>9013</v>
      </c>
      <c r="U242" s="3" t="str">
        <f t="shared" si="7"/>
        <v/>
      </c>
    </row>
    <row r="243" spans="1:21" x14ac:dyDescent="0.35">
      <c r="A243" s="126" t="s">
        <v>35</v>
      </c>
      <c r="B243" s="126" t="s">
        <v>915</v>
      </c>
      <c r="C243" s="126" t="s">
        <v>2</v>
      </c>
      <c r="D243" s="126" t="s">
        <v>3</v>
      </c>
      <c r="E243" s="126">
        <v>177.27</v>
      </c>
      <c r="F243" s="126" t="s">
        <v>88</v>
      </c>
      <c r="G243" s="108">
        <v>45405</v>
      </c>
      <c r="H243" s="126" t="s">
        <v>94</v>
      </c>
      <c r="I243" s="126" t="s">
        <v>7766</v>
      </c>
      <c r="J243" s="126" t="s">
        <v>7767</v>
      </c>
      <c r="K243" s="126"/>
      <c r="L243" s="126"/>
      <c r="M243" s="126"/>
      <c r="N243" s="126"/>
      <c r="O243" s="126" t="s">
        <v>7768</v>
      </c>
      <c r="Q243" s="3">
        <f t="shared" si="6"/>
        <v>177.27</v>
      </c>
      <c r="S243" s="55" t="s">
        <v>9013</v>
      </c>
      <c r="U243" s="3" t="str">
        <f t="shared" si="7"/>
        <v/>
      </c>
    </row>
    <row r="244" spans="1:21" x14ac:dyDescent="0.35">
      <c r="A244" s="126" t="s">
        <v>35</v>
      </c>
      <c r="B244" s="126" t="s">
        <v>677</v>
      </c>
      <c r="C244" s="126" t="s">
        <v>2</v>
      </c>
      <c r="D244" s="126" t="s">
        <v>3</v>
      </c>
      <c r="E244" s="126">
        <v>177.27</v>
      </c>
      <c r="F244" s="126" t="s">
        <v>88</v>
      </c>
      <c r="G244" s="108">
        <v>45425</v>
      </c>
      <c r="H244" s="126" t="s">
        <v>94</v>
      </c>
      <c r="I244" s="126" t="s">
        <v>7815</v>
      </c>
      <c r="J244" s="126" t="s">
        <v>7816</v>
      </c>
      <c r="K244" s="126"/>
      <c r="L244" s="126"/>
      <c r="M244" s="126"/>
      <c r="N244" s="126"/>
      <c r="O244" s="126" t="s">
        <v>7817</v>
      </c>
      <c r="Q244" s="3">
        <f t="shared" si="6"/>
        <v>177.27</v>
      </c>
      <c r="S244" s="55" t="s">
        <v>9013</v>
      </c>
      <c r="U244" s="3" t="str">
        <f t="shared" si="7"/>
        <v/>
      </c>
    </row>
    <row r="245" spans="1:21" x14ac:dyDescent="0.35">
      <c r="A245" s="126" t="s">
        <v>35</v>
      </c>
      <c r="B245" s="126" t="s">
        <v>893</v>
      </c>
      <c r="C245" s="126" t="s">
        <v>2</v>
      </c>
      <c r="D245" s="126" t="s">
        <v>3</v>
      </c>
      <c r="E245" s="126">
        <v>177.27</v>
      </c>
      <c r="F245" s="126" t="s">
        <v>88</v>
      </c>
      <c r="G245" s="108">
        <v>45495</v>
      </c>
      <c r="H245" s="126" t="s">
        <v>94</v>
      </c>
      <c r="I245" s="126" t="s">
        <v>231</v>
      </c>
      <c r="J245" s="126" t="s">
        <v>8207</v>
      </c>
      <c r="K245" s="126"/>
      <c r="L245" s="126"/>
      <c r="M245" s="126"/>
      <c r="N245" s="126"/>
      <c r="O245" s="126" t="s">
        <v>5549</v>
      </c>
      <c r="Q245" s="3">
        <f t="shared" si="6"/>
        <v>177.27</v>
      </c>
      <c r="S245" s="55" t="s">
        <v>9013</v>
      </c>
      <c r="U245" s="3" t="str">
        <f t="shared" si="7"/>
        <v/>
      </c>
    </row>
    <row r="246" spans="1:21" x14ac:dyDescent="0.35">
      <c r="A246" s="126" t="s">
        <v>0</v>
      </c>
      <c r="B246" s="126" t="s">
        <v>756</v>
      </c>
      <c r="C246" s="126" t="s">
        <v>2</v>
      </c>
      <c r="D246" s="126" t="s">
        <v>3</v>
      </c>
      <c r="E246" s="126">
        <v>177.05</v>
      </c>
      <c r="F246" s="126" t="s">
        <v>88</v>
      </c>
      <c r="G246" s="108">
        <v>45611</v>
      </c>
      <c r="H246" s="126" t="s">
        <v>89</v>
      </c>
      <c r="I246" s="126" t="s">
        <v>8737</v>
      </c>
      <c r="J246" s="126"/>
      <c r="K246" s="126" t="s">
        <v>8522</v>
      </c>
      <c r="L246" s="126" t="s">
        <v>8738</v>
      </c>
      <c r="M246" s="126" t="s">
        <v>399</v>
      </c>
      <c r="Q246" s="3">
        <f t="shared" si="6"/>
        <v>177.05</v>
      </c>
      <c r="S246" s="55" t="s">
        <v>9013</v>
      </c>
      <c r="U246" s="3" t="str">
        <f t="shared" si="7"/>
        <v/>
      </c>
    </row>
    <row r="247" spans="1:21" x14ac:dyDescent="0.35">
      <c r="A247" s="126" t="s">
        <v>35</v>
      </c>
      <c r="B247" s="126" t="s">
        <v>1533</v>
      </c>
      <c r="C247" s="126" t="s">
        <v>2</v>
      </c>
      <c r="D247" s="126" t="s">
        <v>3</v>
      </c>
      <c r="E247" s="126">
        <v>174.55</v>
      </c>
      <c r="F247" s="126" t="s">
        <v>88</v>
      </c>
      <c r="G247" s="108">
        <v>45574</v>
      </c>
      <c r="H247" s="126" t="s">
        <v>94</v>
      </c>
      <c r="I247" s="126" t="s">
        <v>423</v>
      </c>
      <c r="J247" s="126" t="s">
        <v>8551</v>
      </c>
      <c r="K247" s="126"/>
      <c r="L247" s="126"/>
      <c r="M247" s="126"/>
      <c r="N247" s="126"/>
      <c r="O247" s="126" t="s">
        <v>8552</v>
      </c>
      <c r="Q247" s="3">
        <f t="shared" si="6"/>
        <v>174.55</v>
      </c>
      <c r="S247" s="55" t="s">
        <v>9035</v>
      </c>
      <c r="U247" s="3" t="str">
        <f t="shared" si="7"/>
        <v/>
      </c>
    </row>
    <row r="248" spans="1:21" x14ac:dyDescent="0.35">
      <c r="A248" s="126" t="s">
        <v>35</v>
      </c>
      <c r="B248" s="126" t="s">
        <v>740</v>
      </c>
      <c r="C248" s="126" t="s">
        <v>2</v>
      </c>
      <c r="D248" s="126" t="s">
        <v>3</v>
      </c>
      <c r="E248" s="126">
        <v>174.55</v>
      </c>
      <c r="F248" s="126" t="s">
        <v>88</v>
      </c>
      <c r="G248" s="108">
        <v>45636</v>
      </c>
      <c r="H248" s="126" t="s">
        <v>94</v>
      </c>
      <c r="I248" s="126" t="s">
        <v>8929</v>
      </c>
      <c r="J248" s="126" t="s">
        <v>8930</v>
      </c>
      <c r="K248" s="126"/>
      <c r="L248" s="126"/>
      <c r="M248" s="126"/>
      <c r="N248" s="126"/>
      <c r="O248" s="126" t="s">
        <v>8931</v>
      </c>
      <c r="Q248" s="3">
        <f t="shared" si="6"/>
        <v>174.55</v>
      </c>
      <c r="S248" s="55" t="s">
        <v>586</v>
      </c>
      <c r="U248" s="3" t="str">
        <f t="shared" si="7"/>
        <v/>
      </c>
    </row>
    <row r="249" spans="1:21" x14ac:dyDescent="0.35">
      <c r="A249" s="126" t="s">
        <v>35</v>
      </c>
      <c r="B249" s="126" t="s">
        <v>740</v>
      </c>
      <c r="C249" s="126" t="s">
        <v>2</v>
      </c>
      <c r="D249" s="126" t="s">
        <v>3</v>
      </c>
      <c r="E249" s="126">
        <v>173.01</v>
      </c>
      <c r="F249" s="126" t="s">
        <v>88</v>
      </c>
      <c r="G249" s="108">
        <v>45419</v>
      </c>
      <c r="H249" s="126" t="s">
        <v>89</v>
      </c>
      <c r="I249" s="126" t="s">
        <v>7804</v>
      </c>
      <c r="J249" s="126"/>
      <c r="K249" s="126" t="s">
        <v>414</v>
      </c>
      <c r="L249" s="126" t="s">
        <v>7805</v>
      </c>
      <c r="M249" s="126" t="s">
        <v>415</v>
      </c>
      <c r="N249" s="126"/>
      <c r="O249" s="126"/>
      <c r="Q249" s="3">
        <f t="shared" si="6"/>
        <v>173.01</v>
      </c>
      <c r="S249" s="55" t="s">
        <v>9013</v>
      </c>
      <c r="U249" s="3" t="str">
        <f t="shared" si="7"/>
        <v/>
      </c>
    </row>
    <row r="250" spans="1:21" x14ac:dyDescent="0.35">
      <c r="A250" s="126" t="s">
        <v>35</v>
      </c>
      <c r="B250" s="126" t="s">
        <v>740</v>
      </c>
      <c r="C250" s="126" t="s">
        <v>2</v>
      </c>
      <c r="D250" s="126" t="s">
        <v>3</v>
      </c>
      <c r="E250" s="126">
        <v>173.01</v>
      </c>
      <c r="F250" s="126" t="s">
        <v>88</v>
      </c>
      <c r="G250" s="108">
        <v>45454</v>
      </c>
      <c r="H250" s="126" t="s">
        <v>89</v>
      </c>
      <c r="I250" s="126" t="s">
        <v>7971</v>
      </c>
      <c r="J250" s="126"/>
      <c r="K250" s="126" t="s">
        <v>101</v>
      </c>
      <c r="L250" s="126" t="s">
        <v>7972</v>
      </c>
      <c r="M250" s="126" t="s">
        <v>415</v>
      </c>
      <c r="N250" s="126"/>
      <c r="O250" s="126"/>
      <c r="Q250" s="3">
        <f t="shared" si="6"/>
        <v>173.01</v>
      </c>
      <c r="S250" s="55" t="s">
        <v>9013</v>
      </c>
      <c r="U250" s="3" t="str">
        <f t="shared" si="7"/>
        <v/>
      </c>
    </row>
    <row r="251" spans="1:21" x14ac:dyDescent="0.35">
      <c r="A251" s="126" t="s">
        <v>35</v>
      </c>
      <c r="B251" s="126" t="s">
        <v>740</v>
      </c>
      <c r="C251" s="126" t="s">
        <v>2</v>
      </c>
      <c r="D251" s="126" t="s">
        <v>3</v>
      </c>
      <c r="E251" s="126">
        <v>173.01</v>
      </c>
      <c r="F251" s="126" t="s">
        <v>88</v>
      </c>
      <c r="G251" s="108">
        <v>45485</v>
      </c>
      <c r="H251" s="126" t="s">
        <v>89</v>
      </c>
      <c r="I251" s="126" t="s">
        <v>8145</v>
      </c>
      <c r="J251" s="126"/>
      <c r="K251" s="126" t="s">
        <v>101</v>
      </c>
      <c r="L251" s="126" t="s">
        <v>8146</v>
      </c>
      <c r="M251" s="126" t="s">
        <v>415</v>
      </c>
      <c r="N251" s="126"/>
      <c r="O251" s="126"/>
      <c r="Q251" s="3">
        <f t="shared" si="6"/>
        <v>173.01</v>
      </c>
      <c r="S251" s="55" t="s">
        <v>9013</v>
      </c>
      <c r="U251" s="3" t="str">
        <f t="shared" si="7"/>
        <v/>
      </c>
    </row>
    <row r="252" spans="1:21" x14ac:dyDescent="0.35">
      <c r="A252" s="126" t="s">
        <v>35</v>
      </c>
      <c r="B252" s="126" t="s">
        <v>740</v>
      </c>
      <c r="C252" s="126" t="s">
        <v>2</v>
      </c>
      <c r="D252" s="126" t="s">
        <v>3</v>
      </c>
      <c r="E252" s="126">
        <v>-173.01</v>
      </c>
      <c r="F252" s="126" t="s">
        <v>88</v>
      </c>
      <c r="G252" s="108">
        <v>45490</v>
      </c>
      <c r="H252" s="126" t="s">
        <v>1052</v>
      </c>
      <c r="I252" s="126" t="s">
        <v>8145</v>
      </c>
      <c r="J252" s="126"/>
      <c r="K252" s="126" t="s">
        <v>101</v>
      </c>
      <c r="L252" s="126" t="s">
        <v>8146</v>
      </c>
      <c r="M252" s="126" t="s">
        <v>415</v>
      </c>
      <c r="N252" s="126"/>
      <c r="O252" s="126"/>
      <c r="Q252" s="3">
        <f t="shared" si="6"/>
        <v>173.01</v>
      </c>
      <c r="S252" s="55" t="s">
        <v>9013</v>
      </c>
      <c r="U252" s="3" t="str">
        <f t="shared" si="7"/>
        <v/>
      </c>
    </row>
    <row r="253" spans="1:21" x14ac:dyDescent="0.35">
      <c r="A253" s="126" t="s">
        <v>35</v>
      </c>
      <c r="B253" s="126" t="s">
        <v>740</v>
      </c>
      <c r="C253" s="126" t="s">
        <v>2</v>
      </c>
      <c r="D253" s="126" t="s">
        <v>3</v>
      </c>
      <c r="E253" s="126">
        <v>173.01</v>
      </c>
      <c r="F253" s="126" t="s">
        <v>88</v>
      </c>
      <c r="G253" s="108">
        <v>45506</v>
      </c>
      <c r="H253" s="126" t="s">
        <v>89</v>
      </c>
      <c r="I253" s="126" t="s">
        <v>8269</v>
      </c>
      <c r="J253" s="126"/>
      <c r="K253" s="126" t="s">
        <v>414</v>
      </c>
      <c r="L253" s="126" t="s">
        <v>8270</v>
      </c>
      <c r="M253" s="126" t="s">
        <v>415</v>
      </c>
      <c r="N253" s="126"/>
      <c r="O253" s="126"/>
      <c r="Q253" s="3">
        <f t="shared" si="6"/>
        <v>173.01</v>
      </c>
      <c r="S253" s="55" t="s">
        <v>9013</v>
      </c>
      <c r="U253" s="3" t="str">
        <f t="shared" si="7"/>
        <v/>
      </c>
    </row>
    <row r="254" spans="1:21" x14ac:dyDescent="0.35">
      <c r="A254" s="126" t="s">
        <v>35</v>
      </c>
      <c r="B254" s="126" t="s">
        <v>740</v>
      </c>
      <c r="C254" s="126" t="s">
        <v>2</v>
      </c>
      <c r="D254" s="126" t="s">
        <v>3</v>
      </c>
      <c r="E254" s="126">
        <v>173.01</v>
      </c>
      <c r="F254" s="126" t="s">
        <v>88</v>
      </c>
      <c r="G254" s="108">
        <v>45607</v>
      </c>
      <c r="H254" s="126" t="s">
        <v>89</v>
      </c>
      <c r="I254" s="126" t="s">
        <v>8708</v>
      </c>
      <c r="J254" s="126"/>
      <c r="K254" s="126" t="s">
        <v>414</v>
      </c>
      <c r="L254" s="126" t="s">
        <v>8709</v>
      </c>
      <c r="M254" s="126" t="s">
        <v>415</v>
      </c>
      <c r="N254" s="126"/>
      <c r="O254" s="126"/>
      <c r="Q254" s="3">
        <f t="shared" si="6"/>
        <v>173.01</v>
      </c>
      <c r="S254" s="55" t="s">
        <v>9013</v>
      </c>
      <c r="U254" s="3" t="str">
        <f t="shared" si="7"/>
        <v/>
      </c>
    </row>
    <row r="255" spans="1:21" x14ac:dyDescent="0.35">
      <c r="A255" s="126" t="s">
        <v>0</v>
      </c>
      <c r="B255" s="126" t="s">
        <v>867</v>
      </c>
      <c r="C255" s="126" t="s">
        <v>2</v>
      </c>
      <c r="D255" s="126" t="s">
        <v>3</v>
      </c>
      <c r="E255" s="126">
        <v>172.88</v>
      </c>
      <c r="F255" s="126" t="s">
        <v>88</v>
      </c>
      <c r="G255" s="108">
        <v>45454</v>
      </c>
      <c r="H255" s="126" t="s">
        <v>89</v>
      </c>
      <c r="I255" s="126" t="s">
        <v>7961</v>
      </c>
      <c r="J255" s="126"/>
      <c r="K255" s="126" t="s">
        <v>7959</v>
      </c>
      <c r="L255" s="126" t="s">
        <v>7962</v>
      </c>
      <c r="M255" s="126" t="s">
        <v>399</v>
      </c>
      <c r="Q255" s="3">
        <f t="shared" si="6"/>
        <v>172.88</v>
      </c>
      <c r="S255" s="55" t="s">
        <v>9013</v>
      </c>
      <c r="U255" s="3" t="str">
        <f t="shared" si="7"/>
        <v/>
      </c>
    </row>
    <row r="256" spans="1:21" x14ac:dyDescent="0.35">
      <c r="A256" s="126" t="s">
        <v>35</v>
      </c>
      <c r="B256" s="126" t="s">
        <v>740</v>
      </c>
      <c r="C256" s="126" t="s">
        <v>2</v>
      </c>
      <c r="D256" s="126" t="s">
        <v>3</v>
      </c>
      <c r="E256" s="126">
        <v>172.55</v>
      </c>
      <c r="F256" s="126" t="s">
        <v>88</v>
      </c>
      <c r="G256" s="108">
        <v>45390</v>
      </c>
      <c r="H256" s="126" t="s">
        <v>89</v>
      </c>
      <c r="I256" s="126" t="s">
        <v>7678</v>
      </c>
      <c r="J256" s="126"/>
      <c r="K256" s="126" t="s">
        <v>414</v>
      </c>
      <c r="L256" s="126" t="s">
        <v>7679</v>
      </c>
      <c r="M256" s="126" t="s">
        <v>415</v>
      </c>
      <c r="N256" s="35"/>
      <c r="O256" s="35"/>
      <c r="Q256" s="3">
        <f t="shared" si="6"/>
        <v>172.55</v>
      </c>
      <c r="S256" s="55" t="s">
        <v>9013</v>
      </c>
      <c r="U256" s="3" t="str">
        <f t="shared" si="7"/>
        <v/>
      </c>
    </row>
    <row r="257" spans="1:27" x14ac:dyDescent="0.35">
      <c r="A257" s="126" t="s">
        <v>35</v>
      </c>
      <c r="B257" s="126" t="s">
        <v>2208</v>
      </c>
      <c r="C257" s="126" t="s">
        <v>2</v>
      </c>
      <c r="D257" s="126" t="s">
        <v>3</v>
      </c>
      <c r="E257" s="126">
        <v>171.99</v>
      </c>
      <c r="F257" s="126" t="s">
        <v>88</v>
      </c>
      <c r="G257" s="108">
        <v>45587</v>
      </c>
      <c r="H257" s="126" t="s">
        <v>94</v>
      </c>
      <c r="I257" s="126" t="s">
        <v>8600</v>
      </c>
      <c r="J257" s="126" t="s">
        <v>8601</v>
      </c>
      <c r="K257" s="126"/>
      <c r="L257" s="126"/>
      <c r="M257" s="126"/>
      <c r="N257" s="126"/>
      <c r="O257" s="126" t="s">
        <v>8602</v>
      </c>
      <c r="Q257" s="3">
        <f t="shared" si="6"/>
        <v>171.99</v>
      </c>
      <c r="S257" s="55" t="s">
        <v>9013</v>
      </c>
      <c r="U257" s="3" t="str">
        <f t="shared" si="7"/>
        <v/>
      </c>
    </row>
    <row r="258" spans="1:27" x14ac:dyDescent="0.35">
      <c r="A258" s="126" t="s">
        <v>35</v>
      </c>
      <c r="B258" s="126" t="s">
        <v>756</v>
      </c>
      <c r="C258" s="126" t="s">
        <v>2</v>
      </c>
      <c r="D258" s="126" t="s">
        <v>3</v>
      </c>
      <c r="E258" s="126">
        <v>169.05</v>
      </c>
      <c r="F258" s="126" t="s">
        <v>88</v>
      </c>
      <c r="G258" s="108">
        <v>45461</v>
      </c>
      <c r="H258" s="126" t="s">
        <v>94</v>
      </c>
      <c r="I258" s="126" t="s">
        <v>380</v>
      </c>
      <c r="J258" s="126" t="s">
        <v>8023</v>
      </c>
      <c r="K258" s="126"/>
      <c r="L258" s="126"/>
      <c r="M258" s="126"/>
      <c r="N258" s="126"/>
      <c r="O258" s="126" t="s">
        <v>8024</v>
      </c>
      <c r="Q258" s="3">
        <f t="shared" si="6"/>
        <v>169.05</v>
      </c>
      <c r="S258" s="55" t="s">
        <v>9013</v>
      </c>
      <c r="U258" s="3" t="str">
        <f t="shared" si="7"/>
        <v/>
      </c>
    </row>
    <row r="259" spans="1:27" x14ac:dyDescent="0.35">
      <c r="A259" s="126" t="s">
        <v>35</v>
      </c>
      <c r="B259" s="126" t="s">
        <v>1533</v>
      </c>
      <c r="C259" s="126" t="s">
        <v>2</v>
      </c>
      <c r="D259" s="126" t="s">
        <v>3</v>
      </c>
      <c r="E259" s="126">
        <v>168.44</v>
      </c>
      <c r="F259" s="126" t="s">
        <v>88</v>
      </c>
      <c r="G259" s="108">
        <v>45614</v>
      </c>
      <c r="H259" s="126" t="s">
        <v>94</v>
      </c>
      <c r="I259" s="126" t="s">
        <v>8753</v>
      </c>
      <c r="J259" s="126" t="s">
        <v>8754</v>
      </c>
      <c r="K259" s="126"/>
      <c r="L259" s="126"/>
      <c r="M259" s="126"/>
      <c r="N259" s="126"/>
      <c r="O259" s="126" t="s">
        <v>8755</v>
      </c>
      <c r="Q259" s="3">
        <f t="shared" si="6"/>
        <v>168.44</v>
      </c>
      <c r="S259" s="55" t="s">
        <v>9037</v>
      </c>
      <c r="U259" s="3" t="str">
        <f t="shared" si="7"/>
        <v/>
      </c>
      <c r="AA259">
        <f>E259</f>
        <v>168.44</v>
      </c>
    </row>
    <row r="260" spans="1:27" x14ac:dyDescent="0.35">
      <c r="A260" s="126" t="s">
        <v>35</v>
      </c>
      <c r="B260" s="126" t="s">
        <v>740</v>
      </c>
      <c r="C260" s="126" t="s">
        <v>2</v>
      </c>
      <c r="D260" s="126" t="s">
        <v>3</v>
      </c>
      <c r="E260" s="126">
        <v>163.55000000000001</v>
      </c>
      <c r="F260" s="126" t="s">
        <v>88</v>
      </c>
      <c r="G260" s="108">
        <v>45636</v>
      </c>
      <c r="H260" s="126" t="s">
        <v>94</v>
      </c>
      <c r="I260" s="126" t="s">
        <v>425</v>
      </c>
      <c r="J260" s="126" t="s">
        <v>8921</v>
      </c>
      <c r="K260" s="126"/>
      <c r="L260" s="126"/>
      <c r="M260" s="126"/>
      <c r="N260" s="126"/>
      <c r="O260" s="126" t="s">
        <v>554</v>
      </c>
      <c r="Q260" s="3">
        <f t="shared" si="6"/>
        <v>163.55000000000001</v>
      </c>
      <c r="S260" s="55" t="s">
        <v>9013</v>
      </c>
      <c r="U260" s="3" t="str">
        <f t="shared" si="7"/>
        <v/>
      </c>
    </row>
    <row r="261" spans="1:27" x14ac:dyDescent="0.35">
      <c r="A261" s="126" t="s">
        <v>35</v>
      </c>
      <c r="B261" s="126" t="s">
        <v>764</v>
      </c>
      <c r="C261" s="126" t="s">
        <v>2</v>
      </c>
      <c r="D261" s="126" t="s">
        <v>3</v>
      </c>
      <c r="E261" s="126">
        <v>163.5</v>
      </c>
      <c r="F261" s="126" t="s">
        <v>88</v>
      </c>
      <c r="G261" s="108">
        <v>45635</v>
      </c>
      <c r="H261" s="126" t="s">
        <v>94</v>
      </c>
      <c r="I261" s="126" t="s">
        <v>480</v>
      </c>
      <c r="J261" s="126" t="s">
        <v>445</v>
      </c>
      <c r="K261" s="126"/>
      <c r="L261" s="126"/>
      <c r="M261" s="126"/>
      <c r="N261" s="126"/>
      <c r="O261" s="126" t="s">
        <v>8330</v>
      </c>
      <c r="Q261" s="3">
        <f t="shared" si="6"/>
        <v>163.5</v>
      </c>
      <c r="S261" s="55" t="s">
        <v>9013</v>
      </c>
      <c r="U261" s="3" t="str">
        <f t="shared" si="7"/>
        <v/>
      </c>
    </row>
    <row r="262" spans="1:27" x14ac:dyDescent="0.35">
      <c r="A262" s="126" t="s">
        <v>0</v>
      </c>
      <c r="B262" s="126" t="s">
        <v>601</v>
      </c>
      <c r="C262" s="126" t="s">
        <v>2</v>
      </c>
      <c r="D262" s="126" t="s">
        <v>3</v>
      </c>
      <c r="E262" s="126">
        <v>162.86000000000001</v>
      </c>
      <c r="F262" s="126" t="s">
        <v>88</v>
      </c>
      <c r="G262" s="108">
        <v>45454</v>
      </c>
      <c r="H262" s="126" t="s">
        <v>89</v>
      </c>
      <c r="I262" s="126" t="s">
        <v>7961</v>
      </c>
      <c r="J262" s="126"/>
      <c r="K262" s="126" t="s">
        <v>7959</v>
      </c>
      <c r="L262" s="126" t="s">
        <v>7962</v>
      </c>
      <c r="M262" s="126" t="s">
        <v>399</v>
      </c>
      <c r="Q262" s="3">
        <f t="shared" si="6"/>
        <v>162.86000000000001</v>
      </c>
      <c r="S262" s="55" t="s">
        <v>9013</v>
      </c>
      <c r="U262" s="3" t="str">
        <f t="shared" si="7"/>
        <v/>
      </c>
    </row>
    <row r="263" spans="1:27" x14ac:dyDescent="0.35">
      <c r="A263" s="126" t="s">
        <v>0</v>
      </c>
      <c r="B263" s="126" t="s">
        <v>601</v>
      </c>
      <c r="C263" s="126" t="s">
        <v>2</v>
      </c>
      <c r="D263" s="126" t="s">
        <v>3</v>
      </c>
      <c r="E263" s="126">
        <v>162.86000000000001</v>
      </c>
      <c r="F263" s="126" t="s">
        <v>88</v>
      </c>
      <c r="G263" s="108">
        <v>45544</v>
      </c>
      <c r="H263" s="126" t="s">
        <v>89</v>
      </c>
      <c r="I263" s="126" t="s">
        <v>8400</v>
      </c>
      <c r="J263" s="126"/>
      <c r="K263" s="126" t="s">
        <v>8321</v>
      </c>
      <c r="L263" s="126" t="s">
        <v>8401</v>
      </c>
      <c r="M263" s="126" t="s">
        <v>399</v>
      </c>
      <c r="N263" s="126"/>
      <c r="O263" s="126"/>
      <c r="Q263" s="3">
        <f t="shared" si="6"/>
        <v>162.86000000000001</v>
      </c>
      <c r="S263" s="55" t="s">
        <v>9013</v>
      </c>
      <c r="U263" s="3" t="str">
        <f t="shared" si="7"/>
        <v/>
      </c>
    </row>
    <row r="264" spans="1:27" x14ac:dyDescent="0.35">
      <c r="A264" s="126" t="s">
        <v>35</v>
      </c>
      <c r="B264" s="126" t="s">
        <v>708</v>
      </c>
      <c r="C264" s="126" t="s">
        <v>2</v>
      </c>
      <c r="D264" s="126" t="s">
        <v>3</v>
      </c>
      <c r="E264" s="126">
        <v>162</v>
      </c>
      <c r="F264" s="126" t="s">
        <v>88</v>
      </c>
      <c r="G264" s="108">
        <v>45604</v>
      </c>
      <c r="H264" s="126" t="s">
        <v>94</v>
      </c>
      <c r="I264" s="126" t="s">
        <v>8703</v>
      </c>
      <c r="J264" s="126" t="s">
        <v>8704</v>
      </c>
      <c r="K264" s="126"/>
      <c r="L264" s="126"/>
      <c r="M264" s="126"/>
      <c r="N264" s="126"/>
      <c r="O264" s="126" t="s">
        <v>5429</v>
      </c>
      <c r="Q264" s="3">
        <f t="shared" ref="Q264:Q327" si="8">ABS(E264)</f>
        <v>162</v>
      </c>
      <c r="S264" s="55" t="s">
        <v>9013</v>
      </c>
      <c r="U264" s="3" t="str">
        <f t="shared" ref="U264:U327" si="9">IF(T264="Y",E264,"")</f>
        <v/>
      </c>
    </row>
    <row r="265" spans="1:27" x14ac:dyDescent="0.35">
      <c r="A265" s="126" t="s">
        <v>35</v>
      </c>
      <c r="B265" s="126" t="s">
        <v>4583</v>
      </c>
      <c r="C265" s="126" t="s">
        <v>2</v>
      </c>
      <c r="D265" s="126" t="s">
        <v>3</v>
      </c>
      <c r="E265" s="126">
        <v>159.36000000000001</v>
      </c>
      <c r="F265" s="126" t="s">
        <v>88</v>
      </c>
      <c r="G265" s="108">
        <v>45580</v>
      </c>
      <c r="H265" s="126" t="s">
        <v>94</v>
      </c>
      <c r="I265" s="126" t="s">
        <v>501</v>
      </c>
      <c r="J265" s="126" t="s">
        <v>502</v>
      </c>
      <c r="K265" s="126"/>
      <c r="L265" s="126"/>
      <c r="M265" s="126"/>
      <c r="N265" s="126"/>
      <c r="O265" s="126" t="s">
        <v>8384</v>
      </c>
      <c r="Q265" s="3">
        <f t="shared" si="8"/>
        <v>159.36000000000001</v>
      </c>
      <c r="S265" s="55" t="s">
        <v>9014</v>
      </c>
      <c r="U265" s="3" t="str">
        <f t="shared" si="9"/>
        <v/>
      </c>
    </row>
    <row r="266" spans="1:27" x14ac:dyDescent="0.35">
      <c r="A266" s="126" t="s">
        <v>35</v>
      </c>
      <c r="B266" s="126" t="s">
        <v>2543</v>
      </c>
      <c r="C266" s="126" t="s">
        <v>2</v>
      </c>
      <c r="D266" s="126" t="s">
        <v>3</v>
      </c>
      <c r="E266" s="126">
        <v>158.18</v>
      </c>
      <c r="F266" s="126" t="s">
        <v>88</v>
      </c>
      <c r="G266" s="108">
        <v>45446</v>
      </c>
      <c r="H266" s="126" t="s">
        <v>94</v>
      </c>
      <c r="I266" s="126" t="s">
        <v>328</v>
      </c>
      <c r="J266" s="126" t="s">
        <v>7925</v>
      </c>
      <c r="K266" s="126"/>
      <c r="L266" s="126"/>
      <c r="M266" s="126"/>
      <c r="N266" s="126"/>
      <c r="O266" s="126" t="s">
        <v>527</v>
      </c>
      <c r="Q266" s="3">
        <f t="shared" si="8"/>
        <v>158.18</v>
      </c>
      <c r="S266" s="55" t="s">
        <v>9013</v>
      </c>
      <c r="U266" s="3" t="str">
        <f t="shared" si="9"/>
        <v/>
      </c>
    </row>
    <row r="267" spans="1:27" x14ac:dyDescent="0.35">
      <c r="A267" s="126" t="s">
        <v>35</v>
      </c>
      <c r="B267" s="126" t="s">
        <v>740</v>
      </c>
      <c r="C267" s="126" t="s">
        <v>2</v>
      </c>
      <c r="D267" s="126" t="s">
        <v>3</v>
      </c>
      <c r="E267" s="126">
        <v>157.22999999999999</v>
      </c>
      <c r="F267" s="126" t="s">
        <v>88</v>
      </c>
      <c r="G267" s="108">
        <v>45635</v>
      </c>
      <c r="H267" s="126" t="s">
        <v>94</v>
      </c>
      <c r="I267" s="126" t="s">
        <v>426</v>
      </c>
      <c r="J267" s="126" t="s">
        <v>8908</v>
      </c>
      <c r="K267" s="126"/>
      <c r="L267" s="126"/>
      <c r="M267" s="126"/>
      <c r="N267" s="126"/>
      <c r="O267" s="126" t="s">
        <v>8176</v>
      </c>
      <c r="Q267" s="3">
        <f t="shared" si="8"/>
        <v>157.22999999999999</v>
      </c>
      <c r="S267" s="55" t="s">
        <v>53</v>
      </c>
      <c r="T267" t="s">
        <v>64</v>
      </c>
      <c r="U267" s="3">
        <f t="shared" si="9"/>
        <v>157.22999999999999</v>
      </c>
    </row>
    <row r="268" spans="1:27" x14ac:dyDescent="0.35">
      <c r="A268" s="126" t="s">
        <v>35</v>
      </c>
      <c r="B268" s="126" t="s">
        <v>893</v>
      </c>
      <c r="C268" s="126" t="s">
        <v>2</v>
      </c>
      <c r="D268" s="126" t="s">
        <v>3</v>
      </c>
      <c r="E268" s="126">
        <v>156.13999999999999</v>
      </c>
      <c r="F268" s="126" t="s">
        <v>88</v>
      </c>
      <c r="G268" s="108">
        <v>45433</v>
      </c>
      <c r="H268" s="126" t="s">
        <v>94</v>
      </c>
      <c r="I268" s="126" t="s">
        <v>457</v>
      </c>
      <c r="J268" s="126" t="s">
        <v>7863</v>
      </c>
      <c r="K268" s="126"/>
      <c r="L268" s="126"/>
      <c r="M268" s="126"/>
      <c r="N268" s="126"/>
      <c r="O268" s="126" t="s">
        <v>541</v>
      </c>
      <c r="Q268" s="3">
        <f t="shared" si="8"/>
        <v>156.13999999999999</v>
      </c>
      <c r="S268" s="55" t="s">
        <v>586</v>
      </c>
      <c r="U268" s="3" t="str">
        <f t="shared" si="9"/>
        <v/>
      </c>
    </row>
    <row r="269" spans="1:27" x14ac:dyDescent="0.35">
      <c r="A269" s="126" t="s">
        <v>0</v>
      </c>
      <c r="B269" s="126" t="s">
        <v>1075</v>
      </c>
      <c r="C269" s="126" t="s">
        <v>2</v>
      </c>
      <c r="D269" s="126" t="s">
        <v>3</v>
      </c>
      <c r="E269" s="126">
        <v>156.04</v>
      </c>
      <c r="F269" s="126" t="s">
        <v>88</v>
      </c>
      <c r="G269" s="108">
        <v>45448</v>
      </c>
      <c r="H269" s="126" t="s">
        <v>89</v>
      </c>
      <c r="I269" s="126" t="s">
        <v>7940</v>
      </c>
      <c r="J269" s="126"/>
      <c r="K269" s="126" t="s">
        <v>7880</v>
      </c>
      <c r="L269" s="126" t="s">
        <v>7941</v>
      </c>
      <c r="M269" s="126" t="s">
        <v>396</v>
      </c>
      <c r="N269" s="126"/>
      <c r="O269" s="126"/>
      <c r="Q269" s="3">
        <f t="shared" si="8"/>
        <v>156.04</v>
      </c>
      <c r="S269" s="55" t="s">
        <v>9016</v>
      </c>
      <c r="U269" s="3" t="str">
        <f t="shared" si="9"/>
        <v/>
      </c>
    </row>
    <row r="270" spans="1:27" x14ac:dyDescent="0.35">
      <c r="A270" s="126" t="s">
        <v>35</v>
      </c>
      <c r="B270" s="126" t="s">
        <v>1075</v>
      </c>
      <c r="C270" s="126" t="s">
        <v>2</v>
      </c>
      <c r="D270" s="126" t="s">
        <v>3</v>
      </c>
      <c r="E270" s="126">
        <v>156.04</v>
      </c>
      <c r="F270" s="126" t="s">
        <v>88</v>
      </c>
      <c r="G270" s="108">
        <v>45448</v>
      </c>
      <c r="H270" s="126" t="s">
        <v>89</v>
      </c>
      <c r="I270" s="126" t="s">
        <v>7940</v>
      </c>
      <c r="J270" s="126"/>
      <c r="K270" s="126" t="s">
        <v>7880</v>
      </c>
      <c r="L270" s="126" t="s">
        <v>7941</v>
      </c>
      <c r="M270" s="126" t="s">
        <v>396</v>
      </c>
      <c r="N270" s="126"/>
      <c r="O270" s="126"/>
      <c r="Q270" s="3">
        <f t="shared" si="8"/>
        <v>156.04</v>
      </c>
      <c r="S270" s="55" t="s">
        <v>9016</v>
      </c>
      <c r="U270" s="3" t="str">
        <f t="shared" si="9"/>
        <v/>
      </c>
    </row>
    <row r="271" spans="1:27" x14ac:dyDescent="0.35">
      <c r="A271" s="126" t="s">
        <v>35</v>
      </c>
      <c r="B271" s="126" t="s">
        <v>1075</v>
      </c>
      <c r="C271" s="126" t="s">
        <v>2</v>
      </c>
      <c r="D271" s="126" t="s">
        <v>3</v>
      </c>
      <c r="E271" s="126">
        <v>-156.04</v>
      </c>
      <c r="F271" s="126" t="s">
        <v>88</v>
      </c>
      <c r="G271" s="108">
        <v>45455</v>
      </c>
      <c r="H271" s="126" t="s">
        <v>89</v>
      </c>
      <c r="I271" s="126" t="s">
        <v>7940</v>
      </c>
      <c r="J271" s="126"/>
      <c r="K271" s="126" t="s">
        <v>7880</v>
      </c>
      <c r="L271" s="126" t="s">
        <v>7941</v>
      </c>
      <c r="M271" s="126" t="s">
        <v>396</v>
      </c>
      <c r="N271" s="126"/>
      <c r="O271" s="126"/>
      <c r="Q271" s="3">
        <f t="shared" si="8"/>
        <v>156.04</v>
      </c>
      <c r="S271" s="55" t="s">
        <v>9016</v>
      </c>
      <c r="U271" s="3" t="str">
        <f t="shared" si="9"/>
        <v/>
      </c>
    </row>
    <row r="272" spans="1:27" x14ac:dyDescent="0.35">
      <c r="A272" s="126" t="s">
        <v>35</v>
      </c>
      <c r="B272" s="126" t="s">
        <v>4583</v>
      </c>
      <c r="C272" s="126" t="s">
        <v>2</v>
      </c>
      <c r="D272" s="126" t="s">
        <v>3</v>
      </c>
      <c r="E272" s="126">
        <v>155.44999999999999</v>
      </c>
      <c r="F272" s="126" t="s">
        <v>88</v>
      </c>
      <c r="G272" s="108">
        <v>45455</v>
      </c>
      <c r="H272" s="126" t="s">
        <v>94</v>
      </c>
      <c r="I272" s="126" t="s">
        <v>7987</v>
      </c>
      <c r="J272" s="126" t="s">
        <v>7990</v>
      </c>
      <c r="K272" s="126"/>
      <c r="L272" s="126"/>
      <c r="M272" s="126"/>
      <c r="N272" s="126"/>
      <c r="O272" s="126" t="s">
        <v>7991</v>
      </c>
      <c r="Q272" s="3">
        <f t="shared" si="8"/>
        <v>155.44999999999999</v>
      </c>
      <c r="S272" s="55" t="s">
        <v>9013</v>
      </c>
      <c r="U272" s="3" t="str">
        <f t="shared" si="9"/>
        <v/>
      </c>
    </row>
    <row r="273" spans="1:21" x14ac:dyDescent="0.35">
      <c r="A273" s="126" t="s">
        <v>35</v>
      </c>
      <c r="B273" s="126" t="s">
        <v>633</v>
      </c>
      <c r="C273" s="126" t="s">
        <v>2</v>
      </c>
      <c r="D273" s="126" t="s">
        <v>3</v>
      </c>
      <c r="E273" s="126">
        <v>151.94999999999999</v>
      </c>
      <c r="F273" s="126" t="s">
        <v>88</v>
      </c>
      <c r="G273" s="108">
        <v>45384</v>
      </c>
      <c r="H273" s="126" t="s">
        <v>94</v>
      </c>
      <c r="I273" s="126" t="s">
        <v>495</v>
      </c>
      <c r="J273" s="126" t="s">
        <v>496</v>
      </c>
      <c r="K273" s="126"/>
      <c r="L273" s="126"/>
      <c r="M273" s="126"/>
      <c r="N273" s="126"/>
      <c r="O273" s="126" t="s">
        <v>541</v>
      </c>
      <c r="Q273" s="3">
        <f t="shared" si="8"/>
        <v>151.94999999999999</v>
      </c>
      <c r="S273" s="55" t="s">
        <v>9014</v>
      </c>
      <c r="U273" s="3" t="str">
        <f t="shared" si="9"/>
        <v/>
      </c>
    </row>
    <row r="274" spans="1:21" x14ac:dyDescent="0.35">
      <c r="A274" s="126" t="s">
        <v>0</v>
      </c>
      <c r="B274" s="126" t="s">
        <v>601</v>
      </c>
      <c r="C274" s="126" t="s">
        <v>2</v>
      </c>
      <c r="D274" s="126" t="s">
        <v>3</v>
      </c>
      <c r="E274" s="126">
        <v>150.22</v>
      </c>
      <c r="F274" s="126" t="s">
        <v>88</v>
      </c>
      <c r="G274" s="108">
        <v>45432</v>
      </c>
      <c r="H274" s="126" t="s">
        <v>89</v>
      </c>
      <c r="I274" s="126" t="s">
        <v>7842</v>
      </c>
      <c r="J274" s="126"/>
      <c r="K274" s="126" t="s">
        <v>7840</v>
      </c>
      <c r="L274" s="126" t="s">
        <v>7843</v>
      </c>
      <c r="M274" s="126" t="s">
        <v>399</v>
      </c>
      <c r="N274" s="35"/>
      <c r="O274" s="35"/>
      <c r="Q274" s="3">
        <f t="shared" si="8"/>
        <v>150.22</v>
      </c>
      <c r="S274" s="55" t="s">
        <v>9013</v>
      </c>
      <c r="U274" s="3" t="str">
        <f t="shared" si="9"/>
        <v/>
      </c>
    </row>
    <row r="275" spans="1:21" x14ac:dyDescent="0.35">
      <c r="A275" s="126" t="s">
        <v>0</v>
      </c>
      <c r="B275" s="126" t="s">
        <v>601</v>
      </c>
      <c r="C275" s="126" t="s">
        <v>2</v>
      </c>
      <c r="D275" s="126" t="s">
        <v>3</v>
      </c>
      <c r="E275" s="126">
        <v>150.22</v>
      </c>
      <c r="F275" s="126" t="s">
        <v>88</v>
      </c>
      <c r="G275" s="108">
        <v>45505</v>
      </c>
      <c r="H275" s="126" t="s">
        <v>89</v>
      </c>
      <c r="I275" s="126" t="s">
        <v>8248</v>
      </c>
      <c r="J275" s="126"/>
      <c r="K275" s="126" t="s">
        <v>8135</v>
      </c>
      <c r="L275" s="126" t="s">
        <v>8249</v>
      </c>
      <c r="M275" s="126" t="s">
        <v>399</v>
      </c>
      <c r="Q275" s="3">
        <f t="shared" si="8"/>
        <v>150.22</v>
      </c>
      <c r="S275" s="55" t="s">
        <v>9013</v>
      </c>
      <c r="U275" s="3" t="str">
        <f t="shared" si="9"/>
        <v/>
      </c>
    </row>
    <row r="276" spans="1:21" x14ac:dyDescent="0.35">
      <c r="A276" s="126" t="s">
        <v>35</v>
      </c>
      <c r="B276" s="126" t="s">
        <v>869</v>
      </c>
      <c r="C276" s="126" t="s">
        <v>2</v>
      </c>
      <c r="D276" s="126" t="s">
        <v>3</v>
      </c>
      <c r="E276" s="126">
        <v>149.99</v>
      </c>
      <c r="F276" s="126" t="s">
        <v>88</v>
      </c>
      <c r="G276" s="108">
        <v>45523</v>
      </c>
      <c r="H276" s="126" t="s">
        <v>94</v>
      </c>
      <c r="I276" s="126" t="s">
        <v>8347</v>
      </c>
      <c r="J276" s="126" t="s">
        <v>8348</v>
      </c>
      <c r="K276" s="126"/>
      <c r="L276" s="126"/>
      <c r="M276" s="126"/>
      <c r="N276" s="126"/>
      <c r="O276" s="126" t="s">
        <v>8349</v>
      </c>
      <c r="Q276" s="3">
        <f t="shared" si="8"/>
        <v>149.99</v>
      </c>
      <c r="S276" s="55" t="s">
        <v>9013</v>
      </c>
      <c r="U276" s="3" t="str">
        <f t="shared" si="9"/>
        <v/>
      </c>
    </row>
    <row r="277" spans="1:21" x14ac:dyDescent="0.35">
      <c r="A277" s="126" t="s">
        <v>35</v>
      </c>
      <c r="B277" s="126" t="s">
        <v>633</v>
      </c>
      <c r="C277" s="126" t="s">
        <v>2</v>
      </c>
      <c r="D277" s="126" t="s">
        <v>3</v>
      </c>
      <c r="E277" s="126">
        <v>149.71</v>
      </c>
      <c r="F277" s="126" t="s">
        <v>88</v>
      </c>
      <c r="G277" s="108">
        <v>45439</v>
      </c>
      <c r="H277" s="126" t="s">
        <v>89</v>
      </c>
      <c r="I277" s="126" t="s">
        <v>7902</v>
      </c>
      <c r="J277" s="126"/>
      <c r="K277" s="126" t="s">
        <v>101</v>
      </c>
      <c r="L277" s="126" t="s">
        <v>7903</v>
      </c>
      <c r="M277" s="126" t="s">
        <v>427</v>
      </c>
      <c r="N277" s="126"/>
      <c r="O277" s="126"/>
      <c r="Q277" s="3">
        <f t="shared" si="8"/>
        <v>149.71</v>
      </c>
      <c r="S277" s="55" t="s">
        <v>9013</v>
      </c>
      <c r="U277" s="3" t="str">
        <f t="shared" si="9"/>
        <v/>
      </c>
    </row>
    <row r="278" spans="1:21" x14ac:dyDescent="0.35">
      <c r="A278" s="126" t="s">
        <v>35</v>
      </c>
      <c r="B278" s="126" t="s">
        <v>633</v>
      </c>
      <c r="C278" s="126" t="s">
        <v>2</v>
      </c>
      <c r="D278" s="126" t="s">
        <v>3</v>
      </c>
      <c r="E278" s="126">
        <v>-149.71</v>
      </c>
      <c r="F278" s="126" t="s">
        <v>88</v>
      </c>
      <c r="G278" s="108">
        <v>45441</v>
      </c>
      <c r="H278" s="126" t="s">
        <v>1052</v>
      </c>
      <c r="I278" s="126" t="s">
        <v>7902</v>
      </c>
      <c r="J278" s="126"/>
      <c r="K278" s="126" t="s">
        <v>101</v>
      </c>
      <c r="L278" s="126" t="s">
        <v>7903</v>
      </c>
      <c r="M278" s="126" t="s">
        <v>427</v>
      </c>
      <c r="N278" s="126"/>
      <c r="O278" s="126"/>
      <c r="Q278" s="3">
        <f t="shared" si="8"/>
        <v>149.71</v>
      </c>
      <c r="S278" s="55" t="s">
        <v>9013</v>
      </c>
      <c r="U278" s="3" t="str">
        <f t="shared" si="9"/>
        <v/>
      </c>
    </row>
    <row r="279" spans="1:21" x14ac:dyDescent="0.35">
      <c r="A279" s="126" t="s">
        <v>35</v>
      </c>
      <c r="B279" s="126" t="s">
        <v>5426</v>
      </c>
      <c r="C279" s="126" t="s">
        <v>2</v>
      </c>
      <c r="D279" s="126" t="s">
        <v>3</v>
      </c>
      <c r="E279" s="126">
        <v>148.9</v>
      </c>
      <c r="F279" s="126" t="s">
        <v>88</v>
      </c>
      <c r="G279" s="108">
        <v>45617</v>
      </c>
      <c r="H279" s="126" t="s">
        <v>94</v>
      </c>
      <c r="I279" s="126" t="s">
        <v>6290</v>
      </c>
      <c r="J279" s="126" t="s">
        <v>8770</v>
      </c>
      <c r="K279" s="126"/>
      <c r="L279" s="126"/>
      <c r="M279" s="126"/>
      <c r="N279" s="126"/>
      <c r="O279" s="126" t="s">
        <v>8771</v>
      </c>
      <c r="Q279" s="3">
        <f t="shared" si="8"/>
        <v>148.9</v>
      </c>
      <c r="S279" s="55" t="s">
        <v>9033</v>
      </c>
      <c r="U279" s="3" t="str">
        <f t="shared" si="9"/>
        <v/>
      </c>
    </row>
    <row r="280" spans="1:21" x14ac:dyDescent="0.35">
      <c r="A280" s="126" t="s">
        <v>35</v>
      </c>
      <c r="B280" s="126" t="s">
        <v>740</v>
      </c>
      <c r="C280" s="126" t="s">
        <v>2</v>
      </c>
      <c r="D280" s="126" t="s">
        <v>3</v>
      </c>
      <c r="E280" s="126">
        <v>148.47999999999999</v>
      </c>
      <c r="F280" s="126" t="s">
        <v>88</v>
      </c>
      <c r="G280" s="108">
        <v>45411</v>
      </c>
      <c r="H280" s="126" t="s">
        <v>94</v>
      </c>
      <c r="I280" s="126" t="s">
        <v>425</v>
      </c>
      <c r="J280" s="126" t="s">
        <v>7776</v>
      </c>
      <c r="K280" s="126"/>
      <c r="L280" s="126"/>
      <c r="M280" s="126"/>
      <c r="N280" s="126"/>
      <c r="O280" s="126" t="s">
        <v>1104</v>
      </c>
      <c r="Q280" s="3">
        <f t="shared" si="8"/>
        <v>148.47999999999999</v>
      </c>
      <c r="S280" s="55" t="s">
        <v>9033</v>
      </c>
      <c r="U280" s="3" t="str">
        <f t="shared" si="9"/>
        <v/>
      </c>
    </row>
    <row r="281" spans="1:21" x14ac:dyDescent="0.35">
      <c r="A281" s="126" t="s">
        <v>35</v>
      </c>
      <c r="B281" s="126" t="s">
        <v>2316</v>
      </c>
      <c r="C281" s="126" t="s">
        <v>2</v>
      </c>
      <c r="D281" s="126" t="s">
        <v>3</v>
      </c>
      <c r="E281" s="126">
        <v>148.18</v>
      </c>
      <c r="F281" s="126" t="s">
        <v>88</v>
      </c>
      <c r="G281" s="108">
        <v>45400</v>
      </c>
      <c r="H281" s="126" t="s">
        <v>94</v>
      </c>
      <c r="I281" s="126" t="s">
        <v>426</v>
      </c>
      <c r="J281" s="126" t="s">
        <v>7740</v>
      </c>
      <c r="K281" s="126"/>
      <c r="L281" s="126"/>
      <c r="M281" s="126"/>
      <c r="N281" s="126"/>
      <c r="O281" s="126" t="s">
        <v>7741</v>
      </c>
      <c r="Q281" s="3">
        <f t="shared" si="8"/>
        <v>148.18</v>
      </c>
      <c r="S281" s="55" t="s">
        <v>9018</v>
      </c>
      <c r="U281" s="3" t="str">
        <f t="shared" si="9"/>
        <v/>
      </c>
    </row>
    <row r="282" spans="1:21" x14ac:dyDescent="0.35">
      <c r="A282" s="126" t="s">
        <v>35</v>
      </c>
      <c r="B282" s="126" t="s">
        <v>633</v>
      </c>
      <c r="C282" s="126" t="s">
        <v>2</v>
      </c>
      <c r="D282" s="126" t="s">
        <v>3</v>
      </c>
      <c r="E282" s="126">
        <v>146.77000000000001</v>
      </c>
      <c r="F282" s="126" t="s">
        <v>88</v>
      </c>
      <c r="G282" s="108">
        <v>45496</v>
      </c>
      <c r="H282" s="126" t="s">
        <v>94</v>
      </c>
      <c r="I282" s="126" t="s">
        <v>495</v>
      </c>
      <c r="J282" s="126" t="s">
        <v>8215</v>
      </c>
      <c r="K282" s="126"/>
      <c r="L282" s="126"/>
      <c r="M282" s="126"/>
      <c r="N282" s="126"/>
      <c r="O282" s="126" t="s">
        <v>541</v>
      </c>
      <c r="Q282" s="3">
        <f t="shared" si="8"/>
        <v>146.77000000000001</v>
      </c>
      <c r="S282" s="55" t="s">
        <v>9014</v>
      </c>
      <c r="U282" s="3" t="str">
        <f t="shared" si="9"/>
        <v/>
      </c>
    </row>
    <row r="283" spans="1:21" x14ac:dyDescent="0.35">
      <c r="A283" s="126" t="s">
        <v>35</v>
      </c>
      <c r="B283" s="126" t="s">
        <v>1069</v>
      </c>
      <c r="C283" s="126" t="s">
        <v>2</v>
      </c>
      <c r="D283" s="126" t="s">
        <v>3</v>
      </c>
      <c r="E283" s="126">
        <v>145.38</v>
      </c>
      <c r="F283" s="126" t="s">
        <v>88</v>
      </c>
      <c r="G283" s="108">
        <v>45475</v>
      </c>
      <c r="H283" s="126" t="s">
        <v>94</v>
      </c>
      <c r="I283" s="126" t="s">
        <v>1014</v>
      </c>
      <c r="J283" s="126" t="s">
        <v>8106</v>
      </c>
      <c r="K283" s="126"/>
      <c r="L283" s="126"/>
      <c r="M283" s="126"/>
      <c r="N283" s="126"/>
      <c r="O283" s="126" t="s">
        <v>8107</v>
      </c>
      <c r="Q283" s="3">
        <f t="shared" si="8"/>
        <v>145.38</v>
      </c>
      <c r="S283" s="55" t="s">
        <v>53</v>
      </c>
      <c r="T283" t="s">
        <v>64</v>
      </c>
      <c r="U283" s="3">
        <f t="shared" si="9"/>
        <v>145.38</v>
      </c>
    </row>
    <row r="284" spans="1:21" x14ac:dyDescent="0.35">
      <c r="A284" s="126" t="s">
        <v>35</v>
      </c>
      <c r="B284" s="126" t="s">
        <v>1069</v>
      </c>
      <c r="C284" s="126" t="s">
        <v>2</v>
      </c>
      <c r="D284" s="126" t="s">
        <v>3</v>
      </c>
      <c r="E284" s="126">
        <v>145.22999999999999</v>
      </c>
      <c r="F284" s="126" t="s">
        <v>88</v>
      </c>
      <c r="G284" s="108">
        <v>45475</v>
      </c>
      <c r="H284" s="126" t="s">
        <v>94</v>
      </c>
      <c r="I284" s="126" t="s">
        <v>1014</v>
      </c>
      <c r="J284" s="126" t="s">
        <v>8108</v>
      </c>
      <c r="K284" s="126"/>
      <c r="L284" s="126"/>
      <c r="M284" s="126"/>
      <c r="N284" s="126"/>
      <c r="O284" s="126" t="s">
        <v>8109</v>
      </c>
      <c r="Q284" s="3">
        <f t="shared" si="8"/>
        <v>145.22999999999999</v>
      </c>
      <c r="S284" s="55" t="s">
        <v>9013</v>
      </c>
      <c r="U284" s="3" t="str">
        <f t="shared" si="9"/>
        <v/>
      </c>
    </row>
    <row r="285" spans="1:21" x14ac:dyDescent="0.35">
      <c r="A285" s="126" t="s">
        <v>0</v>
      </c>
      <c r="B285" s="126" t="s">
        <v>1075</v>
      </c>
      <c r="C285" s="126" t="s">
        <v>2</v>
      </c>
      <c r="D285" s="126" t="s">
        <v>3</v>
      </c>
      <c r="E285" s="126">
        <v>144.82</v>
      </c>
      <c r="F285" s="126" t="s">
        <v>88</v>
      </c>
      <c r="G285" s="108">
        <v>45597</v>
      </c>
      <c r="H285" s="126" t="s">
        <v>89</v>
      </c>
      <c r="I285" s="126" t="s">
        <v>8622</v>
      </c>
      <c r="J285" s="126"/>
      <c r="K285" s="126" t="s">
        <v>7880</v>
      </c>
      <c r="L285" s="126" t="s">
        <v>8623</v>
      </c>
      <c r="M285" s="126" t="s">
        <v>396</v>
      </c>
      <c r="N285" s="126"/>
      <c r="O285" s="126"/>
      <c r="Q285" s="3">
        <f t="shared" si="8"/>
        <v>144.82</v>
      </c>
      <c r="S285" s="55" t="s">
        <v>9016</v>
      </c>
      <c r="U285" s="3" t="str">
        <f t="shared" si="9"/>
        <v/>
      </c>
    </row>
    <row r="286" spans="1:21" x14ac:dyDescent="0.35">
      <c r="A286" s="126" t="s">
        <v>35</v>
      </c>
      <c r="B286" s="126" t="s">
        <v>869</v>
      </c>
      <c r="C286" s="126" t="s">
        <v>2</v>
      </c>
      <c r="D286" s="126" t="s">
        <v>3</v>
      </c>
      <c r="E286" s="126">
        <v>144.55000000000001</v>
      </c>
      <c r="F286" s="126" t="s">
        <v>88</v>
      </c>
      <c r="G286" s="108">
        <v>45635</v>
      </c>
      <c r="H286" s="126" t="s">
        <v>94</v>
      </c>
      <c r="I286" s="126" t="s">
        <v>7987</v>
      </c>
      <c r="J286" s="126" t="s">
        <v>8900</v>
      </c>
      <c r="K286" s="126"/>
      <c r="L286" s="126"/>
      <c r="M286" s="126"/>
      <c r="N286" s="126"/>
      <c r="O286" s="126" t="s">
        <v>8901</v>
      </c>
      <c r="Q286" s="3">
        <f t="shared" si="8"/>
        <v>144.55000000000001</v>
      </c>
      <c r="S286" s="55" t="s">
        <v>9034</v>
      </c>
      <c r="U286" s="3" t="str">
        <f t="shared" si="9"/>
        <v/>
      </c>
    </row>
    <row r="287" spans="1:21" x14ac:dyDescent="0.35">
      <c r="A287" s="126" t="s">
        <v>35</v>
      </c>
      <c r="B287" s="126" t="s">
        <v>4583</v>
      </c>
      <c r="C287" s="126" t="s">
        <v>2</v>
      </c>
      <c r="D287" s="126" t="s">
        <v>3</v>
      </c>
      <c r="E287" s="126">
        <v>143.79999999999998</v>
      </c>
      <c r="F287" s="126" t="s">
        <v>88</v>
      </c>
      <c r="G287" s="108">
        <v>45607</v>
      </c>
      <c r="H287" s="126" t="s">
        <v>94</v>
      </c>
      <c r="I287" s="126" t="s">
        <v>501</v>
      </c>
      <c r="J287" s="126" t="s">
        <v>502</v>
      </c>
      <c r="K287" s="126"/>
      <c r="L287" s="126"/>
      <c r="M287" s="126"/>
      <c r="N287" s="126"/>
      <c r="O287" s="126" t="s">
        <v>8384</v>
      </c>
      <c r="Q287" s="3">
        <f t="shared" si="8"/>
        <v>143.79999999999998</v>
      </c>
      <c r="S287" s="55" t="s">
        <v>9014</v>
      </c>
      <c r="U287" s="3" t="str">
        <f t="shared" si="9"/>
        <v/>
      </c>
    </row>
    <row r="288" spans="1:21" x14ac:dyDescent="0.35">
      <c r="A288" s="126" t="s">
        <v>35</v>
      </c>
      <c r="B288" s="126" t="s">
        <v>740</v>
      </c>
      <c r="C288" s="126" t="s">
        <v>2</v>
      </c>
      <c r="D288" s="126" t="s">
        <v>3</v>
      </c>
      <c r="E288" s="126">
        <v>142.91</v>
      </c>
      <c r="F288" s="126" t="s">
        <v>88</v>
      </c>
      <c r="G288" s="108">
        <v>45569</v>
      </c>
      <c r="H288" s="126" t="s">
        <v>89</v>
      </c>
      <c r="I288" s="126" t="s">
        <v>8530</v>
      </c>
      <c r="J288" s="126"/>
      <c r="K288" s="126" t="s">
        <v>8531</v>
      </c>
      <c r="L288" s="126" t="s">
        <v>8532</v>
      </c>
      <c r="M288" s="126" t="s">
        <v>415</v>
      </c>
      <c r="N288" s="126"/>
      <c r="O288" s="126"/>
      <c r="Q288" s="3">
        <f t="shared" si="8"/>
        <v>142.91</v>
      </c>
      <c r="S288" s="55" t="s">
        <v>9013</v>
      </c>
      <c r="U288" s="3" t="str">
        <f t="shared" si="9"/>
        <v/>
      </c>
    </row>
    <row r="289" spans="1:21" x14ac:dyDescent="0.35">
      <c r="A289" s="126" t="s">
        <v>35</v>
      </c>
      <c r="B289" s="126" t="s">
        <v>2728</v>
      </c>
      <c r="C289" s="126" t="s">
        <v>2</v>
      </c>
      <c r="D289" s="126" t="s">
        <v>3</v>
      </c>
      <c r="E289" s="126">
        <v>142.55000000000001</v>
      </c>
      <c r="F289" s="126" t="s">
        <v>88</v>
      </c>
      <c r="G289" s="108">
        <v>45434</v>
      </c>
      <c r="H289" s="126" t="s">
        <v>94</v>
      </c>
      <c r="I289" s="126" t="s">
        <v>460</v>
      </c>
      <c r="J289" s="126" t="s">
        <v>7874</v>
      </c>
      <c r="K289" s="126"/>
      <c r="L289" s="126"/>
      <c r="M289" s="126"/>
      <c r="N289" s="126"/>
      <c r="O289" s="126" t="s">
        <v>546</v>
      </c>
      <c r="Q289" s="3">
        <f t="shared" si="8"/>
        <v>142.55000000000001</v>
      </c>
      <c r="S289" s="55" t="s">
        <v>1287</v>
      </c>
      <c r="U289" s="3" t="str">
        <f t="shared" si="9"/>
        <v/>
      </c>
    </row>
    <row r="290" spans="1:21" x14ac:dyDescent="0.35">
      <c r="A290" s="126" t="s">
        <v>35</v>
      </c>
      <c r="B290" s="126" t="s">
        <v>1280</v>
      </c>
      <c r="C290" s="126" t="s">
        <v>2</v>
      </c>
      <c r="D290" s="126" t="s">
        <v>3</v>
      </c>
      <c r="E290" s="126">
        <v>141.6</v>
      </c>
      <c r="F290" s="126" t="s">
        <v>88</v>
      </c>
      <c r="G290" s="108">
        <v>45544</v>
      </c>
      <c r="H290" s="126" t="s">
        <v>94</v>
      </c>
      <c r="I290" s="126" t="s">
        <v>8417</v>
      </c>
      <c r="J290" s="126" t="s">
        <v>8418</v>
      </c>
      <c r="K290" s="126"/>
      <c r="L290" s="126"/>
      <c r="M290" s="126"/>
      <c r="N290" s="126"/>
      <c r="O290" s="126" t="s">
        <v>8419</v>
      </c>
      <c r="Q290" s="3">
        <f t="shared" si="8"/>
        <v>141.6</v>
      </c>
      <c r="S290" s="55" t="s">
        <v>9038</v>
      </c>
      <c r="U290" s="3" t="str">
        <f t="shared" si="9"/>
        <v/>
      </c>
    </row>
    <row r="291" spans="1:21" x14ac:dyDescent="0.35">
      <c r="A291" s="126" t="s">
        <v>35</v>
      </c>
      <c r="B291" s="126" t="s">
        <v>2473</v>
      </c>
      <c r="C291" s="126" t="s">
        <v>2</v>
      </c>
      <c r="D291" s="126" t="s">
        <v>3</v>
      </c>
      <c r="E291" s="126">
        <v>141.32</v>
      </c>
      <c r="F291" s="126" t="s">
        <v>88</v>
      </c>
      <c r="G291" s="108">
        <v>45397</v>
      </c>
      <c r="H291" s="126" t="s">
        <v>89</v>
      </c>
      <c r="I291" s="126" t="s">
        <v>7725</v>
      </c>
      <c r="J291" s="126"/>
      <c r="K291" s="126" t="s">
        <v>101</v>
      </c>
      <c r="L291" s="126" t="s">
        <v>7726</v>
      </c>
      <c r="M291" s="126" t="s">
        <v>439</v>
      </c>
      <c r="N291" s="126"/>
      <c r="O291" s="126"/>
      <c r="Q291" s="3">
        <f t="shared" si="8"/>
        <v>141.32</v>
      </c>
      <c r="S291" s="55" t="s">
        <v>9016</v>
      </c>
      <c r="U291" s="3" t="str">
        <f t="shared" si="9"/>
        <v/>
      </c>
    </row>
    <row r="292" spans="1:21" x14ac:dyDescent="0.35">
      <c r="A292" s="126" t="s">
        <v>35</v>
      </c>
      <c r="B292" s="126" t="s">
        <v>2473</v>
      </c>
      <c r="C292" s="126" t="s">
        <v>2</v>
      </c>
      <c r="D292" s="126" t="s">
        <v>3</v>
      </c>
      <c r="E292" s="126">
        <v>141.32</v>
      </c>
      <c r="F292" s="126" t="s">
        <v>88</v>
      </c>
      <c r="G292" s="108">
        <v>45428</v>
      </c>
      <c r="H292" s="126" t="s">
        <v>89</v>
      </c>
      <c r="I292" s="126" t="s">
        <v>7828</v>
      </c>
      <c r="J292" s="126"/>
      <c r="K292" s="126" t="s">
        <v>7829</v>
      </c>
      <c r="L292" s="126" t="s">
        <v>7830</v>
      </c>
      <c r="M292" s="126" t="s">
        <v>439</v>
      </c>
      <c r="N292" s="126"/>
      <c r="O292" s="126"/>
      <c r="Q292" s="3">
        <f t="shared" si="8"/>
        <v>141.32</v>
      </c>
      <c r="S292" s="55" t="s">
        <v>9016</v>
      </c>
      <c r="U292" s="3" t="str">
        <f t="shared" si="9"/>
        <v/>
      </c>
    </row>
    <row r="293" spans="1:21" x14ac:dyDescent="0.35">
      <c r="A293" s="126" t="s">
        <v>35</v>
      </c>
      <c r="B293" s="126" t="s">
        <v>2473</v>
      </c>
      <c r="C293" s="126" t="s">
        <v>2</v>
      </c>
      <c r="D293" s="126" t="s">
        <v>3</v>
      </c>
      <c r="E293" s="126">
        <v>141.32</v>
      </c>
      <c r="F293" s="126" t="s">
        <v>88</v>
      </c>
      <c r="G293" s="108">
        <v>45446</v>
      </c>
      <c r="H293" s="126" t="s">
        <v>89</v>
      </c>
      <c r="I293" s="126" t="s">
        <v>7919</v>
      </c>
      <c r="J293" s="126"/>
      <c r="K293" s="126" t="s">
        <v>101</v>
      </c>
      <c r="L293" s="126" t="s">
        <v>7920</v>
      </c>
      <c r="M293" s="126" t="s">
        <v>439</v>
      </c>
      <c r="N293" s="126"/>
      <c r="O293" s="126"/>
      <c r="Q293" s="3">
        <f t="shared" si="8"/>
        <v>141.32</v>
      </c>
      <c r="S293" s="55" t="s">
        <v>9016</v>
      </c>
      <c r="U293" s="3" t="str">
        <f t="shared" si="9"/>
        <v/>
      </c>
    </row>
    <row r="294" spans="1:21" x14ac:dyDescent="0.35">
      <c r="A294" s="126" t="s">
        <v>35</v>
      </c>
      <c r="B294" s="126" t="s">
        <v>2473</v>
      </c>
      <c r="C294" s="126" t="s">
        <v>2</v>
      </c>
      <c r="D294" s="126" t="s">
        <v>3</v>
      </c>
      <c r="E294" s="126">
        <v>141.32</v>
      </c>
      <c r="F294" s="126" t="s">
        <v>88</v>
      </c>
      <c r="G294" s="108">
        <v>45475</v>
      </c>
      <c r="H294" s="126" t="s">
        <v>89</v>
      </c>
      <c r="I294" s="126" t="s">
        <v>8103</v>
      </c>
      <c r="J294" s="126"/>
      <c r="K294" s="126" t="s">
        <v>101</v>
      </c>
      <c r="L294" s="126" t="s">
        <v>8104</v>
      </c>
      <c r="M294" s="126" t="s">
        <v>439</v>
      </c>
      <c r="N294" s="126"/>
      <c r="O294" s="126"/>
      <c r="Q294" s="3">
        <f t="shared" si="8"/>
        <v>141.32</v>
      </c>
      <c r="S294" s="55" t="s">
        <v>9016</v>
      </c>
      <c r="U294" s="3" t="str">
        <f t="shared" si="9"/>
        <v/>
      </c>
    </row>
    <row r="295" spans="1:21" x14ac:dyDescent="0.35">
      <c r="A295" s="126" t="s">
        <v>35</v>
      </c>
      <c r="B295" s="126" t="s">
        <v>2208</v>
      </c>
      <c r="C295" s="126" t="s">
        <v>2</v>
      </c>
      <c r="D295" s="126" t="s">
        <v>3</v>
      </c>
      <c r="E295" s="126">
        <v>140</v>
      </c>
      <c r="F295" s="126" t="s">
        <v>88</v>
      </c>
      <c r="G295" s="108">
        <v>45432</v>
      </c>
      <c r="H295" s="126" t="s">
        <v>94</v>
      </c>
      <c r="I295" s="126" t="s">
        <v>466</v>
      </c>
      <c r="J295" s="126" t="s">
        <v>7849</v>
      </c>
      <c r="K295" s="126"/>
      <c r="L295" s="126"/>
      <c r="M295" s="126"/>
      <c r="N295" s="126"/>
      <c r="O295" s="126" t="s">
        <v>5429</v>
      </c>
      <c r="Q295" s="3">
        <f t="shared" si="8"/>
        <v>140</v>
      </c>
      <c r="S295" s="55" t="s">
        <v>9013</v>
      </c>
      <c r="U295" s="3" t="str">
        <f t="shared" si="9"/>
        <v/>
      </c>
    </row>
    <row r="296" spans="1:21" x14ac:dyDescent="0.35">
      <c r="A296" s="126" t="s">
        <v>0</v>
      </c>
      <c r="B296" s="126" t="s">
        <v>2473</v>
      </c>
      <c r="C296" s="126" t="s">
        <v>2</v>
      </c>
      <c r="D296" s="126" t="s">
        <v>3</v>
      </c>
      <c r="E296" s="126">
        <v>138.69</v>
      </c>
      <c r="F296" s="126" t="s">
        <v>88</v>
      </c>
      <c r="G296" s="108">
        <v>45517</v>
      </c>
      <c r="H296" s="126" t="s">
        <v>89</v>
      </c>
      <c r="I296" s="126" t="s">
        <v>8320</v>
      </c>
      <c r="J296" s="126"/>
      <c r="K296" s="126" t="s">
        <v>8321</v>
      </c>
      <c r="L296" s="126" t="s">
        <v>8322</v>
      </c>
      <c r="M296" s="126" t="s">
        <v>399</v>
      </c>
      <c r="Q296" s="3">
        <f t="shared" si="8"/>
        <v>138.69</v>
      </c>
      <c r="S296" s="55" t="s">
        <v>9013</v>
      </c>
      <c r="U296" s="3" t="str">
        <f t="shared" si="9"/>
        <v/>
      </c>
    </row>
    <row r="297" spans="1:21" x14ac:dyDescent="0.35">
      <c r="A297" s="126" t="s">
        <v>0</v>
      </c>
      <c r="B297" s="126" t="s">
        <v>633</v>
      </c>
      <c r="C297" s="126" t="s">
        <v>2</v>
      </c>
      <c r="D297" s="126" t="s">
        <v>3</v>
      </c>
      <c r="E297" s="126">
        <v>137.91999999999999</v>
      </c>
      <c r="F297" s="126" t="s">
        <v>88</v>
      </c>
      <c r="G297" s="108">
        <v>45635</v>
      </c>
      <c r="H297" s="126" t="s">
        <v>89</v>
      </c>
      <c r="I297" s="126" t="s">
        <v>8881</v>
      </c>
      <c r="J297" s="126"/>
      <c r="K297" s="126" t="s">
        <v>8735</v>
      </c>
      <c r="L297" s="126" t="s">
        <v>8882</v>
      </c>
      <c r="M297" s="126" t="s">
        <v>399</v>
      </c>
      <c r="Q297" s="3">
        <f t="shared" si="8"/>
        <v>137.91999999999999</v>
      </c>
      <c r="S297" s="55" t="s">
        <v>9013</v>
      </c>
      <c r="U297" s="3" t="str">
        <f t="shared" si="9"/>
        <v/>
      </c>
    </row>
    <row r="298" spans="1:21" x14ac:dyDescent="0.35">
      <c r="A298" s="126" t="s">
        <v>0</v>
      </c>
      <c r="B298" s="126" t="s">
        <v>867</v>
      </c>
      <c r="C298" s="126" t="s">
        <v>2</v>
      </c>
      <c r="D298" s="126" t="s">
        <v>3</v>
      </c>
      <c r="E298" s="126">
        <v>137.71</v>
      </c>
      <c r="F298" s="126" t="s">
        <v>88</v>
      </c>
      <c r="G298" s="108">
        <v>45390</v>
      </c>
      <c r="H298" s="126" t="s">
        <v>89</v>
      </c>
      <c r="I298" s="126" t="s">
        <v>7671</v>
      </c>
      <c r="J298" s="126"/>
      <c r="K298" s="126" t="s">
        <v>7672</v>
      </c>
      <c r="L298" s="126" t="s">
        <v>7673</v>
      </c>
      <c r="M298" s="126" t="s">
        <v>399</v>
      </c>
      <c r="N298" s="35"/>
      <c r="O298" s="35"/>
      <c r="Q298" s="3">
        <f t="shared" si="8"/>
        <v>137.71</v>
      </c>
      <c r="S298" s="55" t="s">
        <v>9013</v>
      </c>
      <c r="U298" s="3" t="str">
        <f t="shared" si="9"/>
        <v/>
      </c>
    </row>
    <row r="299" spans="1:21" x14ac:dyDescent="0.35">
      <c r="A299" s="126" t="s">
        <v>0</v>
      </c>
      <c r="B299" s="126" t="s">
        <v>867</v>
      </c>
      <c r="C299" s="126" t="s">
        <v>2</v>
      </c>
      <c r="D299" s="126" t="s">
        <v>3</v>
      </c>
      <c r="E299" s="126">
        <v>137.65</v>
      </c>
      <c r="F299" s="126" t="s">
        <v>88</v>
      </c>
      <c r="G299" s="108">
        <v>45544</v>
      </c>
      <c r="H299" s="126" t="s">
        <v>89</v>
      </c>
      <c r="I299" s="126" t="s">
        <v>8400</v>
      </c>
      <c r="J299" s="126"/>
      <c r="K299" s="126" t="s">
        <v>8321</v>
      </c>
      <c r="L299" s="126" t="s">
        <v>8401</v>
      </c>
      <c r="M299" s="126" t="s">
        <v>399</v>
      </c>
      <c r="Q299" s="3">
        <f t="shared" si="8"/>
        <v>137.65</v>
      </c>
      <c r="S299" s="55" t="s">
        <v>9013</v>
      </c>
      <c r="U299" s="3" t="str">
        <f t="shared" si="9"/>
        <v/>
      </c>
    </row>
    <row r="300" spans="1:21" x14ac:dyDescent="0.35">
      <c r="A300" s="126" t="s">
        <v>0</v>
      </c>
      <c r="B300" s="126" t="s">
        <v>867</v>
      </c>
      <c r="C300" s="126" t="s">
        <v>2</v>
      </c>
      <c r="D300" s="126" t="s">
        <v>3</v>
      </c>
      <c r="E300" s="126">
        <v>137.65</v>
      </c>
      <c r="F300" s="126" t="s">
        <v>88</v>
      </c>
      <c r="G300" s="108">
        <v>45635</v>
      </c>
      <c r="H300" s="126" t="s">
        <v>89</v>
      </c>
      <c r="I300" s="126" t="s">
        <v>8881</v>
      </c>
      <c r="J300" s="126"/>
      <c r="K300" s="126" t="s">
        <v>8735</v>
      </c>
      <c r="L300" s="126" t="s">
        <v>8882</v>
      </c>
      <c r="M300" s="126" t="s">
        <v>399</v>
      </c>
      <c r="Q300" s="3">
        <f t="shared" si="8"/>
        <v>137.65</v>
      </c>
      <c r="S300" s="55" t="s">
        <v>9013</v>
      </c>
      <c r="U300" s="3" t="str">
        <f t="shared" si="9"/>
        <v/>
      </c>
    </row>
    <row r="301" spans="1:21" x14ac:dyDescent="0.35">
      <c r="A301" s="126" t="s">
        <v>35</v>
      </c>
      <c r="B301" s="126" t="s">
        <v>740</v>
      </c>
      <c r="C301" s="126" t="s">
        <v>2</v>
      </c>
      <c r="D301" s="126" t="s">
        <v>3</v>
      </c>
      <c r="E301" s="126">
        <v>137.27000000000001</v>
      </c>
      <c r="F301" s="126" t="s">
        <v>88</v>
      </c>
      <c r="G301" s="108">
        <v>45636</v>
      </c>
      <c r="H301" s="126" t="s">
        <v>94</v>
      </c>
      <c r="I301" s="126" t="s">
        <v>426</v>
      </c>
      <c r="J301" s="126" t="s">
        <v>8924</v>
      </c>
      <c r="K301" s="126"/>
      <c r="L301" s="126"/>
      <c r="M301" s="126"/>
      <c r="N301" s="126"/>
      <c r="O301" s="126" t="s">
        <v>7745</v>
      </c>
      <c r="Q301" s="3">
        <f t="shared" si="8"/>
        <v>137.27000000000001</v>
      </c>
      <c r="S301" s="55" t="s">
        <v>9036</v>
      </c>
      <c r="U301" s="3" t="str">
        <f t="shared" si="9"/>
        <v/>
      </c>
    </row>
    <row r="302" spans="1:21" x14ac:dyDescent="0.35">
      <c r="A302" s="126" t="s">
        <v>0</v>
      </c>
      <c r="B302" s="126" t="s">
        <v>789</v>
      </c>
      <c r="C302" s="126" t="s">
        <v>2</v>
      </c>
      <c r="D302" s="126" t="s">
        <v>3</v>
      </c>
      <c r="E302" s="126">
        <v>137.11000000000001</v>
      </c>
      <c r="F302" s="126" t="s">
        <v>88</v>
      </c>
      <c r="G302" s="108">
        <v>45432</v>
      </c>
      <c r="H302" s="126" t="s">
        <v>89</v>
      </c>
      <c r="I302" s="126" t="s">
        <v>7842</v>
      </c>
      <c r="J302" s="126"/>
      <c r="K302" s="126" t="s">
        <v>7840</v>
      </c>
      <c r="L302" s="126" t="s">
        <v>7843</v>
      </c>
      <c r="M302" s="126" t="s">
        <v>399</v>
      </c>
      <c r="N302" s="35"/>
      <c r="O302" s="35"/>
      <c r="Q302" s="3">
        <f t="shared" si="8"/>
        <v>137.11000000000001</v>
      </c>
      <c r="S302" s="55" t="s">
        <v>9013</v>
      </c>
      <c r="U302" s="3" t="str">
        <f t="shared" si="9"/>
        <v/>
      </c>
    </row>
    <row r="303" spans="1:21" x14ac:dyDescent="0.35">
      <c r="A303" s="126" t="s">
        <v>35</v>
      </c>
      <c r="B303" s="126" t="s">
        <v>756</v>
      </c>
      <c r="C303" s="126" t="s">
        <v>2</v>
      </c>
      <c r="D303" s="126" t="s">
        <v>3</v>
      </c>
      <c r="E303" s="126">
        <v>136.82</v>
      </c>
      <c r="F303" s="126" t="s">
        <v>88</v>
      </c>
      <c r="G303" s="108">
        <v>45504</v>
      </c>
      <c r="H303" s="126" t="s">
        <v>94</v>
      </c>
      <c r="I303" s="126" t="s">
        <v>329</v>
      </c>
      <c r="J303" s="126" t="s">
        <v>8224</v>
      </c>
      <c r="K303" s="126"/>
      <c r="L303" s="126"/>
      <c r="M303" s="126"/>
      <c r="N303" s="126"/>
      <c r="O303" s="126" t="s">
        <v>560</v>
      </c>
      <c r="Q303" s="3">
        <f t="shared" si="8"/>
        <v>136.82</v>
      </c>
      <c r="S303" s="55" t="s">
        <v>9036</v>
      </c>
      <c r="U303" s="3" t="str">
        <f t="shared" si="9"/>
        <v/>
      </c>
    </row>
    <row r="304" spans="1:21" x14ac:dyDescent="0.35">
      <c r="A304" s="126" t="s">
        <v>35</v>
      </c>
      <c r="B304" s="126" t="s">
        <v>756</v>
      </c>
      <c r="C304" s="126" t="s">
        <v>2</v>
      </c>
      <c r="D304" s="126" t="s">
        <v>3</v>
      </c>
      <c r="E304" s="126">
        <v>136.36000000000001</v>
      </c>
      <c r="F304" s="126" t="s">
        <v>88</v>
      </c>
      <c r="G304" s="108">
        <v>45461</v>
      </c>
      <c r="H304" s="126" t="s">
        <v>94</v>
      </c>
      <c r="I304" s="126" t="s">
        <v>8020</v>
      </c>
      <c r="J304" s="126" t="s">
        <v>8021</v>
      </c>
      <c r="K304" s="126"/>
      <c r="L304" s="126"/>
      <c r="M304" s="126"/>
      <c r="N304" s="126"/>
      <c r="O304" s="126" t="s">
        <v>8022</v>
      </c>
      <c r="Q304" s="3">
        <f t="shared" si="8"/>
        <v>136.36000000000001</v>
      </c>
      <c r="S304" s="55" t="s">
        <v>9039</v>
      </c>
      <c r="U304" s="3" t="str">
        <f t="shared" si="9"/>
        <v/>
      </c>
    </row>
    <row r="305" spans="1:32" x14ac:dyDescent="0.35">
      <c r="A305" s="126" t="s">
        <v>35</v>
      </c>
      <c r="B305" s="126" t="s">
        <v>756</v>
      </c>
      <c r="C305" s="126" t="s">
        <v>2</v>
      </c>
      <c r="D305" s="126" t="s">
        <v>3</v>
      </c>
      <c r="E305" s="126">
        <v>136.36000000000001</v>
      </c>
      <c r="F305" s="126" t="s">
        <v>88</v>
      </c>
      <c r="G305" s="108">
        <v>45504</v>
      </c>
      <c r="H305" s="126" t="s">
        <v>94</v>
      </c>
      <c r="I305" s="126" t="s">
        <v>8017</v>
      </c>
      <c r="J305" s="126" t="s">
        <v>8222</v>
      </c>
      <c r="K305" s="126"/>
      <c r="L305" s="126"/>
      <c r="M305" s="126"/>
      <c r="N305" s="126"/>
      <c r="O305" s="126" t="s">
        <v>8223</v>
      </c>
      <c r="Q305" s="3">
        <f t="shared" si="8"/>
        <v>136.36000000000001</v>
      </c>
      <c r="S305" s="55" t="s">
        <v>9039</v>
      </c>
      <c r="U305" s="3" t="str">
        <f t="shared" si="9"/>
        <v/>
      </c>
    </row>
    <row r="306" spans="1:32" x14ac:dyDescent="0.35">
      <c r="A306" s="126" t="s">
        <v>35</v>
      </c>
      <c r="B306" s="126" t="s">
        <v>2226</v>
      </c>
      <c r="C306" s="126" t="s">
        <v>2</v>
      </c>
      <c r="D306" s="126" t="s">
        <v>3</v>
      </c>
      <c r="E306" s="126">
        <v>136.36000000000001</v>
      </c>
      <c r="F306" s="126" t="s">
        <v>88</v>
      </c>
      <c r="G306" s="108">
        <v>45604</v>
      </c>
      <c r="H306" s="126" t="s">
        <v>94</v>
      </c>
      <c r="I306" s="126" t="s">
        <v>8700</v>
      </c>
      <c r="J306" s="126" t="s">
        <v>8701</v>
      </c>
      <c r="K306" s="126"/>
      <c r="L306" s="126"/>
      <c r="M306" s="126"/>
      <c r="N306" s="126"/>
      <c r="O306" s="126" t="s">
        <v>8702</v>
      </c>
      <c r="Q306" s="3">
        <f t="shared" si="8"/>
        <v>136.36000000000001</v>
      </c>
      <c r="S306" s="55" t="s">
        <v>9036</v>
      </c>
      <c r="U306" s="3" t="str">
        <f t="shared" si="9"/>
        <v/>
      </c>
    </row>
    <row r="307" spans="1:32" x14ac:dyDescent="0.35">
      <c r="A307" s="126" t="s">
        <v>0</v>
      </c>
      <c r="B307" s="126" t="s">
        <v>789</v>
      </c>
      <c r="C307" s="126" t="s">
        <v>2</v>
      </c>
      <c r="D307" s="126" t="s">
        <v>3</v>
      </c>
      <c r="E307" s="126">
        <v>135.80000000000001</v>
      </c>
      <c r="F307" s="126" t="s">
        <v>88</v>
      </c>
      <c r="G307" s="108">
        <v>45454</v>
      </c>
      <c r="H307" s="126" t="s">
        <v>89</v>
      </c>
      <c r="I307" s="126" t="s">
        <v>7961</v>
      </c>
      <c r="J307" s="126"/>
      <c r="K307" s="126" t="s">
        <v>7959</v>
      </c>
      <c r="L307" s="126" t="s">
        <v>7962</v>
      </c>
      <c r="M307" s="126" t="s">
        <v>399</v>
      </c>
      <c r="Q307" s="3">
        <f t="shared" si="8"/>
        <v>135.80000000000001</v>
      </c>
      <c r="S307" s="55" t="s">
        <v>9013</v>
      </c>
      <c r="U307" s="3" t="str">
        <f t="shared" si="9"/>
        <v/>
      </c>
    </row>
    <row r="308" spans="1:32" x14ac:dyDescent="0.35">
      <c r="A308" s="126" t="s">
        <v>0</v>
      </c>
      <c r="B308" s="126" t="s">
        <v>789</v>
      </c>
      <c r="C308" s="126" t="s">
        <v>2</v>
      </c>
      <c r="D308" s="126" t="s">
        <v>3</v>
      </c>
      <c r="E308" s="126">
        <v>135.77000000000001</v>
      </c>
      <c r="F308" s="126" t="s">
        <v>88</v>
      </c>
      <c r="G308" s="108">
        <v>45635</v>
      </c>
      <c r="H308" s="126" t="s">
        <v>89</v>
      </c>
      <c r="I308" s="126" t="s">
        <v>8881</v>
      </c>
      <c r="J308" s="126"/>
      <c r="K308" s="126" t="s">
        <v>8735</v>
      </c>
      <c r="L308" s="126" t="s">
        <v>8882</v>
      </c>
      <c r="M308" s="126" t="s">
        <v>399</v>
      </c>
      <c r="Q308" s="3">
        <f t="shared" si="8"/>
        <v>135.77000000000001</v>
      </c>
      <c r="S308" s="55" t="s">
        <v>9013</v>
      </c>
      <c r="U308" s="3" t="str">
        <f t="shared" si="9"/>
        <v/>
      </c>
    </row>
    <row r="309" spans="1:32" x14ac:dyDescent="0.35">
      <c r="A309" s="126" t="s">
        <v>0</v>
      </c>
      <c r="B309" s="126" t="s">
        <v>1043</v>
      </c>
      <c r="C309" s="126" t="s">
        <v>2</v>
      </c>
      <c r="D309" s="126" t="s">
        <v>3</v>
      </c>
      <c r="E309" s="126">
        <v>133.9</v>
      </c>
      <c r="F309" s="126" t="s">
        <v>88</v>
      </c>
      <c r="G309" s="108">
        <v>45569</v>
      </c>
      <c r="H309" s="126" t="s">
        <v>89</v>
      </c>
      <c r="I309" s="126" t="s">
        <v>8521</v>
      </c>
      <c r="J309" s="126"/>
      <c r="K309" s="126" t="s">
        <v>8522</v>
      </c>
      <c r="L309" s="126" t="s">
        <v>8523</v>
      </c>
      <c r="M309" s="126" t="s">
        <v>399</v>
      </c>
      <c r="Q309" s="3">
        <f t="shared" si="8"/>
        <v>133.9</v>
      </c>
      <c r="S309" s="55" t="s">
        <v>9013</v>
      </c>
      <c r="U309" s="3" t="str">
        <f t="shared" si="9"/>
        <v/>
      </c>
    </row>
    <row r="310" spans="1:32" x14ac:dyDescent="0.35">
      <c r="A310" s="126" t="s">
        <v>0</v>
      </c>
      <c r="B310" s="126" t="s">
        <v>969</v>
      </c>
      <c r="C310" s="126" t="s">
        <v>2</v>
      </c>
      <c r="D310" s="126" t="s">
        <v>3</v>
      </c>
      <c r="E310" s="126">
        <v>132.19</v>
      </c>
      <c r="F310" s="126" t="s">
        <v>88</v>
      </c>
      <c r="G310" s="108">
        <v>45548</v>
      </c>
      <c r="H310" s="126" t="s">
        <v>89</v>
      </c>
      <c r="I310" s="126" t="s">
        <v>8429</v>
      </c>
      <c r="J310" s="126"/>
      <c r="K310" s="126" t="s">
        <v>7655</v>
      </c>
      <c r="L310" s="126" t="s">
        <v>8430</v>
      </c>
      <c r="M310" s="126" t="s">
        <v>7709</v>
      </c>
      <c r="N310" s="126"/>
      <c r="O310" s="126"/>
      <c r="Q310" s="3">
        <f t="shared" si="8"/>
        <v>132.19</v>
      </c>
      <c r="S310" s="55" t="s">
        <v>9027</v>
      </c>
      <c r="U310" s="3" t="str">
        <f t="shared" si="9"/>
        <v/>
      </c>
    </row>
    <row r="311" spans="1:32" x14ac:dyDescent="0.35">
      <c r="A311" s="126" t="s">
        <v>0</v>
      </c>
      <c r="B311" s="126" t="s">
        <v>698</v>
      </c>
      <c r="C311" s="126" t="s">
        <v>2</v>
      </c>
      <c r="D311" s="126" t="s">
        <v>3</v>
      </c>
      <c r="E311" s="126">
        <v>131.38999999999999</v>
      </c>
      <c r="F311" s="126" t="s">
        <v>88</v>
      </c>
      <c r="G311" s="108">
        <v>45607</v>
      </c>
      <c r="H311" s="126" t="s">
        <v>89</v>
      </c>
      <c r="I311" s="126" t="s">
        <v>8705</v>
      </c>
      <c r="J311" s="126"/>
      <c r="K311" s="126" t="s">
        <v>8706</v>
      </c>
      <c r="L311" s="126" t="s">
        <v>8707</v>
      </c>
      <c r="M311" s="126" t="s">
        <v>8495</v>
      </c>
      <c r="N311" s="126"/>
      <c r="O311" s="126"/>
      <c r="Q311" s="3">
        <f t="shared" si="8"/>
        <v>131.38999999999999</v>
      </c>
      <c r="S311" s="55" t="s">
        <v>9016</v>
      </c>
      <c r="U311" s="3" t="str">
        <f t="shared" si="9"/>
        <v/>
      </c>
    </row>
    <row r="312" spans="1:32" s="88" customFormat="1" x14ac:dyDescent="0.35">
      <c r="A312" s="128" t="s">
        <v>35</v>
      </c>
      <c r="B312" s="128" t="s">
        <v>2226</v>
      </c>
      <c r="C312" s="128" t="s">
        <v>2</v>
      </c>
      <c r="D312" s="128" t="s">
        <v>3</v>
      </c>
      <c r="E312" s="128">
        <v>130.91</v>
      </c>
      <c r="F312" s="128" t="s">
        <v>88</v>
      </c>
      <c r="G312" s="129">
        <v>45604</v>
      </c>
      <c r="H312" s="128" t="s">
        <v>94</v>
      </c>
      <c r="I312" s="128" t="s">
        <v>8647</v>
      </c>
      <c r="J312" s="128" t="s">
        <v>8698</v>
      </c>
      <c r="K312" s="128"/>
      <c r="L312" s="128"/>
      <c r="M312" s="128"/>
      <c r="N312" s="128"/>
      <c r="O312" s="128" t="s">
        <v>8699</v>
      </c>
      <c r="P312" s="86"/>
      <c r="Q312" s="87">
        <f t="shared" si="8"/>
        <v>130.91</v>
      </c>
      <c r="R312" s="85"/>
      <c r="S312" s="55" t="s">
        <v>53</v>
      </c>
      <c r="T312" t="s">
        <v>64</v>
      </c>
      <c r="U312" s="3">
        <f t="shared" si="9"/>
        <v>130.91</v>
      </c>
      <c r="AF312" s="88">
        <f t="shared" ref="AF312" si="10">SUM(AF9:AF310)</f>
        <v>0</v>
      </c>
    </row>
    <row r="313" spans="1:32" x14ac:dyDescent="0.35">
      <c r="A313" s="126" t="s">
        <v>35</v>
      </c>
      <c r="B313" s="126" t="s">
        <v>764</v>
      </c>
      <c r="C313" s="126" t="s">
        <v>2</v>
      </c>
      <c r="D313" s="126" t="s">
        <v>3</v>
      </c>
      <c r="E313" s="126">
        <v>130.82</v>
      </c>
      <c r="F313" s="126" t="s">
        <v>88</v>
      </c>
      <c r="G313" s="108">
        <v>45517</v>
      </c>
      <c r="H313" s="126" t="s">
        <v>94</v>
      </c>
      <c r="I313" s="126" t="s">
        <v>480</v>
      </c>
      <c r="J313" s="126" t="s">
        <v>445</v>
      </c>
      <c r="K313" s="126"/>
      <c r="L313" s="126"/>
      <c r="M313" s="126"/>
      <c r="N313" s="126"/>
      <c r="O313" s="126" t="s">
        <v>8330</v>
      </c>
      <c r="Q313" s="3">
        <f t="shared" si="8"/>
        <v>130.82</v>
      </c>
      <c r="S313" s="55" t="s">
        <v>9016</v>
      </c>
      <c r="U313" s="3" t="str">
        <f t="shared" si="9"/>
        <v/>
      </c>
    </row>
    <row r="314" spans="1:32" x14ac:dyDescent="0.35">
      <c r="A314" s="126" t="s">
        <v>35</v>
      </c>
      <c r="B314" s="126" t="s">
        <v>1075</v>
      </c>
      <c r="C314" s="126" t="s">
        <v>2</v>
      </c>
      <c r="D314" s="126" t="s">
        <v>3</v>
      </c>
      <c r="E314" s="126">
        <v>130.80000000000001</v>
      </c>
      <c r="F314" s="126" t="s">
        <v>88</v>
      </c>
      <c r="G314" s="108">
        <v>45618</v>
      </c>
      <c r="H314" s="126" t="s">
        <v>89</v>
      </c>
      <c r="I314" s="126" t="s">
        <v>8776</v>
      </c>
      <c r="J314" s="126"/>
      <c r="K314" s="126" t="s">
        <v>7880</v>
      </c>
      <c r="L314" s="126" t="s">
        <v>8777</v>
      </c>
      <c r="M314" s="126" t="s">
        <v>396</v>
      </c>
      <c r="N314" s="126"/>
      <c r="O314" s="126"/>
      <c r="Q314" s="3">
        <f t="shared" si="8"/>
        <v>130.80000000000001</v>
      </c>
      <c r="S314" s="55" t="s">
        <v>9016</v>
      </c>
      <c r="U314" s="3" t="str">
        <f t="shared" si="9"/>
        <v/>
      </c>
    </row>
    <row r="315" spans="1:32" x14ac:dyDescent="0.35">
      <c r="A315" s="126" t="s">
        <v>0</v>
      </c>
      <c r="B315" s="126" t="s">
        <v>1106</v>
      </c>
      <c r="C315" s="126" t="s">
        <v>2</v>
      </c>
      <c r="D315" s="126" t="s">
        <v>3</v>
      </c>
      <c r="E315" s="126">
        <v>130.37</v>
      </c>
      <c r="F315" s="126" t="s">
        <v>88</v>
      </c>
      <c r="G315" s="108">
        <v>45485</v>
      </c>
      <c r="H315" s="126" t="s">
        <v>89</v>
      </c>
      <c r="I315" s="126" t="s">
        <v>8134</v>
      </c>
      <c r="J315" s="126"/>
      <c r="K315" s="126" t="s">
        <v>8135</v>
      </c>
      <c r="L315" s="126" t="s">
        <v>8136</v>
      </c>
      <c r="M315" s="126" t="s">
        <v>399</v>
      </c>
      <c r="Q315" s="3">
        <f t="shared" si="8"/>
        <v>130.37</v>
      </c>
      <c r="S315" s="55" t="s">
        <v>9013</v>
      </c>
      <c r="U315" s="3" t="str">
        <f t="shared" si="9"/>
        <v/>
      </c>
    </row>
    <row r="316" spans="1:32" x14ac:dyDescent="0.35">
      <c r="A316" s="126" t="s">
        <v>0</v>
      </c>
      <c r="B316" s="126" t="s">
        <v>1106</v>
      </c>
      <c r="C316" s="126" t="s">
        <v>2</v>
      </c>
      <c r="D316" s="126" t="s">
        <v>3</v>
      </c>
      <c r="E316" s="126">
        <v>130.37</v>
      </c>
      <c r="F316" s="126" t="s">
        <v>88</v>
      </c>
      <c r="G316" s="108">
        <v>45635</v>
      </c>
      <c r="H316" s="126" t="s">
        <v>89</v>
      </c>
      <c r="I316" s="126" t="s">
        <v>8878</v>
      </c>
      <c r="J316" s="126"/>
      <c r="K316" s="126" t="s">
        <v>8879</v>
      </c>
      <c r="L316" s="126" t="s">
        <v>8880</v>
      </c>
      <c r="M316" s="126" t="s">
        <v>399</v>
      </c>
      <c r="Q316" s="3">
        <f t="shared" si="8"/>
        <v>130.37</v>
      </c>
      <c r="S316" s="55" t="s">
        <v>9013</v>
      </c>
      <c r="U316" s="3" t="str">
        <f t="shared" si="9"/>
        <v/>
      </c>
    </row>
    <row r="317" spans="1:32" x14ac:dyDescent="0.35">
      <c r="A317" s="126" t="s">
        <v>0</v>
      </c>
      <c r="B317" s="126" t="s">
        <v>789</v>
      </c>
      <c r="C317" s="126" t="s">
        <v>2</v>
      </c>
      <c r="D317" s="126" t="s">
        <v>3</v>
      </c>
      <c r="E317" s="126">
        <v>130.28</v>
      </c>
      <c r="F317" s="126" t="s">
        <v>88</v>
      </c>
      <c r="G317" s="108">
        <v>45517</v>
      </c>
      <c r="H317" s="126" t="s">
        <v>89</v>
      </c>
      <c r="I317" s="126" t="s">
        <v>8323</v>
      </c>
      <c r="J317" s="126"/>
      <c r="K317" s="126" t="s">
        <v>8321</v>
      </c>
      <c r="L317" s="126" t="s">
        <v>8324</v>
      </c>
      <c r="M317" s="126" t="s">
        <v>399</v>
      </c>
      <c r="Q317" s="3">
        <f t="shared" si="8"/>
        <v>130.28</v>
      </c>
      <c r="S317" s="55" t="s">
        <v>9013</v>
      </c>
      <c r="U317" s="3" t="str">
        <f t="shared" si="9"/>
        <v/>
      </c>
    </row>
    <row r="318" spans="1:32" x14ac:dyDescent="0.35">
      <c r="A318" s="126" t="s">
        <v>0</v>
      </c>
      <c r="B318" s="126" t="s">
        <v>867</v>
      </c>
      <c r="C318" s="126" t="s">
        <v>2</v>
      </c>
      <c r="D318" s="126" t="s">
        <v>3</v>
      </c>
      <c r="E318" s="126">
        <v>130.05000000000001</v>
      </c>
      <c r="F318" s="126" t="s">
        <v>88</v>
      </c>
      <c r="G318" s="108">
        <v>45432</v>
      </c>
      <c r="H318" s="126" t="s">
        <v>89</v>
      </c>
      <c r="I318" s="126" t="s">
        <v>7842</v>
      </c>
      <c r="J318" s="126"/>
      <c r="K318" s="126" t="s">
        <v>7840</v>
      </c>
      <c r="L318" s="126" t="s">
        <v>7843</v>
      </c>
      <c r="M318" s="126" t="s">
        <v>399</v>
      </c>
      <c r="Q318" s="3">
        <f t="shared" si="8"/>
        <v>130.05000000000001</v>
      </c>
      <c r="S318" s="55" t="s">
        <v>9013</v>
      </c>
      <c r="U318" s="3" t="str">
        <f t="shared" si="9"/>
        <v/>
      </c>
    </row>
    <row r="319" spans="1:32" x14ac:dyDescent="0.35">
      <c r="A319" s="126" t="s">
        <v>0</v>
      </c>
      <c r="B319" s="126" t="s">
        <v>867</v>
      </c>
      <c r="C319" s="126" t="s">
        <v>2</v>
      </c>
      <c r="D319" s="126" t="s">
        <v>3</v>
      </c>
      <c r="E319" s="126">
        <v>130.05000000000001</v>
      </c>
      <c r="F319" s="126" t="s">
        <v>88</v>
      </c>
      <c r="G319" s="108">
        <v>45505</v>
      </c>
      <c r="H319" s="126" t="s">
        <v>89</v>
      </c>
      <c r="I319" s="126" t="s">
        <v>8248</v>
      </c>
      <c r="J319" s="126"/>
      <c r="K319" s="126" t="s">
        <v>8135</v>
      </c>
      <c r="L319" s="126" t="s">
        <v>8249</v>
      </c>
      <c r="M319" s="126" t="s">
        <v>399</v>
      </c>
      <c r="Q319" s="3">
        <f t="shared" si="8"/>
        <v>130.05000000000001</v>
      </c>
      <c r="S319" s="55" t="s">
        <v>9013</v>
      </c>
      <c r="U319" s="3" t="str">
        <f t="shared" si="9"/>
        <v/>
      </c>
    </row>
    <row r="320" spans="1:32" x14ac:dyDescent="0.35">
      <c r="A320" s="126" t="s">
        <v>0</v>
      </c>
      <c r="B320" s="126" t="s">
        <v>867</v>
      </c>
      <c r="C320" s="126" t="s">
        <v>2</v>
      </c>
      <c r="D320" s="126" t="s">
        <v>3</v>
      </c>
      <c r="E320" s="126">
        <v>130.05000000000001</v>
      </c>
      <c r="F320" s="126" t="s">
        <v>88</v>
      </c>
      <c r="G320" s="108">
        <v>45517</v>
      </c>
      <c r="H320" s="126" t="s">
        <v>89</v>
      </c>
      <c r="I320" s="126" t="s">
        <v>8323</v>
      </c>
      <c r="J320" s="126"/>
      <c r="K320" s="126" t="s">
        <v>8321</v>
      </c>
      <c r="L320" s="126" t="s">
        <v>8324</v>
      </c>
      <c r="M320" s="126" t="s">
        <v>399</v>
      </c>
      <c r="N320" s="126"/>
      <c r="O320" s="126"/>
      <c r="Q320" s="3">
        <f t="shared" si="8"/>
        <v>130.05000000000001</v>
      </c>
      <c r="S320" s="55" t="s">
        <v>9013</v>
      </c>
      <c r="U320" s="3" t="str">
        <f t="shared" si="9"/>
        <v/>
      </c>
    </row>
    <row r="321" spans="1:21" x14ac:dyDescent="0.35">
      <c r="A321" s="126" t="s">
        <v>0</v>
      </c>
      <c r="B321" s="126" t="s">
        <v>867</v>
      </c>
      <c r="C321" s="126" t="s">
        <v>2</v>
      </c>
      <c r="D321" s="126" t="s">
        <v>3</v>
      </c>
      <c r="E321" s="126">
        <v>130.05000000000001</v>
      </c>
      <c r="F321" s="126" t="s">
        <v>88</v>
      </c>
      <c r="G321" s="108">
        <v>45569</v>
      </c>
      <c r="H321" s="126" t="s">
        <v>89</v>
      </c>
      <c r="I321" s="126" t="s">
        <v>8524</v>
      </c>
      <c r="J321" s="126"/>
      <c r="K321" s="126" t="s">
        <v>8525</v>
      </c>
      <c r="L321" s="126" t="s">
        <v>8526</v>
      </c>
      <c r="M321" s="126" t="s">
        <v>399</v>
      </c>
      <c r="N321" s="126"/>
      <c r="O321" s="126"/>
      <c r="Q321" s="3">
        <f t="shared" si="8"/>
        <v>130.05000000000001</v>
      </c>
      <c r="S321" s="55" t="s">
        <v>9013</v>
      </c>
      <c r="U321" s="3" t="str">
        <f t="shared" si="9"/>
        <v/>
      </c>
    </row>
    <row r="322" spans="1:21" x14ac:dyDescent="0.35">
      <c r="A322" s="126" t="s">
        <v>0</v>
      </c>
      <c r="B322" s="126" t="s">
        <v>867</v>
      </c>
      <c r="C322" s="126" t="s">
        <v>2</v>
      </c>
      <c r="D322" s="126" t="s">
        <v>3</v>
      </c>
      <c r="E322" s="126">
        <v>130.05000000000001</v>
      </c>
      <c r="F322" s="126" t="s">
        <v>88</v>
      </c>
      <c r="G322" s="108">
        <v>45611</v>
      </c>
      <c r="H322" s="126" t="s">
        <v>89</v>
      </c>
      <c r="I322" s="126" t="s">
        <v>8737</v>
      </c>
      <c r="J322" s="126"/>
      <c r="K322" s="126" t="s">
        <v>8522</v>
      </c>
      <c r="L322" s="126" t="s">
        <v>8738</v>
      </c>
      <c r="M322" s="126" t="s">
        <v>399</v>
      </c>
      <c r="Q322" s="3">
        <f t="shared" si="8"/>
        <v>130.05000000000001</v>
      </c>
      <c r="S322" s="55" t="s">
        <v>9013</v>
      </c>
      <c r="U322" s="3" t="str">
        <f t="shared" si="9"/>
        <v/>
      </c>
    </row>
    <row r="323" spans="1:21" x14ac:dyDescent="0.35">
      <c r="A323" s="126" t="s">
        <v>0</v>
      </c>
      <c r="B323" s="126" t="s">
        <v>2473</v>
      </c>
      <c r="C323" s="126" t="s">
        <v>2</v>
      </c>
      <c r="D323" s="126" t="s">
        <v>3</v>
      </c>
      <c r="E323" s="126">
        <v>129.97999999999999</v>
      </c>
      <c r="F323" s="126" t="s">
        <v>88</v>
      </c>
      <c r="G323" s="108">
        <v>45551</v>
      </c>
      <c r="H323" s="126" t="s">
        <v>89</v>
      </c>
      <c r="I323" s="126" t="s">
        <v>8431</v>
      </c>
      <c r="J323" s="126"/>
      <c r="K323" s="126" t="s">
        <v>8432</v>
      </c>
      <c r="L323" s="126" t="s">
        <v>8433</v>
      </c>
      <c r="M323" s="126" t="s">
        <v>399</v>
      </c>
      <c r="Q323" s="3">
        <f t="shared" si="8"/>
        <v>129.97999999999999</v>
      </c>
      <c r="S323" s="55" t="s">
        <v>9013</v>
      </c>
      <c r="U323" s="3" t="str">
        <f t="shared" si="9"/>
        <v/>
      </c>
    </row>
    <row r="324" spans="1:21" x14ac:dyDescent="0.35">
      <c r="A324" s="126" t="s">
        <v>0</v>
      </c>
      <c r="B324" s="126" t="s">
        <v>969</v>
      </c>
      <c r="C324" s="126" t="s">
        <v>2</v>
      </c>
      <c r="D324" s="126" t="s">
        <v>3</v>
      </c>
      <c r="E324" s="126">
        <v>129.69</v>
      </c>
      <c r="F324" s="126" t="s">
        <v>88</v>
      </c>
      <c r="G324" s="108">
        <v>45455</v>
      </c>
      <c r="H324" s="126" t="s">
        <v>89</v>
      </c>
      <c r="I324" s="126" t="s">
        <v>7983</v>
      </c>
      <c r="J324" s="126"/>
      <c r="K324" s="126" t="s">
        <v>7655</v>
      </c>
      <c r="L324" s="126" t="s">
        <v>7984</v>
      </c>
      <c r="M324" s="126" t="s">
        <v>7709</v>
      </c>
      <c r="N324" s="126"/>
      <c r="O324" s="126"/>
      <c r="Q324" s="3">
        <f t="shared" si="8"/>
        <v>129.69</v>
      </c>
      <c r="S324" s="55" t="s">
        <v>9027</v>
      </c>
      <c r="U324" s="3" t="str">
        <f t="shared" si="9"/>
        <v/>
      </c>
    </row>
    <row r="325" spans="1:21" x14ac:dyDescent="0.35">
      <c r="A325" s="126" t="s">
        <v>0</v>
      </c>
      <c r="B325" s="126" t="s">
        <v>969</v>
      </c>
      <c r="C325" s="126" t="s">
        <v>2</v>
      </c>
      <c r="D325" s="126" t="s">
        <v>3</v>
      </c>
      <c r="E325" s="126">
        <v>129.68</v>
      </c>
      <c r="F325" s="126" t="s">
        <v>88</v>
      </c>
      <c r="G325" s="108">
        <v>45394</v>
      </c>
      <c r="H325" s="126" t="s">
        <v>89</v>
      </c>
      <c r="I325" s="126" t="s">
        <v>7710</v>
      </c>
      <c r="J325" s="126"/>
      <c r="K325" s="126" t="s">
        <v>7711</v>
      </c>
      <c r="L325" s="126" t="s">
        <v>7712</v>
      </c>
      <c r="M325" s="126" t="s">
        <v>7709</v>
      </c>
      <c r="N325" s="126"/>
      <c r="O325" s="126"/>
      <c r="Q325" s="3">
        <f t="shared" si="8"/>
        <v>129.68</v>
      </c>
      <c r="S325" s="55" t="s">
        <v>9027</v>
      </c>
      <c r="U325" s="3" t="str">
        <f t="shared" si="9"/>
        <v/>
      </c>
    </row>
    <row r="326" spans="1:21" x14ac:dyDescent="0.35">
      <c r="A326" s="126" t="s">
        <v>35</v>
      </c>
      <c r="B326" s="126" t="s">
        <v>4622</v>
      </c>
      <c r="C326" s="126" t="s">
        <v>2</v>
      </c>
      <c r="D326" s="126" t="s">
        <v>3</v>
      </c>
      <c r="E326" s="126">
        <v>128.91</v>
      </c>
      <c r="F326" s="126" t="s">
        <v>88</v>
      </c>
      <c r="G326" s="108">
        <v>45639</v>
      </c>
      <c r="H326" s="126" t="s">
        <v>94</v>
      </c>
      <c r="I326" s="126" t="s">
        <v>426</v>
      </c>
      <c r="J326" s="126" t="s">
        <v>8850</v>
      </c>
      <c r="K326" s="126"/>
      <c r="L326" s="126"/>
      <c r="M326" s="126"/>
      <c r="N326" s="126"/>
      <c r="O326" s="126" t="s">
        <v>570</v>
      </c>
      <c r="Q326" s="3">
        <f t="shared" si="8"/>
        <v>128.91</v>
      </c>
      <c r="S326" s="55" t="s">
        <v>9016</v>
      </c>
      <c r="U326" s="3" t="str">
        <f t="shared" si="9"/>
        <v/>
      </c>
    </row>
    <row r="327" spans="1:21" x14ac:dyDescent="0.35">
      <c r="A327" s="126" t="s">
        <v>35</v>
      </c>
      <c r="B327" s="126" t="s">
        <v>893</v>
      </c>
      <c r="C327" s="126" t="s">
        <v>2</v>
      </c>
      <c r="D327" s="126" t="s">
        <v>3</v>
      </c>
      <c r="E327" s="126">
        <v>127.2</v>
      </c>
      <c r="F327" s="126" t="s">
        <v>88</v>
      </c>
      <c r="G327" s="108">
        <v>45462</v>
      </c>
      <c r="H327" s="126" t="s">
        <v>94</v>
      </c>
      <c r="I327" s="126" t="s">
        <v>123</v>
      </c>
      <c r="J327" s="126" t="s">
        <v>8026</v>
      </c>
      <c r="K327" s="126"/>
      <c r="L327" s="126"/>
      <c r="M327" s="126"/>
      <c r="N327" s="126"/>
      <c r="O327" s="126" t="s">
        <v>8027</v>
      </c>
      <c r="Q327" s="3">
        <f t="shared" si="8"/>
        <v>127.2</v>
      </c>
      <c r="S327" s="55" t="s">
        <v>53</v>
      </c>
      <c r="T327" t="s">
        <v>64</v>
      </c>
      <c r="U327" s="3">
        <f t="shared" si="9"/>
        <v>127.2</v>
      </c>
    </row>
    <row r="328" spans="1:21" x14ac:dyDescent="0.35">
      <c r="A328" s="126" t="s">
        <v>0</v>
      </c>
      <c r="B328" s="126" t="s">
        <v>1106</v>
      </c>
      <c r="C328" s="126" t="s">
        <v>2</v>
      </c>
      <c r="D328" s="126" t="s">
        <v>3</v>
      </c>
      <c r="E328" s="126">
        <v>127.01</v>
      </c>
      <c r="F328" s="126" t="s">
        <v>88</v>
      </c>
      <c r="G328" s="108">
        <v>45517</v>
      </c>
      <c r="H328" s="126" t="s">
        <v>89</v>
      </c>
      <c r="I328" s="126" t="s">
        <v>8320</v>
      </c>
      <c r="J328" s="126"/>
      <c r="K328" s="126" t="s">
        <v>8321</v>
      </c>
      <c r="L328" s="126" t="s">
        <v>8322</v>
      </c>
      <c r="M328" s="126" t="s">
        <v>399</v>
      </c>
      <c r="Q328" s="3">
        <f t="shared" ref="Q328:Q391" si="11">ABS(E328)</f>
        <v>127.01</v>
      </c>
      <c r="S328" s="55" t="s">
        <v>9013</v>
      </c>
      <c r="U328" s="3" t="str">
        <f t="shared" ref="U328:U391" si="12">IF(T328="Y",E328,"")</f>
        <v/>
      </c>
    </row>
    <row r="329" spans="1:21" x14ac:dyDescent="0.35">
      <c r="A329" s="126" t="s">
        <v>35</v>
      </c>
      <c r="B329" s="126" t="s">
        <v>756</v>
      </c>
      <c r="C329" s="126" t="s">
        <v>2</v>
      </c>
      <c r="D329" s="126" t="s">
        <v>3</v>
      </c>
      <c r="E329" s="126">
        <v>126.77</v>
      </c>
      <c r="F329" s="126" t="s">
        <v>88</v>
      </c>
      <c r="G329" s="108">
        <v>45645</v>
      </c>
      <c r="H329" s="126" t="s">
        <v>94</v>
      </c>
      <c r="I329" s="126" t="s">
        <v>8807</v>
      </c>
      <c r="J329" s="126" t="s">
        <v>8995</v>
      </c>
      <c r="K329" s="126"/>
      <c r="L329" s="126"/>
      <c r="M329" s="126"/>
      <c r="N329" s="126"/>
      <c r="O329" s="126" t="s">
        <v>545</v>
      </c>
      <c r="Q329" s="3">
        <f t="shared" si="11"/>
        <v>126.77</v>
      </c>
      <c r="S329" s="55" t="s">
        <v>9016</v>
      </c>
      <c r="U329" s="3" t="str">
        <f t="shared" si="12"/>
        <v/>
      </c>
    </row>
    <row r="330" spans="1:21" x14ac:dyDescent="0.35">
      <c r="A330" s="126" t="s">
        <v>0</v>
      </c>
      <c r="B330" s="126" t="s">
        <v>2473</v>
      </c>
      <c r="C330" s="126" t="s">
        <v>2</v>
      </c>
      <c r="D330" s="126" t="s">
        <v>3</v>
      </c>
      <c r="E330" s="126">
        <v>126.64</v>
      </c>
      <c r="F330" s="126" t="s">
        <v>88</v>
      </c>
      <c r="G330" s="108">
        <v>45432</v>
      </c>
      <c r="H330" s="126" t="s">
        <v>89</v>
      </c>
      <c r="I330" s="126" t="s">
        <v>7839</v>
      </c>
      <c r="J330" s="126"/>
      <c r="K330" s="126" t="s">
        <v>7840</v>
      </c>
      <c r="L330" s="126" t="s">
        <v>7841</v>
      </c>
      <c r="M330" s="126" t="s">
        <v>399</v>
      </c>
      <c r="N330" s="35"/>
      <c r="O330" s="35"/>
      <c r="Q330" s="3">
        <f t="shared" si="11"/>
        <v>126.64</v>
      </c>
      <c r="S330" s="55" t="s">
        <v>9013</v>
      </c>
      <c r="U330" s="3" t="str">
        <f t="shared" si="12"/>
        <v/>
      </c>
    </row>
    <row r="331" spans="1:21" x14ac:dyDescent="0.35">
      <c r="A331" s="126" t="s">
        <v>0</v>
      </c>
      <c r="B331" s="126" t="s">
        <v>2473</v>
      </c>
      <c r="C331" s="126" t="s">
        <v>2</v>
      </c>
      <c r="D331" s="126" t="s">
        <v>3</v>
      </c>
      <c r="E331" s="126">
        <v>126.64</v>
      </c>
      <c r="F331" s="126" t="s">
        <v>88</v>
      </c>
      <c r="G331" s="108">
        <v>45454</v>
      </c>
      <c r="H331" s="126" t="s">
        <v>89</v>
      </c>
      <c r="I331" s="126" t="s">
        <v>7958</v>
      </c>
      <c r="J331" s="126"/>
      <c r="K331" s="126" t="s">
        <v>7959</v>
      </c>
      <c r="L331" s="126" t="s">
        <v>7960</v>
      </c>
      <c r="M331" s="126" t="s">
        <v>399</v>
      </c>
      <c r="Q331" s="3">
        <f t="shared" si="11"/>
        <v>126.64</v>
      </c>
      <c r="S331" s="55" t="s">
        <v>9013</v>
      </c>
      <c r="U331" s="3" t="str">
        <f t="shared" si="12"/>
        <v/>
      </c>
    </row>
    <row r="332" spans="1:21" x14ac:dyDescent="0.35">
      <c r="A332" s="126" t="s">
        <v>0</v>
      </c>
      <c r="B332" s="126" t="s">
        <v>2473</v>
      </c>
      <c r="C332" s="126" t="s">
        <v>2</v>
      </c>
      <c r="D332" s="126" t="s">
        <v>3</v>
      </c>
      <c r="E332" s="126">
        <v>126.64</v>
      </c>
      <c r="F332" s="126" t="s">
        <v>88</v>
      </c>
      <c r="G332" s="108">
        <v>45485</v>
      </c>
      <c r="H332" s="126" t="s">
        <v>89</v>
      </c>
      <c r="I332" s="126" t="s">
        <v>8134</v>
      </c>
      <c r="J332" s="126"/>
      <c r="K332" s="126" t="s">
        <v>8135</v>
      </c>
      <c r="L332" s="126" t="s">
        <v>8136</v>
      </c>
      <c r="M332" s="126" t="s">
        <v>399</v>
      </c>
      <c r="Q332" s="3">
        <f t="shared" si="11"/>
        <v>126.64</v>
      </c>
      <c r="S332" s="55" t="s">
        <v>9013</v>
      </c>
      <c r="U332" s="3" t="str">
        <f t="shared" si="12"/>
        <v/>
      </c>
    </row>
    <row r="333" spans="1:21" x14ac:dyDescent="0.35">
      <c r="A333" s="126" t="s">
        <v>0</v>
      </c>
      <c r="B333" s="126" t="s">
        <v>2473</v>
      </c>
      <c r="C333" s="126" t="s">
        <v>2</v>
      </c>
      <c r="D333" s="126" t="s">
        <v>3</v>
      </c>
      <c r="E333" s="126">
        <v>126.64</v>
      </c>
      <c r="F333" s="126" t="s">
        <v>88</v>
      </c>
      <c r="G333" s="108">
        <v>45611</v>
      </c>
      <c r="H333" s="126" t="s">
        <v>89</v>
      </c>
      <c r="I333" s="126" t="s">
        <v>8734</v>
      </c>
      <c r="J333" s="126"/>
      <c r="K333" s="126" t="s">
        <v>8735</v>
      </c>
      <c r="L333" s="126" t="s">
        <v>8736</v>
      </c>
      <c r="M333" s="126" t="s">
        <v>399</v>
      </c>
      <c r="N333" s="126"/>
      <c r="O333" s="126"/>
      <c r="Q333" s="3">
        <f t="shared" si="11"/>
        <v>126.64</v>
      </c>
      <c r="S333" s="55" t="s">
        <v>9013</v>
      </c>
      <c r="U333" s="3" t="str">
        <f t="shared" si="12"/>
        <v/>
      </c>
    </row>
    <row r="334" spans="1:21" x14ac:dyDescent="0.35">
      <c r="A334" s="126" t="s">
        <v>0</v>
      </c>
      <c r="B334" s="126" t="s">
        <v>2473</v>
      </c>
      <c r="C334" s="126" t="s">
        <v>2</v>
      </c>
      <c r="D334" s="126" t="s">
        <v>3</v>
      </c>
      <c r="E334" s="126">
        <v>126.64</v>
      </c>
      <c r="F334" s="126" t="s">
        <v>88</v>
      </c>
      <c r="G334" s="108">
        <v>45635</v>
      </c>
      <c r="H334" s="126" t="s">
        <v>89</v>
      </c>
      <c r="I334" s="126" t="s">
        <v>8878</v>
      </c>
      <c r="J334" s="126"/>
      <c r="K334" s="126" t="s">
        <v>8879</v>
      </c>
      <c r="L334" s="126" t="s">
        <v>8880</v>
      </c>
      <c r="M334" s="126" t="s">
        <v>399</v>
      </c>
      <c r="Q334" s="3">
        <f t="shared" si="11"/>
        <v>126.64</v>
      </c>
      <c r="S334" s="55" t="s">
        <v>9013</v>
      </c>
      <c r="U334" s="3" t="str">
        <f t="shared" si="12"/>
        <v/>
      </c>
    </row>
    <row r="335" spans="1:21" x14ac:dyDescent="0.35">
      <c r="A335" s="126" t="s">
        <v>0</v>
      </c>
      <c r="B335" s="126" t="s">
        <v>2473</v>
      </c>
      <c r="C335" s="126" t="s">
        <v>2</v>
      </c>
      <c r="D335" s="126" t="s">
        <v>3</v>
      </c>
      <c r="E335" s="126">
        <v>126.61</v>
      </c>
      <c r="F335" s="126" t="s">
        <v>88</v>
      </c>
      <c r="G335" s="108">
        <v>45391</v>
      </c>
      <c r="H335" s="126" t="s">
        <v>89</v>
      </c>
      <c r="I335" s="126" t="s">
        <v>7691</v>
      </c>
      <c r="J335" s="126"/>
      <c r="K335" s="126" t="s">
        <v>7672</v>
      </c>
      <c r="L335" s="126" t="s">
        <v>7692</v>
      </c>
      <c r="M335" s="126" t="s">
        <v>399</v>
      </c>
      <c r="Q335" s="3">
        <f t="shared" si="11"/>
        <v>126.61</v>
      </c>
      <c r="S335" s="55" t="s">
        <v>9013</v>
      </c>
      <c r="U335" s="3" t="str">
        <f t="shared" si="12"/>
        <v/>
      </c>
    </row>
    <row r="336" spans="1:21" x14ac:dyDescent="0.35">
      <c r="A336" s="126" t="s">
        <v>35</v>
      </c>
      <c r="B336" s="126" t="s">
        <v>1533</v>
      </c>
      <c r="C336" s="126" t="s">
        <v>2</v>
      </c>
      <c r="D336" s="126" t="s">
        <v>3</v>
      </c>
      <c r="E336" s="126">
        <v>126.36</v>
      </c>
      <c r="F336" s="126" t="s">
        <v>88</v>
      </c>
      <c r="G336" s="108">
        <v>45391</v>
      </c>
      <c r="H336" s="126" t="s">
        <v>94</v>
      </c>
      <c r="I336" s="126" t="s">
        <v>423</v>
      </c>
      <c r="J336" s="126" t="s">
        <v>7701</v>
      </c>
      <c r="K336" s="126"/>
      <c r="L336" s="126"/>
      <c r="M336" s="126"/>
      <c r="N336" s="126"/>
      <c r="O336" s="126" t="s">
        <v>529</v>
      </c>
      <c r="Q336" s="3">
        <f t="shared" si="11"/>
        <v>126.36</v>
      </c>
      <c r="S336" s="55" t="s">
        <v>9029</v>
      </c>
      <c r="U336" s="3" t="str">
        <f t="shared" si="12"/>
        <v/>
      </c>
    </row>
    <row r="337" spans="1:21" x14ac:dyDescent="0.35">
      <c r="A337" s="126" t="s">
        <v>0</v>
      </c>
      <c r="B337" s="126" t="s">
        <v>2226</v>
      </c>
      <c r="C337" s="126" t="s">
        <v>2</v>
      </c>
      <c r="D337" s="126" t="s">
        <v>3</v>
      </c>
      <c r="E337" s="126">
        <v>125.82</v>
      </c>
      <c r="F337" s="126" t="s">
        <v>88</v>
      </c>
      <c r="G337" s="108">
        <v>45635</v>
      </c>
      <c r="H337" s="126" t="s">
        <v>89</v>
      </c>
      <c r="I337" s="126" t="s">
        <v>8881</v>
      </c>
      <c r="J337" s="126"/>
      <c r="K337" s="126" t="s">
        <v>8735</v>
      </c>
      <c r="L337" s="126" t="s">
        <v>8882</v>
      </c>
      <c r="M337" s="126" t="s">
        <v>399</v>
      </c>
      <c r="Q337" s="3">
        <f t="shared" si="11"/>
        <v>125.82</v>
      </c>
      <c r="S337" s="55" t="s">
        <v>9013</v>
      </c>
      <c r="U337" s="3" t="str">
        <f t="shared" si="12"/>
        <v/>
      </c>
    </row>
    <row r="338" spans="1:21" x14ac:dyDescent="0.35">
      <c r="A338" s="126" t="s">
        <v>35</v>
      </c>
      <c r="B338" s="126" t="s">
        <v>615</v>
      </c>
      <c r="C338" s="126" t="s">
        <v>2</v>
      </c>
      <c r="D338" s="126" t="s">
        <v>3</v>
      </c>
      <c r="E338" s="126">
        <v>125.66</v>
      </c>
      <c r="F338" s="126" t="s">
        <v>88</v>
      </c>
      <c r="G338" s="108">
        <v>45523</v>
      </c>
      <c r="H338" s="126" t="s">
        <v>94</v>
      </c>
      <c r="I338" s="126" t="s">
        <v>447</v>
      </c>
      <c r="J338" s="126" t="s">
        <v>8345</v>
      </c>
      <c r="K338" s="126"/>
      <c r="L338" s="126"/>
      <c r="M338" s="126"/>
      <c r="N338" s="126"/>
      <c r="O338" s="126" t="s">
        <v>539</v>
      </c>
      <c r="Q338" s="3">
        <f t="shared" si="11"/>
        <v>125.66</v>
      </c>
      <c r="S338" s="55" t="s">
        <v>9025</v>
      </c>
      <c r="U338" s="3" t="str">
        <f t="shared" si="12"/>
        <v/>
      </c>
    </row>
    <row r="339" spans="1:21" x14ac:dyDescent="0.35">
      <c r="A339" s="126" t="s">
        <v>35</v>
      </c>
      <c r="B339" s="126" t="s">
        <v>740</v>
      </c>
      <c r="C339" s="126" t="s">
        <v>2</v>
      </c>
      <c r="D339" s="126" t="s">
        <v>3</v>
      </c>
      <c r="E339" s="126">
        <v>125.64</v>
      </c>
      <c r="F339" s="126" t="s">
        <v>88</v>
      </c>
      <c r="G339" s="108">
        <v>45602</v>
      </c>
      <c r="H339" s="126" t="s">
        <v>94</v>
      </c>
      <c r="I339" s="126" t="s">
        <v>7857</v>
      </c>
      <c r="J339" s="126" t="s">
        <v>8684</v>
      </c>
      <c r="K339" s="126"/>
      <c r="L339" s="126"/>
      <c r="M339" s="126"/>
      <c r="N339" s="126"/>
      <c r="O339" s="126" t="s">
        <v>8685</v>
      </c>
      <c r="Q339" s="3">
        <f t="shared" si="11"/>
        <v>125.64</v>
      </c>
      <c r="S339" s="55" t="s">
        <v>586</v>
      </c>
      <c r="U339" s="3" t="str">
        <f t="shared" si="12"/>
        <v/>
      </c>
    </row>
    <row r="340" spans="1:21" x14ac:dyDescent="0.35">
      <c r="A340" s="126" t="s">
        <v>35</v>
      </c>
      <c r="B340" s="126" t="s">
        <v>2543</v>
      </c>
      <c r="C340" s="126" t="s">
        <v>2</v>
      </c>
      <c r="D340" s="126" t="s">
        <v>3</v>
      </c>
      <c r="E340" s="126">
        <v>125.19</v>
      </c>
      <c r="F340" s="126" t="s">
        <v>88</v>
      </c>
      <c r="G340" s="108">
        <v>45623</v>
      </c>
      <c r="H340" s="126" t="s">
        <v>94</v>
      </c>
      <c r="I340" s="126" t="s">
        <v>510</v>
      </c>
      <c r="J340" s="126" t="s">
        <v>514</v>
      </c>
      <c r="K340" s="126"/>
      <c r="L340" s="126"/>
      <c r="M340" s="126"/>
      <c r="N340" s="126"/>
      <c r="O340" s="126" t="s">
        <v>537</v>
      </c>
      <c r="Q340" s="3">
        <f t="shared" si="11"/>
        <v>125.19</v>
      </c>
      <c r="S340" s="55" t="s">
        <v>9036</v>
      </c>
      <c r="U340" s="3" t="str">
        <f t="shared" si="12"/>
        <v/>
      </c>
    </row>
    <row r="341" spans="1:21" x14ac:dyDescent="0.35">
      <c r="A341" s="126" t="s">
        <v>0</v>
      </c>
      <c r="B341" s="126" t="s">
        <v>4622</v>
      </c>
      <c r="C341" s="126" t="s">
        <v>2</v>
      </c>
      <c r="D341" s="126" t="s">
        <v>3</v>
      </c>
      <c r="E341" s="126">
        <v>124.9</v>
      </c>
      <c r="F341" s="126" t="s">
        <v>88</v>
      </c>
      <c r="G341" s="108">
        <v>45390</v>
      </c>
      <c r="H341" s="126" t="s">
        <v>89</v>
      </c>
      <c r="I341" s="126" t="s">
        <v>7671</v>
      </c>
      <c r="J341" s="126"/>
      <c r="K341" s="126" t="s">
        <v>7672</v>
      </c>
      <c r="L341" s="126" t="s">
        <v>7673</v>
      </c>
      <c r="M341" s="126" t="s">
        <v>399</v>
      </c>
      <c r="N341" s="35"/>
      <c r="O341" s="35"/>
      <c r="Q341" s="3">
        <f t="shared" si="11"/>
        <v>124.9</v>
      </c>
      <c r="S341" s="55" t="s">
        <v>9013</v>
      </c>
      <c r="U341" s="3" t="str">
        <f t="shared" si="12"/>
        <v/>
      </c>
    </row>
    <row r="342" spans="1:21" x14ac:dyDescent="0.35">
      <c r="A342" s="126" t="s">
        <v>0</v>
      </c>
      <c r="B342" s="126" t="s">
        <v>601</v>
      </c>
      <c r="C342" s="126" t="s">
        <v>2</v>
      </c>
      <c r="D342" s="126" t="s">
        <v>3</v>
      </c>
      <c r="E342" s="126">
        <v>124.80000000000001</v>
      </c>
      <c r="F342" s="126" t="s">
        <v>88</v>
      </c>
      <c r="G342" s="108">
        <v>45390</v>
      </c>
      <c r="H342" s="126" t="s">
        <v>89</v>
      </c>
      <c r="I342" s="126" t="s">
        <v>7671</v>
      </c>
      <c r="J342" s="126"/>
      <c r="K342" s="126" t="s">
        <v>7672</v>
      </c>
      <c r="L342" s="126" t="s">
        <v>7673</v>
      </c>
      <c r="M342" s="126" t="s">
        <v>399</v>
      </c>
      <c r="N342" s="126"/>
      <c r="O342" s="126"/>
      <c r="Q342" s="3">
        <f t="shared" si="11"/>
        <v>124.80000000000001</v>
      </c>
      <c r="S342" s="55" t="s">
        <v>9013</v>
      </c>
      <c r="U342" s="3" t="str">
        <f t="shared" si="12"/>
        <v/>
      </c>
    </row>
    <row r="343" spans="1:21" x14ac:dyDescent="0.35">
      <c r="A343" s="126" t="s">
        <v>0</v>
      </c>
      <c r="B343" s="126" t="s">
        <v>789</v>
      </c>
      <c r="C343" s="126" t="s">
        <v>2</v>
      </c>
      <c r="D343" s="126" t="s">
        <v>3</v>
      </c>
      <c r="E343" s="126">
        <v>124.59</v>
      </c>
      <c r="F343" s="126" t="s">
        <v>88</v>
      </c>
      <c r="G343" s="108">
        <v>45390</v>
      </c>
      <c r="H343" s="126" t="s">
        <v>89</v>
      </c>
      <c r="I343" s="126" t="s">
        <v>7671</v>
      </c>
      <c r="J343" s="126"/>
      <c r="K343" s="126" t="s">
        <v>7672</v>
      </c>
      <c r="L343" s="126" t="s">
        <v>7673</v>
      </c>
      <c r="M343" s="126" t="s">
        <v>399</v>
      </c>
      <c r="N343" s="126"/>
      <c r="O343" s="126"/>
      <c r="Q343" s="3">
        <f t="shared" si="11"/>
        <v>124.59</v>
      </c>
      <c r="S343" s="55" t="s">
        <v>9013</v>
      </c>
      <c r="U343" s="3" t="str">
        <f t="shared" si="12"/>
        <v/>
      </c>
    </row>
    <row r="344" spans="1:21" x14ac:dyDescent="0.35">
      <c r="A344" s="126" t="s">
        <v>35</v>
      </c>
      <c r="B344" s="126" t="s">
        <v>3422</v>
      </c>
      <c r="C344" s="126" t="s">
        <v>2</v>
      </c>
      <c r="D344" s="126" t="s">
        <v>3</v>
      </c>
      <c r="E344" s="126">
        <v>124.55</v>
      </c>
      <c r="F344" s="126" t="s">
        <v>88</v>
      </c>
      <c r="G344" s="108">
        <v>45614</v>
      </c>
      <c r="H344" s="126" t="s">
        <v>89</v>
      </c>
      <c r="I344" s="126" t="s">
        <v>8741</v>
      </c>
      <c r="J344" s="126"/>
      <c r="K344" s="126" t="s">
        <v>8742</v>
      </c>
      <c r="L344" s="126" t="s">
        <v>8743</v>
      </c>
      <c r="M344" s="126" t="s">
        <v>8744</v>
      </c>
      <c r="N344" s="126"/>
      <c r="O344" s="126"/>
      <c r="Q344" s="3">
        <f t="shared" si="11"/>
        <v>124.55</v>
      </c>
      <c r="S344" s="55" t="s">
        <v>9039</v>
      </c>
      <c r="U344" s="3" t="str">
        <f t="shared" si="12"/>
        <v/>
      </c>
    </row>
    <row r="345" spans="1:21" x14ac:dyDescent="0.35">
      <c r="A345" s="126" t="s">
        <v>35</v>
      </c>
      <c r="B345" s="126" t="s">
        <v>756</v>
      </c>
      <c r="C345" s="126" t="s">
        <v>2</v>
      </c>
      <c r="D345" s="126" t="s">
        <v>3</v>
      </c>
      <c r="E345" s="126">
        <v>124.49</v>
      </c>
      <c r="F345" s="126" t="s">
        <v>88</v>
      </c>
      <c r="G345" s="108">
        <v>45624</v>
      </c>
      <c r="H345" s="126" t="s">
        <v>94</v>
      </c>
      <c r="I345" s="126" t="s">
        <v>8802</v>
      </c>
      <c r="J345" s="126" t="s">
        <v>8803</v>
      </c>
      <c r="K345" s="126"/>
      <c r="L345" s="126"/>
      <c r="M345" s="126"/>
      <c r="N345" s="126"/>
      <c r="O345" s="126" t="s">
        <v>8804</v>
      </c>
      <c r="Q345" s="3">
        <f t="shared" si="11"/>
        <v>124.49</v>
      </c>
      <c r="S345" s="55" t="s">
        <v>53</v>
      </c>
      <c r="T345" t="s">
        <v>64</v>
      </c>
      <c r="U345" s="3">
        <f t="shared" si="12"/>
        <v>124.49</v>
      </c>
    </row>
    <row r="346" spans="1:21" x14ac:dyDescent="0.35">
      <c r="A346" s="126" t="s">
        <v>35</v>
      </c>
      <c r="B346" s="126" t="s">
        <v>756</v>
      </c>
      <c r="C346" s="126" t="s">
        <v>2</v>
      </c>
      <c r="D346" s="126" t="s">
        <v>3</v>
      </c>
      <c r="E346" s="126">
        <v>124.37</v>
      </c>
      <c r="F346" s="126" t="s">
        <v>88</v>
      </c>
      <c r="G346" s="108">
        <v>45624</v>
      </c>
      <c r="H346" s="126" t="s">
        <v>94</v>
      </c>
      <c r="I346" s="126" t="s">
        <v>8807</v>
      </c>
      <c r="J346" s="126" t="s">
        <v>8803</v>
      </c>
      <c r="K346" s="126"/>
      <c r="L346" s="126"/>
      <c r="M346" s="126"/>
      <c r="N346" s="126"/>
      <c r="O346" s="126" t="s">
        <v>8808</v>
      </c>
      <c r="Q346" s="3">
        <f t="shared" si="11"/>
        <v>124.37</v>
      </c>
      <c r="S346" s="55" t="s">
        <v>53</v>
      </c>
      <c r="T346" t="s">
        <v>64</v>
      </c>
      <c r="U346" s="3">
        <f t="shared" si="12"/>
        <v>124.37</v>
      </c>
    </row>
    <row r="347" spans="1:21" x14ac:dyDescent="0.35">
      <c r="A347" s="126" t="s">
        <v>0</v>
      </c>
      <c r="B347" s="126" t="s">
        <v>633</v>
      </c>
      <c r="C347" s="126" t="s">
        <v>2</v>
      </c>
      <c r="D347" s="126" t="s">
        <v>3</v>
      </c>
      <c r="E347" s="126">
        <v>124.24000000000001</v>
      </c>
      <c r="F347" s="126" t="s">
        <v>88</v>
      </c>
      <c r="G347" s="108">
        <v>45544</v>
      </c>
      <c r="H347" s="126" t="s">
        <v>89</v>
      </c>
      <c r="I347" s="126" t="s">
        <v>8400</v>
      </c>
      <c r="J347" s="126"/>
      <c r="K347" s="126" t="s">
        <v>8321</v>
      </c>
      <c r="L347" s="126" t="s">
        <v>8401</v>
      </c>
      <c r="M347" s="126" t="s">
        <v>399</v>
      </c>
      <c r="Q347" s="3">
        <f t="shared" si="11"/>
        <v>124.24000000000001</v>
      </c>
      <c r="S347" s="55" t="s">
        <v>9013</v>
      </c>
      <c r="U347" s="3" t="str">
        <f t="shared" si="12"/>
        <v/>
      </c>
    </row>
    <row r="348" spans="1:21" x14ac:dyDescent="0.35">
      <c r="A348" s="126" t="s">
        <v>35</v>
      </c>
      <c r="B348" s="126" t="s">
        <v>2543</v>
      </c>
      <c r="C348" s="126" t="s">
        <v>2</v>
      </c>
      <c r="D348" s="126" t="s">
        <v>3</v>
      </c>
      <c r="E348" s="126">
        <v>122.73</v>
      </c>
      <c r="F348" s="126" t="s">
        <v>88</v>
      </c>
      <c r="G348" s="108">
        <v>45639</v>
      </c>
      <c r="H348" s="126" t="s">
        <v>94</v>
      </c>
      <c r="I348" s="126" t="s">
        <v>456</v>
      </c>
      <c r="J348" s="126" t="s">
        <v>8968</v>
      </c>
      <c r="K348" s="126"/>
      <c r="L348" s="126"/>
      <c r="M348" s="126"/>
      <c r="N348" s="126"/>
      <c r="O348" s="126" t="s">
        <v>8969</v>
      </c>
      <c r="Q348" s="3">
        <f t="shared" si="11"/>
        <v>122.73</v>
      </c>
      <c r="S348" s="55" t="s">
        <v>9036</v>
      </c>
      <c r="U348" s="3" t="str">
        <f t="shared" si="12"/>
        <v/>
      </c>
    </row>
    <row r="349" spans="1:21" x14ac:dyDescent="0.35">
      <c r="A349" s="126" t="s">
        <v>35</v>
      </c>
      <c r="B349" s="126" t="s">
        <v>4583</v>
      </c>
      <c r="C349" s="126" t="s">
        <v>2</v>
      </c>
      <c r="D349" s="126" t="s">
        <v>3</v>
      </c>
      <c r="E349" s="126">
        <v>122.49</v>
      </c>
      <c r="F349" s="126" t="s">
        <v>88</v>
      </c>
      <c r="G349" s="108">
        <v>45537</v>
      </c>
      <c r="H349" s="126" t="s">
        <v>94</v>
      </c>
      <c r="I349" s="126" t="s">
        <v>501</v>
      </c>
      <c r="J349" s="126" t="s">
        <v>502</v>
      </c>
      <c r="K349" s="126"/>
      <c r="L349" s="126"/>
      <c r="M349" s="126"/>
      <c r="N349" s="126"/>
      <c r="O349" s="126" t="s">
        <v>8384</v>
      </c>
      <c r="Q349" s="3">
        <f t="shared" si="11"/>
        <v>122.49</v>
      </c>
      <c r="S349" s="55" t="s">
        <v>9014</v>
      </c>
      <c r="U349" s="3" t="str">
        <f t="shared" si="12"/>
        <v/>
      </c>
    </row>
    <row r="350" spans="1:21" x14ac:dyDescent="0.35">
      <c r="A350" s="126" t="s">
        <v>35</v>
      </c>
      <c r="B350" s="126" t="s">
        <v>633</v>
      </c>
      <c r="C350" s="126" t="s">
        <v>2</v>
      </c>
      <c r="D350" s="126" t="s">
        <v>3</v>
      </c>
      <c r="E350" s="126">
        <v>121.38</v>
      </c>
      <c r="F350" s="126" t="s">
        <v>88</v>
      </c>
      <c r="G350" s="108">
        <v>45649</v>
      </c>
      <c r="H350" s="126" t="s">
        <v>94</v>
      </c>
      <c r="I350" s="126" t="s">
        <v>495</v>
      </c>
      <c r="J350" s="126" t="s">
        <v>496</v>
      </c>
      <c r="K350" s="126"/>
      <c r="L350" s="126"/>
      <c r="M350" s="126"/>
      <c r="N350" s="126"/>
      <c r="O350" s="126" t="s">
        <v>541</v>
      </c>
      <c r="Q350" s="3">
        <f t="shared" si="11"/>
        <v>121.38</v>
      </c>
      <c r="S350" s="55" t="s">
        <v>9014</v>
      </c>
      <c r="U350" s="3" t="str">
        <f t="shared" si="12"/>
        <v/>
      </c>
    </row>
    <row r="351" spans="1:21" x14ac:dyDescent="0.35">
      <c r="A351" s="126" t="s">
        <v>0</v>
      </c>
      <c r="B351" s="126" t="s">
        <v>952</v>
      </c>
      <c r="C351" s="126" t="s">
        <v>2</v>
      </c>
      <c r="D351" s="126" t="s">
        <v>3</v>
      </c>
      <c r="E351" s="126">
        <v>121.29</v>
      </c>
      <c r="F351" s="126" t="s">
        <v>88</v>
      </c>
      <c r="G351" s="108">
        <v>45551</v>
      </c>
      <c r="H351" s="126" t="s">
        <v>89</v>
      </c>
      <c r="I351" s="126" t="s">
        <v>8431</v>
      </c>
      <c r="J351" s="126"/>
      <c r="K351" s="126" t="s">
        <v>8432</v>
      </c>
      <c r="L351" s="126" t="s">
        <v>8433</v>
      </c>
      <c r="M351" s="126" t="s">
        <v>399</v>
      </c>
      <c r="N351" s="126"/>
      <c r="O351" s="126"/>
      <c r="Q351" s="3">
        <f t="shared" si="11"/>
        <v>121.29</v>
      </c>
      <c r="S351" s="55" t="s">
        <v>9013</v>
      </c>
      <c r="U351" s="3" t="str">
        <f t="shared" si="12"/>
        <v/>
      </c>
    </row>
    <row r="352" spans="1:21" x14ac:dyDescent="0.35">
      <c r="A352" s="126" t="s">
        <v>0</v>
      </c>
      <c r="B352" s="126" t="s">
        <v>1423</v>
      </c>
      <c r="C352" s="126" t="s">
        <v>2</v>
      </c>
      <c r="D352" s="126" t="s">
        <v>3</v>
      </c>
      <c r="E352" s="126">
        <v>121.13</v>
      </c>
      <c r="F352" s="126" t="s">
        <v>88</v>
      </c>
      <c r="G352" s="108">
        <v>45569</v>
      </c>
      <c r="H352" s="126" t="s">
        <v>89</v>
      </c>
      <c r="I352" s="126" t="s">
        <v>8524</v>
      </c>
      <c r="J352" s="126"/>
      <c r="K352" s="126" t="s">
        <v>8525</v>
      </c>
      <c r="L352" s="126" t="s">
        <v>8526</v>
      </c>
      <c r="M352" s="126" t="s">
        <v>399</v>
      </c>
      <c r="Q352" s="3">
        <f t="shared" si="11"/>
        <v>121.13</v>
      </c>
      <c r="S352" s="55" t="s">
        <v>9013</v>
      </c>
      <c r="U352" s="3" t="str">
        <f t="shared" si="12"/>
        <v/>
      </c>
    </row>
    <row r="353" spans="1:21" x14ac:dyDescent="0.35">
      <c r="A353" s="126" t="s">
        <v>0</v>
      </c>
      <c r="B353" s="126" t="s">
        <v>4622</v>
      </c>
      <c r="C353" s="126" t="s">
        <v>2</v>
      </c>
      <c r="D353" s="126" t="s">
        <v>3</v>
      </c>
      <c r="E353" s="126">
        <v>119.91</v>
      </c>
      <c r="F353" s="126" t="s">
        <v>88</v>
      </c>
      <c r="G353" s="108">
        <v>45569</v>
      </c>
      <c r="H353" s="126" t="s">
        <v>89</v>
      </c>
      <c r="I353" s="126" t="s">
        <v>8524</v>
      </c>
      <c r="J353" s="126"/>
      <c r="K353" s="126" t="s">
        <v>8525</v>
      </c>
      <c r="L353" s="126" t="s">
        <v>8526</v>
      </c>
      <c r="M353" s="126" t="s">
        <v>399</v>
      </c>
      <c r="Q353" s="3">
        <f t="shared" si="11"/>
        <v>119.91</v>
      </c>
      <c r="S353" s="55" t="s">
        <v>9013</v>
      </c>
      <c r="U353" s="3" t="str">
        <f t="shared" si="12"/>
        <v/>
      </c>
    </row>
    <row r="354" spans="1:21" x14ac:dyDescent="0.35">
      <c r="A354" s="126" t="s">
        <v>0</v>
      </c>
      <c r="B354" s="126" t="s">
        <v>969</v>
      </c>
      <c r="C354" s="126" t="s">
        <v>2</v>
      </c>
      <c r="D354" s="126" t="s">
        <v>3</v>
      </c>
      <c r="E354" s="126">
        <v>119.72</v>
      </c>
      <c r="F354" s="126" t="s">
        <v>88</v>
      </c>
      <c r="G354" s="108">
        <v>45629</v>
      </c>
      <c r="H354" s="126" t="s">
        <v>89</v>
      </c>
      <c r="I354" s="126" t="s">
        <v>8840</v>
      </c>
      <c r="J354" s="126"/>
      <c r="K354" s="126" t="s">
        <v>8836</v>
      </c>
      <c r="L354" s="126" t="s">
        <v>8841</v>
      </c>
      <c r="M354" s="126" t="s">
        <v>7709</v>
      </c>
      <c r="N354" s="126"/>
      <c r="O354" s="126"/>
      <c r="Q354" s="3">
        <f t="shared" si="11"/>
        <v>119.72</v>
      </c>
      <c r="S354" s="55" t="s">
        <v>9027</v>
      </c>
      <c r="U354" s="3" t="str">
        <f t="shared" si="12"/>
        <v/>
      </c>
    </row>
    <row r="355" spans="1:21" x14ac:dyDescent="0.35">
      <c r="A355" s="126" t="s">
        <v>0</v>
      </c>
      <c r="B355" s="126" t="s">
        <v>756</v>
      </c>
      <c r="C355" s="126" t="s">
        <v>2</v>
      </c>
      <c r="D355" s="126" t="s">
        <v>3</v>
      </c>
      <c r="E355" s="126">
        <v>119.7</v>
      </c>
      <c r="F355" s="126" t="s">
        <v>88</v>
      </c>
      <c r="G355" s="108">
        <v>45454</v>
      </c>
      <c r="H355" s="126" t="s">
        <v>89</v>
      </c>
      <c r="I355" s="126" t="s">
        <v>7961</v>
      </c>
      <c r="J355" s="126"/>
      <c r="K355" s="126" t="s">
        <v>7959</v>
      </c>
      <c r="L355" s="126" t="s">
        <v>7962</v>
      </c>
      <c r="M355" s="126" t="s">
        <v>399</v>
      </c>
      <c r="Q355" s="3">
        <f t="shared" si="11"/>
        <v>119.7</v>
      </c>
      <c r="S355" s="55" t="s">
        <v>9013</v>
      </c>
      <c r="U355" s="3" t="str">
        <f t="shared" si="12"/>
        <v/>
      </c>
    </row>
    <row r="356" spans="1:21" x14ac:dyDescent="0.35">
      <c r="A356" s="126" t="s">
        <v>0</v>
      </c>
      <c r="B356" s="126" t="s">
        <v>756</v>
      </c>
      <c r="C356" s="126" t="s">
        <v>2</v>
      </c>
      <c r="D356" s="126" t="s">
        <v>3</v>
      </c>
      <c r="E356" s="126">
        <v>119.7</v>
      </c>
      <c r="F356" s="126" t="s">
        <v>88</v>
      </c>
      <c r="G356" s="108">
        <v>45544</v>
      </c>
      <c r="H356" s="126" t="s">
        <v>89</v>
      </c>
      <c r="I356" s="126" t="s">
        <v>8400</v>
      </c>
      <c r="J356" s="126"/>
      <c r="K356" s="126" t="s">
        <v>8321</v>
      </c>
      <c r="L356" s="126" t="s">
        <v>8401</v>
      </c>
      <c r="M356" s="126" t="s">
        <v>399</v>
      </c>
      <c r="N356" s="126"/>
      <c r="O356" s="126"/>
      <c r="Q356" s="3">
        <f t="shared" si="11"/>
        <v>119.7</v>
      </c>
      <c r="S356" s="55" t="s">
        <v>9013</v>
      </c>
      <c r="U356" s="3" t="str">
        <f t="shared" si="12"/>
        <v/>
      </c>
    </row>
    <row r="357" spans="1:21" x14ac:dyDescent="0.35">
      <c r="A357" s="126" t="s">
        <v>35</v>
      </c>
      <c r="B357" s="126" t="s">
        <v>1075</v>
      </c>
      <c r="C357" s="126" t="s">
        <v>2</v>
      </c>
      <c r="D357" s="126" t="s">
        <v>3</v>
      </c>
      <c r="E357" s="126">
        <v>119.63</v>
      </c>
      <c r="F357" s="126" t="s">
        <v>88</v>
      </c>
      <c r="G357" s="108">
        <v>45505</v>
      </c>
      <c r="H357" s="126" t="s">
        <v>89</v>
      </c>
      <c r="I357" s="126" t="s">
        <v>8256</v>
      </c>
      <c r="J357" s="126"/>
      <c r="K357" s="126" t="s">
        <v>7880</v>
      </c>
      <c r="L357" s="126" t="s">
        <v>8257</v>
      </c>
      <c r="M357" s="126" t="s">
        <v>396</v>
      </c>
      <c r="Q357" s="3">
        <f t="shared" si="11"/>
        <v>119.63</v>
      </c>
      <c r="S357" s="55" t="s">
        <v>9016</v>
      </c>
      <c r="U357" s="3" t="str">
        <f t="shared" si="12"/>
        <v/>
      </c>
    </row>
    <row r="358" spans="1:21" x14ac:dyDescent="0.35">
      <c r="A358" s="126" t="s">
        <v>35</v>
      </c>
      <c r="B358" s="126" t="s">
        <v>2473</v>
      </c>
      <c r="C358" s="126" t="s">
        <v>2</v>
      </c>
      <c r="D358" s="126" t="s">
        <v>3</v>
      </c>
      <c r="E358" s="126">
        <v>119.4</v>
      </c>
      <c r="F358" s="126" t="s">
        <v>88</v>
      </c>
      <c r="G358" s="108">
        <v>45505</v>
      </c>
      <c r="H358" s="126" t="s">
        <v>89</v>
      </c>
      <c r="I358" s="126" t="s">
        <v>8262</v>
      </c>
      <c r="J358" s="126"/>
      <c r="K358" s="126" t="s">
        <v>8265</v>
      </c>
      <c r="L358" s="126" t="s">
        <v>8264</v>
      </c>
      <c r="M358" s="126" t="s">
        <v>439</v>
      </c>
      <c r="Q358" s="3">
        <f t="shared" si="11"/>
        <v>119.4</v>
      </c>
      <c r="S358" s="55" t="s">
        <v>9016</v>
      </c>
      <c r="U358" s="3" t="str">
        <f t="shared" si="12"/>
        <v/>
      </c>
    </row>
    <row r="359" spans="1:21" x14ac:dyDescent="0.35">
      <c r="A359" s="126" t="s">
        <v>35</v>
      </c>
      <c r="B359" s="126" t="s">
        <v>2473</v>
      </c>
      <c r="C359" s="126" t="s">
        <v>2</v>
      </c>
      <c r="D359" s="126" t="s">
        <v>3</v>
      </c>
      <c r="E359" s="126">
        <v>119.4</v>
      </c>
      <c r="F359" s="126" t="s">
        <v>88</v>
      </c>
      <c r="G359" s="108">
        <v>45527</v>
      </c>
      <c r="H359" s="126" t="s">
        <v>89</v>
      </c>
      <c r="I359" s="126" t="s">
        <v>8356</v>
      </c>
      <c r="J359" s="126"/>
      <c r="K359" s="126" t="s">
        <v>7829</v>
      </c>
      <c r="L359" s="126" t="s">
        <v>8358</v>
      </c>
      <c r="M359" s="126" t="s">
        <v>439</v>
      </c>
      <c r="N359" s="126"/>
      <c r="O359" s="126"/>
      <c r="Q359" s="3">
        <f t="shared" si="11"/>
        <v>119.4</v>
      </c>
      <c r="S359" s="55" t="s">
        <v>9016</v>
      </c>
      <c r="U359" s="3" t="str">
        <f t="shared" si="12"/>
        <v/>
      </c>
    </row>
    <row r="360" spans="1:21" x14ac:dyDescent="0.35">
      <c r="A360" s="126" t="s">
        <v>35</v>
      </c>
      <c r="B360" s="126" t="s">
        <v>2473</v>
      </c>
      <c r="C360" s="126" t="s">
        <v>2</v>
      </c>
      <c r="D360" s="126" t="s">
        <v>3</v>
      </c>
      <c r="E360" s="126">
        <v>119.4</v>
      </c>
      <c r="F360" s="126" t="s">
        <v>88</v>
      </c>
      <c r="G360" s="108">
        <v>45555</v>
      </c>
      <c r="H360" s="126" t="s">
        <v>89</v>
      </c>
      <c r="I360" s="126" t="s">
        <v>8458</v>
      </c>
      <c r="J360" s="126"/>
      <c r="K360" s="126" t="s">
        <v>8461</v>
      </c>
      <c r="L360" s="126" t="s">
        <v>8460</v>
      </c>
      <c r="M360" s="126" t="s">
        <v>439</v>
      </c>
      <c r="N360" s="126"/>
      <c r="O360" s="126"/>
      <c r="Q360" s="3">
        <f t="shared" si="11"/>
        <v>119.4</v>
      </c>
      <c r="S360" s="55" t="s">
        <v>9016</v>
      </c>
      <c r="U360" s="3" t="str">
        <f t="shared" si="12"/>
        <v/>
      </c>
    </row>
    <row r="361" spans="1:21" x14ac:dyDescent="0.35">
      <c r="A361" s="126" t="s">
        <v>35</v>
      </c>
      <c r="B361" s="126" t="s">
        <v>2473</v>
      </c>
      <c r="C361" s="126" t="s">
        <v>2</v>
      </c>
      <c r="D361" s="126" t="s">
        <v>3</v>
      </c>
      <c r="E361" s="126">
        <v>119.4</v>
      </c>
      <c r="F361" s="126" t="s">
        <v>88</v>
      </c>
      <c r="G361" s="108">
        <v>45597</v>
      </c>
      <c r="H361" s="126" t="s">
        <v>89</v>
      </c>
      <c r="I361" s="126" t="s">
        <v>8635</v>
      </c>
      <c r="J361" s="126"/>
      <c r="K361" s="126" t="s">
        <v>8637</v>
      </c>
      <c r="L361" s="126" t="s">
        <v>8636</v>
      </c>
      <c r="M361" s="126" t="s">
        <v>439</v>
      </c>
      <c r="N361" s="126"/>
      <c r="O361" s="126"/>
      <c r="Q361" s="3">
        <f t="shared" si="11"/>
        <v>119.4</v>
      </c>
      <c r="S361" s="55" t="s">
        <v>9016</v>
      </c>
      <c r="U361" s="3" t="str">
        <f t="shared" si="12"/>
        <v/>
      </c>
    </row>
    <row r="362" spans="1:21" x14ac:dyDescent="0.35">
      <c r="A362" s="126" t="s">
        <v>35</v>
      </c>
      <c r="B362" s="126" t="s">
        <v>2473</v>
      </c>
      <c r="C362" s="126" t="s">
        <v>2</v>
      </c>
      <c r="D362" s="126" t="s">
        <v>3</v>
      </c>
      <c r="E362" s="126">
        <v>119.4</v>
      </c>
      <c r="F362" s="126" t="s">
        <v>88</v>
      </c>
      <c r="G362" s="108">
        <v>45614</v>
      </c>
      <c r="H362" s="126" t="s">
        <v>89</v>
      </c>
      <c r="I362" s="126" t="s">
        <v>8745</v>
      </c>
      <c r="J362" s="126"/>
      <c r="K362" s="126" t="s">
        <v>8748</v>
      </c>
      <c r="L362" s="126" t="s">
        <v>8747</v>
      </c>
      <c r="M362" s="126" t="s">
        <v>439</v>
      </c>
      <c r="N362" s="126"/>
      <c r="O362" s="126"/>
      <c r="Q362" s="3">
        <f t="shared" si="11"/>
        <v>119.4</v>
      </c>
      <c r="S362" s="55" t="s">
        <v>9016</v>
      </c>
      <c r="U362" s="3" t="str">
        <f t="shared" si="12"/>
        <v/>
      </c>
    </row>
    <row r="363" spans="1:21" x14ac:dyDescent="0.35">
      <c r="A363" s="126" t="s">
        <v>0</v>
      </c>
      <c r="B363" s="126" t="s">
        <v>7675</v>
      </c>
      <c r="C363" s="126" t="s">
        <v>2</v>
      </c>
      <c r="D363" s="126" t="s">
        <v>3</v>
      </c>
      <c r="E363" s="126">
        <v>118.81</v>
      </c>
      <c r="F363" s="126" t="s">
        <v>88</v>
      </c>
      <c r="G363" s="108">
        <v>45454</v>
      </c>
      <c r="H363" s="126" t="s">
        <v>89</v>
      </c>
      <c r="I363" s="126" t="s">
        <v>7961</v>
      </c>
      <c r="J363" s="126"/>
      <c r="K363" s="126" t="s">
        <v>7959</v>
      </c>
      <c r="L363" s="126" t="s">
        <v>7962</v>
      </c>
      <c r="M363" s="126" t="s">
        <v>399</v>
      </c>
      <c r="N363" s="126"/>
      <c r="O363" s="126"/>
      <c r="Q363" s="3">
        <f t="shared" si="11"/>
        <v>118.81</v>
      </c>
      <c r="S363" s="55" t="s">
        <v>9013</v>
      </c>
      <c r="U363" s="3" t="str">
        <f t="shared" si="12"/>
        <v/>
      </c>
    </row>
    <row r="364" spans="1:21" x14ac:dyDescent="0.35">
      <c r="A364" s="126" t="s">
        <v>0</v>
      </c>
      <c r="B364" s="126" t="s">
        <v>6057</v>
      </c>
      <c r="C364" s="126" t="s">
        <v>2</v>
      </c>
      <c r="D364" s="126" t="s">
        <v>3</v>
      </c>
      <c r="E364" s="126">
        <v>118.03</v>
      </c>
      <c r="F364" s="126" t="s">
        <v>88</v>
      </c>
      <c r="G364" s="108">
        <v>45432</v>
      </c>
      <c r="H364" s="126" t="s">
        <v>89</v>
      </c>
      <c r="I364" s="126" t="s">
        <v>7842</v>
      </c>
      <c r="J364" s="126"/>
      <c r="K364" s="126" t="s">
        <v>7840</v>
      </c>
      <c r="L364" s="126" t="s">
        <v>7843</v>
      </c>
      <c r="M364" s="126" t="s">
        <v>399</v>
      </c>
      <c r="N364" s="35"/>
      <c r="O364" s="35"/>
      <c r="Q364" s="3">
        <f t="shared" si="11"/>
        <v>118.03</v>
      </c>
      <c r="S364" s="55" t="s">
        <v>9013</v>
      </c>
      <c r="U364" s="3" t="str">
        <f t="shared" si="12"/>
        <v/>
      </c>
    </row>
    <row r="365" spans="1:21" x14ac:dyDescent="0.35">
      <c r="A365" s="126" t="s">
        <v>0</v>
      </c>
      <c r="B365" s="126" t="s">
        <v>633</v>
      </c>
      <c r="C365" s="126" t="s">
        <v>2</v>
      </c>
      <c r="D365" s="126" t="s">
        <v>3</v>
      </c>
      <c r="E365" s="126">
        <v>116.64</v>
      </c>
      <c r="F365" s="126" t="s">
        <v>88</v>
      </c>
      <c r="G365" s="108">
        <v>45517</v>
      </c>
      <c r="H365" s="126" t="s">
        <v>89</v>
      </c>
      <c r="I365" s="126" t="s">
        <v>8323</v>
      </c>
      <c r="J365" s="126"/>
      <c r="K365" s="126" t="s">
        <v>8321</v>
      </c>
      <c r="L365" s="126" t="s">
        <v>8324</v>
      </c>
      <c r="M365" s="126" t="s">
        <v>399</v>
      </c>
      <c r="N365" s="126"/>
      <c r="O365" s="126"/>
      <c r="Q365" s="3">
        <f t="shared" si="11"/>
        <v>116.64</v>
      </c>
      <c r="S365" s="55" t="s">
        <v>9013</v>
      </c>
      <c r="U365" s="3" t="str">
        <f t="shared" si="12"/>
        <v/>
      </c>
    </row>
    <row r="366" spans="1:21" x14ac:dyDescent="0.35">
      <c r="A366" s="126" t="s">
        <v>35</v>
      </c>
      <c r="B366" s="126" t="s">
        <v>615</v>
      </c>
      <c r="C366" s="126" t="s">
        <v>2</v>
      </c>
      <c r="D366" s="126" t="s">
        <v>3</v>
      </c>
      <c r="E366" s="126">
        <v>115.5</v>
      </c>
      <c r="F366" s="126" t="s">
        <v>88</v>
      </c>
      <c r="G366" s="108">
        <v>45477</v>
      </c>
      <c r="H366" s="126" t="s">
        <v>94</v>
      </c>
      <c r="I366" s="126" t="s">
        <v>426</v>
      </c>
      <c r="J366" s="126" t="s">
        <v>8124</v>
      </c>
      <c r="K366" s="126"/>
      <c r="L366" s="126"/>
      <c r="M366" s="126"/>
      <c r="N366" s="126"/>
      <c r="O366" s="126" t="s">
        <v>539</v>
      </c>
      <c r="Q366" s="3">
        <f t="shared" si="11"/>
        <v>115.5</v>
      </c>
      <c r="S366" s="55" t="s">
        <v>138</v>
      </c>
      <c r="U366" s="3" t="str">
        <f t="shared" si="12"/>
        <v/>
      </c>
    </row>
    <row r="367" spans="1:21" x14ac:dyDescent="0.35">
      <c r="A367" s="126" t="s">
        <v>0</v>
      </c>
      <c r="B367" s="126" t="s">
        <v>1106</v>
      </c>
      <c r="C367" s="126" t="s">
        <v>2</v>
      </c>
      <c r="D367" s="126" t="s">
        <v>3</v>
      </c>
      <c r="E367" s="126">
        <v>114.96</v>
      </c>
      <c r="F367" s="126" t="s">
        <v>88</v>
      </c>
      <c r="G367" s="108">
        <v>45391</v>
      </c>
      <c r="H367" s="126" t="s">
        <v>89</v>
      </c>
      <c r="I367" s="126" t="s">
        <v>7691</v>
      </c>
      <c r="J367" s="126"/>
      <c r="K367" s="126" t="s">
        <v>7672</v>
      </c>
      <c r="L367" s="126" t="s">
        <v>7692</v>
      </c>
      <c r="M367" s="126" t="s">
        <v>399</v>
      </c>
      <c r="N367" s="35"/>
      <c r="O367" s="35"/>
      <c r="Q367" s="3">
        <f t="shared" si="11"/>
        <v>114.96</v>
      </c>
      <c r="S367" s="55" t="s">
        <v>9013</v>
      </c>
      <c r="U367" s="3" t="str">
        <f t="shared" si="12"/>
        <v/>
      </c>
    </row>
    <row r="368" spans="1:21" x14ac:dyDescent="0.35">
      <c r="A368" s="126" t="s">
        <v>0</v>
      </c>
      <c r="B368" s="126" t="s">
        <v>1106</v>
      </c>
      <c r="C368" s="126" t="s">
        <v>2</v>
      </c>
      <c r="D368" s="126" t="s">
        <v>3</v>
      </c>
      <c r="E368" s="126">
        <v>114.94</v>
      </c>
      <c r="F368" s="126" t="s">
        <v>88</v>
      </c>
      <c r="G368" s="108">
        <v>45432</v>
      </c>
      <c r="H368" s="126" t="s">
        <v>89</v>
      </c>
      <c r="I368" s="126" t="s">
        <v>7839</v>
      </c>
      <c r="J368" s="126"/>
      <c r="K368" s="126" t="s">
        <v>7840</v>
      </c>
      <c r="L368" s="126" t="s">
        <v>7841</v>
      </c>
      <c r="M368" s="126" t="s">
        <v>399</v>
      </c>
      <c r="N368" s="35"/>
      <c r="O368" s="35"/>
      <c r="Q368" s="3">
        <f t="shared" si="11"/>
        <v>114.94</v>
      </c>
      <c r="S368" s="55" t="s">
        <v>9013</v>
      </c>
      <c r="U368" s="3" t="str">
        <f t="shared" si="12"/>
        <v/>
      </c>
    </row>
    <row r="369" spans="1:21" x14ac:dyDescent="0.35">
      <c r="A369" s="126" t="s">
        <v>0</v>
      </c>
      <c r="B369" s="126" t="s">
        <v>1106</v>
      </c>
      <c r="C369" s="126" t="s">
        <v>2</v>
      </c>
      <c r="D369" s="126" t="s">
        <v>3</v>
      </c>
      <c r="E369" s="126">
        <v>114.94</v>
      </c>
      <c r="F369" s="126" t="s">
        <v>88</v>
      </c>
      <c r="G369" s="108">
        <v>45454</v>
      </c>
      <c r="H369" s="126" t="s">
        <v>89</v>
      </c>
      <c r="I369" s="126" t="s">
        <v>7958</v>
      </c>
      <c r="J369" s="126"/>
      <c r="K369" s="126" t="s">
        <v>7959</v>
      </c>
      <c r="L369" s="126" t="s">
        <v>7960</v>
      </c>
      <c r="M369" s="126" t="s">
        <v>399</v>
      </c>
      <c r="Q369" s="3">
        <f t="shared" si="11"/>
        <v>114.94</v>
      </c>
      <c r="S369" s="55" t="s">
        <v>9013</v>
      </c>
      <c r="U369" s="3" t="str">
        <f t="shared" si="12"/>
        <v/>
      </c>
    </row>
    <row r="370" spans="1:21" x14ac:dyDescent="0.35">
      <c r="A370" s="126" t="s">
        <v>0</v>
      </c>
      <c r="B370" s="126" t="s">
        <v>1106</v>
      </c>
      <c r="C370" s="126" t="s">
        <v>2</v>
      </c>
      <c r="D370" s="126" t="s">
        <v>3</v>
      </c>
      <c r="E370" s="126">
        <v>114.94</v>
      </c>
      <c r="F370" s="126" t="s">
        <v>88</v>
      </c>
      <c r="G370" s="108">
        <v>45569</v>
      </c>
      <c r="H370" s="126" t="s">
        <v>89</v>
      </c>
      <c r="I370" s="126" t="s">
        <v>8521</v>
      </c>
      <c r="J370" s="126"/>
      <c r="K370" s="126" t="s">
        <v>8522</v>
      </c>
      <c r="L370" s="126" t="s">
        <v>8523</v>
      </c>
      <c r="M370" s="126" t="s">
        <v>399</v>
      </c>
      <c r="Q370" s="3">
        <f t="shared" si="11"/>
        <v>114.94</v>
      </c>
      <c r="S370" s="55" t="s">
        <v>9013</v>
      </c>
      <c r="U370" s="3" t="str">
        <f t="shared" si="12"/>
        <v/>
      </c>
    </row>
    <row r="371" spans="1:21" x14ac:dyDescent="0.35">
      <c r="A371" s="126" t="s">
        <v>0</v>
      </c>
      <c r="B371" s="126" t="s">
        <v>1106</v>
      </c>
      <c r="C371" s="126" t="s">
        <v>2</v>
      </c>
      <c r="D371" s="126" t="s">
        <v>3</v>
      </c>
      <c r="E371" s="126">
        <v>114.94</v>
      </c>
      <c r="F371" s="126" t="s">
        <v>88</v>
      </c>
      <c r="G371" s="108">
        <v>45611</v>
      </c>
      <c r="H371" s="126" t="s">
        <v>89</v>
      </c>
      <c r="I371" s="126" t="s">
        <v>8734</v>
      </c>
      <c r="J371" s="126"/>
      <c r="K371" s="126" t="s">
        <v>8735</v>
      </c>
      <c r="L371" s="126" t="s">
        <v>8736</v>
      </c>
      <c r="M371" s="126" t="s">
        <v>399</v>
      </c>
      <c r="N371" s="126"/>
      <c r="O371" s="126"/>
      <c r="Q371" s="3">
        <f t="shared" si="11"/>
        <v>114.94</v>
      </c>
      <c r="S371" s="55" t="s">
        <v>9013</v>
      </c>
      <c r="U371" s="3" t="str">
        <f t="shared" si="12"/>
        <v/>
      </c>
    </row>
    <row r="372" spans="1:21" x14ac:dyDescent="0.35">
      <c r="A372" s="126" t="s">
        <v>0</v>
      </c>
      <c r="B372" s="126" t="s">
        <v>756</v>
      </c>
      <c r="C372" s="126" t="s">
        <v>2</v>
      </c>
      <c r="D372" s="126" t="s">
        <v>3</v>
      </c>
      <c r="E372" s="126">
        <v>114.46</v>
      </c>
      <c r="F372" s="126" t="s">
        <v>88</v>
      </c>
      <c r="G372" s="108">
        <v>45432</v>
      </c>
      <c r="H372" s="126" t="s">
        <v>89</v>
      </c>
      <c r="I372" s="126" t="s">
        <v>7842</v>
      </c>
      <c r="J372" s="126"/>
      <c r="K372" s="126" t="s">
        <v>7840</v>
      </c>
      <c r="L372" s="126" t="s">
        <v>7843</v>
      </c>
      <c r="M372" s="126" t="s">
        <v>399</v>
      </c>
      <c r="N372" s="35"/>
      <c r="O372" s="35"/>
      <c r="Q372" s="3">
        <f t="shared" si="11"/>
        <v>114.46</v>
      </c>
      <c r="S372" s="55" t="s">
        <v>9013</v>
      </c>
      <c r="U372" s="3" t="str">
        <f t="shared" si="12"/>
        <v/>
      </c>
    </row>
    <row r="373" spans="1:21" x14ac:dyDescent="0.35">
      <c r="A373" s="126" t="s">
        <v>0</v>
      </c>
      <c r="B373" s="126" t="s">
        <v>756</v>
      </c>
      <c r="C373" s="126" t="s">
        <v>2</v>
      </c>
      <c r="D373" s="126" t="s">
        <v>3</v>
      </c>
      <c r="E373" s="126">
        <v>114.46</v>
      </c>
      <c r="F373" s="126" t="s">
        <v>88</v>
      </c>
      <c r="G373" s="108">
        <v>45505</v>
      </c>
      <c r="H373" s="126" t="s">
        <v>89</v>
      </c>
      <c r="I373" s="126" t="s">
        <v>8248</v>
      </c>
      <c r="J373" s="126"/>
      <c r="K373" s="126" t="s">
        <v>8135</v>
      </c>
      <c r="L373" s="126" t="s">
        <v>8249</v>
      </c>
      <c r="M373" s="126" t="s">
        <v>399</v>
      </c>
      <c r="Q373" s="3">
        <f t="shared" si="11"/>
        <v>114.46</v>
      </c>
      <c r="S373" s="55" t="s">
        <v>9013</v>
      </c>
      <c r="U373" s="3" t="str">
        <f t="shared" si="12"/>
        <v/>
      </c>
    </row>
    <row r="374" spans="1:21" x14ac:dyDescent="0.35">
      <c r="A374" s="126" t="s">
        <v>0</v>
      </c>
      <c r="B374" s="126" t="s">
        <v>756</v>
      </c>
      <c r="C374" s="126" t="s">
        <v>2</v>
      </c>
      <c r="D374" s="126" t="s">
        <v>3</v>
      </c>
      <c r="E374" s="126">
        <v>114.46</v>
      </c>
      <c r="F374" s="126" t="s">
        <v>88</v>
      </c>
      <c r="G374" s="108">
        <v>45569</v>
      </c>
      <c r="H374" s="126" t="s">
        <v>89</v>
      </c>
      <c r="I374" s="126" t="s">
        <v>8524</v>
      </c>
      <c r="J374" s="126"/>
      <c r="K374" s="126" t="s">
        <v>8525</v>
      </c>
      <c r="L374" s="126" t="s">
        <v>8526</v>
      </c>
      <c r="M374" s="126" t="s">
        <v>399</v>
      </c>
      <c r="Q374" s="3">
        <f t="shared" si="11"/>
        <v>114.46</v>
      </c>
      <c r="S374" s="55" t="s">
        <v>9013</v>
      </c>
      <c r="U374" s="3" t="str">
        <f t="shared" si="12"/>
        <v/>
      </c>
    </row>
    <row r="375" spans="1:21" x14ac:dyDescent="0.35">
      <c r="A375" s="126" t="s">
        <v>35</v>
      </c>
      <c r="B375" s="126" t="s">
        <v>3466</v>
      </c>
      <c r="C375" s="126" t="s">
        <v>2</v>
      </c>
      <c r="D375" s="126" t="s">
        <v>3</v>
      </c>
      <c r="E375" s="126">
        <v>114.29</v>
      </c>
      <c r="F375" s="126" t="s">
        <v>88</v>
      </c>
      <c r="G375" s="108">
        <v>45629</v>
      </c>
      <c r="H375" s="126" t="s">
        <v>94</v>
      </c>
      <c r="I375" s="126" t="s">
        <v>471</v>
      </c>
      <c r="J375" s="126" t="s">
        <v>472</v>
      </c>
      <c r="K375" s="126"/>
      <c r="L375" s="126"/>
      <c r="M375" s="126"/>
      <c r="N375" s="126"/>
      <c r="O375" s="126" t="s">
        <v>553</v>
      </c>
      <c r="Q375" s="3">
        <f t="shared" si="11"/>
        <v>114.29</v>
      </c>
      <c r="S375" s="55" t="s">
        <v>138</v>
      </c>
      <c r="U375" s="3" t="str">
        <f t="shared" si="12"/>
        <v/>
      </c>
    </row>
    <row r="376" spans="1:21" x14ac:dyDescent="0.35">
      <c r="A376" s="126" t="s">
        <v>35</v>
      </c>
      <c r="B376" s="126" t="s">
        <v>1123</v>
      </c>
      <c r="C376" s="126" t="s">
        <v>2</v>
      </c>
      <c r="D376" s="126" t="s">
        <v>3</v>
      </c>
      <c r="E376" s="126">
        <v>114.1</v>
      </c>
      <c r="F376" s="126" t="s">
        <v>88</v>
      </c>
      <c r="G376" s="108">
        <v>45638</v>
      </c>
      <c r="H376" s="126" t="s">
        <v>94</v>
      </c>
      <c r="I376" s="126" t="s">
        <v>134</v>
      </c>
      <c r="J376" s="126" t="s">
        <v>8959</v>
      </c>
      <c r="K376" s="126"/>
      <c r="L376" s="126"/>
      <c r="M376" s="126"/>
      <c r="N376" s="126"/>
      <c r="O376" s="126" t="s">
        <v>534</v>
      </c>
      <c r="Q376" s="3">
        <f t="shared" si="11"/>
        <v>114.1</v>
      </c>
      <c r="S376" s="55" t="s">
        <v>138</v>
      </c>
      <c r="U376" s="3" t="str">
        <f t="shared" si="12"/>
        <v/>
      </c>
    </row>
    <row r="377" spans="1:21" x14ac:dyDescent="0.35">
      <c r="A377" s="126" t="s">
        <v>0</v>
      </c>
      <c r="B377" s="126" t="s">
        <v>953</v>
      </c>
      <c r="C377" s="126" t="s">
        <v>2</v>
      </c>
      <c r="D377" s="126" t="s">
        <v>3</v>
      </c>
      <c r="E377" s="126">
        <v>113.94</v>
      </c>
      <c r="F377" s="126" t="s">
        <v>88</v>
      </c>
      <c r="G377" s="108">
        <v>45418</v>
      </c>
      <c r="H377" s="126" t="s">
        <v>89</v>
      </c>
      <c r="I377" s="126" t="s">
        <v>7794</v>
      </c>
      <c r="J377" s="126"/>
      <c r="K377" s="126" t="s">
        <v>7795</v>
      </c>
      <c r="L377" s="126" t="s">
        <v>7796</v>
      </c>
      <c r="M377" s="126" t="s">
        <v>3228</v>
      </c>
      <c r="N377" s="126"/>
      <c r="O377" s="126"/>
      <c r="Q377" s="3">
        <f t="shared" si="11"/>
        <v>113.94</v>
      </c>
      <c r="S377" s="55" t="s">
        <v>138</v>
      </c>
      <c r="U377" s="3" t="str">
        <f t="shared" si="12"/>
        <v/>
      </c>
    </row>
    <row r="378" spans="1:21" x14ac:dyDescent="0.35">
      <c r="A378" s="126" t="s">
        <v>35</v>
      </c>
      <c r="B378" s="126" t="s">
        <v>2543</v>
      </c>
      <c r="C378" s="126" t="s">
        <v>2</v>
      </c>
      <c r="D378" s="126" t="s">
        <v>3</v>
      </c>
      <c r="E378" s="126">
        <v>113.64</v>
      </c>
      <c r="F378" s="126" t="s">
        <v>88</v>
      </c>
      <c r="G378" s="108">
        <v>45406</v>
      </c>
      <c r="H378" s="126" t="s">
        <v>94</v>
      </c>
      <c r="I378" s="126" t="s">
        <v>7773</v>
      </c>
      <c r="J378" s="126" t="s">
        <v>445</v>
      </c>
      <c r="K378" s="126"/>
      <c r="L378" s="126"/>
      <c r="M378" s="126"/>
      <c r="N378" s="126"/>
      <c r="O378" s="126" t="s">
        <v>7774</v>
      </c>
      <c r="Q378" s="3">
        <f t="shared" si="11"/>
        <v>113.64</v>
      </c>
      <c r="S378" s="55" t="s">
        <v>138</v>
      </c>
      <c r="U378" s="3" t="str">
        <f t="shared" si="12"/>
        <v/>
      </c>
    </row>
    <row r="379" spans="1:21" x14ac:dyDescent="0.35">
      <c r="A379" s="126" t="s">
        <v>0</v>
      </c>
      <c r="B379" s="126" t="s">
        <v>601</v>
      </c>
      <c r="C379" s="126" t="s">
        <v>2</v>
      </c>
      <c r="D379" s="126" t="s">
        <v>3</v>
      </c>
      <c r="E379" s="126">
        <v>113.08</v>
      </c>
      <c r="F379" s="126" t="s">
        <v>88</v>
      </c>
      <c r="G379" s="108">
        <v>45635</v>
      </c>
      <c r="H379" s="126" t="s">
        <v>89</v>
      </c>
      <c r="I379" s="126" t="s">
        <v>8881</v>
      </c>
      <c r="J379" s="126"/>
      <c r="K379" s="126" t="s">
        <v>8735</v>
      </c>
      <c r="L379" s="126" t="s">
        <v>8882</v>
      </c>
      <c r="M379" s="126" t="s">
        <v>399</v>
      </c>
      <c r="Q379" s="3">
        <f t="shared" si="11"/>
        <v>113.08</v>
      </c>
      <c r="S379" s="55" t="s">
        <v>9013</v>
      </c>
      <c r="U379" s="3" t="str">
        <f t="shared" si="12"/>
        <v/>
      </c>
    </row>
    <row r="380" spans="1:21" x14ac:dyDescent="0.35">
      <c r="A380" s="126" t="s">
        <v>0</v>
      </c>
      <c r="B380" s="126" t="s">
        <v>6156</v>
      </c>
      <c r="C380" s="126" t="s">
        <v>2</v>
      </c>
      <c r="D380" s="126" t="s">
        <v>3</v>
      </c>
      <c r="E380" s="126">
        <v>112.32</v>
      </c>
      <c r="F380" s="126" t="s">
        <v>88</v>
      </c>
      <c r="G380" s="108">
        <v>45611</v>
      </c>
      <c r="H380" s="126" t="s">
        <v>89</v>
      </c>
      <c r="I380" s="126" t="s">
        <v>8734</v>
      </c>
      <c r="J380" s="126"/>
      <c r="K380" s="126" t="s">
        <v>8735</v>
      </c>
      <c r="L380" s="126" t="s">
        <v>8736</v>
      </c>
      <c r="M380" s="126" t="s">
        <v>399</v>
      </c>
      <c r="Q380" s="3">
        <f t="shared" si="11"/>
        <v>112.32</v>
      </c>
      <c r="S380" s="55" t="s">
        <v>9013</v>
      </c>
      <c r="U380" s="3" t="str">
        <f t="shared" si="12"/>
        <v/>
      </c>
    </row>
    <row r="381" spans="1:21" x14ac:dyDescent="0.35">
      <c r="A381" s="126" t="s">
        <v>0</v>
      </c>
      <c r="B381" s="126" t="s">
        <v>1075</v>
      </c>
      <c r="C381" s="126" t="s">
        <v>2</v>
      </c>
      <c r="D381" s="126" t="s">
        <v>3</v>
      </c>
      <c r="E381" s="126">
        <v>112.09</v>
      </c>
      <c r="F381" s="126" t="s">
        <v>88</v>
      </c>
      <c r="G381" s="108">
        <v>45425</v>
      </c>
      <c r="H381" s="126" t="s">
        <v>89</v>
      </c>
      <c r="I381" s="126" t="s">
        <v>7809</v>
      </c>
      <c r="J381" s="126"/>
      <c r="K381" s="126" t="s">
        <v>402</v>
      </c>
      <c r="L381" s="126" t="s">
        <v>7810</v>
      </c>
      <c r="M381" s="126" t="s">
        <v>396</v>
      </c>
      <c r="N381" s="126"/>
      <c r="O381" s="126"/>
      <c r="Q381" s="3">
        <f t="shared" si="11"/>
        <v>112.09</v>
      </c>
      <c r="S381" s="55" t="s">
        <v>138</v>
      </c>
      <c r="U381" s="3" t="str">
        <f t="shared" si="12"/>
        <v/>
      </c>
    </row>
    <row r="382" spans="1:21" x14ac:dyDescent="0.35">
      <c r="A382" s="126" t="s">
        <v>35</v>
      </c>
      <c r="B382" s="126" t="s">
        <v>893</v>
      </c>
      <c r="C382" s="126" t="s">
        <v>2</v>
      </c>
      <c r="D382" s="126" t="s">
        <v>3</v>
      </c>
      <c r="E382" s="126">
        <v>109.22</v>
      </c>
      <c r="F382" s="126" t="s">
        <v>88</v>
      </c>
      <c r="G382" s="108">
        <v>45385</v>
      </c>
      <c r="H382" s="126" t="s">
        <v>94</v>
      </c>
      <c r="I382" s="126" t="s">
        <v>457</v>
      </c>
      <c r="J382" s="126" t="s">
        <v>7646</v>
      </c>
      <c r="K382" s="126"/>
      <c r="L382" s="126"/>
      <c r="M382" s="126"/>
      <c r="N382" s="126"/>
      <c r="O382" s="126" t="s">
        <v>571</v>
      </c>
      <c r="Q382" s="3">
        <f t="shared" si="11"/>
        <v>109.22</v>
      </c>
      <c r="S382" s="55" t="s">
        <v>9014</v>
      </c>
      <c r="U382" s="3" t="str">
        <f t="shared" si="12"/>
        <v/>
      </c>
    </row>
    <row r="383" spans="1:21" x14ac:dyDescent="0.35">
      <c r="A383" s="126" t="s">
        <v>0</v>
      </c>
      <c r="B383" s="126" t="s">
        <v>1423</v>
      </c>
      <c r="C383" s="126" t="s">
        <v>2</v>
      </c>
      <c r="D383" s="126" t="s">
        <v>3</v>
      </c>
      <c r="E383" s="126">
        <v>108.11</v>
      </c>
      <c r="F383" s="126" t="s">
        <v>88</v>
      </c>
      <c r="G383" s="108">
        <v>45505</v>
      </c>
      <c r="H383" s="126" t="s">
        <v>89</v>
      </c>
      <c r="I383" s="126" t="s">
        <v>8248</v>
      </c>
      <c r="J383" s="126"/>
      <c r="K383" s="126" t="s">
        <v>8135</v>
      </c>
      <c r="L383" s="126" t="s">
        <v>8249</v>
      </c>
      <c r="M383" s="126" t="s">
        <v>399</v>
      </c>
      <c r="Q383" s="3">
        <f t="shared" si="11"/>
        <v>108.11</v>
      </c>
      <c r="S383" s="55" t="s">
        <v>9013</v>
      </c>
      <c r="U383" s="3" t="str">
        <f t="shared" si="12"/>
        <v/>
      </c>
    </row>
    <row r="384" spans="1:21" x14ac:dyDescent="0.35">
      <c r="A384" s="126" t="s">
        <v>35</v>
      </c>
      <c r="B384" s="126" t="s">
        <v>615</v>
      </c>
      <c r="C384" s="126" t="s">
        <v>2</v>
      </c>
      <c r="D384" s="126" t="s">
        <v>3</v>
      </c>
      <c r="E384" s="126">
        <v>107.32</v>
      </c>
      <c r="F384" s="126" t="s">
        <v>88</v>
      </c>
      <c r="G384" s="108">
        <v>45628</v>
      </c>
      <c r="H384" s="126" t="s">
        <v>94</v>
      </c>
      <c r="I384" s="126" t="s">
        <v>421</v>
      </c>
      <c r="J384" s="126" t="s">
        <v>433</v>
      </c>
      <c r="K384" s="126"/>
      <c r="L384" s="126"/>
      <c r="M384" s="126"/>
      <c r="N384" s="126"/>
      <c r="O384" s="126" t="s">
        <v>539</v>
      </c>
      <c r="Q384" s="3">
        <f t="shared" si="11"/>
        <v>107.32</v>
      </c>
      <c r="S384" s="55" t="s">
        <v>9025</v>
      </c>
      <c r="U384" s="3" t="str">
        <f t="shared" si="12"/>
        <v/>
      </c>
    </row>
    <row r="385" spans="1:21" x14ac:dyDescent="0.35">
      <c r="A385" s="126" t="s">
        <v>35</v>
      </c>
      <c r="B385" s="126" t="s">
        <v>615</v>
      </c>
      <c r="C385" s="126" t="s">
        <v>2</v>
      </c>
      <c r="D385" s="126" t="s">
        <v>3</v>
      </c>
      <c r="E385" s="126">
        <v>105.91</v>
      </c>
      <c r="F385" s="126" t="s">
        <v>88</v>
      </c>
      <c r="G385" s="108">
        <v>45523</v>
      </c>
      <c r="H385" s="126" t="s">
        <v>94</v>
      </c>
      <c r="I385" s="126" t="s">
        <v>421</v>
      </c>
      <c r="J385" s="126" t="s">
        <v>433</v>
      </c>
      <c r="K385" s="126"/>
      <c r="L385" s="126"/>
      <c r="M385" s="126"/>
      <c r="N385" s="126"/>
      <c r="O385" s="126" t="s">
        <v>539</v>
      </c>
      <c r="Q385" s="3">
        <f t="shared" si="11"/>
        <v>105.91</v>
      </c>
      <c r="S385" s="55" t="s">
        <v>9025</v>
      </c>
      <c r="U385" s="3" t="str">
        <f t="shared" si="12"/>
        <v/>
      </c>
    </row>
    <row r="386" spans="1:21" x14ac:dyDescent="0.35">
      <c r="A386" s="126" t="s">
        <v>0</v>
      </c>
      <c r="B386" s="126" t="s">
        <v>6156</v>
      </c>
      <c r="C386" s="126" t="s">
        <v>2</v>
      </c>
      <c r="D386" s="126" t="s">
        <v>3</v>
      </c>
      <c r="E386" s="126">
        <v>105.17</v>
      </c>
      <c r="F386" s="126" t="s">
        <v>88</v>
      </c>
      <c r="G386" s="108">
        <v>45569</v>
      </c>
      <c r="H386" s="126" t="s">
        <v>89</v>
      </c>
      <c r="I386" s="126" t="s">
        <v>8521</v>
      </c>
      <c r="J386" s="126"/>
      <c r="K386" s="126" t="s">
        <v>8522</v>
      </c>
      <c r="L386" s="126" t="s">
        <v>8523</v>
      </c>
      <c r="M386" s="126" t="s">
        <v>399</v>
      </c>
      <c r="Q386" s="3">
        <f t="shared" si="11"/>
        <v>105.17</v>
      </c>
      <c r="S386" s="55" t="s">
        <v>9013</v>
      </c>
      <c r="U386" s="3" t="str">
        <f t="shared" si="12"/>
        <v/>
      </c>
    </row>
    <row r="387" spans="1:21" x14ac:dyDescent="0.35">
      <c r="A387" s="126" t="s">
        <v>35</v>
      </c>
      <c r="B387" s="126" t="s">
        <v>1075</v>
      </c>
      <c r="C387" s="126" t="s">
        <v>2</v>
      </c>
      <c r="D387" s="126" t="s">
        <v>3</v>
      </c>
      <c r="E387" s="126">
        <v>104.17</v>
      </c>
      <c r="F387" s="126" t="s">
        <v>88</v>
      </c>
      <c r="G387" s="108">
        <v>45475</v>
      </c>
      <c r="H387" s="126" t="s">
        <v>89</v>
      </c>
      <c r="I387" s="126" t="s">
        <v>8088</v>
      </c>
      <c r="J387" s="126"/>
      <c r="K387" s="126" t="s">
        <v>7880</v>
      </c>
      <c r="L387" s="126" t="s">
        <v>8089</v>
      </c>
      <c r="M387" s="126" t="s">
        <v>396</v>
      </c>
      <c r="N387" s="126"/>
      <c r="O387" s="126"/>
      <c r="Q387" s="3">
        <f t="shared" si="11"/>
        <v>104.17</v>
      </c>
      <c r="S387" s="55" t="s">
        <v>9016</v>
      </c>
      <c r="U387" s="3" t="str">
        <f t="shared" si="12"/>
        <v/>
      </c>
    </row>
    <row r="388" spans="1:21" x14ac:dyDescent="0.35">
      <c r="A388" s="126" t="s">
        <v>0</v>
      </c>
      <c r="B388" s="126" t="s">
        <v>7675</v>
      </c>
      <c r="C388" s="126" t="s">
        <v>2</v>
      </c>
      <c r="D388" s="126" t="s">
        <v>3</v>
      </c>
      <c r="E388" s="126">
        <v>103.82</v>
      </c>
      <c r="F388" s="126" t="s">
        <v>88</v>
      </c>
      <c r="G388" s="108">
        <v>45544</v>
      </c>
      <c r="H388" s="126" t="s">
        <v>89</v>
      </c>
      <c r="I388" s="126" t="s">
        <v>8400</v>
      </c>
      <c r="J388" s="126"/>
      <c r="K388" s="126" t="s">
        <v>8321</v>
      </c>
      <c r="L388" s="126" t="s">
        <v>8401</v>
      </c>
      <c r="M388" s="126" t="s">
        <v>399</v>
      </c>
      <c r="Q388" s="3">
        <f t="shared" si="11"/>
        <v>103.82</v>
      </c>
      <c r="S388" s="55" t="s">
        <v>9013</v>
      </c>
      <c r="U388" s="3" t="str">
        <f t="shared" si="12"/>
        <v/>
      </c>
    </row>
    <row r="389" spans="1:21" x14ac:dyDescent="0.35">
      <c r="A389" s="126" t="s">
        <v>0</v>
      </c>
      <c r="B389" s="126" t="s">
        <v>969</v>
      </c>
      <c r="C389" s="126" t="s">
        <v>2</v>
      </c>
      <c r="D389" s="126" t="s">
        <v>3</v>
      </c>
      <c r="E389" s="126">
        <v>103.76</v>
      </c>
      <c r="F389" s="126" t="s">
        <v>88</v>
      </c>
      <c r="G389" s="108">
        <v>45455</v>
      </c>
      <c r="H389" s="126" t="s">
        <v>89</v>
      </c>
      <c r="I389" s="126" t="s">
        <v>7981</v>
      </c>
      <c r="J389" s="126"/>
      <c r="K389" s="126" t="s">
        <v>7655</v>
      </c>
      <c r="L389" s="126" t="s">
        <v>7982</v>
      </c>
      <c r="M389" s="126" t="s">
        <v>7709</v>
      </c>
      <c r="N389" s="126"/>
      <c r="O389" s="126"/>
      <c r="Q389" s="3">
        <f t="shared" si="11"/>
        <v>103.76</v>
      </c>
      <c r="S389" s="55" t="s">
        <v>9027</v>
      </c>
      <c r="U389" s="3" t="str">
        <f t="shared" si="12"/>
        <v/>
      </c>
    </row>
    <row r="390" spans="1:21" x14ac:dyDescent="0.35">
      <c r="A390" s="126" t="s">
        <v>0</v>
      </c>
      <c r="B390" s="126" t="s">
        <v>969</v>
      </c>
      <c r="C390" s="126" t="s">
        <v>2</v>
      </c>
      <c r="D390" s="126" t="s">
        <v>3</v>
      </c>
      <c r="E390" s="126">
        <v>103.76</v>
      </c>
      <c r="F390" s="126" t="s">
        <v>88</v>
      </c>
      <c r="G390" s="108">
        <v>45477</v>
      </c>
      <c r="H390" s="126" t="s">
        <v>89</v>
      </c>
      <c r="I390" s="126" t="s">
        <v>8115</v>
      </c>
      <c r="J390" s="126"/>
      <c r="K390" s="126" t="s">
        <v>7655</v>
      </c>
      <c r="L390" s="126" t="s">
        <v>8116</v>
      </c>
      <c r="M390" s="126" t="s">
        <v>7709</v>
      </c>
      <c r="N390" s="126"/>
      <c r="O390" s="126"/>
      <c r="Q390" s="3">
        <f t="shared" si="11"/>
        <v>103.76</v>
      </c>
      <c r="S390" s="55" t="s">
        <v>9027</v>
      </c>
      <c r="U390" s="3" t="str">
        <f t="shared" si="12"/>
        <v/>
      </c>
    </row>
    <row r="391" spans="1:21" x14ac:dyDescent="0.35">
      <c r="A391" s="126" t="s">
        <v>0</v>
      </c>
      <c r="B391" s="126" t="s">
        <v>969</v>
      </c>
      <c r="C391" s="126" t="s">
        <v>2</v>
      </c>
      <c r="D391" s="126" t="s">
        <v>3</v>
      </c>
      <c r="E391" s="126">
        <v>103.76</v>
      </c>
      <c r="F391" s="126" t="s">
        <v>88</v>
      </c>
      <c r="G391" s="108">
        <v>45509</v>
      </c>
      <c r="H391" s="126" t="s">
        <v>89</v>
      </c>
      <c r="I391" s="126" t="s">
        <v>8271</v>
      </c>
      <c r="J391" s="126"/>
      <c r="K391" s="126" t="s">
        <v>7655</v>
      </c>
      <c r="L391" s="126" t="s">
        <v>8272</v>
      </c>
      <c r="M391" s="126" t="s">
        <v>7709</v>
      </c>
      <c r="N391" s="126"/>
      <c r="O391" s="126"/>
      <c r="Q391" s="3">
        <f t="shared" si="11"/>
        <v>103.76</v>
      </c>
      <c r="S391" s="55" t="s">
        <v>9027</v>
      </c>
      <c r="U391" s="3" t="str">
        <f t="shared" si="12"/>
        <v/>
      </c>
    </row>
    <row r="392" spans="1:21" x14ac:dyDescent="0.35">
      <c r="A392" s="126" t="s">
        <v>35</v>
      </c>
      <c r="B392" s="126" t="s">
        <v>893</v>
      </c>
      <c r="C392" s="126" t="s">
        <v>2</v>
      </c>
      <c r="D392" s="126" t="s">
        <v>3</v>
      </c>
      <c r="E392" s="126">
        <v>103.65</v>
      </c>
      <c r="F392" s="126" t="s">
        <v>88</v>
      </c>
      <c r="G392" s="108">
        <v>45462</v>
      </c>
      <c r="H392" s="126" t="s">
        <v>94</v>
      </c>
      <c r="I392" s="126" t="s">
        <v>457</v>
      </c>
      <c r="J392" s="126" t="s">
        <v>8025</v>
      </c>
      <c r="K392" s="126"/>
      <c r="L392" s="126"/>
      <c r="M392" s="126"/>
      <c r="N392" s="126"/>
      <c r="O392" s="126" t="s">
        <v>544</v>
      </c>
      <c r="Q392" s="3">
        <f t="shared" ref="Q392:Q455" si="13">ABS(E392)</f>
        <v>103.65</v>
      </c>
      <c r="S392" s="55" t="s">
        <v>9014</v>
      </c>
      <c r="U392" s="3" t="str">
        <f t="shared" ref="U392:U455" si="14">IF(T392="Y",E392,"")</f>
        <v/>
      </c>
    </row>
    <row r="393" spans="1:21" x14ac:dyDescent="0.35">
      <c r="A393" s="126" t="s">
        <v>35</v>
      </c>
      <c r="B393" s="126" t="s">
        <v>893</v>
      </c>
      <c r="C393" s="126" t="s">
        <v>2</v>
      </c>
      <c r="D393" s="126" t="s">
        <v>3</v>
      </c>
      <c r="E393" s="126">
        <v>103.28</v>
      </c>
      <c r="F393" s="126" t="s">
        <v>88</v>
      </c>
      <c r="G393" s="108">
        <v>45520</v>
      </c>
      <c r="H393" s="126" t="s">
        <v>94</v>
      </c>
      <c r="I393" s="126" t="s">
        <v>4458</v>
      </c>
      <c r="J393" s="126" t="s">
        <v>327</v>
      </c>
      <c r="K393" s="126"/>
      <c r="L393" s="126"/>
      <c r="M393" s="126"/>
      <c r="N393" s="126"/>
      <c r="O393" s="126" t="s">
        <v>544</v>
      </c>
      <c r="Q393" s="3">
        <f t="shared" si="13"/>
        <v>103.28</v>
      </c>
      <c r="S393" s="55" t="s">
        <v>138</v>
      </c>
      <c r="U393" s="3" t="str">
        <f t="shared" si="14"/>
        <v/>
      </c>
    </row>
    <row r="394" spans="1:21" x14ac:dyDescent="0.35">
      <c r="A394" s="126" t="s">
        <v>35</v>
      </c>
      <c r="B394" s="126" t="s">
        <v>4622</v>
      </c>
      <c r="C394" s="126" t="s">
        <v>2</v>
      </c>
      <c r="D394" s="126" t="s">
        <v>3</v>
      </c>
      <c r="E394" s="126">
        <v>103.05</v>
      </c>
      <c r="F394" s="126" t="s">
        <v>88</v>
      </c>
      <c r="G394" s="108">
        <v>45630</v>
      </c>
      <c r="H394" s="126" t="s">
        <v>94</v>
      </c>
      <c r="I394" s="126" t="s">
        <v>426</v>
      </c>
      <c r="J394" s="126" t="s">
        <v>8849</v>
      </c>
      <c r="K394" s="126"/>
      <c r="L394" s="126"/>
      <c r="M394" s="126"/>
      <c r="N394" s="126"/>
      <c r="O394" s="126" t="s">
        <v>570</v>
      </c>
      <c r="Q394" s="3">
        <f t="shared" si="13"/>
        <v>103.05</v>
      </c>
      <c r="S394" s="55" t="s">
        <v>138</v>
      </c>
      <c r="U394" s="3" t="str">
        <f t="shared" si="14"/>
        <v/>
      </c>
    </row>
    <row r="395" spans="1:21" x14ac:dyDescent="0.35">
      <c r="A395" s="126" t="s">
        <v>0</v>
      </c>
      <c r="B395" s="126" t="s">
        <v>724</v>
      </c>
      <c r="C395" s="126" t="s">
        <v>2</v>
      </c>
      <c r="D395" s="126" t="s">
        <v>3</v>
      </c>
      <c r="E395" s="126">
        <v>102.97</v>
      </c>
      <c r="F395" s="126" t="s">
        <v>88</v>
      </c>
      <c r="G395" s="108">
        <v>45454</v>
      </c>
      <c r="H395" s="126" t="s">
        <v>89</v>
      </c>
      <c r="I395" s="126" t="s">
        <v>7961</v>
      </c>
      <c r="J395" s="126"/>
      <c r="K395" s="126" t="s">
        <v>7959</v>
      </c>
      <c r="L395" s="126" t="s">
        <v>7962</v>
      </c>
      <c r="M395" s="126" t="s">
        <v>399</v>
      </c>
      <c r="N395" s="126"/>
      <c r="O395" s="126"/>
      <c r="Q395" s="3">
        <f t="shared" si="13"/>
        <v>102.97</v>
      </c>
      <c r="S395" s="55" t="s">
        <v>9013</v>
      </c>
      <c r="U395" s="3" t="str">
        <f t="shared" si="14"/>
        <v/>
      </c>
    </row>
    <row r="396" spans="1:21" x14ac:dyDescent="0.35">
      <c r="A396" s="126" t="s">
        <v>0</v>
      </c>
      <c r="B396" s="126" t="s">
        <v>724</v>
      </c>
      <c r="C396" s="126" t="s">
        <v>2</v>
      </c>
      <c r="D396" s="126" t="s">
        <v>3</v>
      </c>
      <c r="E396" s="126">
        <v>102.97</v>
      </c>
      <c r="F396" s="126" t="s">
        <v>88</v>
      </c>
      <c r="G396" s="108">
        <v>45517</v>
      </c>
      <c r="H396" s="126" t="s">
        <v>89</v>
      </c>
      <c r="I396" s="126" t="s">
        <v>8323</v>
      </c>
      <c r="J396" s="126"/>
      <c r="K396" s="126" t="s">
        <v>8321</v>
      </c>
      <c r="L396" s="126" t="s">
        <v>8324</v>
      </c>
      <c r="M396" s="126" t="s">
        <v>399</v>
      </c>
      <c r="N396" s="126"/>
      <c r="O396" s="126"/>
      <c r="Q396" s="3">
        <f t="shared" si="13"/>
        <v>102.97</v>
      </c>
      <c r="S396" s="55" t="s">
        <v>9013</v>
      </c>
      <c r="U396" s="3" t="str">
        <f t="shared" si="14"/>
        <v/>
      </c>
    </row>
    <row r="397" spans="1:21" x14ac:dyDescent="0.35">
      <c r="A397" s="126" t="s">
        <v>0</v>
      </c>
      <c r="B397" s="126" t="s">
        <v>969</v>
      </c>
      <c r="C397" s="126" t="s">
        <v>2</v>
      </c>
      <c r="D397" s="126" t="s">
        <v>3</v>
      </c>
      <c r="E397" s="126">
        <v>102.66</v>
      </c>
      <c r="F397" s="126" t="s">
        <v>88</v>
      </c>
      <c r="G397" s="108">
        <v>45637</v>
      </c>
      <c r="H397" s="126" t="s">
        <v>89</v>
      </c>
      <c r="I397" s="126" t="s">
        <v>8938</v>
      </c>
      <c r="J397" s="126"/>
      <c r="K397" s="126" t="s">
        <v>8836</v>
      </c>
      <c r="L397" s="126" t="s">
        <v>8939</v>
      </c>
      <c r="M397" s="126" t="s">
        <v>420</v>
      </c>
      <c r="N397" s="126"/>
      <c r="O397" s="126"/>
      <c r="Q397" s="3">
        <f t="shared" si="13"/>
        <v>102.66</v>
      </c>
      <c r="S397" s="55" t="s">
        <v>138</v>
      </c>
      <c r="U397" s="3" t="str">
        <f t="shared" si="14"/>
        <v/>
      </c>
    </row>
    <row r="398" spans="1:21" x14ac:dyDescent="0.35">
      <c r="A398" s="126" t="s">
        <v>0</v>
      </c>
      <c r="B398" s="126" t="s">
        <v>1075</v>
      </c>
      <c r="C398" s="126" t="s">
        <v>2</v>
      </c>
      <c r="D398" s="126" t="s">
        <v>3</v>
      </c>
      <c r="E398" s="126">
        <v>102.03999999999999</v>
      </c>
      <c r="F398" s="126" t="s">
        <v>88</v>
      </c>
      <c r="G398" s="108">
        <v>45448</v>
      </c>
      <c r="H398" s="126" t="s">
        <v>89</v>
      </c>
      <c r="I398" s="126" t="s">
        <v>7942</v>
      </c>
      <c r="J398" s="126"/>
      <c r="K398" s="126" t="s">
        <v>7880</v>
      </c>
      <c r="L398" s="126" t="s">
        <v>7943</v>
      </c>
      <c r="M398" s="126" t="s">
        <v>396</v>
      </c>
      <c r="N398" s="126"/>
      <c r="O398" s="126"/>
      <c r="Q398" s="3">
        <f t="shared" si="13"/>
        <v>102.03999999999999</v>
      </c>
      <c r="S398" s="55" t="s">
        <v>9016</v>
      </c>
      <c r="U398" s="3" t="str">
        <f t="shared" si="14"/>
        <v/>
      </c>
    </row>
    <row r="399" spans="1:21" x14ac:dyDescent="0.35">
      <c r="A399" s="126" t="s">
        <v>35</v>
      </c>
      <c r="B399" s="126" t="s">
        <v>1075</v>
      </c>
      <c r="C399" s="126" t="s">
        <v>2</v>
      </c>
      <c r="D399" s="126" t="s">
        <v>3</v>
      </c>
      <c r="E399" s="126">
        <v>102.03999999999999</v>
      </c>
      <c r="F399" s="126" t="s">
        <v>88</v>
      </c>
      <c r="G399" s="108">
        <v>45448</v>
      </c>
      <c r="H399" s="126" t="s">
        <v>89</v>
      </c>
      <c r="I399" s="126" t="s">
        <v>7942</v>
      </c>
      <c r="J399" s="126"/>
      <c r="K399" s="126" t="s">
        <v>7880</v>
      </c>
      <c r="L399" s="126" t="s">
        <v>7943</v>
      </c>
      <c r="M399" s="126" t="s">
        <v>396</v>
      </c>
      <c r="N399" s="126"/>
      <c r="O399" s="126"/>
      <c r="Q399" s="3">
        <f t="shared" si="13"/>
        <v>102.03999999999999</v>
      </c>
      <c r="S399" s="55" t="s">
        <v>9016</v>
      </c>
      <c r="U399" s="3" t="str">
        <f t="shared" si="14"/>
        <v/>
      </c>
    </row>
    <row r="400" spans="1:21" x14ac:dyDescent="0.35">
      <c r="A400" s="126" t="s">
        <v>35</v>
      </c>
      <c r="B400" s="126" t="s">
        <v>1075</v>
      </c>
      <c r="C400" s="126" t="s">
        <v>2</v>
      </c>
      <c r="D400" s="126" t="s">
        <v>3</v>
      </c>
      <c r="E400" s="126">
        <v>-102.03999999999999</v>
      </c>
      <c r="F400" s="126" t="s">
        <v>88</v>
      </c>
      <c r="G400" s="108">
        <v>45455</v>
      </c>
      <c r="H400" s="126" t="s">
        <v>89</v>
      </c>
      <c r="I400" s="126" t="s">
        <v>7942</v>
      </c>
      <c r="J400" s="126"/>
      <c r="K400" s="126" t="s">
        <v>7880</v>
      </c>
      <c r="L400" s="126" t="s">
        <v>7943</v>
      </c>
      <c r="M400" s="126" t="s">
        <v>396</v>
      </c>
      <c r="N400" s="126"/>
      <c r="O400" s="126"/>
      <c r="Q400" s="3">
        <f t="shared" si="13"/>
        <v>102.03999999999999</v>
      </c>
      <c r="S400" s="55" t="s">
        <v>9016</v>
      </c>
      <c r="U400" s="3" t="str">
        <f t="shared" si="14"/>
        <v/>
      </c>
    </row>
    <row r="401" spans="1:21" x14ac:dyDescent="0.35">
      <c r="A401" s="126" t="s">
        <v>35</v>
      </c>
      <c r="B401" s="126" t="s">
        <v>4583</v>
      </c>
      <c r="C401" s="126" t="s">
        <v>2</v>
      </c>
      <c r="D401" s="126" t="s">
        <v>3</v>
      </c>
      <c r="E401" s="126">
        <v>101.82</v>
      </c>
      <c r="F401" s="126" t="s">
        <v>88</v>
      </c>
      <c r="G401" s="108">
        <v>45537</v>
      </c>
      <c r="H401" s="126" t="s">
        <v>94</v>
      </c>
      <c r="I401" s="126" t="s">
        <v>8385</v>
      </c>
      <c r="J401" s="126" t="s">
        <v>8386</v>
      </c>
      <c r="K401" s="126"/>
      <c r="L401" s="126"/>
      <c r="M401" s="126"/>
      <c r="N401" s="126"/>
      <c r="O401" s="126" t="s">
        <v>8387</v>
      </c>
      <c r="Q401" s="3">
        <f t="shared" si="13"/>
        <v>101.82</v>
      </c>
      <c r="S401" s="55" t="s">
        <v>138</v>
      </c>
      <c r="U401" s="3" t="str">
        <f t="shared" si="14"/>
        <v/>
      </c>
    </row>
    <row r="402" spans="1:21" x14ac:dyDescent="0.35">
      <c r="A402" s="126" t="s">
        <v>35</v>
      </c>
      <c r="B402" s="126" t="s">
        <v>2031</v>
      </c>
      <c r="C402" s="126" t="s">
        <v>2</v>
      </c>
      <c r="D402" s="126" t="s">
        <v>3</v>
      </c>
      <c r="E402" s="126">
        <v>101.82</v>
      </c>
      <c r="F402" s="126" t="s">
        <v>88</v>
      </c>
      <c r="G402" s="108">
        <v>45638</v>
      </c>
      <c r="H402" s="126" t="s">
        <v>94</v>
      </c>
      <c r="I402" s="126" t="s">
        <v>2032</v>
      </c>
      <c r="J402" s="126" t="s">
        <v>8960</v>
      </c>
      <c r="K402" s="126"/>
      <c r="L402" s="126"/>
      <c r="M402" s="126"/>
      <c r="N402" s="126"/>
      <c r="O402" s="126" t="s">
        <v>2070</v>
      </c>
      <c r="Q402" s="3">
        <f t="shared" si="13"/>
        <v>101.82</v>
      </c>
      <c r="S402" s="55" t="s">
        <v>9017</v>
      </c>
      <c r="T402" t="s">
        <v>64</v>
      </c>
      <c r="U402" s="3">
        <f t="shared" si="14"/>
        <v>101.82</v>
      </c>
    </row>
    <row r="403" spans="1:21" x14ac:dyDescent="0.35">
      <c r="A403" s="126" t="s">
        <v>35</v>
      </c>
      <c r="B403" s="126" t="s">
        <v>2031</v>
      </c>
      <c r="C403" s="126" t="s">
        <v>2</v>
      </c>
      <c r="D403" s="126" t="s">
        <v>3</v>
      </c>
      <c r="E403" s="126">
        <v>101.8</v>
      </c>
      <c r="F403" s="126" t="s">
        <v>88</v>
      </c>
      <c r="G403" s="108">
        <v>45469</v>
      </c>
      <c r="H403" s="126" t="s">
        <v>94</v>
      </c>
      <c r="I403" s="126" t="s">
        <v>2091</v>
      </c>
      <c r="J403" s="126" t="s">
        <v>8064</v>
      </c>
      <c r="K403" s="126"/>
      <c r="L403" s="126"/>
      <c r="M403" s="126"/>
      <c r="N403" s="126"/>
      <c r="O403" s="126" t="s">
        <v>4069</v>
      </c>
      <c r="Q403" s="3">
        <f t="shared" si="13"/>
        <v>101.8</v>
      </c>
      <c r="S403" s="55" t="s">
        <v>53</v>
      </c>
      <c r="T403" t="s">
        <v>64</v>
      </c>
      <c r="U403" s="3">
        <f t="shared" si="14"/>
        <v>101.8</v>
      </c>
    </row>
    <row r="404" spans="1:21" x14ac:dyDescent="0.35">
      <c r="A404" s="126" t="s">
        <v>0</v>
      </c>
      <c r="B404" s="126" t="s">
        <v>764</v>
      </c>
      <c r="C404" s="126" t="s">
        <v>2</v>
      </c>
      <c r="D404" s="126" t="s">
        <v>3</v>
      </c>
      <c r="E404" s="126">
        <v>100.75</v>
      </c>
      <c r="F404" s="126" t="s">
        <v>88</v>
      </c>
      <c r="G404" s="108">
        <v>45454</v>
      </c>
      <c r="H404" s="126" t="s">
        <v>89</v>
      </c>
      <c r="I404" s="126" t="s">
        <v>7961</v>
      </c>
      <c r="J404" s="126"/>
      <c r="K404" s="126" t="s">
        <v>7959</v>
      </c>
      <c r="L404" s="126" t="s">
        <v>7962</v>
      </c>
      <c r="M404" s="126" t="s">
        <v>399</v>
      </c>
      <c r="Q404" s="3">
        <f t="shared" si="13"/>
        <v>100.75</v>
      </c>
      <c r="S404" s="55" t="s">
        <v>9013</v>
      </c>
      <c r="U404" s="3" t="str">
        <f t="shared" si="14"/>
        <v/>
      </c>
    </row>
    <row r="405" spans="1:21" x14ac:dyDescent="0.35">
      <c r="A405" s="126" t="s">
        <v>0</v>
      </c>
      <c r="B405" s="126" t="s">
        <v>764</v>
      </c>
      <c r="C405" s="126" t="s">
        <v>2</v>
      </c>
      <c r="D405" s="126" t="s">
        <v>3</v>
      </c>
      <c r="E405" s="126">
        <v>100.75</v>
      </c>
      <c r="F405" s="126" t="s">
        <v>88</v>
      </c>
      <c r="G405" s="108">
        <v>45635</v>
      </c>
      <c r="H405" s="126" t="s">
        <v>89</v>
      </c>
      <c r="I405" s="126" t="s">
        <v>8881</v>
      </c>
      <c r="J405" s="126"/>
      <c r="K405" s="126" t="s">
        <v>8735</v>
      </c>
      <c r="L405" s="126" t="s">
        <v>8882</v>
      </c>
      <c r="M405" s="126" t="s">
        <v>399</v>
      </c>
      <c r="Q405" s="3">
        <f t="shared" si="13"/>
        <v>100.75</v>
      </c>
      <c r="S405" s="55" t="s">
        <v>9013</v>
      </c>
      <c r="U405" s="3" t="str">
        <f t="shared" si="14"/>
        <v/>
      </c>
    </row>
    <row r="406" spans="1:21" x14ac:dyDescent="0.35">
      <c r="A406" s="126" t="s">
        <v>0</v>
      </c>
      <c r="B406" s="126" t="s">
        <v>969</v>
      </c>
      <c r="C406" s="126" t="s">
        <v>2</v>
      </c>
      <c r="D406" s="126" t="s">
        <v>3</v>
      </c>
      <c r="E406" s="126">
        <v>100.66</v>
      </c>
      <c r="F406" s="126" t="s">
        <v>88</v>
      </c>
      <c r="G406" s="108">
        <v>45454</v>
      </c>
      <c r="H406" s="126" t="s">
        <v>89</v>
      </c>
      <c r="I406" s="126" t="s">
        <v>7961</v>
      </c>
      <c r="J406" s="126"/>
      <c r="K406" s="126" t="s">
        <v>7959</v>
      </c>
      <c r="L406" s="126" t="s">
        <v>7962</v>
      </c>
      <c r="M406" s="126" t="s">
        <v>399</v>
      </c>
      <c r="Q406" s="3">
        <f t="shared" si="13"/>
        <v>100.66</v>
      </c>
      <c r="S406" s="55" t="s">
        <v>9013</v>
      </c>
      <c r="U406" s="3" t="str">
        <f t="shared" si="14"/>
        <v/>
      </c>
    </row>
    <row r="407" spans="1:21" x14ac:dyDescent="0.35">
      <c r="A407" s="126" t="s">
        <v>35</v>
      </c>
      <c r="B407" s="126" t="s">
        <v>2543</v>
      </c>
      <c r="C407" s="126" t="s">
        <v>2</v>
      </c>
      <c r="D407" s="126" t="s">
        <v>3</v>
      </c>
      <c r="E407" s="126">
        <v>100.55</v>
      </c>
      <c r="F407" s="126" t="s">
        <v>88</v>
      </c>
      <c r="G407" s="108">
        <v>45562</v>
      </c>
      <c r="H407" s="126" t="s">
        <v>94</v>
      </c>
      <c r="I407" s="126" t="s">
        <v>453</v>
      </c>
      <c r="J407" s="126" t="s">
        <v>395</v>
      </c>
      <c r="K407" s="126"/>
      <c r="L407" s="126"/>
      <c r="M407" s="126"/>
      <c r="N407" s="126"/>
      <c r="O407" s="126" t="s">
        <v>537</v>
      </c>
      <c r="Q407" s="3">
        <f t="shared" si="13"/>
        <v>100.55</v>
      </c>
      <c r="S407" s="55" t="s">
        <v>586</v>
      </c>
      <c r="U407" s="3" t="str">
        <f t="shared" si="14"/>
        <v/>
      </c>
    </row>
    <row r="408" spans="1:21" x14ac:dyDescent="0.35">
      <c r="A408" s="126" t="s">
        <v>0</v>
      </c>
      <c r="B408" s="126" t="s">
        <v>915</v>
      </c>
      <c r="C408" s="126" t="s">
        <v>2</v>
      </c>
      <c r="D408" s="126" t="s">
        <v>3</v>
      </c>
      <c r="E408" s="126">
        <v>100.54</v>
      </c>
      <c r="F408" s="126" t="s">
        <v>88</v>
      </c>
      <c r="G408" s="108">
        <v>45454</v>
      </c>
      <c r="H408" s="126" t="s">
        <v>89</v>
      </c>
      <c r="I408" s="126" t="s">
        <v>7961</v>
      </c>
      <c r="J408" s="126"/>
      <c r="K408" s="126" t="s">
        <v>7959</v>
      </c>
      <c r="L408" s="126" t="s">
        <v>7962</v>
      </c>
      <c r="M408" s="126" t="s">
        <v>399</v>
      </c>
      <c r="Q408" s="3">
        <f t="shared" si="13"/>
        <v>100.54</v>
      </c>
      <c r="S408" s="55" t="s">
        <v>9013</v>
      </c>
      <c r="U408" s="3" t="str">
        <f t="shared" si="14"/>
        <v/>
      </c>
    </row>
    <row r="409" spans="1:21" x14ac:dyDescent="0.35">
      <c r="A409" s="126" t="s">
        <v>0</v>
      </c>
      <c r="B409" s="126" t="s">
        <v>1411</v>
      </c>
      <c r="C409" s="126" t="s">
        <v>2</v>
      </c>
      <c r="D409" s="126" t="s">
        <v>3</v>
      </c>
      <c r="E409" s="126">
        <v>100.53</v>
      </c>
      <c r="F409" s="126" t="s">
        <v>88</v>
      </c>
      <c r="G409" s="108">
        <v>45457</v>
      </c>
      <c r="H409" s="126" t="s">
        <v>89</v>
      </c>
      <c r="I409" s="126" t="s">
        <v>7995</v>
      </c>
      <c r="J409" s="126"/>
      <c r="K409" s="126" t="s">
        <v>7996</v>
      </c>
      <c r="L409" s="126" t="s">
        <v>7997</v>
      </c>
      <c r="M409" s="126" t="s">
        <v>7998</v>
      </c>
      <c r="N409" s="126"/>
      <c r="O409" s="126"/>
      <c r="Q409" s="3">
        <f t="shared" si="13"/>
        <v>100.53</v>
      </c>
      <c r="S409" s="55" t="s">
        <v>9013</v>
      </c>
      <c r="U409" s="3" t="str">
        <f t="shared" si="14"/>
        <v/>
      </c>
    </row>
    <row r="410" spans="1:21" x14ac:dyDescent="0.35">
      <c r="A410" s="126" t="s">
        <v>0</v>
      </c>
      <c r="B410" s="126" t="s">
        <v>5426</v>
      </c>
      <c r="C410" s="126" t="s">
        <v>2</v>
      </c>
      <c r="D410" s="126" t="s">
        <v>3</v>
      </c>
      <c r="E410" s="126">
        <v>100.41</v>
      </c>
      <c r="F410" s="126" t="s">
        <v>88</v>
      </c>
      <c r="G410" s="108">
        <v>45635</v>
      </c>
      <c r="H410" s="126" t="s">
        <v>89</v>
      </c>
      <c r="I410" s="126" t="s">
        <v>8881</v>
      </c>
      <c r="J410" s="126"/>
      <c r="K410" s="126" t="s">
        <v>8735</v>
      </c>
      <c r="L410" s="126" t="s">
        <v>8882</v>
      </c>
      <c r="M410" s="126" t="s">
        <v>399</v>
      </c>
      <c r="Q410" s="3">
        <f t="shared" si="13"/>
        <v>100.41</v>
      </c>
      <c r="S410" s="55" t="s">
        <v>9013</v>
      </c>
      <c r="U410" s="3" t="str">
        <f t="shared" si="14"/>
        <v/>
      </c>
    </row>
    <row r="411" spans="1:21" x14ac:dyDescent="0.35">
      <c r="A411" s="126" t="s">
        <v>0</v>
      </c>
      <c r="B411" s="126" t="s">
        <v>708</v>
      </c>
      <c r="C411" s="126" t="s">
        <v>2</v>
      </c>
      <c r="D411" s="126" t="s">
        <v>3</v>
      </c>
      <c r="E411" s="126">
        <v>100.34</v>
      </c>
      <c r="F411" s="126" t="s">
        <v>88</v>
      </c>
      <c r="G411" s="108">
        <v>45544</v>
      </c>
      <c r="H411" s="126" t="s">
        <v>89</v>
      </c>
      <c r="I411" s="126" t="s">
        <v>8400</v>
      </c>
      <c r="J411" s="126"/>
      <c r="K411" s="126" t="s">
        <v>8321</v>
      </c>
      <c r="L411" s="126" t="s">
        <v>8401</v>
      </c>
      <c r="M411" s="126" t="s">
        <v>399</v>
      </c>
      <c r="Q411" s="3">
        <f t="shared" si="13"/>
        <v>100.34</v>
      </c>
      <c r="S411" s="55" t="s">
        <v>9013</v>
      </c>
      <c r="U411" s="3" t="str">
        <f t="shared" si="14"/>
        <v/>
      </c>
    </row>
    <row r="412" spans="1:21" x14ac:dyDescent="0.35">
      <c r="A412" s="126" t="s">
        <v>35</v>
      </c>
      <c r="B412" s="126" t="s">
        <v>3466</v>
      </c>
      <c r="C412" s="126" t="s">
        <v>2</v>
      </c>
      <c r="D412" s="126" t="s">
        <v>3</v>
      </c>
      <c r="E412" s="126">
        <v>100</v>
      </c>
      <c r="F412" s="126" t="s">
        <v>88</v>
      </c>
      <c r="G412" s="108">
        <v>45414</v>
      </c>
      <c r="H412" s="126" t="s">
        <v>94</v>
      </c>
      <c r="I412" s="126" t="s">
        <v>481</v>
      </c>
      <c r="J412" s="126" t="s">
        <v>482</v>
      </c>
      <c r="K412" s="126"/>
      <c r="L412" s="126"/>
      <c r="M412" s="126"/>
      <c r="N412" s="126"/>
      <c r="O412" s="126" t="s">
        <v>7784</v>
      </c>
      <c r="Q412" s="3">
        <f t="shared" si="13"/>
        <v>100</v>
      </c>
      <c r="S412" s="55" t="s">
        <v>586</v>
      </c>
      <c r="U412" s="3" t="str">
        <f t="shared" si="14"/>
        <v/>
      </c>
    </row>
    <row r="413" spans="1:21" x14ac:dyDescent="0.35">
      <c r="A413" s="126" t="s">
        <v>35</v>
      </c>
      <c r="B413" s="126" t="s">
        <v>5426</v>
      </c>
      <c r="C413" s="126" t="s">
        <v>2</v>
      </c>
      <c r="D413" s="126" t="s">
        <v>3</v>
      </c>
      <c r="E413" s="126">
        <v>100</v>
      </c>
      <c r="F413" s="126" t="s">
        <v>88</v>
      </c>
      <c r="G413" s="108">
        <v>45567</v>
      </c>
      <c r="H413" s="126" t="s">
        <v>94</v>
      </c>
      <c r="I413" s="126" t="s">
        <v>6290</v>
      </c>
      <c r="J413" s="126" t="s">
        <v>8512</v>
      </c>
      <c r="K413" s="126"/>
      <c r="L413" s="126"/>
      <c r="M413" s="126"/>
      <c r="N413" s="126"/>
      <c r="O413" s="126" t="s">
        <v>8513</v>
      </c>
      <c r="Q413" s="3">
        <f t="shared" si="13"/>
        <v>100</v>
      </c>
      <c r="S413" s="55" t="s">
        <v>138</v>
      </c>
      <c r="U413" s="3" t="str">
        <f t="shared" si="14"/>
        <v/>
      </c>
    </row>
    <row r="414" spans="1:21" x14ac:dyDescent="0.35">
      <c r="A414" s="126" t="s">
        <v>35</v>
      </c>
      <c r="B414" s="126" t="s">
        <v>708</v>
      </c>
      <c r="C414" s="126" t="s">
        <v>2</v>
      </c>
      <c r="D414" s="126" t="s">
        <v>3</v>
      </c>
      <c r="E414" s="126">
        <v>100</v>
      </c>
      <c r="F414" s="126" t="s">
        <v>88</v>
      </c>
      <c r="G414" s="108">
        <v>45644</v>
      </c>
      <c r="H414" s="126" t="s">
        <v>94</v>
      </c>
      <c r="I414" s="126" t="s">
        <v>477</v>
      </c>
      <c r="J414" s="126" t="s">
        <v>8991</v>
      </c>
      <c r="K414" s="126"/>
      <c r="L414" s="126"/>
      <c r="M414" s="126"/>
      <c r="N414" s="126"/>
      <c r="O414" s="126" t="s">
        <v>755</v>
      </c>
      <c r="Q414" s="3">
        <f t="shared" si="13"/>
        <v>100</v>
      </c>
      <c r="S414" s="55" t="s">
        <v>138</v>
      </c>
      <c r="U414" s="3" t="str">
        <f t="shared" si="14"/>
        <v/>
      </c>
    </row>
    <row r="415" spans="1:21" x14ac:dyDescent="0.35">
      <c r="A415" s="126" t="s">
        <v>0</v>
      </c>
      <c r="B415" s="126" t="s">
        <v>969</v>
      </c>
      <c r="C415" s="126" t="s">
        <v>2</v>
      </c>
      <c r="D415" s="126" t="s">
        <v>3</v>
      </c>
      <c r="E415" s="126">
        <v>99.75</v>
      </c>
      <c r="F415" s="126" t="s">
        <v>88</v>
      </c>
      <c r="G415" s="108">
        <v>45394</v>
      </c>
      <c r="H415" s="126" t="s">
        <v>89</v>
      </c>
      <c r="I415" s="126" t="s">
        <v>7706</v>
      </c>
      <c r="J415" s="126"/>
      <c r="K415" s="126" t="s">
        <v>7707</v>
      </c>
      <c r="L415" s="126" t="s">
        <v>7708</v>
      </c>
      <c r="M415" s="126" t="s">
        <v>7709</v>
      </c>
      <c r="N415" s="126"/>
      <c r="O415" s="126"/>
      <c r="Q415" s="3">
        <f t="shared" si="13"/>
        <v>99.75</v>
      </c>
      <c r="S415" s="55" t="s">
        <v>9027</v>
      </c>
      <c r="U415" s="3" t="str">
        <f t="shared" si="14"/>
        <v/>
      </c>
    </row>
    <row r="416" spans="1:21" x14ac:dyDescent="0.35">
      <c r="A416" s="126" t="s">
        <v>35</v>
      </c>
      <c r="B416" s="126" t="s">
        <v>633</v>
      </c>
      <c r="C416" s="126" t="s">
        <v>2</v>
      </c>
      <c r="D416" s="126" t="s">
        <v>3</v>
      </c>
      <c r="E416" s="126">
        <v>99.45</v>
      </c>
      <c r="F416" s="126" t="s">
        <v>88</v>
      </c>
      <c r="G416" s="108">
        <v>45485</v>
      </c>
      <c r="H416" s="126" t="s">
        <v>94</v>
      </c>
      <c r="I416" s="126" t="s">
        <v>491</v>
      </c>
      <c r="J416" s="126" t="s">
        <v>492</v>
      </c>
      <c r="K416" s="126"/>
      <c r="L416" s="126"/>
      <c r="M416" s="126"/>
      <c r="N416" s="126"/>
      <c r="O416" s="126" t="s">
        <v>541</v>
      </c>
      <c r="Q416" s="3">
        <f t="shared" si="13"/>
        <v>99.45</v>
      </c>
      <c r="S416" s="55" t="s">
        <v>138</v>
      </c>
      <c r="U416" s="3" t="str">
        <f t="shared" si="14"/>
        <v/>
      </c>
    </row>
    <row r="417" spans="1:21" x14ac:dyDescent="0.35">
      <c r="A417" s="126" t="s">
        <v>35</v>
      </c>
      <c r="B417" s="126" t="s">
        <v>740</v>
      </c>
      <c r="C417" s="126" t="s">
        <v>2</v>
      </c>
      <c r="D417" s="126" t="s">
        <v>3</v>
      </c>
      <c r="E417" s="126">
        <v>99.27</v>
      </c>
      <c r="F417" s="126" t="s">
        <v>88</v>
      </c>
      <c r="G417" s="108">
        <v>45474</v>
      </c>
      <c r="H417" s="126" t="s">
        <v>94</v>
      </c>
      <c r="I417" s="126" t="s">
        <v>5930</v>
      </c>
      <c r="J417" s="126" t="s">
        <v>8073</v>
      </c>
      <c r="K417" s="126"/>
      <c r="L417" s="126"/>
      <c r="M417" s="126"/>
      <c r="N417" s="126"/>
      <c r="O417" s="126" t="s">
        <v>541</v>
      </c>
      <c r="Q417" s="3">
        <f t="shared" si="13"/>
        <v>99.27</v>
      </c>
      <c r="S417" s="55" t="s">
        <v>9016</v>
      </c>
      <c r="U417" s="3" t="str">
        <f t="shared" si="14"/>
        <v/>
      </c>
    </row>
    <row r="418" spans="1:21" x14ac:dyDescent="0.35">
      <c r="A418" s="126" t="s">
        <v>35</v>
      </c>
      <c r="B418" s="126" t="s">
        <v>1423</v>
      </c>
      <c r="C418" s="126" t="s">
        <v>2</v>
      </c>
      <c r="D418" s="126" t="s">
        <v>3</v>
      </c>
      <c r="E418" s="126">
        <v>99.09</v>
      </c>
      <c r="F418" s="126" t="s">
        <v>88</v>
      </c>
      <c r="G418" s="108">
        <v>45449</v>
      </c>
      <c r="H418" s="126" t="s">
        <v>94</v>
      </c>
      <c r="I418" s="126" t="s">
        <v>7947</v>
      </c>
      <c r="J418" s="126" t="s">
        <v>7948</v>
      </c>
      <c r="K418" s="126"/>
      <c r="L418" s="126"/>
      <c r="M418" s="126"/>
      <c r="N418" s="126"/>
      <c r="O418" s="126" t="s">
        <v>7949</v>
      </c>
      <c r="Q418" s="3">
        <f t="shared" si="13"/>
        <v>99.09</v>
      </c>
      <c r="S418" s="55" t="s">
        <v>138</v>
      </c>
      <c r="U418" s="3" t="str">
        <f t="shared" si="14"/>
        <v/>
      </c>
    </row>
    <row r="419" spans="1:21" x14ac:dyDescent="0.35">
      <c r="A419" s="126" t="s">
        <v>35</v>
      </c>
      <c r="B419" s="126" t="s">
        <v>740</v>
      </c>
      <c r="C419" s="126" t="s">
        <v>2</v>
      </c>
      <c r="D419" s="126" t="s">
        <v>3</v>
      </c>
      <c r="E419" s="126">
        <v>98.98</v>
      </c>
      <c r="F419" s="126" t="s">
        <v>88</v>
      </c>
      <c r="G419" s="108">
        <v>45602</v>
      </c>
      <c r="H419" s="126" t="s">
        <v>94</v>
      </c>
      <c r="I419" s="126" t="s">
        <v>425</v>
      </c>
      <c r="J419" s="126" t="s">
        <v>8672</v>
      </c>
      <c r="K419" s="126"/>
      <c r="L419" s="126"/>
      <c r="M419" s="126"/>
      <c r="N419" s="126"/>
      <c r="O419" s="126" t="s">
        <v>8675</v>
      </c>
      <c r="Q419" s="3">
        <f t="shared" si="13"/>
        <v>98.98</v>
      </c>
      <c r="S419" s="55" t="s">
        <v>138</v>
      </c>
      <c r="U419" s="3" t="str">
        <f t="shared" si="14"/>
        <v/>
      </c>
    </row>
    <row r="420" spans="1:21" x14ac:dyDescent="0.35">
      <c r="A420" s="126" t="s">
        <v>35</v>
      </c>
      <c r="B420" s="126" t="s">
        <v>3422</v>
      </c>
      <c r="C420" s="126" t="s">
        <v>2</v>
      </c>
      <c r="D420" s="126" t="s">
        <v>3</v>
      </c>
      <c r="E420" s="126">
        <v>98.73</v>
      </c>
      <c r="F420" s="126" t="s">
        <v>88</v>
      </c>
      <c r="G420" s="108">
        <v>45513</v>
      </c>
      <c r="H420" s="126" t="s">
        <v>94</v>
      </c>
      <c r="I420" s="126" t="s">
        <v>4435</v>
      </c>
      <c r="J420" s="126" t="s">
        <v>7661</v>
      </c>
      <c r="K420" s="126"/>
      <c r="L420" s="126"/>
      <c r="M420" s="126"/>
      <c r="N420" s="126"/>
      <c r="O420" s="126" t="s">
        <v>538</v>
      </c>
      <c r="Q420" s="3">
        <f t="shared" si="13"/>
        <v>98.73</v>
      </c>
      <c r="S420" s="55" t="s">
        <v>138</v>
      </c>
      <c r="U420" s="3" t="str">
        <f t="shared" si="14"/>
        <v/>
      </c>
    </row>
    <row r="421" spans="1:21" x14ac:dyDescent="0.35">
      <c r="A421" s="126" t="s">
        <v>0</v>
      </c>
      <c r="B421" s="126" t="s">
        <v>7674</v>
      </c>
      <c r="C421" s="126" t="s">
        <v>2</v>
      </c>
      <c r="D421" s="126" t="s">
        <v>3</v>
      </c>
      <c r="E421" s="126">
        <v>98.21</v>
      </c>
      <c r="F421" s="126" t="s">
        <v>88</v>
      </c>
      <c r="G421" s="108">
        <v>45432</v>
      </c>
      <c r="H421" s="126" t="s">
        <v>89</v>
      </c>
      <c r="I421" s="126" t="s">
        <v>7842</v>
      </c>
      <c r="J421" s="126"/>
      <c r="K421" s="126" t="s">
        <v>7840</v>
      </c>
      <c r="L421" s="126" t="s">
        <v>7843</v>
      </c>
      <c r="M421" s="126" t="s">
        <v>399</v>
      </c>
      <c r="Q421" s="3">
        <f t="shared" si="13"/>
        <v>98.21</v>
      </c>
      <c r="S421" s="55" t="s">
        <v>9013</v>
      </c>
      <c r="U421" s="3" t="str">
        <f t="shared" si="14"/>
        <v/>
      </c>
    </row>
    <row r="422" spans="1:21" x14ac:dyDescent="0.35">
      <c r="A422" s="126" t="s">
        <v>0</v>
      </c>
      <c r="B422" s="126" t="s">
        <v>1411</v>
      </c>
      <c r="C422" s="126" t="s">
        <v>2</v>
      </c>
      <c r="D422" s="126" t="s">
        <v>3</v>
      </c>
      <c r="E422" s="126">
        <v>98.19</v>
      </c>
      <c r="F422" s="126" t="s">
        <v>88</v>
      </c>
      <c r="G422" s="108">
        <v>45569</v>
      </c>
      <c r="H422" s="126" t="s">
        <v>89</v>
      </c>
      <c r="I422" s="126" t="s">
        <v>8524</v>
      </c>
      <c r="J422" s="126"/>
      <c r="K422" s="126" t="s">
        <v>8525</v>
      </c>
      <c r="L422" s="126" t="s">
        <v>8526</v>
      </c>
      <c r="M422" s="126" t="s">
        <v>399</v>
      </c>
      <c r="N422" s="126"/>
      <c r="O422" s="126"/>
      <c r="Q422" s="3">
        <f t="shared" si="13"/>
        <v>98.19</v>
      </c>
      <c r="S422" s="55" t="s">
        <v>9013</v>
      </c>
      <c r="U422" s="3" t="str">
        <f t="shared" si="14"/>
        <v/>
      </c>
    </row>
    <row r="423" spans="1:21" x14ac:dyDescent="0.35">
      <c r="A423" s="126" t="s">
        <v>35</v>
      </c>
      <c r="B423" s="126" t="s">
        <v>1106</v>
      </c>
      <c r="C423" s="126" t="s">
        <v>2</v>
      </c>
      <c r="D423" s="126" t="s">
        <v>3</v>
      </c>
      <c r="E423" s="126">
        <v>98.18</v>
      </c>
      <c r="F423" s="126" t="s">
        <v>88</v>
      </c>
      <c r="G423" s="108">
        <v>45565</v>
      </c>
      <c r="H423" s="126" t="s">
        <v>94</v>
      </c>
      <c r="I423" s="126" t="s">
        <v>3332</v>
      </c>
      <c r="J423" s="126" t="s">
        <v>8482</v>
      </c>
      <c r="K423" s="126"/>
      <c r="L423" s="126"/>
      <c r="M423" s="126"/>
      <c r="N423" s="126"/>
      <c r="O423" s="126" t="s">
        <v>522</v>
      </c>
      <c r="Q423" s="3">
        <f t="shared" si="13"/>
        <v>98.18</v>
      </c>
      <c r="S423" s="55" t="s">
        <v>9040</v>
      </c>
      <c r="U423" s="3" t="str">
        <f t="shared" si="14"/>
        <v/>
      </c>
    </row>
    <row r="424" spans="1:21" x14ac:dyDescent="0.35">
      <c r="A424" s="126" t="s">
        <v>0</v>
      </c>
      <c r="B424" s="126" t="s">
        <v>1069</v>
      </c>
      <c r="C424" s="126" t="s">
        <v>2</v>
      </c>
      <c r="D424" s="126" t="s">
        <v>3</v>
      </c>
      <c r="E424" s="126">
        <v>98.15</v>
      </c>
      <c r="F424" s="126" t="s">
        <v>88</v>
      </c>
      <c r="G424" s="108">
        <v>45611</v>
      </c>
      <c r="H424" s="126" t="s">
        <v>89</v>
      </c>
      <c r="I424" s="126" t="s">
        <v>8737</v>
      </c>
      <c r="J424" s="126"/>
      <c r="K424" s="126" t="s">
        <v>8522</v>
      </c>
      <c r="L424" s="126" t="s">
        <v>8738</v>
      </c>
      <c r="M424" s="126" t="s">
        <v>399</v>
      </c>
      <c r="Q424" s="3">
        <f t="shared" si="13"/>
        <v>98.15</v>
      </c>
      <c r="S424" s="55" t="s">
        <v>9013</v>
      </c>
      <c r="U424" s="3" t="str">
        <f t="shared" si="14"/>
        <v/>
      </c>
    </row>
    <row r="425" spans="1:21" x14ac:dyDescent="0.35">
      <c r="A425" s="126" t="s">
        <v>0</v>
      </c>
      <c r="B425" s="126" t="s">
        <v>1216</v>
      </c>
      <c r="C425" s="126" t="s">
        <v>2</v>
      </c>
      <c r="D425" s="126" t="s">
        <v>3</v>
      </c>
      <c r="E425" s="126">
        <v>98.02</v>
      </c>
      <c r="F425" s="126" t="s">
        <v>88</v>
      </c>
      <c r="G425" s="108">
        <v>45454</v>
      </c>
      <c r="H425" s="126" t="s">
        <v>89</v>
      </c>
      <c r="I425" s="126" t="s">
        <v>7961</v>
      </c>
      <c r="J425" s="126"/>
      <c r="K425" s="126" t="s">
        <v>7959</v>
      </c>
      <c r="L425" s="126" t="s">
        <v>7962</v>
      </c>
      <c r="M425" s="126" t="s">
        <v>399</v>
      </c>
      <c r="Q425" s="3">
        <f t="shared" si="13"/>
        <v>98.02</v>
      </c>
      <c r="S425" s="55" t="s">
        <v>9013</v>
      </c>
      <c r="U425" s="3" t="str">
        <f t="shared" si="14"/>
        <v/>
      </c>
    </row>
    <row r="426" spans="1:21" x14ac:dyDescent="0.35">
      <c r="A426" s="126" t="s">
        <v>0</v>
      </c>
      <c r="B426" s="126" t="s">
        <v>2473</v>
      </c>
      <c r="C426" s="126" t="s">
        <v>2</v>
      </c>
      <c r="D426" s="126" t="s">
        <v>3</v>
      </c>
      <c r="E426" s="126">
        <v>97.99</v>
      </c>
      <c r="F426" s="126" t="s">
        <v>88</v>
      </c>
      <c r="G426" s="108">
        <v>45517</v>
      </c>
      <c r="H426" s="126" t="s">
        <v>89</v>
      </c>
      <c r="I426" s="126" t="s">
        <v>8323</v>
      </c>
      <c r="J426" s="126"/>
      <c r="K426" s="126" t="s">
        <v>8321</v>
      </c>
      <c r="L426" s="126" t="s">
        <v>8324</v>
      </c>
      <c r="M426" s="126" t="s">
        <v>399</v>
      </c>
      <c r="Q426" s="3">
        <f t="shared" si="13"/>
        <v>97.99</v>
      </c>
      <c r="S426" s="55" t="s">
        <v>9013</v>
      </c>
      <c r="U426" s="3" t="str">
        <f t="shared" si="14"/>
        <v/>
      </c>
    </row>
    <row r="427" spans="1:21" x14ac:dyDescent="0.35">
      <c r="A427" s="126" t="s">
        <v>0</v>
      </c>
      <c r="B427" s="126" t="s">
        <v>5426</v>
      </c>
      <c r="C427" s="126" t="s">
        <v>2</v>
      </c>
      <c r="D427" s="126" t="s">
        <v>3</v>
      </c>
      <c r="E427" s="126">
        <v>97.88</v>
      </c>
      <c r="F427" s="126" t="s">
        <v>88</v>
      </c>
      <c r="G427" s="108">
        <v>45569</v>
      </c>
      <c r="H427" s="126" t="s">
        <v>89</v>
      </c>
      <c r="I427" s="126" t="s">
        <v>8524</v>
      </c>
      <c r="J427" s="126"/>
      <c r="K427" s="126" t="s">
        <v>8525</v>
      </c>
      <c r="L427" s="126" t="s">
        <v>8526</v>
      </c>
      <c r="M427" s="126" t="s">
        <v>399</v>
      </c>
      <c r="Q427" s="3">
        <f t="shared" si="13"/>
        <v>97.88</v>
      </c>
      <c r="S427" s="55" t="s">
        <v>9013</v>
      </c>
      <c r="U427" s="3" t="str">
        <f t="shared" si="14"/>
        <v/>
      </c>
    </row>
    <row r="428" spans="1:21" x14ac:dyDescent="0.35">
      <c r="A428" s="126" t="s">
        <v>0</v>
      </c>
      <c r="B428" s="126" t="s">
        <v>789</v>
      </c>
      <c r="C428" s="126" t="s">
        <v>2</v>
      </c>
      <c r="D428" s="126" t="s">
        <v>3</v>
      </c>
      <c r="E428" s="126">
        <v>97.86</v>
      </c>
      <c r="F428" s="126" t="s">
        <v>88</v>
      </c>
      <c r="G428" s="108">
        <v>45544</v>
      </c>
      <c r="H428" s="126" t="s">
        <v>89</v>
      </c>
      <c r="I428" s="126" t="s">
        <v>8400</v>
      </c>
      <c r="J428" s="126"/>
      <c r="K428" s="126" t="s">
        <v>8321</v>
      </c>
      <c r="L428" s="126" t="s">
        <v>8401</v>
      </c>
      <c r="M428" s="126" t="s">
        <v>399</v>
      </c>
      <c r="N428" s="126"/>
      <c r="O428" s="126"/>
      <c r="Q428" s="3">
        <f t="shared" si="13"/>
        <v>97.86</v>
      </c>
      <c r="S428" s="55" t="s">
        <v>9013</v>
      </c>
      <c r="U428" s="3" t="str">
        <f t="shared" si="14"/>
        <v/>
      </c>
    </row>
    <row r="429" spans="1:21" x14ac:dyDescent="0.35">
      <c r="A429" s="126" t="s">
        <v>0</v>
      </c>
      <c r="B429" s="126" t="s">
        <v>708</v>
      </c>
      <c r="C429" s="126" t="s">
        <v>2</v>
      </c>
      <c r="D429" s="126" t="s">
        <v>3</v>
      </c>
      <c r="E429" s="126">
        <v>97.82</v>
      </c>
      <c r="F429" s="126" t="s">
        <v>88</v>
      </c>
      <c r="G429" s="108">
        <v>45432</v>
      </c>
      <c r="H429" s="126" t="s">
        <v>89</v>
      </c>
      <c r="I429" s="126" t="s">
        <v>7842</v>
      </c>
      <c r="J429" s="126"/>
      <c r="K429" s="126" t="s">
        <v>7840</v>
      </c>
      <c r="L429" s="126" t="s">
        <v>7843</v>
      </c>
      <c r="M429" s="126" t="s">
        <v>399</v>
      </c>
      <c r="Q429" s="3">
        <f t="shared" si="13"/>
        <v>97.82</v>
      </c>
      <c r="S429" s="55" t="s">
        <v>9013</v>
      </c>
      <c r="U429" s="3" t="str">
        <f t="shared" si="14"/>
        <v/>
      </c>
    </row>
    <row r="430" spans="1:21" x14ac:dyDescent="0.35">
      <c r="A430" s="126" t="s">
        <v>35</v>
      </c>
      <c r="B430" s="126" t="s">
        <v>2543</v>
      </c>
      <c r="C430" s="126" t="s">
        <v>2</v>
      </c>
      <c r="D430" s="126" t="s">
        <v>3</v>
      </c>
      <c r="E430" s="126">
        <v>97.199999999999989</v>
      </c>
      <c r="F430" s="126" t="s">
        <v>88</v>
      </c>
      <c r="G430" s="108">
        <v>45435</v>
      </c>
      <c r="H430" s="126" t="s">
        <v>94</v>
      </c>
      <c r="I430" s="126" t="s">
        <v>444</v>
      </c>
      <c r="J430" s="126" t="s">
        <v>445</v>
      </c>
      <c r="K430" s="126"/>
      <c r="L430" s="126"/>
      <c r="M430" s="126"/>
      <c r="N430" s="126"/>
      <c r="O430" s="126" t="s">
        <v>537</v>
      </c>
      <c r="Q430" s="3">
        <f t="shared" si="13"/>
        <v>97.199999999999989</v>
      </c>
      <c r="S430" s="55" t="s">
        <v>138</v>
      </c>
      <c r="U430" s="3" t="str">
        <f t="shared" si="14"/>
        <v/>
      </c>
    </row>
    <row r="431" spans="1:21" x14ac:dyDescent="0.35">
      <c r="A431" s="126" t="s">
        <v>35</v>
      </c>
      <c r="B431" s="126" t="s">
        <v>2543</v>
      </c>
      <c r="C431" s="126" t="s">
        <v>2</v>
      </c>
      <c r="D431" s="126" t="s">
        <v>3</v>
      </c>
      <c r="E431" s="126">
        <v>97.07</v>
      </c>
      <c r="F431" s="126" t="s">
        <v>88</v>
      </c>
      <c r="G431" s="108">
        <v>45615</v>
      </c>
      <c r="H431" s="126" t="s">
        <v>94</v>
      </c>
      <c r="I431" s="126" t="s">
        <v>453</v>
      </c>
      <c r="J431" s="126" t="s">
        <v>395</v>
      </c>
      <c r="K431" s="126"/>
      <c r="L431" s="126"/>
      <c r="M431" s="126"/>
      <c r="N431" s="126"/>
      <c r="O431" s="126" t="s">
        <v>537</v>
      </c>
      <c r="Q431" s="3">
        <f t="shared" si="13"/>
        <v>97.07</v>
      </c>
      <c r="S431" s="55" t="s">
        <v>586</v>
      </c>
      <c r="U431" s="3" t="str">
        <f t="shared" si="14"/>
        <v/>
      </c>
    </row>
    <row r="432" spans="1:21" x14ac:dyDescent="0.35">
      <c r="A432" s="126" t="s">
        <v>35</v>
      </c>
      <c r="B432" s="126" t="s">
        <v>2543</v>
      </c>
      <c r="C432" s="126" t="s">
        <v>2</v>
      </c>
      <c r="D432" s="126" t="s">
        <v>3</v>
      </c>
      <c r="E432" s="126">
        <v>96.81</v>
      </c>
      <c r="F432" s="126" t="s">
        <v>88</v>
      </c>
      <c r="G432" s="108">
        <v>45594</v>
      </c>
      <c r="H432" s="126" t="s">
        <v>94</v>
      </c>
      <c r="I432" s="126" t="s">
        <v>510</v>
      </c>
      <c r="J432" s="126" t="s">
        <v>514</v>
      </c>
      <c r="K432" s="126"/>
      <c r="L432" s="126"/>
      <c r="M432" s="126"/>
      <c r="N432" s="126"/>
      <c r="O432" s="126" t="s">
        <v>537</v>
      </c>
      <c r="Q432" s="3">
        <f t="shared" si="13"/>
        <v>96.81</v>
      </c>
      <c r="S432" s="55" t="s">
        <v>138</v>
      </c>
      <c r="U432" s="3" t="str">
        <f t="shared" si="14"/>
        <v/>
      </c>
    </row>
    <row r="433" spans="1:21" x14ac:dyDescent="0.35">
      <c r="A433" s="126" t="s">
        <v>35</v>
      </c>
      <c r="B433" s="126" t="s">
        <v>2543</v>
      </c>
      <c r="C433" s="126" t="s">
        <v>2</v>
      </c>
      <c r="D433" s="126" t="s">
        <v>3</v>
      </c>
      <c r="E433" s="126">
        <v>96.73</v>
      </c>
      <c r="F433" s="126" t="s">
        <v>88</v>
      </c>
      <c r="G433" s="108">
        <v>45474</v>
      </c>
      <c r="H433" s="126" t="s">
        <v>94</v>
      </c>
      <c r="I433" s="126" t="s">
        <v>456</v>
      </c>
      <c r="J433" s="126" t="s">
        <v>8074</v>
      </c>
      <c r="K433" s="126"/>
      <c r="L433" s="126"/>
      <c r="M433" s="126"/>
      <c r="N433" s="126"/>
      <c r="O433" s="126" t="s">
        <v>555</v>
      </c>
      <c r="Q433" s="3">
        <f t="shared" si="13"/>
        <v>96.73</v>
      </c>
      <c r="S433" s="55" t="s">
        <v>586</v>
      </c>
      <c r="U433" s="3" t="str">
        <f t="shared" si="14"/>
        <v/>
      </c>
    </row>
    <row r="434" spans="1:21" x14ac:dyDescent="0.35">
      <c r="A434" s="126" t="s">
        <v>0</v>
      </c>
      <c r="B434" s="126" t="s">
        <v>893</v>
      </c>
      <c r="C434" s="126" t="s">
        <v>2</v>
      </c>
      <c r="D434" s="126" t="s">
        <v>3</v>
      </c>
      <c r="E434" s="126">
        <v>96.72</v>
      </c>
      <c r="F434" s="126" t="s">
        <v>88</v>
      </c>
      <c r="G434" s="108">
        <v>45544</v>
      </c>
      <c r="H434" s="126" t="s">
        <v>89</v>
      </c>
      <c r="I434" s="126" t="s">
        <v>8400</v>
      </c>
      <c r="J434" s="126"/>
      <c r="K434" s="126" t="s">
        <v>8321</v>
      </c>
      <c r="L434" s="126" t="s">
        <v>8401</v>
      </c>
      <c r="M434" s="126" t="s">
        <v>399</v>
      </c>
      <c r="N434" s="126"/>
      <c r="O434" s="126"/>
      <c r="Q434" s="3">
        <f t="shared" si="13"/>
        <v>96.72</v>
      </c>
      <c r="S434" s="55" t="s">
        <v>9013</v>
      </c>
      <c r="U434" s="3" t="str">
        <f t="shared" si="14"/>
        <v/>
      </c>
    </row>
    <row r="435" spans="1:21" x14ac:dyDescent="0.35">
      <c r="A435" s="126" t="s">
        <v>0</v>
      </c>
      <c r="B435" s="126" t="s">
        <v>893</v>
      </c>
      <c r="C435" s="126" t="s">
        <v>2</v>
      </c>
      <c r="D435" s="126" t="s">
        <v>3</v>
      </c>
      <c r="E435" s="126">
        <v>96.72</v>
      </c>
      <c r="F435" s="126" t="s">
        <v>88</v>
      </c>
      <c r="G435" s="108">
        <v>45635</v>
      </c>
      <c r="H435" s="126" t="s">
        <v>89</v>
      </c>
      <c r="I435" s="126" t="s">
        <v>8881</v>
      </c>
      <c r="J435" s="126"/>
      <c r="K435" s="126" t="s">
        <v>8735</v>
      </c>
      <c r="L435" s="126" t="s">
        <v>8882</v>
      </c>
      <c r="M435" s="126" t="s">
        <v>399</v>
      </c>
      <c r="Q435" s="3">
        <f t="shared" si="13"/>
        <v>96.72</v>
      </c>
      <c r="S435" s="55" t="s">
        <v>9013</v>
      </c>
      <c r="U435" s="3" t="str">
        <f t="shared" si="14"/>
        <v/>
      </c>
    </row>
    <row r="436" spans="1:21" x14ac:dyDescent="0.35">
      <c r="A436" s="126" t="s">
        <v>0</v>
      </c>
      <c r="B436" s="126" t="s">
        <v>893</v>
      </c>
      <c r="C436" s="126" t="s">
        <v>2</v>
      </c>
      <c r="D436" s="126" t="s">
        <v>3</v>
      </c>
      <c r="E436" s="126">
        <v>96.71</v>
      </c>
      <c r="F436" s="126" t="s">
        <v>88</v>
      </c>
      <c r="G436" s="108">
        <v>45390</v>
      </c>
      <c r="H436" s="126" t="s">
        <v>89</v>
      </c>
      <c r="I436" s="126" t="s">
        <v>7671</v>
      </c>
      <c r="J436" s="126"/>
      <c r="K436" s="126" t="s">
        <v>7672</v>
      </c>
      <c r="L436" s="126" t="s">
        <v>7673</v>
      </c>
      <c r="M436" s="126" t="s">
        <v>399</v>
      </c>
      <c r="N436" s="126"/>
      <c r="O436" s="126"/>
      <c r="Q436" s="3">
        <f t="shared" si="13"/>
        <v>96.71</v>
      </c>
      <c r="S436" s="55" t="s">
        <v>9013</v>
      </c>
      <c r="U436" s="3" t="str">
        <f t="shared" si="14"/>
        <v/>
      </c>
    </row>
    <row r="437" spans="1:21" x14ac:dyDescent="0.35">
      <c r="A437" s="126" t="s">
        <v>35</v>
      </c>
      <c r="B437" s="126" t="s">
        <v>1480</v>
      </c>
      <c r="C437" s="126" t="s">
        <v>2</v>
      </c>
      <c r="D437" s="126" t="s">
        <v>3</v>
      </c>
      <c r="E437" s="126">
        <v>96.71</v>
      </c>
      <c r="F437" s="126" t="s">
        <v>88</v>
      </c>
      <c r="G437" s="108">
        <v>45462</v>
      </c>
      <c r="H437" s="126" t="s">
        <v>94</v>
      </c>
      <c r="I437" s="126" t="s">
        <v>326</v>
      </c>
      <c r="J437" s="126" t="s">
        <v>327</v>
      </c>
      <c r="K437" s="126"/>
      <c r="L437" s="126"/>
      <c r="M437" s="126"/>
      <c r="N437" s="126"/>
      <c r="O437" s="126" t="s">
        <v>7032</v>
      </c>
      <c r="Q437" s="3">
        <f t="shared" si="13"/>
        <v>96.71</v>
      </c>
      <c r="S437" s="55" t="s">
        <v>138</v>
      </c>
      <c r="U437" s="3" t="str">
        <f t="shared" si="14"/>
        <v/>
      </c>
    </row>
    <row r="438" spans="1:21" x14ac:dyDescent="0.35">
      <c r="A438" s="126" t="s">
        <v>0</v>
      </c>
      <c r="B438" s="126" t="s">
        <v>1075</v>
      </c>
      <c r="C438" s="126" t="s">
        <v>2</v>
      </c>
      <c r="D438" s="126" t="s">
        <v>3</v>
      </c>
      <c r="E438" s="126">
        <v>96.21</v>
      </c>
      <c r="F438" s="126" t="s">
        <v>88</v>
      </c>
      <c r="G438" s="108">
        <v>45435</v>
      </c>
      <c r="H438" s="126" t="s">
        <v>89</v>
      </c>
      <c r="I438" s="126" t="s">
        <v>7879</v>
      </c>
      <c r="J438" s="126"/>
      <c r="K438" s="126" t="s">
        <v>7880</v>
      </c>
      <c r="L438" s="126" t="s">
        <v>7881</v>
      </c>
      <c r="M438" s="126" t="s">
        <v>269</v>
      </c>
      <c r="N438" s="126"/>
      <c r="O438" s="126"/>
      <c r="Q438" s="3">
        <f t="shared" si="13"/>
        <v>96.21</v>
      </c>
      <c r="S438" s="55" t="s">
        <v>9016</v>
      </c>
      <c r="U438" s="3" t="str">
        <f t="shared" si="14"/>
        <v/>
      </c>
    </row>
    <row r="439" spans="1:21" x14ac:dyDescent="0.35">
      <c r="A439" s="126" t="s">
        <v>35</v>
      </c>
      <c r="B439" s="126" t="s">
        <v>4622</v>
      </c>
      <c r="C439" s="126" t="s">
        <v>2</v>
      </c>
      <c r="D439" s="126" t="s">
        <v>3</v>
      </c>
      <c r="E439" s="126">
        <v>96.14</v>
      </c>
      <c r="F439" s="126" t="s">
        <v>88</v>
      </c>
      <c r="G439" s="108">
        <v>45625</v>
      </c>
      <c r="H439" s="126" t="s">
        <v>94</v>
      </c>
      <c r="I439" s="126" t="s">
        <v>4612</v>
      </c>
      <c r="J439" s="126" t="s">
        <v>8819</v>
      </c>
      <c r="K439" s="126"/>
      <c r="L439" s="126"/>
      <c r="M439" s="126"/>
      <c r="N439" s="126"/>
      <c r="O439" s="126" t="s">
        <v>8820</v>
      </c>
      <c r="Q439" s="3">
        <f t="shared" si="13"/>
        <v>96.14</v>
      </c>
      <c r="S439" s="55" t="s">
        <v>138</v>
      </c>
      <c r="U439" s="3" t="str">
        <f t="shared" si="14"/>
        <v/>
      </c>
    </row>
    <row r="440" spans="1:21" x14ac:dyDescent="0.35">
      <c r="A440" s="126" t="s">
        <v>0</v>
      </c>
      <c r="B440" s="126" t="s">
        <v>969</v>
      </c>
      <c r="C440" s="126" t="s">
        <v>2</v>
      </c>
      <c r="D440" s="126" t="s">
        <v>3</v>
      </c>
      <c r="E440" s="126">
        <v>95.77</v>
      </c>
      <c r="F440" s="126" t="s">
        <v>88</v>
      </c>
      <c r="G440" s="108">
        <v>45568</v>
      </c>
      <c r="H440" s="126" t="s">
        <v>89</v>
      </c>
      <c r="I440" s="126" t="s">
        <v>8517</v>
      </c>
      <c r="J440" s="126"/>
      <c r="K440" s="126" t="s">
        <v>8518</v>
      </c>
      <c r="L440" s="126" t="s">
        <v>8519</v>
      </c>
      <c r="M440" s="126" t="s">
        <v>7709</v>
      </c>
      <c r="N440" s="126"/>
      <c r="O440" s="126"/>
      <c r="Q440" s="3">
        <f t="shared" si="13"/>
        <v>95.77</v>
      </c>
      <c r="S440" s="55" t="s">
        <v>9027</v>
      </c>
      <c r="U440" s="3" t="str">
        <f t="shared" si="14"/>
        <v/>
      </c>
    </row>
    <row r="441" spans="1:21" x14ac:dyDescent="0.35">
      <c r="A441" s="126" t="s">
        <v>0</v>
      </c>
      <c r="B441" s="126" t="s">
        <v>969</v>
      </c>
      <c r="C441" s="126" t="s">
        <v>2</v>
      </c>
      <c r="D441" s="126" t="s">
        <v>3</v>
      </c>
      <c r="E441" s="126">
        <v>95.77</v>
      </c>
      <c r="F441" s="126" t="s">
        <v>88</v>
      </c>
      <c r="G441" s="108">
        <v>45601</v>
      </c>
      <c r="H441" s="126" t="s">
        <v>89</v>
      </c>
      <c r="I441" s="126" t="s">
        <v>8653</v>
      </c>
      <c r="J441" s="126"/>
      <c r="K441" s="126" t="s">
        <v>7655</v>
      </c>
      <c r="L441" s="126" t="s">
        <v>8654</v>
      </c>
      <c r="M441" s="126" t="s">
        <v>7709</v>
      </c>
      <c r="N441" s="126"/>
      <c r="O441" s="126"/>
      <c r="Q441" s="3">
        <f t="shared" si="13"/>
        <v>95.77</v>
      </c>
      <c r="S441" s="55" t="s">
        <v>9027</v>
      </c>
      <c r="U441" s="3" t="str">
        <f t="shared" si="14"/>
        <v/>
      </c>
    </row>
    <row r="442" spans="1:21" x14ac:dyDescent="0.35">
      <c r="A442" s="126" t="s">
        <v>35</v>
      </c>
      <c r="B442" s="126" t="s">
        <v>2543</v>
      </c>
      <c r="C442" s="126" t="s">
        <v>2</v>
      </c>
      <c r="D442" s="126" t="s">
        <v>3</v>
      </c>
      <c r="E442" s="126">
        <v>95.48</v>
      </c>
      <c r="F442" s="126" t="s">
        <v>88</v>
      </c>
      <c r="G442" s="108">
        <v>45495</v>
      </c>
      <c r="H442" s="126" t="s">
        <v>94</v>
      </c>
      <c r="I442" s="126" t="s">
        <v>453</v>
      </c>
      <c r="J442" s="126" t="s">
        <v>395</v>
      </c>
      <c r="K442" s="126"/>
      <c r="L442" s="126"/>
      <c r="M442" s="126"/>
      <c r="N442" s="126"/>
      <c r="O442" s="126" t="s">
        <v>537</v>
      </c>
      <c r="Q442" s="3">
        <f t="shared" si="13"/>
        <v>95.48</v>
      </c>
      <c r="S442" s="55" t="s">
        <v>586</v>
      </c>
      <c r="U442" s="3" t="str">
        <f t="shared" si="14"/>
        <v/>
      </c>
    </row>
    <row r="443" spans="1:21" x14ac:dyDescent="0.35">
      <c r="A443" s="126" t="s">
        <v>0</v>
      </c>
      <c r="B443" s="126" t="s">
        <v>7675</v>
      </c>
      <c r="C443" s="126" t="s">
        <v>2</v>
      </c>
      <c r="D443" s="126" t="s">
        <v>3</v>
      </c>
      <c r="E443" s="126">
        <v>94.82</v>
      </c>
      <c r="F443" s="126" t="s">
        <v>88</v>
      </c>
      <c r="G443" s="108">
        <v>45517</v>
      </c>
      <c r="H443" s="126" t="s">
        <v>89</v>
      </c>
      <c r="I443" s="126" t="s">
        <v>8323</v>
      </c>
      <c r="J443" s="126"/>
      <c r="K443" s="126" t="s">
        <v>8321</v>
      </c>
      <c r="L443" s="126" t="s">
        <v>8324</v>
      </c>
      <c r="M443" s="126" t="s">
        <v>399</v>
      </c>
      <c r="N443" s="126"/>
      <c r="O443" s="126"/>
      <c r="Q443" s="3">
        <f t="shared" si="13"/>
        <v>94.82</v>
      </c>
      <c r="S443" s="55" t="s">
        <v>9013</v>
      </c>
      <c r="U443" s="3" t="str">
        <f t="shared" si="14"/>
        <v/>
      </c>
    </row>
    <row r="444" spans="1:21" x14ac:dyDescent="0.35">
      <c r="A444" s="126" t="s">
        <v>35</v>
      </c>
      <c r="B444" s="126" t="s">
        <v>615</v>
      </c>
      <c r="C444" s="126" t="s">
        <v>2</v>
      </c>
      <c r="D444" s="126" t="s">
        <v>3</v>
      </c>
      <c r="E444" s="126">
        <v>94.55</v>
      </c>
      <c r="F444" s="126" t="s">
        <v>88</v>
      </c>
      <c r="G444" s="108">
        <v>45534</v>
      </c>
      <c r="H444" s="126" t="s">
        <v>94</v>
      </c>
      <c r="I444" s="126" t="s">
        <v>8372</v>
      </c>
      <c r="J444" s="126" t="s">
        <v>8371</v>
      </c>
      <c r="K444" s="126"/>
      <c r="L444" s="126"/>
      <c r="M444" s="126"/>
      <c r="N444" s="126"/>
      <c r="O444" s="126" t="s">
        <v>8373</v>
      </c>
      <c r="Q444" s="3">
        <f t="shared" si="13"/>
        <v>94.55</v>
      </c>
      <c r="S444" s="55" t="s">
        <v>138</v>
      </c>
      <c r="U444" s="3" t="str">
        <f t="shared" si="14"/>
        <v/>
      </c>
    </row>
    <row r="445" spans="1:21" x14ac:dyDescent="0.35">
      <c r="A445" s="126" t="s">
        <v>0</v>
      </c>
      <c r="B445" s="126" t="s">
        <v>1043</v>
      </c>
      <c r="C445" s="126" t="s">
        <v>2</v>
      </c>
      <c r="D445" s="126" t="s">
        <v>3</v>
      </c>
      <c r="E445" s="126">
        <v>94.09</v>
      </c>
      <c r="F445" s="126" t="s">
        <v>88</v>
      </c>
      <c r="G445" s="108">
        <v>45432</v>
      </c>
      <c r="H445" s="126" t="s">
        <v>89</v>
      </c>
      <c r="I445" s="126" t="s">
        <v>7839</v>
      </c>
      <c r="J445" s="126"/>
      <c r="K445" s="126" t="s">
        <v>7840</v>
      </c>
      <c r="L445" s="126" t="s">
        <v>7841</v>
      </c>
      <c r="M445" s="126" t="s">
        <v>399</v>
      </c>
      <c r="N445" s="35"/>
      <c r="O445" s="35"/>
      <c r="Q445" s="3">
        <f t="shared" si="13"/>
        <v>94.09</v>
      </c>
      <c r="S445" s="55" t="s">
        <v>9013</v>
      </c>
      <c r="U445" s="3" t="str">
        <f t="shared" si="14"/>
        <v/>
      </c>
    </row>
    <row r="446" spans="1:21" x14ac:dyDescent="0.35">
      <c r="A446" s="126" t="s">
        <v>0</v>
      </c>
      <c r="B446" s="126" t="s">
        <v>1043</v>
      </c>
      <c r="C446" s="126" t="s">
        <v>2</v>
      </c>
      <c r="D446" s="126" t="s">
        <v>3</v>
      </c>
      <c r="E446" s="126">
        <v>94.09</v>
      </c>
      <c r="F446" s="126" t="s">
        <v>88</v>
      </c>
      <c r="G446" s="108">
        <v>45454</v>
      </c>
      <c r="H446" s="126" t="s">
        <v>89</v>
      </c>
      <c r="I446" s="126" t="s">
        <v>7958</v>
      </c>
      <c r="J446" s="126"/>
      <c r="K446" s="126" t="s">
        <v>7959</v>
      </c>
      <c r="L446" s="126" t="s">
        <v>7960</v>
      </c>
      <c r="M446" s="126" t="s">
        <v>399</v>
      </c>
      <c r="N446" s="126"/>
      <c r="O446" s="126"/>
      <c r="Q446" s="3">
        <f t="shared" si="13"/>
        <v>94.09</v>
      </c>
      <c r="S446" s="55" t="s">
        <v>9013</v>
      </c>
      <c r="U446" s="3" t="str">
        <f t="shared" si="14"/>
        <v/>
      </c>
    </row>
    <row r="447" spans="1:21" x14ac:dyDescent="0.35">
      <c r="A447" s="126" t="s">
        <v>0</v>
      </c>
      <c r="B447" s="126" t="s">
        <v>1043</v>
      </c>
      <c r="C447" s="126" t="s">
        <v>2</v>
      </c>
      <c r="D447" s="126" t="s">
        <v>3</v>
      </c>
      <c r="E447" s="126">
        <v>94.09</v>
      </c>
      <c r="F447" s="126" t="s">
        <v>88</v>
      </c>
      <c r="G447" s="108">
        <v>45485</v>
      </c>
      <c r="H447" s="126" t="s">
        <v>89</v>
      </c>
      <c r="I447" s="126" t="s">
        <v>8134</v>
      </c>
      <c r="J447" s="126"/>
      <c r="K447" s="126" t="s">
        <v>8135</v>
      </c>
      <c r="L447" s="126" t="s">
        <v>8136</v>
      </c>
      <c r="M447" s="126" t="s">
        <v>399</v>
      </c>
      <c r="N447" s="126"/>
      <c r="O447" s="126"/>
      <c r="Q447" s="3">
        <f t="shared" si="13"/>
        <v>94.09</v>
      </c>
      <c r="S447" s="55" t="s">
        <v>9013</v>
      </c>
      <c r="U447" s="3" t="str">
        <f t="shared" si="14"/>
        <v/>
      </c>
    </row>
    <row r="448" spans="1:21" x14ac:dyDescent="0.35">
      <c r="A448" s="126" t="s">
        <v>0</v>
      </c>
      <c r="B448" s="126" t="s">
        <v>1043</v>
      </c>
      <c r="C448" s="126" t="s">
        <v>2</v>
      </c>
      <c r="D448" s="126" t="s">
        <v>3</v>
      </c>
      <c r="E448" s="126">
        <v>94.09</v>
      </c>
      <c r="F448" s="126" t="s">
        <v>88</v>
      </c>
      <c r="G448" s="108">
        <v>45517</v>
      </c>
      <c r="H448" s="126" t="s">
        <v>89</v>
      </c>
      <c r="I448" s="126" t="s">
        <v>8320</v>
      </c>
      <c r="J448" s="126"/>
      <c r="K448" s="126" t="s">
        <v>8321</v>
      </c>
      <c r="L448" s="126" t="s">
        <v>8322</v>
      </c>
      <c r="M448" s="126" t="s">
        <v>399</v>
      </c>
      <c r="Q448" s="3">
        <f t="shared" si="13"/>
        <v>94.09</v>
      </c>
      <c r="S448" s="55" t="s">
        <v>9013</v>
      </c>
      <c r="U448" s="3" t="str">
        <f t="shared" si="14"/>
        <v/>
      </c>
    </row>
    <row r="449" spans="1:21" x14ac:dyDescent="0.35">
      <c r="A449" s="126" t="s">
        <v>0</v>
      </c>
      <c r="B449" s="126" t="s">
        <v>1043</v>
      </c>
      <c r="C449" s="126" t="s">
        <v>2</v>
      </c>
      <c r="D449" s="126" t="s">
        <v>3</v>
      </c>
      <c r="E449" s="126">
        <v>94.09</v>
      </c>
      <c r="F449" s="126" t="s">
        <v>88</v>
      </c>
      <c r="G449" s="108">
        <v>45551</v>
      </c>
      <c r="H449" s="126" t="s">
        <v>89</v>
      </c>
      <c r="I449" s="126" t="s">
        <v>8431</v>
      </c>
      <c r="J449" s="126"/>
      <c r="K449" s="126" t="s">
        <v>8432</v>
      </c>
      <c r="L449" s="126" t="s">
        <v>8433</v>
      </c>
      <c r="M449" s="126" t="s">
        <v>399</v>
      </c>
      <c r="N449" s="126"/>
      <c r="O449" s="126"/>
      <c r="Q449" s="3">
        <f t="shared" si="13"/>
        <v>94.09</v>
      </c>
      <c r="S449" s="55" t="s">
        <v>9013</v>
      </c>
      <c r="U449" s="3" t="str">
        <f t="shared" si="14"/>
        <v/>
      </c>
    </row>
    <row r="450" spans="1:21" x14ac:dyDescent="0.35">
      <c r="A450" s="126" t="s">
        <v>35</v>
      </c>
      <c r="B450" s="126" t="s">
        <v>4583</v>
      </c>
      <c r="C450" s="126" t="s">
        <v>2</v>
      </c>
      <c r="D450" s="126" t="s">
        <v>3</v>
      </c>
      <c r="E450" s="126">
        <v>93.86</v>
      </c>
      <c r="F450" s="126" t="s">
        <v>88</v>
      </c>
      <c r="G450" s="108">
        <v>45642</v>
      </c>
      <c r="H450" s="126" t="s">
        <v>94</v>
      </c>
      <c r="I450" s="126" t="s">
        <v>501</v>
      </c>
      <c r="J450" s="126" t="s">
        <v>502</v>
      </c>
      <c r="K450" s="126"/>
      <c r="L450" s="126"/>
      <c r="M450" s="126"/>
      <c r="N450" s="126"/>
      <c r="O450" s="126" t="s">
        <v>8384</v>
      </c>
      <c r="Q450" s="3">
        <f t="shared" si="13"/>
        <v>93.86</v>
      </c>
      <c r="S450" s="55" t="s">
        <v>9014</v>
      </c>
      <c r="U450" s="3" t="str">
        <f t="shared" si="14"/>
        <v/>
      </c>
    </row>
    <row r="451" spans="1:21" x14ac:dyDescent="0.35">
      <c r="A451" s="126" t="s">
        <v>35</v>
      </c>
      <c r="B451" s="126" t="s">
        <v>893</v>
      </c>
      <c r="C451" s="126" t="s">
        <v>2</v>
      </c>
      <c r="D451" s="126" t="s">
        <v>3</v>
      </c>
      <c r="E451" s="126">
        <v>93.64</v>
      </c>
      <c r="F451" s="126" t="s">
        <v>88</v>
      </c>
      <c r="G451" s="108">
        <v>45602</v>
      </c>
      <c r="H451" s="126" t="s">
        <v>94</v>
      </c>
      <c r="I451" s="126" t="s">
        <v>8669</v>
      </c>
      <c r="J451" s="126" t="s">
        <v>8670</v>
      </c>
      <c r="K451" s="126"/>
      <c r="L451" s="126"/>
      <c r="M451" s="126"/>
      <c r="N451" s="126"/>
      <c r="O451" s="126" t="s">
        <v>8671</v>
      </c>
      <c r="Q451" s="3">
        <f t="shared" si="13"/>
        <v>93.64</v>
      </c>
      <c r="S451" s="55" t="s">
        <v>138</v>
      </c>
      <c r="U451" s="3" t="str">
        <f t="shared" si="14"/>
        <v/>
      </c>
    </row>
    <row r="452" spans="1:21" x14ac:dyDescent="0.35">
      <c r="A452" s="126" t="s">
        <v>35</v>
      </c>
      <c r="B452" s="126" t="s">
        <v>1533</v>
      </c>
      <c r="C452" s="126" t="s">
        <v>2</v>
      </c>
      <c r="D452" s="126" t="s">
        <v>3</v>
      </c>
      <c r="E452" s="126">
        <v>93.55</v>
      </c>
      <c r="F452" s="126" t="s">
        <v>88</v>
      </c>
      <c r="G452" s="108">
        <v>45656</v>
      </c>
      <c r="H452" s="126" t="s">
        <v>94</v>
      </c>
      <c r="I452" s="126" t="s">
        <v>9008</v>
      </c>
      <c r="J452" s="126" t="s">
        <v>9009</v>
      </c>
      <c r="K452" s="126"/>
      <c r="L452" s="126"/>
      <c r="M452" s="126"/>
      <c r="N452" s="126"/>
      <c r="O452" s="126" t="s">
        <v>9010</v>
      </c>
      <c r="Q452" s="3">
        <f t="shared" si="13"/>
        <v>93.55</v>
      </c>
      <c r="S452" s="55" t="s">
        <v>138</v>
      </c>
      <c r="U452" s="3" t="str">
        <f t="shared" si="14"/>
        <v/>
      </c>
    </row>
    <row r="453" spans="1:21" x14ac:dyDescent="0.35">
      <c r="A453" s="126" t="s">
        <v>35</v>
      </c>
      <c r="B453" s="126" t="s">
        <v>1280</v>
      </c>
      <c r="C453" s="126" t="s">
        <v>2</v>
      </c>
      <c r="D453" s="126" t="s">
        <v>3</v>
      </c>
      <c r="E453" s="126">
        <v>93.39</v>
      </c>
      <c r="F453" s="126" t="s">
        <v>88</v>
      </c>
      <c r="G453" s="108">
        <v>45644</v>
      </c>
      <c r="H453" s="126" t="s">
        <v>94</v>
      </c>
      <c r="I453" s="126" t="s">
        <v>426</v>
      </c>
      <c r="J453" s="126" t="s">
        <v>8992</v>
      </c>
      <c r="K453" s="126"/>
      <c r="L453" s="126"/>
      <c r="M453" s="126"/>
      <c r="N453" s="126"/>
      <c r="O453" s="126" t="s">
        <v>541</v>
      </c>
      <c r="Q453" s="3">
        <f t="shared" si="13"/>
        <v>93.39</v>
      </c>
      <c r="S453" s="55" t="s">
        <v>1285</v>
      </c>
      <c r="U453" s="3" t="str">
        <f t="shared" si="14"/>
        <v/>
      </c>
    </row>
    <row r="454" spans="1:21" x14ac:dyDescent="0.35">
      <c r="A454" s="126" t="s">
        <v>35</v>
      </c>
      <c r="B454" s="126" t="s">
        <v>1280</v>
      </c>
      <c r="C454" s="126" t="s">
        <v>2</v>
      </c>
      <c r="D454" s="126" t="s">
        <v>3</v>
      </c>
      <c r="E454" s="126">
        <v>93</v>
      </c>
      <c r="F454" s="126" t="s">
        <v>88</v>
      </c>
      <c r="G454" s="108">
        <v>45544</v>
      </c>
      <c r="H454" s="126" t="s">
        <v>94</v>
      </c>
      <c r="I454" s="126" t="s">
        <v>7172</v>
      </c>
      <c r="J454" s="126" t="s">
        <v>6974</v>
      </c>
      <c r="K454" s="126"/>
      <c r="L454" s="126"/>
      <c r="M454" s="126"/>
      <c r="N454" s="126"/>
      <c r="O454" s="126" t="s">
        <v>7173</v>
      </c>
      <c r="Q454" s="3">
        <f t="shared" si="13"/>
        <v>93</v>
      </c>
      <c r="S454" s="55" t="s">
        <v>138</v>
      </c>
      <c r="U454" s="3" t="str">
        <f t="shared" si="14"/>
        <v/>
      </c>
    </row>
    <row r="455" spans="1:21" x14ac:dyDescent="0.35">
      <c r="A455" s="126" t="s">
        <v>35</v>
      </c>
      <c r="B455" s="126" t="s">
        <v>2543</v>
      </c>
      <c r="C455" s="126" t="s">
        <v>2</v>
      </c>
      <c r="D455" s="126" t="s">
        <v>3</v>
      </c>
      <c r="E455" s="126">
        <v>92.45</v>
      </c>
      <c r="F455" s="126" t="s">
        <v>88</v>
      </c>
      <c r="G455" s="108">
        <v>45656</v>
      </c>
      <c r="H455" s="126" t="s">
        <v>94</v>
      </c>
      <c r="I455" s="126" t="s">
        <v>456</v>
      </c>
      <c r="J455" s="126" t="s">
        <v>8477</v>
      </c>
      <c r="K455" s="126"/>
      <c r="L455" s="126"/>
      <c r="M455" s="126"/>
      <c r="N455" s="126"/>
      <c r="O455" s="126" t="s">
        <v>543</v>
      </c>
      <c r="Q455" s="3">
        <f t="shared" si="13"/>
        <v>92.45</v>
      </c>
      <c r="S455" s="55" t="s">
        <v>586</v>
      </c>
      <c r="U455" s="3" t="str">
        <f t="shared" si="14"/>
        <v/>
      </c>
    </row>
    <row r="456" spans="1:21" x14ac:dyDescent="0.35">
      <c r="A456" s="126" t="s">
        <v>0</v>
      </c>
      <c r="B456" s="126" t="s">
        <v>6156</v>
      </c>
      <c r="C456" s="126" t="s">
        <v>2</v>
      </c>
      <c r="D456" s="126" t="s">
        <v>3</v>
      </c>
      <c r="E456" s="126">
        <v>92.38</v>
      </c>
      <c r="F456" s="126" t="s">
        <v>88</v>
      </c>
      <c r="G456" s="108">
        <v>45391</v>
      </c>
      <c r="H456" s="126" t="s">
        <v>89</v>
      </c>
      <c r="I456" s="126" t="s">
        <v>7691</v>
      </c>
      <c r="J456" s="126"/>
      <c r="K456" s="126" t="s">
        <v>7672</v>
      </c>
      <c r="L456" s="126" t="s">
        <v>7692</v>
      </c>
      <c r="M456" s="126" t="s">
        <v>399</v>
      </c>
      <c r="N456" s="126"/>
      <c r="O456" s="126"/>
      <c r="Q456" s="3">
        <f t="shared" ref="Q456:Q519" si="15">ABS(E456)</f>
        <v>92.38</v>
      </c>
      <c r="S456" s="55" t="s">
        <v>9013</v>
      </c>
      <c r="U456" s="3" t="str">
        <f t="shared" ref="U456:U519" si="16">IF(T456="Y",E456,"")</f>
        <v/>
      </c>
    </row>
    <row r="457" spans="1:21" x14ac:dyDescent="0.35">
      <c r="A457" s="126" t="s">
        <v>0</v>
      </c>
      <c r="B457" s="126" t="s">
        <v>6156</v>
      </c>
      <c r="C457" s="126" t="s">
        <v>2</v>
      </c>
      <c r="D457" s="126" t="s">
        <v>3</v>
      </c>
      <c r="E457" s="126">
        <v>92.36</v>
      </c>
      <c r="F457" s="126" t="s">
        <v>88</v>
      </c>
      <c r="G457" s="108">
        <v>45635</v>
      </c>
      <c r="H457" s="126" t="s">
        <v>89</v>
      </c>
      <c r="I457" s="126" t="s">
        <v>8878</v>
      </c>
      <c r="J457" s="126"/>
      <c r="K457" s="126" t="s">
        <v>8879</v>
      </c>
      <c r="L457" s="126" t="s">
        <v>8880</v>
      </c>
      <c r="M457" s="126" t="s">
        <v>399</v>
      </c>
      <c r="Q457" s="3">
        <f t="shared" si="15"/>
        <v>92.36</v>
      </c>
      <c r="S457" s="55" t="s">
        <v>9013</v>
      </c>
      <c r="U457" s="3" t="str">
        <f t="shared" si="16"/>
        <v/>
      </c>
    </row>
    <row r="458" spans="1:21" x14ac:dyDescent="0.35">
      <c r="A458" s="126" t="s">
        <v>0</v>
      </c>
      <c r="B458" s="126" t="s">
        <v>6156</v>
      </c>
      <c r="C458" s="126" t="s">
        <v>2</v>
      </c>
      <c r="D458" s="126" t="s">
        <v>3</v>
      </c>
      <c r="E458" s="126">
        <v>92.35</v>
      </c>
      <c r="F458" s="126" t="s">
        <v>88</v>
      </c>
      <c r="G458" s="108">
        <v>45432</v>
      </c>
      <c r="H458" s="126" t="s">
        <v>89</v>
      </c>
      <c r="I458" s="126" t="s">
        <v>7839</v>
      </c>
      <c r="J458" s="126"/>
      <c r="K458" s="126" t="s">
        <v>7840</v>
      </c>
      <c r="L458" s="126" t="s">
        <v>7841</v>
      </c>
      <c r="M458" s="126" t="s">
        <v>399</v>
      </c>
      <c r="N458" s="35"/>
      <c r="O458" s="35"/>
      <c r="Q458" s="3">
        <f t="shared" si="15"/>
        <v>92.35</v>
      </c>
      <c r="S458" s="55" t="s">
        <v>9013</v>
      </c>
      <c r="U458" s="3" t="str">
        <f t="shared" si="16"/>
        <v/>
      </c>
    </row>
    <row r="459" spans="1:21" x14ac:dyDescent="0.35">
      <c r="A459" s="126" t="s">
        <v>0</v>
      </c>
      <c r="B459" s="126" t="s">
        <v>6156</v>
      </c>
      <c r="C459" s="126" t="s">
        <v>2</v>
      </c>
      <c r="D459" s="126" t="s">
        <v>3</v>
      </c>
      <c r="E459" s="126">
        <v>92.35</v>
      </c>
      <c r="F459" s="126" t="s">
        <v>88</v>
      </c>
      <c r="G459" s="108">
        <v>45454</v>
      </c>
      <c r="H459" s="126" t="s">
        <v>89</v>
      </c>
      <c r="I459" s="126" t="s">
        <v>7958</v>
      </c>
      <c r="J459" s="126"/>
      <c r="K459" s="126" t="s">
        <v>7959</v>
      </c>
      <c r="L459" s="126" t="s">
        <v>7960</v>
      </c>
      <c r="M459" s="126" t="s">
        <v>399</v>
      </c>
      <c r="Q459" s="3">
        <f t="shared" si="15"/>
        <v>92.35</v>
      </c>
      <c r="S459" s="55" t="s">
        <v>9013</v>
      </c>
      <c r="U459" s="3" t="str">
        <f t="shared" si="16"/>
        <v/>
      </c>
    </row>
    <row r="460" spans="1:21" x14ac:dyDescent="0.35">
      <c r="A460" s="126" t="s">
        <v>0</v>
      </c>
      <c r="B460" s="126" t="s">
        <v>6156</v>
      </c>
      <c r="C460" s="126" t="s">
        <v>2</v>
      </c>
      <c r="D460" s="126" t="s">
        <v>3</v>
      </c>
      <c r="E460" s="126">
        <v>92.35</v>
      </c>
      <c r="F460" s="126" t="s">
        <v>88</v>
      </c>
      <c r="G460" s="108">
        <v>45485</v>
      </c>
      <c r="H460" s="126" t="s">
        <v>89</v>
      </c>
      <c r="I460" s="126" t="s">
        <v>8134</v>
      </c>
      <c r="J460" s="126"/>
      <c r="K460" s="126" t="s">
        <v>8135</v>
      </c>
      <c r="L460" s="126" t="s">
        <v>8136</v>
      </c>
      <c r="M460" s="126" t="s">
        <v>399</v>
      </c>
      <c r="Q460" s="3">
        <f t="shared" si="15"/>
        <v>92.35</v>
      </c>
      <c r="S460" s="55" t="s">
        <v>9013</v>
      </c>
      <c r="U460" s="3" t="str">
        <f t="shared" si="16"/>
        <v/>
      </c>
    </row>
    <row r="461" spans="1:21" x14ac:dyDescent="0.35">
      <c r="A461" s="126" t="s">
        <v>0</v>
      </c>
      <c r="B461" s="126" t="s">
        <v>6156</v>
      </c>
      <c r="C461" s="126" t="s">
        <v>2</v>
      </c>
      <c r="D461" s="126" t="s">
        <v>3</v>
      </c>
      <c r="E461" s="126">
        <v>92.35</v>
      </c>
      <c r="F461" s="126" t="s">
        <v>88</v>
      </c>
      <c r="G461" s="108">
        <v>45517</v>
      </c>
      <c r="H461" s="126" t="s">
        <v>89</v>
      </c>
      <c r="I461" s="126" t="s">
        <v>8320</v>
      </c>
      <c r="J461" s="126"/>
      <c r="K461" s="126" t="s">
        <v>8321</v>
      </c>
      <c r="L461" s="126" t="s">
        <v>8322</v>
      </c>
      <c r="M461" s="126" t="s">
        <v>399</v>
      </c>
      <c r="Q461" s="3">
        <f t="shared" si="15"/>
        <v>92.35</v>
      </c>
      <c r="S461" s="55" t="s">
        <v>9013</v>
      </c>
      <c r="U461" s="3" t="str">
        <f t="shared" si="16"/>
        <v/>
      </c>
    </row>
    <row r="462" spans="1:21" x14ac:dyDescent="0.35">
      <c r="A462" s="126" t="s">
        <v>0</v>
      </c>
      <c r="B462" s="126" t="s">
        <v>6156</v>
      </c>
      <c r="C462" s="126" t="s">
        <v>2</v>
      </c>
      <c r="D462" s="126" t="s">
        <v>3</v>
      </c>
      <c r="E462" s="126">
        <v>92.35</v>
      </c>
      <c r="F462" s="126" t="s">
        <v>88</v>
      </c>
      <c r="G462" s="108">
        <v>45551</v>
      </c>
      <c r="H462" s="126" t="s">
        <v>89</v>
      </c>
      <c r="I462" s="126" t="s">
        <v>8431</v>
      </c>
      <c r="J462" s="126"/>
      <c r="K462" s="126" t="s">
        <v>8432</v>
      </c>
      <c r="L462" s="126" t="s">
        <v>8433</v>
      </c>
      <c r="M462" s="126" t="s">
        <v>399</v>
      </c>
      <c r="N462" s="126"/>
      <c r="O462" s="126"/>
      <c r="Q462" s="3">
        <f t="shared" si="15"/>
        <v>92.35</v>
      </c>
      <c r="S462" s="55" t="s">
        <v>9013</v>
      </c>
      <c r="U462" s="3" t="str">
        <f t="shared" si="16"/>
        <v/>
      </c>
    </row>
    <row r="463" spans="1:21" x14ac:dyDescent="0.35">
      <c r="A463" s="126" t="s">
        <v>0</v>
      </c>
      <c r="B463" s="126" t="s">
        <v>789</v>
      </c>
      <c r="C463" s="126" t="s">
        <v>2</v>
      </c>
      <c r="D463" s="126" t="s">
        <v>3</v>
      </c>
      <c r="E463" s="126">
        <v>92.34</v>
      </c>
      <c r="F463" s="126" t="s">
        <v>88</v>
      </c>
      <c r="G463" s="108">
        <v>45505</v>
      </c>
      <c r="H463" s="126" t="s">
        <v>89</v>
      </c>
      <c r="I463" s="126" t="s">
        <v>8248</v>
      </c>
      <c r="J463" s="126"/>
      <c r="K463" s="126" t="s">
        <v>8135</v>
      </c>
      <c r="L463" s="126" t="s">
        <v>8249</v>
      </c>
      <c r="M463" s="126" t="s">
        <v>399</v>
      </c>
      <c r="Q463" s="3">
        <f t="shared" si="15"/>
        <v>92.34</v>
      </c>
      <c r="S463" s="55" t="s">
        <v>9013</v>
      </c>
      <c r="U463" s="3" t="str">
        <f t="shared" si="16"/>
        <v/>
      </c>
    </row>
    <row r="464" spans="1:21" x14ac:dyDescent="0.35">
      <c r="A464" s="126" t="s">
        <v>0</v>
      </c>
      <c r="B464" s="126" t="s">
        <v>969</v>
      </c>
      <c r="C464" s="126" t="s">
        <v>2</v>
      </c>
      <c r="D464" s="126" t="s">
        <v>3</v>
      </c>
      <c r="E464" s="126">
        <v>92.08</v>
      </c>
      <c r="F464" s="126" t="s">
        <v>88</v>
      </c>
      <c r="G464" s="108">
        <v>45631</v>
      </c>
      <c r="H464" s="126" t="s">
        <v>89</v>
      </c>
      <c r="I464" s="126" t="s">
        <v>8851</v>
      </c>
      <c r="J464" s="126"/>
      <c r="K464" s="126" t="s">
        <v>8836</v>
      </c>
      <c r="L464" s="126" t="s">
        <v>8852</v>
      </c>
      <c r="M464" s="126" t="s">
        <v>420</v>
      </c>
      <c r="N464" s="126"/>
      <c r="O464" s="126"/>
      <c r="Q464" s="3">
        <f t="shared" si="15"/>
        <v>92.08</v>
      </c>
      <c r="S464" s="55" t="s">
        <v>138</v>
      </c>
      <c r="U464" s="3" t="str">
        <f t="shared" si="16"/>
        <v/>
      </c>
    </row>
    <row r="465" spans="1:21" x14ac:dyDescent="0.35">
      <c r="A465" s="126" t="s">
        <v>35</v>
      </c>
      <c r="B465" s="126" t="s">
        <v>4583</v>
      </c>
      <c r="C465" s="126" t="s">
        <v>2</v>
      </c>
      <c r="D465" s="126" t="s">
        <v>3</v>
      </c>
      <c r="E465" s="126">
        <v>91.31</v>
      </c>
      <c r="F465" s="126" t="s">
        <v>88</v>
      </c>
      <c r="G465" s="108">
        <v>45509</v>
      </c>
      <c r="H465" s="126" t="s">
        <v>94</v>
      </c>
      <c r="I465" s="126" t="s">
        <v>501</v>
      </c>
      <c r="J465" s="126" t="s">
        <v>502</v>
      </c>
      <c r="K465" s="126"/>
      <c r="L465" s="126"/>
      <c r="M465" s="126"/>
      <c r="N465" s="126"/>
      <c r="O465" s="126" t="s">
        <v>574</v>
      </c>
      <c r="Q465" s="3">
        <f t="shared" si="15"/>
        <v>91.31</v>
      </c>
      <c r="S465" s="55" t="s">
        <v>9014</v>
      </c>
      <c r="U465" s="3" t="str">
        <f t="shared" si="16"/>
        <v/>
      </c>
    </row>
    <row r="466" spans="1:21" x14ac:dyDescent="0.35">
      <c r="A466" s="126" t="s">
        <v>35</v>
      </c>
      <c r="B466" s="126" t="s">
        <v>893</v>
      </c>
      <c r="C466" s="126" t="s">
        <v>2</v>
      </c>
      <c r="D466" s="126" t="s">
        <v>3</v>
      </c>
      <c r="E466" s="126">
        <v>90.91</v>
      </c>
      <c r="F466" s="126" t="s">
        <v>88</v>
      </c>
      <c r="G466" s="108">
        <v>45461</v>
      </c>
      <c r="H466" s="126" t="s">
        <v>94</v>
      </c>
      <c r="I466" s="126" t="s">
        <v>894</v>
      </c>
      <c r="J466" s="126" t="s">
        <v>8013</v>
      </c>
      <c r="K466" s="126"/>
      <c r="L466" s="126"/>
      <c r="M466" s="126"/>
      <c r="N466" s="126"/>
      <c r="O466" s="126" t="s">
        <v>8014</v>
      </c>
      <c r="Q466" s="3">
        <f t="shared" si="15"/>
        <v>90.91</v>
      </c>
      <c r="S466" s="55" t="s">
        <v>138</v>
      </c>
      <c r="U466" s="3" t="str">
        <f t="shared" si="16"/>
        <v/>
      </c>
    </row>
    <row r="467" spans="1:21" x14ac:dyDescent="0.35">
      <c r="A467" s="126" t="s">
        <v>35</v>
      </c>
      <c r="B467" s="126" t="s">
        <v>615</v>
      </c>
      <c r="C467" s="126" t="s">
        <v>2</v>
      </c>
      <c r="D467" s="126" t="s">
        <v>3</v>
      </c>
      <c r="E467" s="126">
        <v>90.91</v>
      </c>
      <c r="F467" s="126" t="s">
        <v>88</v>
      </c>
      <c r="G467" s="108">
        <v>45504</v>
      </c>
      <c r="H467" s="126" t="s">
        <v>94</v>
      </c>
      <c r="I467" s="126" t="s">
        <v>498</v>
      </c>
      <c r="J467" s="126" t="s">
        <v>8225</v>
      </c>
      <c r="K467" s="126"/>
      <c r="L467" s="126"/>
      <c r="M467" s="126"/>
      <c r="N467" s="126"/>
      <c r="O467" s="126" t="s">
        <v>8226</v>
      </c>
      <c r="Q467" s="3">
        <f t="shared" si="15"/>
        <v>90.91</v>
      </c>
      <c r="S467" s="55" t="s">
        <v>138</v>
      </c>
      <c r="U467" s="3" t="str">
        <f t="shared" si="16"/>
        <v/>
      </c>
    </row>
    <row r="468" spans="1:21" x14ac:dyDescent="0.35">
      <c r="A468" s="126" t="s">
        <v>35</v>
      </c>
      <c r="B468" s="126" t="s">
        <v>3466</v>
      </c>
      <c r="C468" s="126" t="s">
        <v>2</v>
      </c>
      <c r="D468" s="126" t="s">
        <v>3</v>
      </c>
      <c r="E468" s="126">
        <v>90.91</v>
      </c>
      <c r="F468" s="126" t="s">
        <v>88</v>
      </c>
      <c r="G468" s="108">
        <v>45520</v>
      </c>
      <c r="H468" s="126" t="s">
        <v>94</v>
      </c>
      <c r="I468" s="126" t="s">
        <v>5290</v>
      </c>
      <c r="J468" s="126" t="s">
        <v>8339</v>
      </c>
      <c r="K468" s="126"/>
      <c r="L468" s="126"/>
      <c r="M468" s="126"/>
      <c r="N468" s="126"/>
      <c r="O468" s="126" t="s">
        <v>8342</v>
      </c>
      <c r="Q468" s="3">
        <f t="shared" si="15"/>
        <v>90.91</v>
      </c>
      <c r="S468" s="55" t="s">
        <v>138</v>
      </c>
      <c r="U468" s="3" t="str">
        <f t="shared" si="16"/>
        <v/>
      </c>
    </row>
    <row r="469" spans="1:21" x14ac:dyDescent="0.35">
      <c r="A469" s="126" t="s">
        <v>35</v>
      </c>
      <c r="B469" s="126" t="s">
        <v>893</v>
      </c>
      <c r="C469" s="126" t="s">
        <v>2</v>
      </c>
      <c r="D469" s="126" t="s">
        <v>3</v>
      </c>
      <c r="E469" s="126">
        <v>90.91</v>
      </c>
      <c r="F469" s="126" t="s">
        <v>88</v>
      </c>
      <c r="G469" s="108">
        <v>45553</v>
      </c>
      <c r="H469" s="126" t="s">
        <v>94</v>
      </c>
      <c r="I469" s="126" t="s">
        <v>894</v>
      </c>
      <c r="J469" s="126" t="s">
        <v>8452</v>
      </c>
      <c r="K469" s="126"/>
      <c r="L469" s="126"/>
      <c r="M469" s="126"/>
      <c r="N469" s="126"/>
      <c r="O469" s="126" t="s">
        <v>8453</v>
      </c>
      <c r="Q469" s="3">
        <f t="shared" si="15"/>
        <v>90.91</v>
      </c>
      <c r="S469" s="55" t="s">
        <v>138</v>
      </c>
      <c r="U469" s="3" t="str">
        <f t="shared" si="16"/>
        <v/>
      </c>
    </row>
    <row r="470" spans="1:21" x14ac:dyDescent="0.35">
      <c r="A470" s="126" t="s">
        <v>35</v>
      </c>
      <c r="B470" s="126" t="s">
        <v>2031</v>
      </c>
      <c r="C470" s="126" t="s">
        <v>2</v>
      </c>
      <c r="D470" s="126" t="s">
        <v>3</v>
      </c>
      <c r="E470" s="126">
        <v>90.91</v>
      </c>
      <c r="F470" s="126" t="s">
        <v>88</v>
      </c>
      <c r="G470" s="108">
        <v>45632</v>
      </c>
      <c r="H470" s="126" t="s">
        <v>94</v>
      </c>
      <c r="I470" s="126" t="s">
        <v>2091</v>
      </c>
      <c r="J470" s="126" t="s">
        <v>8871</v>
      </c>
      <c r="K470" s="126"/>
      <c r="L470" s="126"/>
      <c r="M470" s="126"/>
      <c r="N470" s="126"/>
      <c r="O470" s="126" t="s">
        <v>8872</v>
      </c>
      <c r="Q470" s="3">
        <f t="shared" si="15"/>
        <v>90.91</v>
      </c>
      <c r="S470" s="55" t="s">
        <v>138</v>
      </c>
      <c r="U470" s="3" t="str">
        <f t="shared" si="16"/>
        <v/>
      </c>
    </row>
    <row r="471" spans="1:21" x14ac:dyDescent="0.35">
      <c r="A471" s="126" t="s">
        <v>35</v>
      </c>
      <c r="B471" s="126" t="s">
        <v>633</v>
      </c>
      <c r="C471" s="126" t="s">
        <v>2</v>
      </c>
      <c r="D471" s="126" t="s">
        <v>3</v>
      </c>
      <c r="E471" s="126">
        <v>90.86</v>
      </c>
      <c r="F471" s="126" t="s">
        <v>88</v>
      </c>
      <c r="G471" s="108">
        <v>45565</v>
      </c>
      <c r="H471" s="126" t="s">
        <v>94</v>
      </c>
      <c r="I471" s="126" t="s">
        <v>4984</v>
      </c>
      <c r="J471" s="126" t="s">
        <v>8480</v>
      </c>
      <c r="K471" s="126"/>
      <c r="L471" s="126"/>
      <c r="M471" s="126"/>
      <c r="N471" s="126"/>
      <c r="O471" s="126" t="s">
        <v>8481</v>
      </c>
      <c r="Q471" s="3">
        <f t="shared" si="15"/>
        <v>90.86</v>
      </c>
      <c r="S471" s="55" t="s">
        <v>9019</v>
      </c>
      <c r="U471" s="3" t="str">
        <f t="shared" si="16"/>
        <v/>
      </c>
    </row>
    <row r="472" spans="1:21" x14ac:dyDescent="0.35">
      <c r="A472" s="126" t="s">
        <v>35</v>
      </c>
      <c r="B472" s="126" t="s">
        <v>869</v>
      </c>
      <c r="C472" s="126" t="s">
        <v>2</v>
      </c>
      <c r="D472" s="126" t="s">
        <v>3</v>
      </c>
      <c r="E472" s="126">
        <v>90.46</v>
      </c>
      <c r="F472" s="126" t="s">
        <v>88</v>
      </c>
      <c r="G472" s="108">
        <v>45580</v>
      </c>
      <c r="H472" s="126" t="s">
        <v>94</v>
      </c>
      <c r="I472" s="126" t="s">
        <v>8570</v>
      </c>
      <c r="J472" s="126" t="s">
        <v>8571</v>
      </c>
      <c r="K472" s="126"/>
      <c r="L472" s="126"/>
      <c r="M472" s="126"/>
      <c r="N472" s="126"/>
      <c r="O472" s="126" t="s">
        <v>8572</v>
      </c>
      <c r="Q472" s="3">
        <f t="shared" si="15"/>
        <v>90.46</v>
      </c>
      <c r="S472" s="55" t="s">
        <v>138</v>
      </c>
      <c r="U472" s="3" t="str">
        <f t="shared" si="16"/>
        <v/>
      </c>
    </row>
    <row r="473" spans="1:21" x14ac:dyDescent="0.35">
      <c r="A473" s="126" t="s">
        <v>35</v>
      </c>
      <c r="B473" s="126" t="s">
        <v>698</v>
      </c>
      <c r="C473" s="126" t="s">
        <v>2</v>
      </c>
      <c r="D473" s="126" t="s">
        <v>3</v>
      </c>
      <c r="E473" s="126">
        <v>89.97</v>
      </c>
      <c r="F473" s="126" t="s">
        <v>88</v>
      </c>
      <c r="G473" s="108">
        <v>45516</v>
      </c>
      <c r="H473" s="126" t="s">
        <v>94</v>
      </c>
      <c r="I473" s="126" t="s">
        <v>8313</v>
      </c>
      <c r="J473" s="126" t="s">
        <v>8314</v>
      </c>
      <c r="K473" s="126"/>
      <c r="L473" s="126"/>
      <c r="M473" s="126"/>
      <c r="N473" s="126"/>
      <c r="O473" s="126" t="s">
        <v>8315</v>
      </c>
      <c r="Q473" s="3">
        <f t="shared" si="15"/>
        <v>89.97</v>
      </c>
      <c r="S473" s="55" t="s">
        <v>9025</v>
      </c>
      <c r="U473" s="3" t="str">
        <f t="shared" si="16"/>
        <v/>
      </c>
    </row>
    <row r="474" spans="1:21" x14ac:dyDescent="0.35">
      <c r="A474" s="126" t="s">
        <v>35</v>
      </c>
      <c r="B474" s="126" t="s">
        <v>915</v>
      </c>
      <c r="C474" s="126" t="s">
        <v>2</v>
      </c>
      <c r="D474" s="126" t="s">
        <v>3</v>
      </c>
      <c r="E474" s="126">
        <v>89.49</v>
      </c>
      <c r="F474" s="126" t="s">
        <v>88</v>
      </c>
      <c r="G474" s="108">
        <v>45637</v>
      </c>
      <c r="H474" s="126" t="s">
        <v>94</v>
      </c>
      <c r="I474" s="126" t="s">
        <v>7766</v>
      </c>
      <c r="J474" s="126" t="s">
        <v>8945</v>
      </c>
      <c r="K474" s="126"/>
      <c r="L474" s="126"/>
      <c r="M474" s="126"/>
      <c r="N474" s="126"/>
      <c r="O474" s="126" t="s">
        <v>8946</v>
      </c>
      <c r="Q474" s="3">
        <f t="shared" si="15"/>
        <v>89.49</v>
      </c>
      <c r="S474" s="55" t="s">
        <v>53</v>
      </c>
      <c r="T474" t="s">
        <v>64</v>
      </c>
      <c r="U474" s="3">
        <f t="shared" si="16"/>
        <v>89.49</v>
      </c>
    </row>
    <row r="475" spans="1:21" x14ac:dyDescent="0.35">
      <c r="A475" s="126" t="s">
        <v>0</v>
      </c>
      <c r="B475" s="126" t="s">
        <v>1075</v>
      </c>
      <c r="C475" s="126" t="s">
        <v>2</v>
      </c>
      <c r="D475" s="126" t="s">
        <v>3</v>
      </c>
      <c r="E475" s="126">
        <v>89.389999999999986</v>
      </c>
      <c r="F475" s="126" t="s">
        <v>88</v>
      </c>
      <c r="G475" s="108">
        <v>45601</v>
      </c>
      <c r="H475" s="126" t="s">
        <v>89</v>
      </c>
      <c r="I475" s="126" t="s">
        <v>8649</v>
      </c>
      <c r="J475" s="126"/>
      <c r="K475" s="126" t="s">
        <v>7880</v>
      </c>
      <c r="L475" s="126" t="s">
        <v>8650</v>
      </c>
      <c r="M475" s="126" t="s">
        <v>396</v>
      </c>
      <c r="N475" s="126"/>
      <c r="O475" s="126"/>
      <c r="Q475" s="3">
        <f t="shared" si="15"/>
        <v>89.389999999999986</v>
      </c>
      <c r="S475" s="55" t="s">
        <v>9016</v>
      </c>
      <c r="U475" s="3" t="str">
        <f t="shared" si="16"/>
        <v/>
      </c>
    </row>
    <row r="476" spans="1:21" x14ac:dyDescent="0.35">
      <c r="A476" s="126" t="s">
        <v>0</v>
      </c>
      <c r="B476" s="126" t="s">
        <v>893</v>
      </c>
      <c r="C476" s="126" t="s">
        <v>2</v>
      </c>
      <c r="D476" s="126" t="s">
        <v>3</v>
      </c>
      <c r="E476" s="126">
        <v>89.13</v>
      </c>
      <c r="F476" s="126" t="s">
        <v>88</v>
      </c>
      <c r="G476" s="108">
        <v>45432</v>
      </c>
      <c r="H476" s="126" t="s">
        <v>89</v>
      </c>
      <c r="I476" s="126" t="s">
        <v>7842</v>
      </c>
      <c r="J476" s="126"/>
      <c r="K476" s="126" t="s">
        <v>7840</v>
      </c>
      <c r="L476" s="126" t="s">
        <v>7843</v>
      </c>
      <c r="M476" s="126" t="s">
        <v>399</v>
      </c>
      <c r="N476" s="35"/>
      <c r="O476" s="35"/>
      <c r="Q476" s="3">
        <f t="shared" si="15"/>
        <v>89.13</v>
      </c>
      <c r="S476" s="55" t="s">
        <v>9013</v>
      </c>
      <c r="U476" s="3" t="str">
        <f t="shared" si="16"/>
        <v/>
      </c>
    </row>
    <row r="477" spans="1:21" x14ac:dyDescent="0.35">
      <c r="A477" s="126" t="s">
        <v>0</v>
      </c>
      <c r="B477" s="126" t="s">
        <v>893</v>
      </c>
      <c r="C477" s="126" t="s">
        <v>2</v>
      </c>
      <c r="D477" s="126" t="s">
        <v>3</v>
      </c>
      <c r="E477" s="126">
        <v>89.13</v>
      </c>
      <c r="F477" s="126" t="s">
        <v>88</v>
      </c>
      <c r="G477" s="108">
        <v>45569</v>
      </c>
      <c r="H477" s="126" t="s">
        <v>89</v>
      </c>
      <c r="I477" s="126" t="s">
        <v>8524</v>
      </c>
      <c r="J477" s="126"/>
      <c r="K477" s="126" t="s">
        <v>8525</v>
      </c>
      <c r="L477" s="126" t="s">
        <v>8526</v>
      </c>
      <c r="M477" s="126" t="s">
        <v>399</v>
      </c>
      <c r="Q477" s="3">
        <f t="shared" si="15"/>
        <v>89.13</v>
      </c>
      <c r="S477" s="55" t="s">
        <v>9013</v>
      </c>
      <c r="U477" s="3" t="str">
        <f t="shared" si="16"/>
        <v/>
      </c>
    </row>
    <row r="478" spans="1:21" x14ac:dyDescent="0.35">
      <c r="A478" s="126" t="s">
        <v>0</v>
      </c>
      <c r="B478" s="126" t="s">
        <v>893</v>
      </c>
      <c r="C478" s="126" t="s">
        <v>2</v>
      </c>
      <c r="D478" s="126" t="s">
        <v>3</v>
      </c>
      <c r="E478" s="126">
        <v>89.13</v>
      </c>
      <c r="F478" s="126" t="s">
        <v>88</v>
      </c>
      <c r="G478" s="108">
        <v>45611</v>
      </c>
      <c r="H478" s="126" t="s">
        <v>89</v>
      </c>
      <c r="I478" s="126" t="s">
        <v>8737</v>
      </c>
      <c r="J478" s="126"/>
      <c r="K478" s="126" t="s">
        <v>8522</v>
      </c>
      <c r="L478" s="126" t="s">
        <v>8738</v>
      </c>
      <c r="M478" s="126" t="s">
        <v>399</v>
      </c>
      <c r="Q478" s="3">
        <f t="shared" si="15"/>
        <v>89.13</v>
      </c>
      <c r="S478" s="55" t="s">
        <v>9013</v>
      </c>
      <c r="U478" s="3" t="str">
        <f t="shared" si="16"/>
        <v/>
      </c>
    </row>
    <row r="479" spans="1:21" x14ac:dyDescent="0.35">
      <c r="A479" s="126" t="s">
        <v>35</v>
      </c>
      <c r="B479" s="126" t="s">
        <v>724</v>
      </c>
      <c r="C479" s="126" t="s">
        <v>2</v>
      </c>
      <c r="D479" s="126" t="s">
        <v>3</v>
      </c>
      <c r="E479" s="126">
        <v>89.09</v>
      </c>
      <c r="F479" s="126" t="s">
        <v>88</v>
      </c>
      <c r="G479" s="108">
        <v>45618</v>
      </c>
      <c r="H479" s="126" t="s">
        <v>94</v>
      </c>
      <c r="I479" s="126" t="s">
        <v>8780</v>
      </c>
      <c r="J479" s="126" t="s">
        <v>8781</v>
      </c>
      <c r="K479" s="126"/>
      <c r="L479" s="126"/>
      <c r="M479" s="126"/>
      <c r="N479" s="126"/>
      <c r="O479" s="126" t="s">
        <v>8782</v>
      </c>
      <c r="Q479" s="3">
        <f t="shared" si="15"/>
        <v>89.09</v>
      </c>
      <c r="U479" s="3" t="str">
        <f t="shared" si="16"/>
        <v/>
      </c>
    </row>
    <row r="480" spans="1:21" x14ac:dyDescent="0.35">
      <c r="A480" s="126" t="s">
        <v>35</v>
      </c>
      <c r="B480" s="126" t="s">
        <v>953</v>
      </c>
      <c r="C480" s="126" t="s">
        <v>2</v>
      </c>
      <c r="D480" s="126" t="s">
        <v>3</v>
      </c>
      <c r="E480" s="126">
        <v>88.86</v>
      </c>
      <c r="F480" s="126" t="s">
        <v>88</v>
      </c>
      <c r="G480" s="108">
        <v>45453</v>
      </c>
      <c r="H480" s="126" t="s">
        <v>94</v>
      </c>
      <c r="I480" s="126" t="s">
        <v>516</v>
      </c>
      <c r="J480" s="126" t="s">
        <v>7952</v>
      </c>
      <c r="K480" s="126"/>
      <c r="L480" s="126"/>
      <c r="M480" s="126"/>
      <c r="N480" s="126"/>
      <c r="O480" s="126" t="s">
        <v>7953</v>
      </c>
      <c r="Q480" s="3">
        <f t="shared" si="15"/>
        <v>88.86</v>
      </c>
      <c r="U480" s="3" t="str">
        <f t="shared" si="16"/>
        <v/>
      </c>
    </row>
    <row r="481" spans="1:21" x14ac:dyDescent="0.35">
      <c r="A481" s="126" t="s">
        <v>35</v>
      </c>
      <c r="B481" s="126" t="s">
        <v>1216</v>
      </c>
      <c r="C481" s="126" t="s">
        <v>2</v>
      </c>
      <c r="D481" s="126" t="s">
        <v>3</v>
      </c>
      <c r="E481" s="126">
        <v>88.41</v>
      </c>
      <c r="F481" s="126" t="s">
        <v>88</v>
      </c>
      <c r="G481" s="108">
        <v>45621</v>
      </c>
      <c r="H481" s="126" t="s">
        <v>94</v>
      </c>
      <c r="I481" s="126" t="s">
        <v>249</v>
      </c>
      <c r="J481" s="126" t="s">
        <v>8797</v>
      </c>
      <c r="K481" s="126"/>
      <c r="L481" s="126"/>
      <c r="M481" s="126"/>
      <c r="N481" s="126"/>
      <c r="O481" s="126" t="s">
        <v>6589</v>
      </c>
      <c r="Q481" s="3">
        <f t="shared" si="15"/>
        <v>88.41</v>
      </c>
      <c r="U481" s="3" t="str">
        <f t="shared" si="16"/>
        <v/>
      </c>
    </row>
    <row r="482" spans="1:21" x14ac:dyDescent="0.35">
      <c r="A482" s="126" t="s">
        <v>35</v>
      </c>
      <c r="B482" s="126" t="s">
        <v>4583</v>
      </c>
      <c r="C482" s="126" t="s">
        <v>2</v>
      </c>
      <c r="D482" s="126" t="s">
        <v>3</v>
      </c>
      <c r="E482" s="126">
        <v>88.360000000000014</v>
      </c>
      <c r="F482" s="126" t="s">
        <v>88</v>
      </c>
      <c r="G482" s="108">
        <v>45475</v>
      </c>
      <c r="H482" s="126" t="s">
        <v>94</v>
      </c>
      <c r="I482" s="126" t="s">
        <v>501</v>
      </c>
      <c r="J482" s="126" t="s">
        <v>502</v>
      </c>
      <c r="K482" s="126"/>
      <c r="L482" s="126"/>
      <c r="M482" s="126"/>
      <c r="N482" s="126"/>
      <c r="O482" s="126" t="s">
        <v>574</v>
      </c>
      <c r="Q482" s="3">
        <f t="shared" si="15"/>
        <v>88.360000000000014</v>
      </c>
      <c r="S482" s="55" t="s">
        <v>9014</v>
      </c>
      <c r="U482" s="3" t="str">
        <f t="shared" si="16"/>
        <v/>
      </c>
    </row>
    <row r="483" spans="1:21" x14ac:dyDescent="0.35">
      <c r="A483" s="126" t="s">
        <v>0</v>
      </c>
      <c r="B483" s="126" t="s">
        <v>1106</v>
      </c>
      <c r="C483" s="126" t="s">
        <v>2</v>
      </c>
      <c r="D483" s="126" t="s">
        <v>3</v>
      </c>
      <c r="E483" s="126">
        <v>87.99</v>
      </c>
      <c r="F483" s="126" t="s">
        <v>88</v>
      </c>
      <c r="G483" s="108">
        <v>45635</v>
      </c>
      <c r="H483" s="126" t="s">
        <v>89</v>
      </c>
      <c r="I483" s="126" t="s">
        <v>8881</v>
      </c>
      <c r="J483" s="126"/>
      <c r="K483" s="126" t="s">
        <v>8735</v>
      </c>
      <c r="L483" s="126" t="s">
        <v>8882</v>
      </c>
      <c r="M483" s="126" t="s">
        <v>399</v>
      </c>
      <c r="Q483" s="3">
        <f t="shared" si="15"/>
        <v>87.99</v>
      </c>
      <c r="S483" s="55" t="s">
        <v>9013</v>
      </c>
      <c r="U483" s="3" t="str">
        <f t="shared" si="16"/>
        <v/>
      </c>
    </row>
    <row r="484" spans="1:21" x14ac:dyDescent="0.35">
      <c r="A484" s="126" t="s">
        <v>0</v>
      </c>
      <c r="B484" s="126" t="s">
        <v>606</v>
      </c>
      <c r="C484" s="126" t="s">
        <v>2</v>
      </c>
      <c r="D484" s="126" t="s">
        <v>3</v>
      </c>
      <c r="E484" s="126">
        <v>87.83</v>
      </c>
      <c r="F484" s="126" t="s">
        <v>88</v>
      </c>
      <c r="G484" s="108">
        <v>45390</v>
      </c>
      <c r="H484" s="126" t="s">
        <v>89</v>
      </c>
      <c r="I484" s="126" t="s">
        <v>7671</v>
      </c>
      <c r="J484" s="126"/>
      <c r="K484" s="126" t="s">
        <v>7672</v>
      </c>
      <c r="L484" s="126" t="s">
        <v>7673</v>
      </c>
      <c r="M484" s="126" t="s">
        <v>399</v>
      </c>
      <c r="N484" s="126"/>
      <c r="O484" s="126"/>
      <c r="Q484" s="3">
        <f t="shared" si="15"/>
        <v>87.83</v>
      </c>
      <c r="S484" s="55" t="s">
        <v>9013</v>
      </c>
      <c r="U484" s="3" t="str">
        <f t="shared" si="16"/>
        <v/>
      </c>
    </row>
    <row r="485" spans="1:21" x14ac:dyDescent="0.35">
      <c r="A485" s="126" t="s">
        <v>0</v>
      </c>
      <c r="B485" s="126" t="s">
        <v>2226</v>
      </c>
      <c r="C485" s="126" t="s">
        <v>2</v>
      </c>
      <c r="D485" s="126" t="s">
        <v>3</v>
      </c>
      <c r="E485" s="126">
        <v>87.81</v>
      </c>
      <c r="F485" s="126" t="s">
        <v>88</v>
      </c>
      <c r="G485" s="108">
        <v>45390</v>
      </c>
      <c r="H485" s="126" t="s">
        <v>89</v>
      </c>
      <c r="I485" s="126" t="s">
        <v>7671</v>
      </c>
      <c r="J485" s="126"/>
      <c r="K485" s="126" t="s">
        <v>7672</v>
      </c>
      <c r="L485" s="126" t="s">
        <v>7673</v>
      </c>
      <c r="M485" s="126" t="s">
        <v>399</v>
      </c>
      <c r="N485" s="35"/>
      <c r="O485" s="35"/>
      <c r="Q485" s="3">
        <f t="shared" si="15"/>
        <v>87.81</v>
      </c>
      <c r="S485" s="55" t="s">
        <v>9013</v>
      </c>
      <c r="U485" s="3" t="str">
        <f t="shared" si="16"/>
        <v/>
      </c>
    </row>
    <row r="486" spans="1:21" x14ac:dyDescent="0.35">
      <c r="A486" s="126" t="s">
        <v>0</v>
      </c>
      <c r="B486" s="126" t="s">
        <v>2226</v>
      </c>
      <c r="C486" s="126" t="s">
        <v>2</v>
      </c>
      <c r="D486" s="126" t="s">
        <v>3</v>
      </c>
      <c r="E486" s="126">
        <v>87.81</v>
      </c>
      <c r="F486" s="126" t="s">
        <v>88</v>
      </c>
      <c r="G486" s="108">
        <v>45454</v>
      </c>
      <c r="H486" s="126" t="s">
        <v>89</v>
      </c>
      <c r="I486" s="126" t="s">
        <v>7961</v>
      </c>
      <c r="J486" s="126"/>
      <c r="K486" s="126" t="s">
        <v>7959</v>
      </c>
      <c r="L486" s="126" t="s">
        <v>7962</v>
      </c>
      <c r="M486" s="126" t="s">
        <v>399</v>
      </c>
      <c r="Q486" s="3">
        <f t="shared" si="15"/>
        <v>87.81</v>
      </c>
      <c r="S486" s="55" t="s">
        <v>9013</v>
      </c>
      <c r="U486" s="3" t="str">
        <f t="shared" si="16"/>
        <v/>
      </c>
    </row>
    <row r="487" spans="1:21" x14ac:dyDescent="0.35">
      <c r="A487" s="126" t="s">
        <v>0</v>
      </c>
      <c r="B487" s="126" t="s">
        <v>2226</v>
      </c>
      <c r="C487" s="126" t="s">
        <v>2</v>
      </c>
      <c r="D487" s="126" t="s">
        <v>3</v>
      </c>
      <c r="E487" s="126">
        <v>87.81</v>
      </c>
      <c r="F487" s="126" t="s">
        <v>88</v>
      </c>
      <c r="G487" s="108">
        <v>45544</v>
      </c>
      <c r="H487" s="126" t="s">
        <v>89</v>
      </c>
      <c r="I487" s="126" t="s">
        <v>8400</v>
      </c>
      <c r="J487" s="126"/>
      <c r="K487" s="126" t="s">
        <v>8321</v>
      </c>
      <c r="L487" s="126" t="s">
        <v>8401</v>
      </c>
      <c r="M487" s="126" t="s">
        <v>399</v>
      </c>
      <c r="Q487" s="3">
        <f t="shared" si="15"/>
        <v>87.81</v>
      </c>
      <c r="S487" s="55" t="s">
        <v>9013</v>
      </c>
      <c r="U487" s="3" t="str">
        <f t="shared" si="16"/>
        <v/>
      </c>
    </row>
    <row r="488" spans="1:21" x14ac:dyDescent="0.35">
      <c r="A488" s="126" t="s">
        <v>0</v>
      </c>
      <c r="B488" s="126" t="s">
        <v>606</v>
      </c>
      <c r="C488" s="126" t="s">
        <v>2</v>
      </c>
      <c r="D488" s="126" t="s">
        <v>3</v>
      </c>
      <c r="E488" s="126">
        <v>87.79</v>
      </c>
      <c r="F488" s="126" t="s">
        <v>88</v>
      </c>
      <c r="G488" s="108">
        <v>45544</v>
      </c>
      <c r="H488" s="126" t="s">
        <v>89</v>
      </c>
      <c r="I488" s="126" t="s">
        <v>8400</v>
      </c>
      <c r="J488" s="126"/>
      <c r="K488" s="126" t="s">
        <v>8321</v>
      </c>
      <c r="L488" s="126" t="s">
        <v>8401</v>
      </c>
      <c r="M488" s="126" t="s">
        <v>399</v>
      </c>
      <c r="Q488" s="3">
        <f t="shared" si="15"/>
        <v>87.79</v>
      </c>
      <c r="S488" s="55" t="s">
        <v>9013</v>
      </c>
      <c r="U488" s="3" t="str">
        <f t="shared" si="16"/>
        <v/>
      </c>
    </row>
    <row r="489" spans="1:21" x14ac:dyDescent="0.35">
      <c r="A489" s="126" t="s">
        <v>0</v>
      </c>
      <c r="B489" s="126" t="s">
        <v>610</v>
      </c>
      <c r="C489" s="126" t="s">
        <v>2</v>
      </c>
      <c r="D489" s="126" t="s">
        <v>3</v>
      </c>
      <c r="E489" s="126">
        <v>87.29</v>
      </c>
      <c r="F489" s="126" t="s">
        <v>88</v>
      </c>
      <c r="G489" s="108">
        <v>45457</v>
      </c>
      <c r="H489" s="126" t="s">
        <v>89</v>
      </c>
      <c r="I489" s="126" t="s">
        <v>7995</v>
      </c>
      <c r="J489" s="126"/>
      <c r="K489" s="126" t="s">
        <v>7996</v>
      </c>
      <c r="L489" s="126" t="s">
        <v>7997</v>
      </c>
      <c r="M489" s="126" t="s">
        <v>7998</v>
      </c>
      <c r="N489" s="126"/>
      <c r="O489" s="126"/>
      <c r="Q489" s="3">
        <f t="shared" si="15"/>
        <v>87.29</v>
      </c>
      <c r="S489" s="55" t="s">
        <v>9013</v>
      </c>
      <c r="U489" s="3" t="str">
        <f t="shared" si="16"/>
        <v/>
      </c>
    </row>
    <row r="490" spans="1:21" x14ac:dyDescent="0.35">
      <c r="A490" s="126" t="s">
        <v>35</v>
      </c>
      <c r="B490" s="126" t="s">
        <v>740</v>
      </c>
      <c r="C490" s="126" t="s">
        <v>2</v>
      </c>
      <c r="D490" s="126" t="s">
        <v>3</v>
      </c>
      <c r="E490" s="126">
        <v>87.27</v>
      </c>
      <c r="F490" s="126" t="s">
        <v>88</v>
      </c>
      <c r="G490" s="108">
        <v>45490</v>
      </c>
      <c r="H490" s="126" t="s">
        <v>94</v>
      </c>
      <c r="I490" s="126" t="s">
        <v>426</v>
      </c>
      <c r="J490" s="126" t="s">
        <v>8173</v>
      </c>
      <c r="K490" s="126"/>
      <c r="L490" s="126"/>
      <c r="M490" s="126"/>
      <c r="N490" s="126"/>
      <c r="O490" s="126" t="s">
        <v>8174</v>
      </c>
      <c r="Q490" s="3">
        <f t="shared" si="15"/>
        <v>87.27</v>
      </c>
      <c r="S490" s="55" t="s">
        <v>9016</v>
      </c>
      <c r="U490" s="3" t="str">
        <f t="shared" si="16"/>
        <v/>
      </c>
    </row>
    <row r="491" spans="1:21" x14ac:dyDescent="0.35">
      <c r="A491" s="126" t="s">
        <v>35</v>
      </c>
      <c r="B491" s="126" t="s">
        <v>1533</v>
      </c>
      <c r="C491" s="126" t="s">
        <v>2</v>
      </c>
      <c r="D491" s="126" t="s">
        <v>3</v>
      </c>
      <c r="E491" s="126">
        <v>87.18</v>
      </c>
      <c r="F491" s="126" t="s">
        <v>88</v>
      </c>
      <c r="G491" s="108">
        <v>45643</v>
      </c>
      <c r="H491" s="126" t="s">
        <v>94</v>
      </c>
      <c r="I491" s="126" t="s">
        <v>452</v>
      </c>
      <c r="J491" s="126" t="s">
        <v>8985</v>
      </c>
      <c r="K491" s="126"/>
      <c r="L491" s="126"/>
      <c r="M491" s="126"/>
      <c r="N491" s="126"/>
      <c r="O491" s="126" t="s">
        <v>8986</v>
      </c>
      <c r="Q491" s="3">
        <f t="shared" si="15"/>
        <v>87.18</v>
      </c>
      <c r="U491" s="3" t="str">
        <f t="shared" si="16"/>
        <v/>
      </c>
    </row>
    <row r="492" spans="1:21" x14ac:dyDescent="0.35">
      <c r="A492" s="126" t="s">
        <v>0</v>
      </c>
      <c r="B492" s="126" t="s">
        <v>3422</v>
      </c>
      <c r="C492" s="126" t="s">
        <v>2</v>
      </c>
      <c r="D492" s="126" t="s">
        <v>3</v>
      </c>
      <c r="E492" s="126">
        <v>87.04</v>
      </c>
      <c r="F492" s="126" t="s">
        <v>88</v>
      </c>
      <c r="G492" s="108">
        <v>45544</v>
      </c>
      <c r="H492" s="126" t="s">
        <v>89</v>
      </c>
      <c r="I492" s="126" t="s">
        <v>8400</v>
      </c>
      <c r="J492" s="126"/>
      <c r="K492" s="126" t="s">
        <v>8321</v>
      </c>
      <c r="L492" s="126" t="s">
        <v>8401</v>
      </c>
      <c r="M492" s="126" t="s">
        <v>399</v>
      </c>
      <c r="Q492" s="3">
        <f t="shared" si="15"/>
        <v>87.04</v>
      </c>
      <c r="S492" s="55" t="s">
        <v>9013</v>
      </c>
      <c r="U492" s="3" t="str">
        <f t="shared" si="16"/>
        <v/>
      </c>
    </row>
    <row r="493" spans="1:21" x14ac:dyDescent="0.35">
      <c r="A493" s="126" t="s">
        <v>0</v>
      </c>
      <c r="B493" s="126" t="s">
        <v>3422</v>
      </c>
      <c r="C493" s="126" t="s">
        <v>2</v>
      </c>
      <c r="D493" s="126" t="s">
        <v>3</v>
      </c>
      <c r="E493" s="126">
        <v>87.04</v>
      </c>
      <c r="F493" s="126" t="s">
        <v>88</v>
      </c>
      <c r="G493" s="108">
        <v>45635</v>
      </c>
      <c r="H493" s="126" t="s">
        <v>89</v>
      </c>
      <c r="I493" s="126" t="s">
        <v>8881</v>
      </c>
      <c r="J493" s="126"/>
      <c r="K493" s="126" t="s">
        <v>8735</v>
      </c>
      <c r="L493" s="126" t="s">
        <v>8882</v>
      </c>
      <c r="M493" s="126" t="s">
        <v>399</v>
      </c>
      <c r="Q493" s="3">
        <f t="shared" si="15"/>
        <v>87.04</v>
      </c>
      <c r="S493" s="55" t="s">
        <v>9013</v>
      </c>
      <c r="U493" s="3" t="str">
        <f t="shared" si="16"/>
        <v/>
      </c>
    </row>
    <row r="494" spans="1:21" x14ac:dyDescent="0.35">
      <c r="A494" s="126" t="s">
        <v>0</v>
      </c>
      <c r="B494" s="126" t="s">
        <v>3422</v>
      </c>
      <c r="C494" s="126" t="s">
        <v>2</v>
      </c>
      <c r="D494" s="126" t="s">
        <v>3</v>
      </c>
      <c r="E494" s="126">
        <v>87.03</v>
      </c>
      <c r="F494" s="126" t="s">
        <v>88</v>
      </c>
      <c r="G494" s="108">
        <v>45390</v>
      </c>
      <c r="H494" s="126" t="s">
        <v>89</v>
      </c>
      <c r="I494" s="126" t="s">
        <v>7671</v>
      </c>
      <c r="J494" s="126"/>
      <c r="K494" s="126" t="s">
        <v>7672</v>
      </c>
      <c r="L494" s="126" t="s">
        <v>7673</v>
      </c>
      <c r="M494" s="126" t="s">
        <v>399</v>
      </c>
      <c r="N494" s="35"/>
      <c r="O494" s="35"/>
      <c r="Q494" s="3">
        <f t="shared" si="15"/>
        <v>87.03</v>
      </c>
      <c r="S494" s="55" t="s">
        <v>9013</v>
      </c>
      <c r="U494" s="3" t="str">
        <f t="shared" si="16"/>
        <v/>
      </c>
    </row>
    <row r="495" spans="1:21" x14ac:dyDescent="0.35">
      <c r="A495" s="126" t="s">
        <v>0</v>
      </c>
      <c r="B495" s="126" t="s">
        <v>4622</v>
      </c>
      <c r="C495" s="126" t="s">
        <v>2</v>
      </c>
      <c r="D495" s="126" t="s">
        <v>3</v>
      </c>
      <c r="E495" s="126">
        <v>86.97999999999999</v>
      </c>
      <c r="F495" s="126" t="s">
        <v>88</v>
      </c>
      <c r="G495" s="108">
        <v>45454</v>
      </c>
      <c r="H495" s="126" t="s">
        <v>89</v>
      </c>
      <c r="I495" s="126" t="s">
        <v>7961</v>
      </c>
      <c r="J495" s="126"/>
      <c r="K495" s="126" t="s">
        <v>7959</v>
      </c>
      <c r="L495" s="126" t="s">
        <v>7962</v>
      </c>
      <c r="M495" s="126" t="s">
        <v>399</v>
      </c>
      <c r="Q495" s="3">
        <f t="shared" si="15"/>
        <v>86.97999999999999</v>
      </c>
      <c r="S495" s="55" t="s">
        <v>9013</v>
      </c>
      <c r="U495" s="3" t="str">
        <f t="shared" si="16"/>
        <v/>
      </c>
    </row>
    <row r="496" spans="1:21" x14ac:dyDescent="0.35">
      <c r="A496" s="126" t="s">
        <v>0</v>
      </c>
      <c r="B496" s="126" t="s">
        <v>952</v>
      </c>
      <c r="C496" s="126" t="s">
        <v>2</v>
      </c>
      <c r="D496" s="126" t="s">
        <v>3</v>
      </c>
      <c r="E496" s="126">
        <v>86.92</v>
      </c>
      <c r="F496" s="126" t="s">
        <v>88</v>
      </c>
      <c r="G496" s="108">
        <v>45569</v>
      </c>
      <c r="H496" s="126" t="s">
        <v>89</v>
      </c>
      <c r="I496" s="126" t="s">
        <v>8521</v>
      </c>
      <c r="J496" s="126"/>
      <c r="K496" s="126" t="s">
        <v>8522</v>
      </c>
      <c r="L496" s="126" t="s">
        <v>8523</v>
      </c>
      <c r="M496" s="126" t="s">
        <v>399</v>
      </c>
      <c r="N496" s="126"/>
      <c r="O496" s="126"/>
      <c r="Q496" s="3">
        <f t="shared" si="15"/>
        <v>86.92</v>
      </c>
      <c r="S496" s="55" t="s">
        <v>9013</v>
      </c>
      <c r="U496" s="3" t="str">
        <f t="shared" si="16"/>
        <v/>
      </c>
    </row>
    <row r="497" spans="1:21" x14ac:dyDescent="0.35">
      <c r="A497" s="126" t="s">
        <v>35</v>
      </c>
      <c r="B497" s="126" t="s">
        <v>615</v>
      </c>
      <c r="C497" s="126" t="s">
        <v>2</v>
      </c>
      <c r="D497" s="126" t="s">
        <v>3</v>
      </c>
      <c r="E497" s="126">
        <v>86.36</v>
      </c>
      <c r="F497" s="126" t="s">
        <v>88</v>
      </c>
      <c r="G497" s="108">
        <v>45534</v>
      </c>
      <c r="H497" s="126" t="s">
        <v>94</v>
      </c>
      <c r="I497" s="126" t="s">
        <v>447</v>
      </c>
      <c r="J497" s="126" t="s">
        <v>8371</v>
      </c>
      <c r="K497" s="126"/>
      <c r="L497" s="126"/>
      <c r="M497" s="126"/>
      <c r="N497" s="126"/>
      <c r="O497" s="126" t="s">
        <v>539</v>
      </c>
      <c r="Q497" s="3">
        <f t="shared" si="15"/>
        <v>86.36</v>
      </c>
      <c r="U497" s="3" t="str">
        <f t="shared" si="16"/>
        <v/>
      </c>
    </row>
    <row r="498" spans="1:21" x14ac:dyDescent="0.35">
      <c r="A498" s="126" t="s">
        <v>35</v>
      </c>
      <c r="B498" s="126" t="s">
        <v>819</v>
      </c>
      <c r="C498" s="126" t="s">
        <v>2</v>
      </c>
      <c r="D498" s="126" t="s">
        <v>3</v>
      </c>
      <c r="E498" s="126">
        <v>86.36</v>
      </c>
      <c r="F498" s="126" t="s">
        <v>88</v>
      </c>
      <c r="G498" s="108">
        <v>45638</v>
      </c>
      <c r="H498" s="126" t="s">
        <v>94</v>
      </c>
      <c r="I498" s="126" t="s">
        <v>228</v>
      </c>
      <c r="J498" s="126" t="s">
        <v>8962</v>
      </c>
      <c r="K498" s="126"/>
      <c r="L498" s="126"/>
      <c r="M498" s="126"/>
      <c r="N498" s="126"/>
      <c r="O498" s="126" t="s">
        <v>8963</v>
      </c>
      <c r="Q498" s="3">
        <f t="shared" si="15"/>
        <v>86.36</v>
      </c>
      <c r="S498" s="55" t="s">
        <v>9017</v>
      </c>
      <c r="T498" t="s">
        <v>64</v>
      </c>
      <c r="U498" s="3">
        <f t="shared" si="16"/>
        <v>86.36</v>
      </c>
    </row>
    <row r="499" spans="1:21" x14ac:dyDescent="0.35">
      <c r="A499" s="126" t="s">
        <v>35</v>
      </c>
      <c r="B499" s="126" t="s">
        <v>2543</v>
      </c>
      <c r="C499" s="126" t="s">
        <v>2</v>
      </c>
      <c r="D499" s="126" t="s">
        <v>3</v>
      </c>
      <c r="E499" s="126">
        <v>86.19</v>
      </c>
      <c r="F499" s="126" t="s">
        <v>88</v>
      </c>
      <c r="G499" s="108">
        <v>45510</v>
      </c>
      <c r="H499" s="126" t="s">
        <v>94</v>
      </c>
      <c r="I499" s="126" t="s">
        <v>510</v>
      </c>
      <c r="J499" s="126" t="s">
        <v>511</v>
      </c>
      <c r="K499" s="126"/>
      <c r="L499" s="126"/>
      <c r="M499" s="126"/>
      <c r="N499" s="126"/>
      <c r="O499" s="126" t="s">
        <v>537</v>
      </c>
      <c r="Q499" s="3">
        <f t="shared" si="15"/>
        <v>86.19</v>
      </c>
      <c r="S499" s="55" t="s">
        <v>586</v>
      </c>
      <c r="U499" s="3" t="str">
        <f t="shared" si="16"/>
        <v/>
      </c>
    </row>
    <row r="500" spans="1:21" x14ac:dyDescent="0.35">
      <c r="A500" s="126" t="s">
        <v>0</v>
      </c>
      <c r="B500" s="126" t="s">
        <v>893</v>
      </c>
      <c r="C500" s="126" t="s">
        <v>2</v>
      </c>
      <c r="D500" s="126" t="s">
        <v>3</v>
      </c>
      <c r="E500" s="126">
        <v>85.09</v>
      </c>
      <c r="F500" s="126" t="s">
        <v>88</v>
      </c>
      <c r="G500" s="108">
        <v>45454</v>
      </c>
      <c r="H500" s="126" t="s">
        <v>89</v>
      </c>
      <c r="I500" s="126" t="s">
        <v>7961</v>
      </c>
      <c r="J500" s="126"/>
      <c r="K500" s="126" t="s">
        <v>7959</v>
      </c>
      <c r="L500" s="126" t="s">
        <v>7962</v>
      </c>
      <c r="M500" s="126" t="s">
        <v>399</v>
      </c>
      <c r="Q500" s="3">
        <f t="shared" si="15"/>
        <v>85.09</v>
      </c>
      <c r="S500" s="55" t="s">
        <v>9013</v>
      </c>
      <c r="U500" s="3" t="str">
        <f t="shared" si="16"/>
        <v/>
      </c>
    </row>
    <row r="501" spans="1:21" x14ac:dyDescent="0.35">
      <c r="A501" s="126" t="s">
        <v>35</v>
      </c>
      <c r="B501" s="126" t="s">
        <v>5426</v>
      </c>
      <c r="C501" s="126" t="s">
        <v>2</v>
      </c>
      <c r="D501" s="126" t="s">
        <v>3</v>
      </c>
      <c r="E501" s="126">
        <v>84.89</v>
      </c>
      <c r="F501" s="126" t="s">
        <v>88</v>
      </c>
      <c r="G501" s="108">
        <v>45567</v>
      </c>
      <c r="H501" s="126" t="s">
        <v>94</v>
      </c>
      <c r="I501" s="126" t="s">
        <v>475</v>
      </c>
      <c r="J501" s="126" t="s">
        <v>409</v>
      </c>
      <c r="K501" s="126"/>
      <c r="L501" s="126"/>
      <c r="M501" s="126"/>
      <c r="N501" s="126"/>
      <c r="O501" s="126" t="s">
        <v>518</v>
      </c>
      <c r="Q501" s="3">
        <f t="shared" si="15"/>
        <v>84.89</v>
      </c>
      <c r="S501" s="55" t="s">
        <v>586</v>
      </c>
      <c r="U501" s="3" t="str">
        <f t="shared" si="16"/>
        <v/>
      </c>
    </row>
    <row r="502" spans="1:21" x14ac:dyDescent="0.35">
      <c r="A502" s="126" t="s">
        <v>35</v>
      </c>
      <c r="B502" s="126" t="s">
        <v>2208</v>
      </c>
      <c r="C502" s="126" t="s">
        <v>2</v>
      </c>
      <c r="D502" s="126" t="s">
        <v>3</v>
      </c>
      <c r="E502" s="126">
        <v>84.64</v>
      </c>
      <c r="F502" s="126" t="s">
        <v>88</v>
      </c>
      <c r="G502" s="108">
        <v>45609</v>
      </c>
      <c r="H502" s="126" t="s">
        <v>94</v>
      </c>
      <c r="I502" s="126" t="s">
        <v>8600</v>
      </c>
      <c r="J502" s="126" t="s">
        <v>8601</v>
      </c>
      <c r="K502" s="126"/>
      <c r="L502" s="126"/>
      <c r="M502" s="126"/>
      <c r="N502" s="126"/>
      <c r="O502" s="126" t="s">
        <v>8602</v>
      </c>
      <c r="Q502" s="3">
        <f t="shared" si="15"/>
        <v>84.64</v>
      </c>
      <c r="U502" s="3" t="str">
        <f t="shared" si="16"/>
        <v/>
      </c>
    </row>
    <row r="503" spans="1:21" x14ac:dyDescent="0.35">
      <c r="A503" s="126" t="s">
        <v>0</v>
      </c>
      <c r="B503" s="126" t="s">
        <v>4622</v>
      </c>
      <c r="C503" s="126" t="s">
        <v>2</v>
      </c>
      <c r="D503" s="126" t="s">
        <v>3</v>
      </c>
      <c r="E503" s="126">
        <v>84.22</v>
      </c>
      <c r="F503" s="126" t="s">
        <v>88</v>
      </c>
      <c r="G503" s="108">
        <v>45544</v>
      </c>
      <c r="H503" s="126" t="s">
        <v>89</v>
      </c>
      <c r="I503" s="126" t="s">
        <v>8400</v>
      </c>
      <c r="J503" s="126"/>
      <c r="K503" s="126" t="s">
        <v>8321</v>
      </c>
      <c r="L503" s="126" t="s">
        <v>8401</v>
      </c>
      <c r="M503" s="126" t="s">
        <v>399</v>
      </c>
      <c r="Q503" s="3">
        <f t="shared" si="15"/>
        <v>84.22</v>
      </c>
      <c r="S503" s="55" t="s">
        <v>9013</v>
      </c>
      <c r="U503" s="3" t="str">
        <f t="shared" si="16"/>
        <v/>
      </c>
    </row>
    <row r="504" spans="1:21" x14ac:dyDescent="0.35">
      <c r="A504" s="126" t="s">
        <v>0</v>
      </c>
      <c r="B504" s="126" t="s">
        <v>1075</v>
      </c>
      <c r="C504" s="126" t="s">
        <v>2</v>
      </c>
      <c r="D504" s="126" t="s">
        <v>3</v>
      </c>
      <c r="E504" s="126">
        <v>83.9</v>
      </c>
      <c r="F504" s="126" t="s">
        <v>88</v>
      </c>
      <c r="G504" s="108">
        <v>45518</v>
      </c>
      <c r="H504" s="126" t="s">
        <v>89</v>
      </c>
      <c r="I504" s="126" t="s">
        <v>8332</v>
      </c>
      <c r="J504" s="126"/>
      <c r="K504" s="126" t="s">
        <v>7880</v>
      </c>
      <c r="L504" s="126" t="s">
        <v>8333</v>
      </c>
      <c r="M504" s="126" t="s">
        <v>396</v>
      </c>
      <c r="N504" s="126"/>
      <c r="O504" s="126"/>
      <c r="Q504" s="3">
        <f t="shared" si="15"/>
        <v>83.9</v>
      </c>
      <c r="S504" s="55" t="s">
        <v>9016</v>
      </c>
      <c r="U504" s="3" t="str">
        <f t="shared" si="16"/>
        <v/>
      </c>
    </row>
    <row r="505" spans="1:21" x14ac:dyDescent="0.35">
      <c r="A505" s="126" t="s">
        <v>35</v>
      </c>
      <c r="B505" s="126" t="s">
        <v>601</v>
      </c>
      <c r="C505" s="126" t="s">
        <v>2</v>
      </c>
      <c r="D505" s="126" t="s">
        <v>3</v>
      </c>
      <c r="E505" s="126">
        <v>83.79</v>
      </c>
      <c r="F505" s="126" t="s">
        <v>88</v>
      </c>
      <c r="G505" s="108">
        <v>45504</v>
      </c>
      <c r="H505" s="126" t="s">
        <v>94</v>
      </c>
      <c r="I505" s="126" t="s">
        <v>2935</v>
      </c>
      <c r="J505" s="126" t="s">
        <v>8237</v>
      </c>
      <c r="K505" s="126"/>
      <c r="L505" s="126"/>
      <c r="M505" s="126"/>
      <c r="N505" s="126"/>
      <c r="O505" s="126" t="s">
        <v>2937</v>
      </c>
      <c r="Q505" s="3">
        <f t="shared" si="15"/>
        <v>83.79</v>
      </c>
      <c r="U505" s="3" t="str">
        <f t="shared" si="16"/>
        <v/>
      </c>
    </row>
    <row r="506" spans="1:21" x14ac:dyDescent="0.35">
      <c r="A506" s="126" t="s">
        <v>35</v>
      </c>
      <c r="B506" s="126" t="s">
        <v>2543</v>
      </c>
      <c r="C506" s="126" t="s">
        <v>2</v>
      </c>
      <c r="D506" s="126" t="s">
        <v>3</v>
      </c>
      <c r="E506" s="126">
        <v>83.45</v>
      </c>
      <c r="F506" s="126" t="s">
        <v>88</v>
      </c>
      <c r="G506" s="108">
        <v>45594</v>
      </c>
      <c r="H506" s="126" t="s">
        <v>94</v>
      </c>
      <c r="I506" s="126" t="s">
        <v>456</v>
      </c>
      <c r="J506" s="126" t="s">
        <v>8477</v>
      </c>
      <c r="K506" s="126"/>
      <c r="L506" s="126"/>
      <c r="M506" s="126"/>
      <c r="N506" s="126"/>
      <c r="O506" s="126" t="s">
        <v>543</v>
      </c>
      <c r="Q506" s="3">
        <f t="shared" si="15"/>
        <v>83.45</v>
      </c>
      <c r="S506" s="55" t="s">
        <v>586</v>
      </c>
      <c r="U506" s="3" t="str">
        <f t="shared" si="16"/>
        <v/>
      </c>
    </row>
    <row r="507" spans="1:21" x14ac:dyDescent="0.35">
      <c r="A507" s="126" t="s">
        <v>35</v>
      </c>
      <c r="B507" s="126" t="s">
        <v>601</v>
      </c>
      <c r="C507" s="126" t="s">
        <v>2</v>
      </c>
      <c r="D507" s="126" t="s">
        <v>3</v>
      </c>
      <c r="E507" s="126">
        <v>83.1</v>
      </c>
      <c r="F507" s="126" t="s">
        <v>88</v>
      </c>
      <c r="G507" s="108">
        <v>45519</v>
      </c>
      <c r="H507" s="126" t="s">
        <v>94</v>
      </c>
      <c r="I507" s="126" t="s">
        <v>783</v>
      </c>
      <c r="J507" s="126" t="s">
        <v>8336</v>
      </c>
      <c r="K507" s="126"/>
      <c r="L507" s="126"/>
      <c r="M507" s="126"/>
      <c r="N507" s="126"/>
      <c r="O507" s="126" t="s">
        <v>8337</v>
      </c>
      <c r="Q507" s="3">
        <f t="shared" si="15"/>
        <v>83.1</v>
      </c>
      <c r="U507" s="3" t="str">
        <f t="shared" si="16"/>
        <v/>
      </c>
    </row>
    <row r="508" spans="1:21" x14ac:dyDescent="0.35">
      <c r="A508" s="126" t="s">
        <v>35</v>
      </c>
      <c r="B508" s="126" t="s">
        <v>868</v>
      </c>
      <c r="C508" s="126" t="s">
        <v>2</v>
      </c>
      <c r="D508" s="126" t="s">
        <v>3</v>
      </c>
      <c r="E508" s="126">
        <v>82.77</v>
      </c>
      <c r="F508" s="126" t="s">
        <v>88</v>
      </c>
      <c r="G508" s="108">
        <v>45385</v>
      </c>
      <c r="H508" s="126" t="s">
        <v>94</v>
      </c>
      <c r="I508" s="126" t="s">
        <v>7644</v>
      </c>
      <c r="J508" s="126" t="s">
        <v>395</v>
      </c>
      <c r="K508" s="126"/>
      <c r="L508" s="126"/>
      <c r="M508" s="126"/>
      <c r="N508" s="126"/>
      <c r="O508" s="126" t="s">
        <v>7645</v>
      </c>
      <c r="Q508" s="3">
        <f t="shared" si="15"/>
        <v>82.77</v>
      </c>
      <c r="S508" s="55" t="s">
        <v>586</v>
      </c>
      <c r="U508" s="3" t="str">
        <f t="shared" si="16"/>
        <v/>
      </c>
    </row>
    <row r="509" spans="1:21" x14ac:dyDescent="0.35">
      <c r="A509" s="126" t="s">
        <v>0</v>
      </c>
      <c r="B509" s="126" t="s">
        <v>606</v>
      </c>
      <c r="C509" s="126" t="s">
        <v>2</v>
      </c>
      <c r="D509" s="126" t="s">
        <v>3</v>
      </c>
      <c r="E509" s="126">
        <v>82.73</v>
      </c>
      <c r="F509" s="126" t="s">
        <v>88</v>
      </c>
      <c r="G509" s="108">
        <v>45611</v>
      </c>
      <c r="H509" s="126" t="s">
        <v>89</v>
      </c>
      <c r="I509" s="126" t="s">
        <v>8737</v>
      </c>
      <c r="J509" s="126"/>
      <c r="K509" s="126" t="s">
        <v>8522</v>
      </c>
      <c r="L509" s="126" t="s">
        <v>8738</v>
      </c>
      <c r="M509" s="126" t="s">
        <v>399</v>
      </c>
      <c r="Q509" s="3">
        <f t="shared" si="15"/>
        <v>82.73</v>
      </c>
      <c r="S509" s="55" t="s">
        <v>9013</v>
      </c>
      <c r="U509" s="3" t="str">
        <f t="shared" si="16"/>
        <v/>
      </c>
    </row>
    <row r="510" spans="1:21" x14ac:dyDescent="0.35">
      <c r="A510" s="126" t="s">
        <v>0</v>
      </c>
      <c r="B510" s="126" t="s">
        <v>708</v>
      </c>
      <c r="C510" s="126" t="s">
        <v>2</v>
      </c>
      <c r="D510" s="126" t="s">
        <v>3</v>
      </c>
      <c r="E510" s="126">
        <v>82.41</v>
      </c>
      <c r="F510" s="126" t="s">
        <v>88</v>
      </c>
      <c r="G510" s="108">
        <v>45517</v>
      </c>
      <c r="H510" s="126" t="s">
        <v>89</v>
      </c>
      <c r="I510" s="126" t="s">
        <v>8323</v>
      </c>
      <c r="J510" s="126"/>
      <c r="K510" s="126" t="s">
        <v>8321</v>
      </c>
      <c r="L510" s="126" t="s">
        <v>8324</v>
      </c>
      <c r="M510" s="126" t="s">
        <v>399</v>
      </c>
      <c r="N510" s="126"/>
      <c r="O510" s="126"/>
      <c r="Q510" s="3">
        <f t="shared" si="15"/>
        <v>82.41</v>
      </c>
      <c r="S510" s="55" t="s">
        <v>9013</v>
      </c>
      <c r="U510" s="3" t="str">
        <f t="shared" si="16"/>
        <v/>
      </c>
    </row>
    <row r="511" spans="1:21" x14ac:dyDescent="0.35">
      <c r="A511" s="126" t="s">
        <v>0</v>
      </c>
      <c r="B511" s="126" t="s">
        <v>3422</v>
      </c>
      <c r="C511" s="126" t="s">
        <v>2</v>
      </c>
      <c r="D511" s="126" t="s">
        <v>3</v>
      </c>
      <c r="E511" s="126">
        <v>81.97</v>
      </c>
      <c r="F511" s="126" t="s">
        <v>88</v>
      </c>
      <c r="G511" s="108">
        <v>45505</v>
      </c>
      <c r="H511" s="126" t="s">
        <v>89</v>
      </c>
      <c r="I511" s="126" t="s">
        <v>8248</v>
      </c>
      <c r="J511" s="126"/>
      <c r="K511" s="126" t="s">
        <v>8135</v>
      </c>
      <c r="L511" s="126" t="s">
        <v>8249</v>
      </c>
      <c r="M511" s="126" t="s">
        <v>399</v>
      </c>
      <c r="Q511" s="3">
        <f t="shared" si="15"/>
        <v>81.97</v>
      </c>
      <c r="S511" s="55" t="s">
        <v>9013</v>
      </c>
      <c r="U511" s="3" t="str">
        <f t="shared" si="16"/>
        <v/>
      </c>
    </row>
    <row r="512" spans="1:21" x14ac:dyDescent="0.35">
      <c r="A512" s="126" t="s">
        <v>0</v>
      </c>
      <c r="B512" s="126" t="s">
        <v>3422</v>
      </c>
      <c r="C512" s="126" t="s">
        <v>2</v>
      </c>
      <c r="D512" s="126" t="s">
        <v>3</v>
      </c>
      <c r="E512" s="126">
        <v>81.97</v>
      </c>
      <c r="F512" s="126" t="s">
        <v>88</v>
      </c>
      <c r="G512" s="108">
        <v>45569</v>
      </c>
      <c r="H512" s="126" t="s">
        <v>89</v>
      </c>
      <c r="I512" s="126" t="s">
        <v>8524</v>
      </c>
      <c r="J512" s="126"/>
      <c r="K512" s="126" t="s">
        <v>8525</v>
      </c>
      <c r="L512" s="126" t="s">
        <v>8526</v>
      </c>
      <c r="M512" s="126" t="s">
        <v>399</v>
      </c>
      <c r="Q512" s="3">
        <f t="shared" si="15"/>
        <v>81.97</v>
      </c>
      <c r="S512" s="55" t="s">
        <v>9013</v>
      </c>
      <c r="U512" s="3" t="str">
        <f t="shared" si="16"/>
        <v/>
      </c>
    </row>
    <row r="513" spans="1:21" x14ac:dyDescent="0.35">
      <c r="A513" s="126" t="s">
        <v>0</v>
      </c>
      <c r="B513" s="126" t="s">
        <v>4622</v>
      </c>
      <c r="C513" s="126" t="s">
        <v>2</v>
      </c>
      <c r="D513" s="126" t="s">
        <v>3</v>
      </c>
      <c r="E513" s="126">
        <v>81.92</v>
      </c>
      <c r="F513" s="126" t="s">
        <v>88</v>
      </c>
      <c r="G513" s="108">
        <v>45432</v>
      </c>
      <c r="H513" s="126" t="s">
        <v>89</v>
      </c>
      <c r="I513" s="126" t="s">
        <v>7842</v>
      </c>
      <c r="J513" s="126"/>
      <c r="K513" s="126" t="s">
        <v>7840</v>
      </c>
      <c r="L513" s="126" t="s">
        <v>7843</v>
      </c>
      <c r="M513" s="126" t="s">
        <v>399</v>
      </c>
      <c r="Q513" s="3">
        <f t="shared" si="15"/>
        <v>81.92</v>
      </c>
      <c r="S513" s="55" t="s">
        <v>9013</v>
      </c>
      <c r="U513" s="3" t="str">
        <f t="shared" si="16"/>
        <v/>
      </c>
    </row>
    <row r="514" spans="1:21" x14ac:dyDescent="0.35">
      <c r="A514" s="126" t="s">
        <v>0</v>
      </c>
      <c r="B514" s="126" t="s">
        <v>4622</v>
      </c>
      <c r="C514" s="126" t="s">
        <v>2</v>
      </c>
      <c r="D514" s="126" t="s">
        <v>3</v>
      </c>
      <c r="E514" s="126">
        <v>81.92</v>
      </c>
      <c r="F514" s="126" t="s">
        <v>88</v>
      </c>
      <c r="G514" s="108">
        <v>45505</v>
      </c>
      <c r="H514" s="126" t="s">
        <v>89</v>
      </c>
      <c r="I514" s="126" t="s">
        <v>8248</v>
      </c>
      <c r="J514" s="126"/>
      <c r="K514" s="126" t="s">
        <v>8135</v>
      </c>
      <c r="L514" s="126" t="s">
        <v>8249</v>
      </c>
      <c r="M514" s="126" t="s">
        <v>399</v>
      </c>
      <c r="Q514" s="3">
        <f t="shared" si="15"/>
        <v>81.92</v>
      </c>
      <c r="S514" s="55" t="s">
        <v>9013</v>
      </c>
      <c r="U514" s="3" t="str">
        <f t="shared" si="16"/>
        <v/>
      </c>
    </row>
    <row r="515" spans="1:21" x14ac:dyDescent="0.35">
      <c r="A515" s="126" t="s">
        <v>0</v>
      </c>
      <c r="B515" s="126" t="s">
        <v>4622</v>
      </c>
      <c r="C515" s="126" t="s">
        <v>2</v>
      </c>
      <c r="D515" s="126" t="s">
        <v>3</v>
      </c>
      <c r="E515" s="126">
        <v>81.92</v>
      </c>
      <c r="F515" s="126" t="s">
        <v>88</v>
      </c>
      <c r="G515" s="108">
        <v>45517</v>
      </c>
      <c r="H515" s="126" t="s">
        <v>89</v>
      </c>
      <c r="I515" s="126" t="s">
        <v>8323</v>
      </c>
      <c r="J515" s="126"/>
      <c r="K515" s="126" t="s">
        <v>8321</v>
      </c>
      <c r="L515" s="126" t="s">
        <v>8324</v>
      </c>
      <c r="M515" s="126" t="s">
        <v>399</v>
      </c>
      <c r="Q515" s="3">
        <f t="shared" si="15"/>
        <v>81.92</v>
      </c>
      <c r="S515" s="55" t="s">
        <v>9013</v>
      </c>
      <c r="U515" s="3" t="str">
        <f t="shared" si="16"/>
        <v/>
      </c>
    </row>
    <row r="516" spans="1:21" x14ac:dyDescent="0.35">
      <c r="A516" s="126" t="s">
        <v>0</v>
      </c>
      <c r="B516" s="126" t="s">
        <v>4622</v>
      </c>
      <c r="C516" s="126" t="s">
        <v>2</v>
      </c>
      <c r="D516" s="126" t="s">
        <v>3</v>
      </c>
      <c r="E516" s="126">
        <v>81.92</v>
      </c>
      <c r="F516" s="126" t="s">
        <v>88</v>
      </c>
      <c r="G516" s="108">
        <v>45611</v>
      </c>
      <c r="H516" s="126" t="s">
        <v>89</v>
      </c>
      <c r="I516" s="126" t="s">
        <v>8737</v>
      </c>
      <c r="J516" s="126"/>
      <c r="K516" s="126" t="s">
        <v>8522</v>
      </c>
      <c r="L516" s="126" t="s">
        <v>8738</v>
      </c>
      <c r="M516" s="126" t="s">
        <v>399</v>
      </c>
      <c r="Q516" s="3">
        <f t="shared" si="15"/>
        <v>81.92</v>
      </c>
      <c r="S516" s="55" t="s">
        <v>9013</v>
      </c>
      <c r="U516" s="3" t="str">
        <f t="shared" si="16"/>
        <v/>
      </c>
    </row>
    <row r="517" spans="1:21" x14ac:dyDescent="0.35">
      <c r="A517" s="126" t="s">
        <v>0</v>
      </c>
      <c r="B517" s="126" t="s">
        <v>4622</v>
      </c>
      <c r="C517" s="126" t="s">
        <v>2</v>
      </c>
      <c r="D517" s="126" t="s">
        <v>3</v>
      </c>
      <c r="E517" s="126">
        <v>81.92</v>
      </c>
      <c r="F517" s="126" t="s">
        <v>88</v>
      </c>
      <c r="G517" s="108">
        <v>45635</v>
      </c>
      <c r="H517" s="126" t="s">
        <v>89</v>
      </c>
      <c r="I517" s="126" t="s">
        <v>8881</v>
      </c>
      <c r="J517" s="126"/>
      <c r="K517" s="126" t="s">
        <v>8735</v>
      </c>
      <c r="L517" s="126" t="s">
        <v>8882</v>
      </c>
      <c r="M517" s="126" t="s">
        <v>399</v>
      </c>
      <c r="Q517" s="3">
        <f t="shared" si="15"/>
        <v>81.92</v>
      </c>
      <c r="S517" s="55" t="s">
        <v>9013</v>
      </c>
      <c r="U517" s="3" t="str">
        <f t="shared" si="16"/>
        <v/>
      </c>
    </row>
    <row r="518" spans="1:21" x14ac:dyDescent="0.35">
      <c r="A518" s="126" t="s">
        <v>35</v>
      </c>
      <c r="B518" s="126" t="s">
        <v>615</v>
      </c>
      <c r="C518" s="126" t="s">
        <v>2</v>
      </c>
      <c r="D518" s="126" t="s">
        <v>3</v>
      </c>
      <c r="E518" s="126">
        <v>81.819999999999993</v>
      </c>
      <c r="F518" s="126" t="s">
        <v>88</v>
      </c>
      <c r="G518" s="108">
        <v>45390</v>
      </c>
      <c r="H518" s="126" t="s">
        <v>94</v>
      </c>
      <c r="I518" s="126" t="s">
        <v>2863</v>
      </c>
      <c r="J518" s="126" t="s">
        <v>7683</v>
      </c>
      <c r="K518" s="126"/>
      <c r="L518" s="126"/>
      <c r="M518" s="126"/>
      <c r="N518" s="126"/>
      <c r="O518" s="126" t="s">
        <v>7684</v>
      </c>
      <c r="Q518" s="3">
        <f t="shared" si="15"/>
        <v>81.819999999999993</v>
      </c>
      <c r="U518" s="3" t="str">
        <f t="shared" si="16"/>
        <v/>
      </c>
    </row>
    <row r="519" spans="1:21" x14ac:dyDescent="0.35">
      <c r="A519" s="126" t="s">
        <v>35</v>
      </c>
      <c r="B519" s="126" t="s">
        <v>3466</v>
      </c>
      <c r="C519" s="126" t="s">
        <v>2</v>
      </c>
      <c r="D519" s="126" t="s">
        <v>3</v>
      </c>
      <c r="E519" s="126">
        <v>81.73</v>
      </c>
      <c r="F519" s="126" t="s">
        <v>88</v>
      </c>
      <c r="G519" s="108">
        <v>45467</v>
      </c>
      <c r="H519" s="126" t="s">
        <v>94</v>
      </c>
      <c r="I519" s="126" t="s">
        <v>3665</v>
      </c>
      <c r="J519" s="126" t="s">
        <v>8058</v>
      </c>
      <c r="K519" s="126"/>
      <c r="L519" s="126"/>
      <c r="M519" s="126"/>
      <c r="N519" s="126"/>
      <c r="O519" s="126" t="s">
        <v>8059</v>
      </c>
      <c r="Q519" s="3">
        <f t="shared" si="15"/>
        <v>81.73</v>
      </c>
      <c r="U519" s="3" t="str">
        <f t="shared" si="16"/>
        <v/>
      </c>
    </row>
    <row r="520" spans="1:21" x14ac:dyDescent="0.35">
      <c r="A520" s="126" t="s">
        <v>35</v>
      </c>
      <c r="B520" s="126" t="s">
        <v>615</v>
      </c>
      <c r="C520" s="126" t="s">
        <v>2</v>
      </c>
      <c r="D520" s="126" t="s">
        <v>3</v>
      </c>
      <c r="E520" s="126">
        <v>81.73</v>
      </c>
      <c r="F520" s="126" t="s">
        <v>88</v>
      </c>
      <c r="G520" s="108">
        <v>45504</v>
      </c>
      <c r="H520" s="126" t="s">
        <v>94</v>
      </c>
      <c r="I520" s="126" t="s">
        <v>426</v>
      </c>
      <c r="J520" s="126" t="s">
        <v>8236</v>
      </c>
      <c r="K520" s="126"/>
      <c r="L520" s="126"/>
      <c r="M520" s="126"/>
      <c r="N520" s="126"/>
      <c r="O520" s="126" t="s">
        <v>539</v>
      </c>
      <c r="Q520" s="3">
        <f t="shared" ref="Q520:Q583" si="17">ABS(E520)</f>
        <v>81.73</v>
      </c>
      <c r="S520" s="55" t="s">
        <v>586</v>
      </c>
      <c r="U520" s="3" t="str">
        <f t="shared" ref="U520:U583" si="18">IF(T520="Y",E520,"")</f>
        <v/>
      </c>
    </row>
    <row r="521" spans="1:21" x14ac:dyDescent="0.35">
      <c r="A521" s="126" t="s">
        <v>0</v>
      </c>
      <c r="B521" s="126" t="s">
        <v>4583</v>
      </c>
      <c r="C521" s="126" t="s">
        <v>2</v>
      </c>
      <c r="D521" s="126" t="s">
        <v>3</v>
      </c>
      <c r="E521" s="126">
        <v>81.48</v>
      </c>
      <c r="F521" s="126" t="s">
        <v>88</v>
      </c>
      <c r="G521" s="108">
        <v>45517</v>
      </c>
      <c r="H521" s="126" t="s">
        <v>89</v>
      </c>
      <c r="I521" s="126" t="s">
        <v>8317</v>
      </c>
      <c r="J521" s="126"/>
      <c r="K521" s="126" t="s">
        <v>8318</v>
      </c>
      <c r="L521" s="126" t="s">
        <v>8319</v>
      </c>
      <c r="M521" s="126" t="s">
        <v>273</v>
      </c>
      <c r="N521" s="126"/>
      <c r="O521" s="126"/>
      <c r="Q521" s="3">
        <f t="shared" si="17"/>
        <v>81.48</v>
      </c>
      <c r="S521" s="55" t="s">
        <v>9027</v>
      </c>
      <c r="U521" s="3" t="str">
        <f t="shared" si="18"/>
        <v/>
      </c>
    </row>
    <row r="522" spans="1:21" x14ac:dyDescent="0.35">
      <c r="A522" s="126" t="s">
        <v>35</v>
      </c>
      <c r="B522" s="126" t="s">
        <v>2031</v>
      </c>
      <c r="C522" s="126" t="s">
        <v>2</v>
      </c>
      <c r="D522" s="126" t="s">
        <v>3</v>
      </c>
      <c r="E522" s="126">
        <v>80.319999999999993</v>
      </c>
      <c r="F522" s="126" t="s">
        <v>88</v>
      </c>
      <c r="G522" s="108">
        <v>45384</v>
      </c>
      <c r="H522" s="126" t="s">
        <v>94</v>
      </c>
      <c r="I522" s="126" t="s">
        <v>450</v>
      </c>
      <c r="J522" s="126" t="s">
        <v>7634</v>
      </c>
      <c r="K522" s="126"/>
      <c r="L522" s="126"/>
      <c r="M522" s="126"/>
      <c r="N522" s="126"/>
      <c r="O522" s="126" t="s">
        <v>540</v>
      </c>
      <c r="Q522" s="3">
        <f t="shared" si="17"/>
        <v>80.319999999999993</v>
      </c>
      <c r="S522" s="55" t="s">
        <v>586</v>
      </c>
      <c r="U522" s="3" t="str">
        <f t="shared" si="18"/>
        <v/>
      </c>
    </row>
    <row r="523" spans="1:21" x14ac:dyDescent="0.35">
      <c r="A523" s="126" t="s">
        <v>0</v>
      </c>
      <c r="B523" s="126" t="s">
        <v>2226</v>
      </c>
      <c r="C523" s="126" t="s">
        <v>2</v>
      </c>
      <c r="D523" s="126" t="s">
        <v>3</v>
      </c>
      <c r="E523" s="126">
        <v>80.22</v>
      </c>
      <c r="F523" s="126" t="s">
        <v>88</v>
      </c>
      <c r="G523" s="108">
        <v>45432</v>
      </c>
      <c r="H523" s="126" t="s">
        <v>89</v>
      </c>
      <c r="I523" s="126" t="s">
        <v>7842</v>
      </c>
      <c r="J523" s="126"/>
      <c r="K523" s="126" t="s">
        <v>7840</v>
      </c>
      <c r="L523" s="126" t="s">
        <v>7843</v>
      </c>
      <c r="M523" s="126" t="s">
        <v>399</v>
      </c>
      <c r="Q523" s="3">
        <f t="shared" si="17"/>
        <v>80.22</v>
      </c>
      <c r="S523" s="55" t="s">
        <v>9013</v>
      </c>
      <c r="U523" s="3" t="str">
        <f t="shared" si="18"/>
        <v/>
      </c>
    </row>
    <row r="524" spans="1:21" x14ac:dyDescent="0.35">
      <c r="A524" s="126" t="s">
        <v>0</v>
      </c>
      <c r="B524" s="126" t="s">
        <v>2226</v>
      </c>
      <c r="C524" s="126" t="s">
        <v>2</v>
      </c>
      <c r="D524" s="126" t="s">
        <v>3</v>
      </c>
      <c r="E524" s="126">
        <v>80.22</v>
      </c>
      <c r="F524" s="126" t="s">
        <v>88</v>
      </c>
      <c r="G524" s="108">
        <v>45505</v>
      </c>
      <c r="H524" s="126" t="s">
        <v>89</v>
      </c>
      <c r="I524" s="126" t="s">
        <v>8248</v>
      </c>
      <c r="J524" s="126"/>
      <c r="K524" s="126" t="s">
        <v>8135</v>
      </c>
      <c r="L524" s="126" t="s">
        <v>8249</v>
      </c>
      <c r="M524" s="126" t="s">
        <v>399</v>
      </c>
      <c r="Q524" s="3">
        <f t="shared" si="17"/>
        <v>80.22</v>
      </c>
      <c r="S524" s="55" t="s">
        <v>9013</v>
      </c>
      <c r="U524" s="3" t="str">
        <f t="shared" si="18"/>
        <v/>
      </c>
    </row>
    <row r="525" spans="1:21" x14ac:dyDescent="0.35">
      <c r="A525" s="126" t="s">
        <v>0</v>
      </c>
      <c r="B525" s="126" t="s">
        <v>2226</v>
      </c>
      <c r="C525" s="126" t="s">
        <v>2</v>
      </c>
      <c r="D525" s="126" t="s">
        <v>3</v>
      </c>
      <c r="E525" s="126">
        <v>80.22</v>
      </c>
      <c r="F525" s="126" t="s">
        <v>88</v>
      </c>
      <c r="G525" s="108">
        <v>45517</v>
      </c>
      <c r="H525" s="126" t="s">
        <v>89</v>
      </c>
      <c r="I525" s="126" t="s">
        <v>8323</v>
      </c>
      <c r="J525" s="126"/>
      <c r="K525" s="126" t="s">
        <v>8321</v>
      </c>
      <c r="L525" s="126" t="s">
        <v>8324</v>
      </c>
      <c r="M525" s="126" t="s">
        <v>399</v>
      </c>
      <c r="Q525" s="3">
        <f t="shared" si="17"/>
        <v>80.22</v>
      </c>
      <c r="S525" s="55" t="s">
        <v>9013</v>
      </c>
      <c r="U525" s="3" t="str">
        <f t="shared" si="18"/>
        <v/>
      </c>
    </row>
    <row r="526" spans="1:21" x14ac:dyDescent="0.35">
      <c r="A526" s="126" t="s">
        <v>0</v>
      </c>
      <c r="B526" s="126" t="s">
        <v>2226</v>
      </c>
      <c r="C526" s="126" t="s">
        <v>2</v>
      </c>
      <c r="D526" s="126" t="s">
        <v>3</v>
      </c>
      <c r="E526" s="126">
        <v>80.22</v>
      </c>
      <c r="F526" s="126" t="s">
        <v>88</v>
      </c>
      <c r="G526" s="108">
        <v>45569</v>
      </c>
      <c r="H526" s="126" t="s">
        <v>89</v>
      </c>
      <c r="I526" s="126" t="s">
        <v>8524</v>
      </c>
      <c r="J526" s="126"/>
      <c r="K526" s="126" t="s">
        <v>8525</v>
      </c>
      <c r="L526" s="126" t="s">
        <v>8526</v>
      </c>
      <c r="M526" s="126" t="s">
        <v>399</v>
      </c>
      <c r="Q526" s="3">
        <f t="shared" si="17"/>
        <v>80.22</v>
      </c>
      <c r="S526" s="55" t="s">
        <v>9013</v>
      </c>
      <c r="U526" s="3" t="str">
        <f t="shared" si="18"/>
        <v/>
      </c>
    </row>
    <row r="527" spans="1:21" x14ac:dyDescent="0.35">
      <c r="A527" s="126" t="s">
        <v>0</v>
      </c>
      <c r="B527" s="126" t="s">
        <v>2226</v>
      </c>
      <c r="C527" s="126" t="s">
        <v>2</v>
      </c>
      <c r="D527" s="126" t="s">
        <v>3</v>
      </c>
      <c r="E527" s="126">
        <v>80.22</v>
      </c>
      <c r="F527" s="126" t="s">
        <v>88</v>
      </c>
      <c r="G527" s="108">
        <v>45611</v>
      </c>
      <c r="H527" s="126" t="s">
        <v>89</v>
      </c>
      <c r="I527" s="126" t="s">
        <v>8737</v>
      </c>
      <c r="J527" s="126"/>
      <c r="K527" s="126" t="s">
        <v>8522</v>
      </c>
      <c r="L527" s="126" t="s">
        <v>8738</v>
      </c>
      <c r="M527" s="126" t="s">
        <v>399</v>
      </c>
      <c r="Q527" s="3">
        <f t="shared" si="17"/>
        <v>80.22</v>
      </c>
      <c r="S527" s="55" t="s">
        <v>9013</v>
      </c>
      <c r="U527" s="3" t="str">
        <f t="shared" si="18"/>
        <v/>
      </c>
    </row>
    <row r="528" spans="1:21" x14ac:dyDescent="0.35">
      <c r="A528" s="126" t="s">
        <v>35</v>
      </c>
      <c r="B528" s="126" t="s">
        <v>6156</v>
      </c>
      <c r="C528" s="126" t="s">
        <v>2</v>
      </c>
      <c r="D528" s="126" t="s">
        <v>3</v>
      </c>
      <c r="E528" s="126">
        <v>79.84</v>
      </c>
      <c r="F528" s="126" t="s">
        <v>88</v>
      </c>
      <c r="G528" s="108">
        <v>45638</v>
      </c>
      <c r="H528" s="126" t="s">
        <v>89</v>
      </c>
      <c r="I528" s="126" t="s">
        <v>8956</v>
      </c>
      <c r="J528" s="126"/>
      <c r="K528" s="126" t="s">
        <v>8957</v>
      </c>
      <c r="L528" s="126" t="s">
        <v>8958</v>
      </c>
      <c r="M528" s="126" t="s">
        <v>8955</v>
      </c>
      <c r="N528" s="126"/>
      <c r="O528" s="126"/>
      <c r="Q528" s="3">
        <f t="shared" si="17"/>
        <v>79.84</v>
      </c>
      <c r="U528" s="3" t="str">
        <f t="shared" si="18"/>
        <v/>
      </c>
    </row>
    <row r="529" spans="1:21" x14ac:dyDescent="0.35">
      <c r="A529" s="126" t="s">
        <v>35</v>
      </c>
      <c r="B529" s="126" t="s">
        <v>724</v>
      </c>
      <c r="C529" s="126" t="s">
        <v>2</v>
      </c>
      <c r="D529" s="126" t="s">
        <v>3</v>
      </c>
      <c r="E529" s="126">
        <v>79.27</v>
      </c>
      <c r="F529" s="126" t="s">
        <v>88</v>
      </c>
      <c r="G529" s="108">
        <v>45432</v>
      </c>
      <c r="H529" s="126" t="s">
        <v>94</v>
      </c>
      <c r="I529" s="126" t="s">
        <v>236</v>
      </c>
      <c r="J529" s="126" t="s">
        <v>7853</v>
      </c>
      <c r="K529" s="126"/>
      <c r="L529" s="126"/>
      <c r="M529" s="126"/>
      <c r="N529" s="126"/>
      <c r="O529" s="126" t="s">
        <v>2132</v>
      </c>
      <c r="Q529" s="3">
        <f t="shared" si="17"/>
        <v>79.27</v>
      </c>
      <c r="S529" s="55" t="s">
        <v>53</v>
      </c>
      <c r="T529" t="s">
        <v>64</v>
      </c>
      <c r="U529" s="3">
        <f t="shared" si="18"/>
        <v>79.27</v>
      </c>
    </row>
    <row r="530" spans="1:21" x14ac:dyDescent="0.35">
      <c r="A530" s="126" t="s">
        <v>0</v>
      </c>
      <c r="B530" s="126" t="s">
        <v>4622</v>
      </c>
      <c r="C530" s="126" t="s">
        <v>2</v>
      </c>
      <c r="D530" s="126" t="s">
        <v>3</v>
      </c>
      <c r="E530" s="126">
        <v>79.09</v>
      </c>
      <c r="F530" s="126" t="s">
        <v>88</v>
      </c>
      <c r="G530" s="108">
        <v>45432</v>
      </c>
      <c r="H530" s="126" t="s">
        <v>89</v>
      </c>
      <c r="I530" s="126" t="s">
        <v>7839</v>
      </c>
      <c r="J530" s="126"/>
      <c r="K530" s="126" t="s">
        <v>7840</v>
      </c>
      <c r="L530" s="126" t="s">
        <v>7841</v>
      </c>
      <c r="M530" s="126" t="s">
        <v>399</v>
      </c>
      <c r="N530" s="35"/>
      <c r="O530" s="35"/>
      <c r="Q530" s="3">
        <f t="shared" si="17"/>
        <v>79.09</v>
      </c>
      <c r="S530" s="55" t="s">
        <v>9013</v>
      </c>
      <c r="U530" s="3" t="str">
        <f t="shared" si="18"/>
        <v/>
      </c>
    </row>
    <row r="531" spans="1:21" x14ac:dyDescent="0.35">
      <c r="A531" s="126" t="s">
        <v>0</v>
      </c>
      <c r="B531" s="126" t="s">
        <v>4622</v>
      </c>
      <c r="C531" s="126" t="s">
        <v>2</v>
      </c>
      <c r="D531" s="126" t="s">
        <v>3</v>
      </c>
      <c r="E531" s="126">
        <v>79.09</v>
      </c>
      <c r="F531" s="126" t="s">
        <v>88</v>
      </c>
      <c r="G531" s="108">
        <v>45454</v>
      </c>
      <c r="H531" s="126" t="s">
        <v>89</v>
      </c>
      <c r="I531" s="126" t="s">
        <v>7958</v>
      </c>
      <c r="J531" s="126"/>
      <c r="K531" s="126" t="s">
        <v>7959</v>
      </c>
      <c r="L531" s="126" t="s">
        <v>7960</v>
      </c>
      <c r="M531" s="126" t="s">
        <v>399</v>
      </c>
      <c r="Q531" s="3">
        <f t="shared" si="17"/>
        <v>79.09</v>
      </c>
      <c r="S531" s="55" t="s">
        <v>9013</v>
      </c>
      <c r="U531" s="3" t="str">
        <f t="shared" si="18"/>
        <v/>
      </c>
    </row>
    <row r="532" spans="1:21" x14ac:dyDescent="0.35">
      <c r="A532" s="126" t="s">
        <v>0</v>
      </c>
      <c r="B532" s="126" t="s">
        <v>4622</v>
      </c>
      <c r="C532" s="126" t="s">
        <v>2</v>
      </c>
      <c r="D532" s="126" t="s">
        <v>3</v>
      </c>
      <c r="E532" s="126">
        <v>79.09</v>
      </c>
      <c r="F532" s="126" t="s">
        <v>88</v>
      </c>
      <c r="G532" s="108">
        <v>45485</v>
      </c>
      <c r="H532" s="126" t="s">
        <v>89</v>
      </c>
      <c r="I532" s="126" t="s">
        <v>8134</v>
      </c>
      <c r="J532" s="126"/>
      <c r="K532" s="126" t="s">
        <v>8135</v>
      </c>
      <c r="L532" s="126" t="s">
        <v>8136</v>
      </c>
      <c r="M532" s="126" t="s">
        <v>399</v>
      </c>
      <c r="Q532" s="3">
        <f t="shared" si="17"/>
        <v>79.09</v>
      </c>
      <c r="S532" s="55" t="s">
        <v>9013</v>
      </c>
      <c r="U532" s="3" t="str">
        <f t="shared" si="18"/>
        <v/>
      </c>
    </row>
    <row r="533" spans="1:21" x14ac:dyDescent="0.35">
      <c r="A533" s="126" t="s">
        <v>0</v>
      </c>
      <c r="B533" s="126" t="s">
        <v>4622</v>
      </c>
      <c r="C533" s="126" t="s">
        <v>2</v>
      </c>
      <c r="D533" s="126" t="s">
        <v>3</v>
      </c>
      <c r="E533" s="126">
        <v>79.09</v>
      </c>
      <c r="F533" s="126" t="s">
        <v>88</v>
      </c>
      <c r="G533" s="108">
        <v>45517</v>
      </c>
      <c r="H533" s="126" t="s">
        <v>89</v>
      </c>
      <c r="I533" s="126" t="s">
        <v>8320</v>
      </c>
      <c r="J533" s="126"/>
      <c r="K533" s="126" t="s">
        <v>8321</v>
      </c>
      <c r="L533" s="126" t="s">
        <v>8322</v>
      </c>
      <c r="M533" s="126" t="s">
        <v>399</v>
      </c>
      <c r="Q533" s="3">
        <f t="shared" si="17"/>
        <v>79.09</v>
      </c>
      <c r="S533" s="55" t="s">
        <v>9013</v>
      </c>
      <c r="U533" s="3" t="str">
        <f t="shared" si="18"/>
        <v/>
      </c>
    </row>
    <row r="534" spans="1:21" x14ac:dyDescent="0.35">
      <c r="A534" s="126" t="s">
        <v>0</v>
      </c>
      <c r="B534" s="126" t="s">
        <v>4622</v>
      </c>
      <c r="C534" s="126" t="s">
        <v>2</v>
      </c>
      <c r="D534" s="126" t="s">
        <v>3</v>
      </c>
      <c r="E534" s="126">
        <v>79.09</v>
      </c>
      <c r="F534" s="126" t="s">
        <v>88</v>
      </c>
      <c r="G534" s="108">
        <v>45551</v>
      </c>
      <c r="H534" s="126" t="s">
        <v>89</v>
      </c>
      <c r="I534" s="126" t="s">
        <v>8431</v>
      </c>
      <c r="J534" s="126"/>
      <c r="K534" s="126" t="s">
        <v>8432</v>
      </c>
      <c r="L534" s="126" t="s">
        <v>8433</v>
      </c>
      <c r="M534" s="126" t="s">
        <v>399</v>
      </c>
      <c r="Q534" s="3">
        <f t="shared" si="17"/>
        <v>79.09</v>
      </c>
      <c r="S534" s="55" t="s">
        <v>9013</v>
      </c>
      <c r="U534" s="3" t="str">
        <f t="shared" si="18"/>
        <v/>
      </c>
    </row>
    <row r="535" spans="1:21" x14ac:dyDescent="0.35">
      <c r="A535" s="126" t="s">
        <v>0</v>
      </c>
      <c r="B535" s="126" t="s">
        <v>4622</v>
      </c>
      <c r="C535" s="126" t="s">
        <v>2</v>
      </c>
      <c r="D535" s="126" t="s">
        <v>3</v>
      </c>
      <c r="E535" s="126">
        <v>79.09</v>
      </c>
      <c r="F535" s="126" t="s">
        <v>88</v>
      </c>
      <c r="G535" s="108">
        <v>45569</v>
      </c>
      <c r="H535" s="126" t="s">
        <v>89</v>
      </c>
      <c r="I535" s="126" t="s">
        <v>8521</v>
      </c>
      <c r="J535" s="126"/>
      <c r="K535" s="126" t="s">
        <v>8522</v>
      </c>
      <c r="L535" s="126" t="s">
        <v>8523</v>
      </c>
      <c r="M535" s="126" t="s">
        <v>399</v>
      </c>
      <c r="Q535" s="3">
        <f t="shared" si="17"/>
        <v>79.09</v>
      </c>
      <c r="S535" s="55" t="s">
        <v>9013</v>
      </c>
      <c r="U535" s="3" t="str">
        <f t="shared" si="18"/>
        <v/>
      </c>
    </row>
    <row r="536" spans="1:21" x14ac:dyDescent="0.35">
      <c r="A536" s="126" t="s">
        <v>0</v>
      </c>
      <c r="B536" s="126" t="s">
        <v>4622</v>
      </c>
      <c r="C536" s="126" t="s">
        <v>2</v>
      </c>
      <c r="D536" s="126" t="s">
        <v>3</v>
      </c>
      <c r="E536" s="126">
        <v>79.09</v>
      </c>
      <c r="F536" s="126" t="s">
        <v>88</v>
      </c>
      <c r="G536" s="108">
        <v>45611</v>
      </c>
      <c r="H536" s="126" t="s">
        <v>89</v>
      </c>
      <c r="I536" s="126" t="s">
        <v>8734</v>
      </c>
      <c r="J536" s="126"/>
      <c r="K536" s="126" t="s">
        <v>8735</v>
      </c>
      <c r="L536" s="126" t="s">
        <v>8736</v>
      </c>
      <c r="M536" s="126" t="s">
        <v>399</v>
      </c>
      <c r="N536" s="126"/>
      <c r="O536" s="126"/>
      <c r="Q536" s="3">
        <f t="shared" si="17"/>
        <v>79.09</v>
      </c>
      <c r="S536" s="55" t="s">
        <v>9013</v>
      </c>
      <c r="U536" s="3" t="str">
        <f t="shared" si="18"/>
        <v/>
      </c>
    </row>
    <row r="537" spans="1:21" x14ac:dyDescent="0.35">
      <c r="A537" s="126" t="s">
        <v>35</v>
      </c>
      <c r="B537" s="126" t="s">
        <v>1216</v>
      </c>
      <c r="C537" s="126" t="s">
        <v>2</v>
      </c>
      <c r="D537" s="126" t="s">
        <v>3</v>
      </c>
      <c r="E537" s="126">
        <v>79.09</v>
      </c>
      <c r="F537" s="126" t="s">
        <v>88</v>
      </c>
      <c r="G537" s="108">
        <v>45621</v>
      </c>
      <c r="H537" s="126" t="s">
        <v>94</v>
      </c>
      <c r="I537" s="126" t="s">
        <v>249</v>
      </c>
      <c r="J537" s="126" t="s">
        <v>8798</v>
      </c>
      <c r="K537" s="126"/>
      <c r="L537" s="126"/>
      <c r="M537" s="126"/>
      <c r="N537" s="126"/>
      <c r="O537" s="126" t="s">
        <v>7490</v>
      </c>
      <c r="Q537" s="3">
        <f t="shared" si="17"/>
        <v>79.09</v>
      </c>
      <c r="S537" s="55" t="s">
        <v>586</v>
      </c>
      <c r="U537" s="3" t="str">
        <f t="shared" si="18"/>
        <v/>
      </c>
    </row>
    <row r="538" spans="1:21" x14ac:dyDescent="0.35">
      <c r="A538" s="126" t="s">
        <v>0</v>
      </c>
      <c r="B538" s="126" t="s">
        <v>4622</v>
      </c>
      <c r="C538" s="126" t="s">
        <v>2</v>
      </c>
      <c r="D538" s="126" t="s">
        <v>3</v>
      </c>
      <c r="E538" s="126">
        <v>79.09</v>
      </c>
      <c r="F538" s="126" t="s">
        <v>88</v>
      </c>
      <c r="G538" s="108">
        <v>45635</v>
      </c>
      <c r="H538" s="126" t="s">
        <v>89</v>
      </c>
      <c r="I538" s="126" t="s">
        <v>8878</v>
      </c>
      <c r="J538" s="126"/>
      <c r="K538" s="126" t="s">
        <v>8879</v>
      </c>
      <c r="L538" s="126" t="s">
        <v>8880</v>
      </c>
      <c r="M538" s="126" t="s">
        <v>399</v>
      </c>
      <c r="Q538" s="3">
        <f t="shared" si="17"/>
        <v>79.09</v>
      </c>
      <c r="S538" s="55" t="s">
        <v>9013</v>
      </c>
      <c r="U538" s="3" t="str">
        <f t="shared" si="18"/>
        <v/>
      </c>
    </row>
    <row r="539" spans="1:21" x14ac:dyDescent="0.35">
      <c r="A539" s="126" t="s">
        <v>0</v>
      </c>
      <c r="B539" s="126" t="s">
        <v>4622</v>
      </c>
      <c r="C539" s="126" t="s">
        <v>2</v>
      </c>
      <c r="D539" s="126" t="s">
        <v>3</v>
      </c>
      <c r="E539" s="126">
        <v>79.05</v>
      </c>
      <c r="F539" s="126" t="s">
        <v>88</v>
      </c>
      <c r="G539" s="108">
        <v>45391</v>
      </c>
      <c r="H539" s="126" t="s">
        <v>89</v>
      </c>
      <c r="I539" s="126" t="s">
        <v>7691</v>
      </c>
      <c r="J539" s="126"/>
      <c r="K539" s="126" t="s">
        <v>7672</v>
      </c>
      <c r="L539" s="126" t="s">
        <v>7692</v>
      </c>
      <c r="M539" s="126" t="s">
        <v>399</v>
      </c>
      <c r="N539" s="35"/>
      <c r="O539" s="35"/>
      <c r="Q539" s="3">
        <f t="shared" si="17"/>
        <v>79.05</v>
      </c>
      <c r="S539" s="55" t="s">
        <v>9013</v>
      </c>
      <c r="U539" s="3" t="str">
        <f t="shared" si="18"/>
        <v/>
      </c>
    </row>
    <row r="540" spans="1:21" x14ac:dyDescent="0.35">
      <c r="A540" s="126" t="s">
        <v>35</v>
      </c>
      <c r="B540" s="126" t="s">
        <v>2543</v>
      </c>
      <c r="C540" s="126" t="s">
        <v>2</v>
      </c>
      <c r="D540" s="126" t="s">
        <v>3</v>
      </c>
      <c r="E540" s="126">
        <v>78.73</v>
      </c>
      <c r="F540" s="126" t="s">
        <v>88</v>
      </c>
      <c r="G540" s="108">
        <v>45406</v>
      </c>
      <c r="H540" s="126" t="s">
        <v>94</v>
      </c>
      <c r="I540" s="126" t="s">
        <v>456</v>
      </c>
      <c r="J540" s="126" t="s">
        <v>7769</v>
      </c>
      <c r="K540" s="126"/>
      <c r="L540" s="126"/>
      <c r="M540" s="126"/>
      <c r="N540" s="126"/>
      <c r="O540" s="126" t="s">
        <v>543</v>
      </c>
      <c r="Q540" s="3">
        <f t="shared" si="17"/>
        <v>78.73</v>
      </c>
      <c r="S540" s="55" t="s">
        <v>586</v>
      </c>
      <c r="U540" s="3" t="str">
        <f t="shared" si="18"/>
        <v/>
      </c>
    </row>
    <row r="541" spans="1:21" x14ac:dyDescent="0.35">
      <c r="A541" s="126" t="s">
        <v>35</v>
      </c>
      <c r="B541" s="126" t="s">
        <v>2728</v>
      </c>
      <c r="C541" s="126" t="s">
        <v>2</v>
      </c>
      <c r="D541" s="126" t="s">
        <v>3</v>
      </c>
      <c r="E541" s="126">
        <v>78.16</v>
      </c>
      <c r="F541" s="126" t="s">
        <v>88</v>
      </c>
      <c r="G541" s="108">
        <v>45405</v>
      </c>
      <c r="H541" s="126" t="s">
        <v>94</v>
      </c>
      <c r="I541" s="126" t="s">
        <v>460</v>
      </c>
      <c r="J541" s="126" t="s">
        <v>7765</v>
      </c>
      <c r="K541" s="126"/>
      <c r="L541" s="126"/>
      <c r="M541" s="126"/>
      <c r="N541" s="126"/>
      <c r="O541" s="126" t="s">
        <v>546</v>
      </c>
      <c r="Q541" s="3">
        <f t="shared" si="17"/>
        <v>78.16</v>
      </c>
      <c r="S541" s="55" t="s">
        <v>9041</v>
      </c>
      <c r="U541" s="3" t="str">
        <f t="shared" si="18"/>
        <v/>
      </c>
    </row>
    <row r="542" spans="1:21" x14ac:dyDescent="0.35">
      <c r="A542" s="126" t="s">
        <v>35</v>
      </c>
      <c r="B542" s="126" t="s">
        <v>893</v>
      </c>
      <c r="C542" s="126" t="s">
        <v>2</v>
      </c>
      <c r="D542" s="126" t="s">
        <v>3</v>
      </c>
      <c r="E542" s="126">
        <v>77.67</v>
      </c>
      <c r="F542" s="126" t="s">
        <v>88</v>
      </c>
      <c r="G542" s="108">
        <v>45604</v>
      </c>
      <c r="H542" s="126" t="s">
        <v>94</v>
      </c>
      <c r="I542" s="126" t="s">
        <v>457</v>
      </c>
      <c r="J542" s="126" t="s">
        <v>8416</v>
      </c>
      <c r="K542" s="126"/>
      <c r="L542" s="126"/>
      <c r="M542" s="126"/>
      <c r="N542" s="126"/>
      <c r="O542" s="126" t="s">
        <v>544</v>
      </c>
      <c r="Q542" s="3">
        <f t="shared" si="17"/>
        <v>77.67</v>
      </c>
      <c r="S542" s="55" t="s">
        <v>586</v>
      </c>
      <c r="U542" s="3" t="str">
        <f t="shared" si="18"/>
        <v/>
      </c>
    </row>
    <row r="543" spans="1:21" x14ac:dyDescent="0.35">
      <c r="A543" s="126" t="s">
        <v>0</v>
      </c>
      <c r="B543" s="126" t="s">
        <v>893</v>
      </c>
      <c r="C543" s="126" t="s">
        <v>2</v>
      </c>
      <c r="D543" s="126" t="s">
        <v>3</v>
      </c>
      <c r="E543" s="126">
        <v>77.5</v>
      </c>
      <c r="F543" s="126" t="s">
        <v>88</v>
      </c>
      <c r="G543" s="108">
        <v>45505</v>
      </c>
      <c r="H543" s="126" t="s">
        <v>89</v>
      </c>
      <c r="I543" s="126" t="s">
        <v>8248</v>
      </c>
      <c r="J543" s="126"/>
      <c r="K543" s="126" t="s">
        <v>8135</v>
      </c>
      <c r="L543" s="126" t="s">
        <v>8249</v>
      </c>
      <c r="M543" s="126" t="s">
        <v>399</v>
      </c>
      <c r="Q543" s="3">
        <f t="shared" si="17"/>
        <v>77.5</v>
      </c>
      <c r="S543" s="55" t="s">
        <v>9013</v>
      </c>
      <c r="U543" s="3" t="str">
        <f t="shared" si="18"/>
        <v/>
      </c>
    </row>
    <row r="544" spans="1:21" x14ac:dyDescent="0.35">
      <c r="A544" s="126" t="s">
        <v>0</v>
      </c>
      <c r="B544" s="126" t="s">
        <v>893</v>
      </c>
      <c r="C544" s="126" t="s">
        <v>2</v>
      </c>
      <c r="D544" s="126" t="s">
        <v>3</v>
      </c>
      <c r="E544" s="126">
        <v>77.5</v>
      </c>
      <c r="F544" s="126" t="s">
        <v>88</v>
      </c>
      <c r="G544" s="108">
        <v>45517</v>
      </c>
      <c r="H544" s="126" t="s">
        <v>89</v>
      </c>
      <c r="I544" s="126" t="s">
        <v>8323</v>
      </c>
      <c r="J544" s="126"/>
      <c r="K544" s="126" t="s">
        <v>8321</v>
      </c>
      <c r="L544" s="126" t="s">
        <v>8324</v>
      </c>
      <c r="M544" s="126" t="s">
        <v>399</v>
      </c>
      <c r="Q544" s="3">
        <f t="shared" si="17"/>
        <v>77.5</v>
      </c>
      <c r="S544" s="55" t="s">
        <v>9013</v>
      </c>
      <c r="U544" s="3" t="str">
        <f t="shared" si="18"/>
        <v/>
      </c>
    </row>
    <row r="545" spans="1:21" x14ac:dyDescent="0.35">
      <c r="A545" s="126" t="s">
        <v>35</v>
      </c>
      <c r="B545" s="126" t="s">
        <v>633</v>
      </c>
      <c r="C545" s="126" t="s">
        <v>2</v>
      </c>
      <c r="D545" s="126" t="s">
        <v>3</v>
      </c>
      <c r="E545" s="126">
        <v>77.27</v>
      </c>
      <c r="F545" s="126" t="s">
        <v>88</v>
      </c>
      <c r="G545" s="108">
        <v>45511</v>
      </c>
      <c r="H545" s="126" t="s">
        <v>94</v>
      </c>
      <c r="I545" s="126" t="s">
        <v>495</v>
      </c>
      <c r="J545" s="126" t="s">
        <v>496</v>
      </c>
      <c r="K545" s="126"/>
      <c r="L545" s="126"/>
      <c r="M545" s="126"/>
      <c r="N545" s="126"/>
      <c r="O545" s="126" t="s">
        <v>541</v>
      </c>
      <c r="Q545" s="3">
        <f t="shared" si="17"/>
        <v>77.27</v>
      </c>
      <c r="S545" s="55" t="s">
        <v>9014</v>
      </c>
      <c r="U545" s="3" t="str">
        <f t="shared" si="18"/>
        <v/>
      </c>
    </row>
    <row r="546" spans="1:21" x14ac:dyDescent="0.35">
      <c r="A546" s="126" t="s">
        <v>35</v>
      </c>
      <c r="B546" s="126" t="s">
        <v>2543</v>
      </c>
      <c r="C546" s="126" t="s">
        <v>2</v>
      </c>
      <c r="D546" s="126" t="s">
        <v>3</v>
      </c>
      <c r="E546" s="126">
        <v>77.27</v>
      </c>
      <c r="F546" s="126" t="s">
        <v>88</v>
      </c>
      <c r="G546" s="108">
        <v>45586</v>
      </c>
      <c r="H546" s="126" t="s">
        <v>94</v>
      </c>
      <c r="I546" s="126" t="s">
        <v>456</v>
      </c>
      <c r="J546" s="126" t="s">
        <v>514</v>
      </c>
      <c r="K546" s="126"/>
      <c r="L546" s="126"/>
      <c r="M546" s="126"/>
      <c r="N546" s="126"/>
      <c r="O546" s="126" t="s">
        <v>8596</v>
      </c>
      <c r="Q546" s="3">
        <f t="shared" si="17"/>
        <v>77.27</v>
      </c>
      <c r="U546" s="3" t="str">
        <f t="shared" si="18"/>
        <v/>
      </c>
    </row>
    <row r="547" spans="1:21" x14ac:dyDescent="0.35">
      <c r="A547" s="126" t="s">
        <v>35</v>
      </c>
      <c r="B547" s="126" t="s">
        <v>615</v>
      </c>
      <c r="C547" s="126" t="s">
        <v>2</v>
      </c>
      <c r="D547" s="126" t="s">
        <v>3</v>
      </c>
      <c r="E547" s="126">
        <v>77.27</v>
      </c>
      <c r="F547" s="126" t="s">
        <v>88</v>
      </c>
      <c r="G547" s="108">
        <v>45628</v>
      </c>
      <c r="H547" s="126" t="s">
        <v>94</v>
      </c>
      <c r="I547" s="126" t="s">
        <v>8831</v>
      </c>
      <c r="J547" s="126" t="s">
        <v>8832</v>
      </c>
      <c r="K547" s="126"/>
      <c r="L547" s="126"/>
      <c r="M547" s="126"/>
      <c r="N547" s="126"/>
      <c r="O547" s="126" t="s">
        <v>8373</v>
      </c>
      <c r="Q547" s="3">
        <f t="shared" si="17"/>
        <v>77.27</v>
      </c>
      <c r="U547" s="3" t="str">
        <f t="shared" si="18"/>
        <v/>
      </c>
    </row>
    <row r="548" spans="1:21" x14ac:dyDescent="0.35">
      <c r="A548" s="126" t="s">
        <v>0</v>
      </c>
      <c r="B548" s="126" t="s">
        <v>3466</v>
      </c>
      <c r="C548" s="126" t="s">
        <v>2</v>
      </c>
      <c r="D548" s="126" t="s">
        <v>3</v>
      </c>
      <c r="E548" s="126">
        <v>77.12</v>
      </c>
      <c r="F548" s="126" t="s">
        <v>88</v>
      </c>
      <c r="G548" s="108">
        <v>45636</v>
      </c>
      <c r="H548" s="126" t="s">
        <v>89</v>
      </c>
      <c r="I548" s="126" t="s">
        <v>8909</v>
      </c>
      <c r="J548" s="126"/>
      <c r="K548" s="126" t="s">
        <v>8239</v>
      </c>
      <c r="L548" s="126" t="s">
        <v>8910</v>
      </c>
      <c r="M548" s="126" t="s">
        <v>8241</v>
      </c>
      <c r="N548" s="126"/>
      <c r="O548" s="126"/>
      <c r="Q548" s="3">
        <f t="shared" si="17"/>
        <v>77.12</v>
      </c>
      <c r="S548" s="55" t="s">
        <v>9016</v>
      </c>
      <c r="U548" s="3" t="str">
        <f t="shared" si="18"/>
        <v/>
      </c>
    </row>
    <row r="549" spans="1:21" x14ac:dyDescent="0.35">
      <c r="A549" s="126" t="s">
        <v>35</v>
      </c>
      <c r="B549" s="126" t="s">
        <v>2031</v>
      </c>
      <c r="C549" s="126" t="s">
        <v>2</v>
      </c>
      <c r="D549" s="126" t="s">
        <v>3</v>
      </c>
      <c r="E549" s="126">
        <v>76.64</v>
      </c>
      <c r="F549" s="126" t="s">
        <v>88</v>
      </c>
      <c r="G549" s="108">
        <v>45496</v>
      </c>
      <c r="H549" s="126" t="s">
        <v>94</v>
      </c>
      <c r="I549" s="126" t="s">
        <v>450</v>
      </c>
      <c r="J549" s="126" t="s">
        <v>8213</v>
      </c>
      <c r="K549" s="126"/>
      <c r="L549" s="126"/>
      <c r="M549" s="126"/>
      <c r="N549" s="126"/>
      <c r="O549" s="126" t="s">
        <v>2076</v>
      </c>
      <c r="Q549" s="3">
        <f t="shared" si="17"/>
        <v>76.64</v>
      </c>
      <c r="S549" s="55" t="s">
        <v>586</v>
      </c>
      <c r="U549" s="3" t="str">
        <f t="shared" si="18"/>
        <v/>
      </c>
    </row>
    <row r="550" spans="1:21" x14ac:dyDescent="0.35">
      <c r="A550" s="126" t="s">
        <v>35</v>
      </c>
      <c r="B550" s="126" t="s">
        <v>852</v>
      </c>
      <c r="C550" s="126" t="s">
        <v>2</v>
      </c>
      <c r="D550" s="126" t="s">
        <v>3</v>
      </c>
      <c r="E550" s="126">
        <v>76.36</v>
      </c>
      <c r="F550" s="126" t="s">
        <v>88</v>
      </c>
      <c r="G550" s="108">
        <v>45415</v>
      </c>
      <c r="H550" s="126" t="s">
        <v>94</v>
      </c>
      <c r="I550" s="126" t="s">
        <v>428</v>
      </c>
      <c r="J550" s="126" t="s">
        <v>429</v>
      </c>
      <c r="K550" s="126"/>
      <c r="L550" s="126"/>
      <c r="M550" s="126"/>
      <c r="N550" s="126"/>
      <c r="O550" s="126" t="s">
        <v>525</v>
      </c>
      <c r="Q550" s="3">
        <f t="shared" si="17"/>
        <v>76.36</v>
      </c>
      <c r="S550" s="55" t="s">
        <v>586</v>
      </c>
      <c r="U550" s="3" t="str">
        <f t="shared" si="18"/>
        <v/>
      </c>
    </row>
    <row r="551" spans="1:21" x14ac:dyDescent="0.35">
      <c r="A551" s="126" t="s">
        <v>35</v>
      </c>
      <c r="B551" s="126" t="s">
        <v>852</v>
      </c>
      <c r="C551" s="126" t="s">
        <v>2</v>
      </c>
      <c r="D551" s="126" t="s">
        <v>3</v>
      </c>
      <c r="E551" s="126">
        <v>76.36</v>
      </c>
      <c r="F551" s="126" t="s">
        <v>88</v>
      </c>
      <c r="G551" s="108">
        <v>45632</v>
      </c>
      <c r="H551" s="126" t="s">
        <v>94</v>
      </c>
      <c r="I551" s="126" t="s">
        <v>428</v>
      </c>
      <c r="J551" s="126" t="s">
        <v>8875</v>
      </c>
      <c r="K551" s="126"/>
      <c r="L551" s="126"/>
      <c r="M551" s="126"/>
      <c r="N551" s="126"/>
      <c r="O551" s="126" t="s">
        <v>525</v>
      </c>
      <c r="Q551" s="3">
        <f t="shared" si="17"/>
        <v>76.36</v>
      </c>
      <c r="S551" s="55" t="s">
        <v>586</v>
      </c>
      <c r="U551" s="3" t="str">
        <f t="shared" si="18"/>
        <v/>
      </c>
    </row>
    <row r="552" spans="1:21" x14ac:dyDescent="0.35">
      <c r="A552" s="126" t="s">
        <v>35</v>
      </c>
      <c r="B552" s="126" t="s">
        <v>2543</v>
      </c>
      <c r="C552" s="126" t="s">
        <v>2</v>
      </c>
      <c r="D552" s="126" t="s">
        <v>3</v>
      </c>
      <c r="E552" s="126">
        <v>76.180000000000007</v>
      </c>
      <c r="F552" s="126" t="s">
        <v>88</v>
      </c>
      <c r="G552" s="108">
        <v>45562</v>
      </c>
      <c r="H552" s="126" t="s">
        <v>94</v>
      </c>
      <c r="I552" s="126" t="s">
        <v>456</v>
      </c>
      <c r="J552" s="126" t="s">
        <v>8477</v>
      </c>
      <c r="K552" s="126"/>
      <c r="L552" s="126"/>
      <c r="M552" s="126"/>
      <c r="N552" s="126"/>
      <c r="O552" s="126" t="s">
        <v>543</v>
      </c>
      <c r="Q552" s="3">
        <f t="shared" si="17"/>
        <v>76.180000000000007</v>
      </c>
      <c r="S552" s="55" t="s">
        <v>586</v>
      </c>
      <c r="U552" s="3" t="str">
        <f t="shared" si="18"/>
        <v/>
      </c>
    </row>
    <row r="553" spans="1:21" x14ac:dyDescent="0.35">
      <c r="A553" s="126" t="s">
        <v>35</v>
      </c>
      <c r="B553" s="126" t="s">
        <v>2543</v>
      </c>
      <c r="C553" s="126" t="s">
        <v>2</v>
      </c>
      <c r="D553" s="126" t="s">
        <v>3</v>
      </c>
      <c r="E553" s="126">
        <v>76.14</v>
      </c>
      <c r="F553" s="126" t="s">
        <v>88</v>
      </c>
      <c r="G553" s="108">
        <v>45524</v>
      </c>
      <c r="H553" s="126" t="s">
        <v>94</v>
      </c>
      <c r="I553" s="126" t="s">
        <v>453</v>
      </c>
      <c r="J553" s="126" t="s">
        <v>395</v>
      </c>
      <c r="K553" s="126"/>
      <c r="L553" s="126"/>
      <c r="M553" s="126"/>
      <c r="N553" s="126"/>
      <c r="O553" s="126" t="s">
        <v>537</v>
      </c>
      <c r="Q553" s="3">
        <f t="shared" si="17"/>
        <v>76.14</v>
      </c>
      <c r="S553" s="55" t="s">
        <v>586</v>
      </c>
      <c r="U553" s="3" t="str">
        <f t="shared" si="18"/>
        <v/>
      </c>
    </row>
    <row r="554" spans="1:21" x14ac:dyDescent="0.35">
      <c r="A554" s="126" t="s">
        <v>35</v>
      </c>
      <c r="B554" s="126" t="s">
        <v>2543</v>
      </c>
      <c r="C554" s="126" t="s">
        <v>2</v>
      </c>
      <c r="D554" s="126" t="s">
        <v>3</v>
      </c>
      <c r="E554" s="126">
        <v>75.23</v>
      </c>
      <c r="F554" s="126" t="s">
        <v>88</v>
      </c>
      <c r="G554" s="108">
        <v>45639</v>
      </c>
      <c r="H554" s="126" t="s">
        <v>94</v>
      </c>
      <c r="I554" s="126" t="s">
        <v>510</v>
      </c>
      <c r="J554" s="126" t="s">
        <v>8968</v>
      </c>
      <c r="K554" s="126"/>
      <c r="L554" s="126"/>
      <c r="M554" s="126"/>
      <c r="N554" s="126"/>
      <c r="O554" s="126" t="s">
        <v>537</v>
      </c>
      <c r="Q554" s="3">
        <f t="shared" si="17"/>
        <v>75.23</v>
      </c>
      <c r="U554" s="3" t="str">
        <f t="shared" si="18"/>
        <v/>
      </c>
    </row>
    <row r="555" spans="1:21" x14ac:dyDescent="0.35">
      <c r="A555" s="126" t="s">
        <v>0</v>
      </c>
      <c r="B555" s="126" t="s">
        <v>708</v>
      </c>
      <c r="C555" s="126" t="s">
        <v>2</v>
      </c>
      <c r="D555" s="126" t="s">
        <v>3</v>
      </c>
      <c r="E555" s="126">
        <v>75.05</v>
      </c>
      <c r="F555" s="126" t="s">
        <v>88</v>
      </c>
      <c r="G555" s="108">
        <v>45454</v>
      </c>
      <c r="H555" s="126" t="s">
        <v>89</v>
      </c>
      <c r="I555" s="126" t="s">
        <v>7961</v>
      </c>
      <c r="J555" s="126"/>
      <c r="K555" s="126" t="s">
        <v>7959</v>
      </c>
      <c r="L555" s="126" t="s">
        <v>7962</v>
      </c>
      <c r="M555" s="126" t="s">
        <v>399</v>
      </c>
      <c r="N555" s="126"/>
      <c r="O555" s="126"/>
      <c r="Q555" s="3">
        <f t="shared" si="17"/>
        <v>75.05</v>
      </c>
      <c r="S555" s="55" t="s">
        <v>9013</v>
      </c>
      <c r="U555" s="3" t="str">
        <f t="shared" si="18"/>
        <v/>
      </c>
    </row>
    <row r="556" spans="1:21" x14ac:dyDescent="0.35">
      <c r="A556" s="126" t="s">
        <v>0</v>
      </c>
      <c r="B556" s="126" t="s">
        <v>708</v>
      </c>
      <c r="C556" s="126" t="s">
        <v>2</v>
      </c>
      <c r="D556" s="126" t="s">
        <v>3</v>
      </c>
      <c r="E556" s="126">
        <v>75.05</v>
      </c>
      <c r="F556" s="126" t="s">
        <v>88</v>
      </c>
      <c r="G556" s="108">
        <v>45635</v>
      </c>
      <c r="H556" s="126" t="s">
        <v>89</v>
      </c>
      <c r="I556" s="126" t="s">
        <v>8881</v>
      </c>
      <c r="J556" s="126"/>
      <c r="K556" s="126" t="s">
        <v>8735</v>
      </c>
      <c r="L556" s="126" t="s">
        <v>8882</v>
      </c>
      <c r="M556" s="126" t="s">
        <v>399</v>
      </c>
      <c r="Q556" s="3">
        <f t="shared" si="17"/>
        <v>75.05</v>
      </c>
      <c r="S556" s="55" t="s">
        <v>9013</v>
      </c>
      <c r="U556" s="3" t="str">
        <f t="shared" si="18"/>
        <v/>
      </c>
    </row>
    <row r="557" spans="1:21" x14ac:dyDescent="0.35">
      <c r="A557" s="126" t="s">
        <v>35</v>
      </c>
      <c r="B557" s="126" t="s">
        <v>3422</v>
      </c>
      <c r="C557" s="126" t="s">
        <v>2</v>
      </c>
      <c r="D557" s="126" t="s">
        <v>3</v>
      </c>
      <c r="E557" s="126">
        <v>74.459999999999994</v>
      </c>
      <c r="F557" s="126" t="s">
        <v>88</v>
      </c>
      <c r="G557" s="108">
        <v>45527</v>
      </c>
      <c r="H557" s="126" t="s">
        <v>94</v>
      </c>
      <c r="I557" s="126" t="s">
        <v>4435</v>
      </c>
      <c r="J557" s="126" t="s">
        <v>7661</v>
      </c>
      <c r="K557" s="126"/>
      <c r="L557" s="126"/>
      <c r="M557" s="126"/>
      <c r="N557" s="126"/>
      <c r="O557" s="126" t="s">
        <v>538</v>
      </c>
      <c r="Q557" s="3">
        <f t="shared" si="17"/>
        <v>74.459999999999994</v>
      </c>
      <c r="U557" s="3" t="str">
        <f t="shared" si="18"/>
        <v/>
      </c>
    </row>
    <row r="558" spans="1:21" x14ac:dyDescent="0.35">
      <c r="A558" s="126" t="s">
        <v>35</v>
      </c>
      <c r="B558" s="126" t="s">
        <v>1480</v>
      </c>
      <c r="C558" s="126" t="s">
        <v>2</v>
      </c>
      <c r="D558" s="126" t="s">
        <v>3</v>
      </c>
      <c r="E558" s="126">
        <v>74.399999999999991</v>
      </c>
      <c r="F558" s="126" t="s">
        <v>88</v>
      </c>
      <c r="G558" s="108">
        <v>45404</v>
      </c>
      <c r="H558" s="126" t="s">
        <v>94</v>
      </c>
      <c r="I558" s="126" t="s">
        <v>326</v>
      </c>
      <c r="J558" s="126" t="s">
        <v>327</v>
      </c>
      <c r="K558" s="126"/>
      <c r="L558" s="126"/>
      <c r="M558" s="126"/>
      <c r="N558" s="126"/>
      <c r="O558" s="126" t="s">
        <v>550</v>
      </c>
      <c r="Q558" s="3">
        <f t="shared" si="17"/>
        <v>74.399999999999991</v>
      </c>
      <c r="U558" s="3" t="str">
        <f t="shared" si="18"/>
        <v/>
      </c>
    </row>
    <row r="559" spans="1:21" x14ac:dyDescent="0.35">
      <c r="A559" s="126" t="s">
        <v>0</v>
      </c>
      <c r="B559" s="126" t="s">
        <v>601</v>
      </c>
      <c r="C559" s="126" t="s">
        <v>2</v>
      </c>
      <c r="D559" s="126" t="s">
        <v>3</v>
      </c>
      <c r="E559" s="126">
        <v>74.28</v>
      </c>
      <c r="F559" s="126" t="s">
        <v>88</v>
      </c>
      <c r="G559" s="108">
        <v>45517</v>
      </c>
      <c r="H559" s="126" t="s">
        <v>89</v>
      </c>
      <c r="I559" s="126" t="s">
        <v>8323</v>
      </c>
      <c r="J559" s="126"/>
      <c r="K559" s="126" t="s">
        <v>8321</v>
      </c>
      <c r="L559" s="126" t="s">
        <v>8324</v>
      </c>
      <c r="M559" s="126" t="s">
        <v>399</v>
      </c>
      <c r="Q559" s="3">
        <f t="shared" si="17"/>
        <v>74.28</v>
      </c>
      <c r="S559" s="55" t="s">
        <v>9013</v>
      </c>
      <c r="U559" s="3" t="str">
        <f t="shared" si="18"/>
        <v/>
      </c>
    </row>
    <row r="560" spans="1:21" x14ac:dyDescent="0.35">
      <c r="A560" s="126" t="s">
        <v>0</v>
      </c>
      <c r="B560" s="126" t="s">
        <v>601</v>
      </c>
      <c r="C560" s="126" t="s">
        <v>2</v>
      </c>
      <c r="D560" s="126" t="s">
        <v>3</v>
      </c>
      <c r="E560" s="126">
        <v>74.28</v>
      </c>
      <c r="F560" s="126" t="s">
        <v>88</v>
      </c>
      <c r="G560" s="108">
        <v>45569</v>
      </c>
      <c r="H560" s="126" t="s">
        <v>89</v>
      </c>
      <c r="I560" s="126" t="s">
        <v>8524</v>
      </c>
      <c r="J560" s="126"/>
      <c r="K560" s="126" t="s">
        <v>8525</v>
      </c>
      <c r="L560" s="126" t="s">
        <v>8526</v>
      </c>
      <c r="M560" s="126" t="s">
        <v>399</v>
      </c>
      <c r="Q560" s="3">
        <f t="shared" si="17"/>
        <v>74.28</v>
      </c>
      <c r="S560" s="55" t="s">
        <v>9013</v>
      </c>
      <c r="U560" s="3" t="str">
        <f t="shared" si="18"/>
        <v/>
      </c>
    </row>
    <row r="561" spans="1:21" x14ac:dyDescent="0.35">
      <c r="A561" s="126" t="s">
        <v>35</v>
      </c>
      <c r="B561" s="126" t="s">
        <v>893</v>
      </c>
      <c r="C561" s="126" t="s">
        <v>2</v>
      </c>
      <c r="D561" s="126" t="s">
        <v>3</v>
      </c>
      <c r="E561" s="126">
        <v>74.150000000000006</v>
      </c>
      <c r="F561" s="126" t="s">
        <v>88</v>
      </c>
      <c r="G561" s="108">
        <v>45574</v>
      </c>
      <c r="H561" s="126" t="s">
        <v>94</v>
      </c>
      <c r="I561" s="126" t="s">
        <v>457</v>
      </c>
      <c r="J561" s="126" t="s">
        <v>8548</v>
      </c>
      <c r="K561" s="126"/>
      <c r="L561" s="126"/>
      <c r="M561" s="126"/>
      <c r="N561" s="126"/>
      <c r="O561" s="126" t="s">
        <v>544</v>
      </c>
      <c r="Q561" s="3">
        <f t="shared" si="17"/>
        <v>74.150000000000006</v>
      </c>
      <c r="S561" s="55" t="s">
        <v>586</v>
      </c>
      <c r="U561" s="3" t="str">
        <f t="shared" si="18"/>
        <v/>
      </c>
    </row>
    <row r="562" spans="1:21" x14ac:dyDescent="0.35">
      <c r="A562" s="126" t="s">
        <v>35</v>
      </c>
      <c r="B562" s="126" t="s">
        <v>698</v>
      </c>
      <c r="C562" s="126" t="s">
        <v>2</v>
      </c>
      <c r="D562" s="126" t="s">
        <v>3</v>
      </c>
      <c r="E562" s="126">
        <v>74</v>
      </c>
      <c r="F562" s="126" t="s">
        <v>88</v>
      </c>
      <c r="G562" s="108">
        <v>45597</v>
      </c>
      <c r="H562" s="126" t="s">
        <v>89</v>
      </c>
      <c r="I562" s="126" t="s">
        <v>8638</v>
      </c>
      <c r="J562" s="126"/>
      <c r="K562" s="126" t="s">
        <v>7764</v>
      </c>
      <c r="L562" s="126" t="s">
        <v>8639</v>
      </c>
      <c r="M562" s="126" t="s">
        <v>455</v>
      </c>
      <c r="N562" s="126"/>
      <c r="O562" s="126"/>
      <c r="Q562" s="3">
        <f t="shared" si="17"/>
        <v>74</v>
      </c>
      <c r="S562" s="55" t="s">
        <v>9016</v>
      </c>
      <c r="U562" s="3" t="str">
        <f t="shared" si="18"/>
        <v/>
      </c>
    </row>
    <row r="563" spans="1:21" x14ac:dyDescent="0.35">
      <c r="A563" s="126" t="s">
        <v>0</v>
      </c>
      <c r="B563" s="126" t="s">
        <v>7675</v>
      </c>
      <c r="C563" s="126" t="s">
        <v>2</v>
      </c>
      <c r="D563" s="126" t="s">
        <v>3</v>
      </c>
      <c r="E563" s="126">
        <v>73.790000000000006</v>
      </c>
      <c r="F563" s="126" t="s">
        <v>88</v>
      </c>
      <c r="G563" s="108">
        <v>45635</v>
      </c>
      <c r="H563" s="126" t="s">
        <v>89</v>
      </c>
      <c r="I563" s="126" t="s">
        <v>8881</v>
      </c>
      <c r="J563" s="126"/>
      <c r="K563" s="126" t="s">
        <v>8735</v>
      </c>
      <c r="L563" s="126" t="s">
        <v>8882</v>
      </c>
      <c r="M563" s="126" t="s">
        <v>399</v>
      </c>
      <c r="Q563" s="3">
        <f t="shared" si="17"/>
        <v>73.790000000000006</v>
      </c>
      <c r="S563" s="55" t="s">
        <v>9013</v>
      </c>
      <c r="U563" s="3" t="str">
        <f t="shared" si="18"/>
        <v/>
      </c>
    </row>
    <row r="564" spans="1:21" x14ac:dyDescent="0.35">
      <c r="A564" s="126" t="s">
        <v>35</v>
      </c>
      <c r="B564" s="126" t="s">
        <v>2543</v>
      </c>
      <c r="C564" s="126" t="s">
        <v>2</v>
      </c>
      <c r="D564" s="126" t="s">
        <v>3</v>
      </c>
      <c r="E564" s="126">
        <v>73.66</v>
      </c>
      <c r="F564" s="126" t="s">
        <v>88</v>
      </c>
      <c r="G564" s="108">
        <v>45644</v>
      </c>
      <c r="H564" s="126" t="s">
        <v>94</v>
      </c>
      <c r="I564" s="126" t="s">
        <v>453</v>
      </c>
      <c r="J564" s="126" t="s">
        <v>395</v>
      </c>
      <c r="K564" s="126"/>
      <c r="L564" s="126"/>
      <c r="M564" s="126"/>
      <c r="N564" s="126"/>
      <c r="O564" s="126" t="s">
        <v>537</v>
      </c>
      <c r="Q564" s="3">
        <f t="shared" si="17"/>
        <v>73.66</v>
      </c>
      <c r="S564" s="55" t="s">
        <v>586</v>
      </c>
      <c r="U564" s="3" t="str">
        <f t="shared" si="18"/>
        <v/>
      </c>
    </row>
    <row r="565" spans="1:21" x14ac:dyDescent="0.35">
      <c r="A565" s="126" t="s">
        <v>35</v>
      </c>
      <c r="B565" s="126" t="s">
        <v>933</v>
      </c>
      <c r="C565" s="126" t="s">
        <v>2</v>
      </c>
      <c r="D565" s="126" t="s">
        <v>3</v>
      </c>
      <c r="E565" s="126">
        <v>73.52</v>
      </c>
      <c r="F565" s="126" t="s">
        <v>88</v>
      </c>
      <c r="G565" s="108">
        <v>45384</v>
      </c>
      <c r="H565" s="126" t="s">
        <v>89</v>
      </c>
      <c r="I565" s="126" t="s">
        <v>7624</v>
      </c>
      <c r="J565" s="126"/>
      <c r="K565" s="126" t="s">
        <v>101</v>
      </c>
      <c r="L565" s="126" t="s">
        <v>7625</v>
      </c>
      <c r="M565" s="126" t="s">
        <v>7626</v>
      </c>
      <c r="N565" s="126"/>
      <c r="O565" s="126"/>
      <c r="Q565" s="3">
        <f t="shared" si="17"/>
        <v>73.52</v>
      </c>
      <c r="U565" s="3" t="str">
        <f t="shared" si="18"/>
        <v/>
      </c>
    </row>
    <row r="566" spans="1:21" x14ac:dyDescent="0.35">
      <c r="A566" s="126" t="s">
        <v>35</v>
      </c>
      <c r="B566" s="126" t="s">
        <v>4583</v>
      </c>
      <c r="C566" s="126" t="s">
        <v>2</v>
      </c>
      <c r="D566" s="126" t="s">
        <v>3</v>
      </c>
      <c r="E566" s="126">
        <v>72.900000000000006</v>
      </c>
      <c r="F566" s="126" t="s">
        <v>88</v>
      </c>
      <c r="G566" s="108">
        <v>45399</v>
      </c>
      <c r="H566" s="126" t="s">
        <v>94</v>
      </c>
      <c r="I566" s="126" t="s">
        <v>501</v>
      </c>
      <c r="J566" s="126" t="s">
        <v>502</v>
      </c>
      <c r="K566" s="126"/>
      <c r="L566" s="126"/>
      <c r="M566" s="126"/>
      <c r="N566" s="126"/>
      <c r="O566" s="126" t="s">
        <v>574</v>
      </c>
      <c r="Q566" s="3">
        <f t="shared" si="17"/>
        <v>72.900000000000006</v>
      </c>
      <c r="S566" s="55" t="s">
        <v>9014</v>
      </c>
      <c r="U566" s="3" t="str">
        <f t="shared" si="18"/>
        <v/>
      </c>
    </row>
    <row r="567" spans="1:21" x14ac:dyDescent="0.35">
      <c r="A567" s="126" t="s">
        <v>35</v>
      </c>
      <c r="B567" s="126" t="s">
        <v>6156</v>
      </c>
      <c r="C567" s="126" t="s">
        <v>2</v>
      </c>
      <c r="D567" s="126" t="s">
        <v>3</v>
      </c>
      <c r="E567" s="126">
        <v>72.900000000000006</v>
      </c>
      <c r="F567" s="126" t="s">
        <v>88</v>
      </c>
      <c r="G567" s="108">
        <v>45638</v>
      </c>
      <c r="H567" s="126" t="s">
        <v>89</v>
      </c>
      <c r="I567" s="126" t="s">
        <v>8952</v>
      </c>
      <c r="J567" s="126"/>
      <c r="K567" s="126" t="s">
        <v>8953</v>
      </c>
      <c r="L567" s="126" t="s">
        <v>8954</v>
      </c>
      <c r="M567" s="126" t="s">
        <v>8955</v>
      </c>
      <c r="N567" s="126"/>
      <c r="O567" s="126"/>
      <c r="Q567" s="3">
        <f t="shared" si="17"/>
        <v>72.900000000000006</v>
      </c>
      <c r="U567" s="3" t="str">
        <f t="shared" si="18"/>
        <v/>
      </c>
    </row>
    <row r="568" spans="1:21" x14ac:dyDescent="0.35">
      <c r="A568" s="126" t="s">
        <v>35</v>
      </c>
      <c r="B568" s="126" t="s">
        <v>764</v>
      </c>
      <c r="C568" s="126" t="s">
        <v>2</v>
      </c>
      <c r="D568" s="126" t="s">
        <v>3</v>
      </c>
      <c r="E568" s="126">
        <v>72.73</v>
      </c>
      <c r="F568" s="126" t="s">
        <v>88</v>
      </c>
      <c r="G568" s="108">
        <v>45405</v>
      </c>
      <c r="H568" s="126" t="s">
        <v>94</v>
      </c>
      <c r="I568" s="126" t="s">
        <v>480</v>
      </c>
      <c r="J568" s="126" t="s">
        <v>7762</v>
      </c>
      <c r="K568" s="126"/>
      <c r="L568" s="126"/>
      <c r="M568" s="126"/>
      <c r="N568" s="126"/>
      <c r="O568" s="126" t="s">
        <v>7763</v>
      </c>
      <c r="Q568" s="3">
        <f t="shared" si="17"/>
        <v>72.73</v>
      </c>
      <c r="U568" s="3" t="str">
        <f t="shared" si="18"/>
        <v/>
      </c>
    </row>
    <row r="569" spans="1:21" x14ac:dyDescent="0.35">
      <c r="A569" s="126" t="s">
        <v>35</v>
      </c>
      <c r="B569" s="126" t="s">
        <v>3466</v>
      </c>
      <c r="C569" s="126" t="s">
        <v>2</v>
      </c>
      <c r="D569" s="126" t="s">
        <v>3</v>
      </c>
      <c r="E569" s="126">
        <v>72.73</v>
      </c>
      <c r="F569" s="126" t="s">
        <v>88</v>
      </c>
      <c r="G569" s="108">
        <v>45607</v>
      </c>
      <c r="H569" s="126" t="s">
        <v>94</v>
      </c>
      <c r="I569" s="126" t="s">
        <v>8715</v>
      </c>
      <c r="J569" s="126" t="s">
        <v>8716</v>
      </c>
      <c r="K569" s="126"/>
      <c r="L569" s="126"/>
      <c r="M569" s="126"/>
      <c r="N569" s="126"/>
      <c r="O569" s="126" t="s">
        <v>8717</v>
      </c>
      <c r="Q569" s="3">
        <f t="shared" si="17"/>
        <v>72.73</v>
      </c>
      <c r="U569" s="3" t="str">
        <f t="shared" si="18"/>
        <v/>
      </c>
    </row>
    <row r="570" spans="1:21" x14ac:dyDescent="0.35">
      <c r="A570" s="126" t="s">
        <v>35</v>
      </c>
      <c r="B570" s="126" t="s">
        <v>5426</v>
      </c>
      <c r="C570" s="126" t="s">
        <v>2</v>
      </c>
      <c r="D570" s="126" t="s">
        <v>3</v>
      </c>
      <c r="E570" s="126">
        <v>72.73</v>
      </c>
      <c r="F570" s="126" t="s">
        <v>88</v>
      </c>
      <c r="G570" s="108">
        <v>45643</v>
      </c>
      <c r="H570" s="126" t="s">
        <v>94</v>
      </c>
      <c r="I570" s="126" t="s">
        <v>476</v>
      </c>
      <c r="J570" s="126" t="s">
        <v>8977</v>
      </c>
      <c r="K570" s="126"/>
      <c r="L570" s="126"/>
      <c r="M570" s="126"/>
      <c r="N570" s="126"/>
      <c r="O570" s="126" t="s">
        <v>8978</v>
      </c>
      <c r="Q570" s="3">
        <f t="shared" si="17"/>
        <v>72.73</v>
      </c>
      <c r="U570" s="3" t="str">
        <f t="shared" si="18"/>
        <v/>
      </c>
    </row>
    <row r="571" spans="1:21" x14ac:dyDescent="0.35">
      <c r="A571" s="126" t="s">
        <v>0</v>
      </c>
      <c r="B571" s="126" t="s">
        <v>708</v>
      </c>
      <c r="C571" s="126" t="s">
        <v>2</v>
      </c>
      <c r="D571" s="126" t="s">
        <v>3</v>
      </c>
      <c r="E571" s="126">
        <v>72.53</v>
      </c>
      <c r="F571" s="126" t="s">
        <v>88</v>
      </c>
      <c r="G571" s="108">
        <v>45505</v>
      </c>
      <c r="H571" s="126" t="s">
        <v>89</v>
      </c>
      <c r="I571" s="126" t="s">
        <v>8248</v>
      </c>
      <c r="J571" s="126"/>
      <c r="K571" s="126" t="s">
        <v>8135</v>
      </c>
      <c r="L571" s="126" t="s">
        <v>8249</v>
      </c>
      <c r="M571" s="126" t="s">
        <v>399</v>
      </c>
      <c r="Q571" s="3">
        <f t="shared" si="17"/>
        <v>72.53</v>
      </c>
      <c r="S571" s="55" t="s">
        <v>9013</v>
      </c>
      <c r="U571" s="3" t="str">
        <f t="shared" si="18"/>
        <v/>
      </c>
    </row>
    <row r="572" spans="1:21" x14ac:dyDescent="0.35">
      <c r="A572" s="126" t="s">
        <v>0</v>
      </c>
      <c r="B572" s="126" t="s">
        <v>708</v>
      </c>
      <c r="C572" s="126" t="s">
        <v>2</v>
      </c>
      <c r="D572" s="126" t="s">
        <v>3</v>
      </c>
      <c r="E572" s="126">
        <v>72.53</v>
      </c>
      <c r="F572" s="126" t="s">
        <v>88</v>
      </c>
      <c r="G572" s="108">
        <v>45569</v>
      </c>
      <c r="H572" s="126" t="s">
        <v>89</v>
      </c>
      <c r="I572" s="126" t="s">
        <v>8524</v>
      </c>
      <c r="J572" s="126"/>
      <c r="K572" s="126" t="s">
        <v>8525</v>
      </c>
      <c r="L572" s="126" t="s">
        <v>8526</v>
      </c>
      <c r="M572" s="126" t="s">
        <v>399</v>
      </c>
      <c r="N572" s="126"/>
      <c r="O572" s="126"/>
      <c r="Q572" s="3">
        <f t="shared" si="17"/>
        <v>72.53</v>
      </c>
      <c r="S572" s="55" t="s">
        <v>9013</v>
      </c>
      <c r="U572" s="3" t="str">
        <f t="shared" si="18"/>
        <v/>
      </c>
    </row>
    <row r="573" spans="1:21" x14ac:dyDescent="0.35">
      <c r="A573" s="126" t="s">
        <v>0</v>
      </c>
      <c r="B573" s="126" t="s">
        <v>708</v>
      </c>
      <c r="C573" s="126" t="s">
        <v>2</v>
      </c>
      <c r="D573" s="126" t="s">
        <v>3</v>
      </c>
      <c r="E573" s="126">
        <v>72.53</v>
      </c>
      <c r="F573" s="126" t="s">
        <v>88</v>
      </c>
      <c r="G573" s="108">
        <v>45611</v>
      </c>
      <c r="H573" s="126" t="s">
        <v>89</v>
      </c>
      <c r="I573" s="126" t="s">
        <v>8737</v>
      </c>
      <c r="J573" s="126"/>
      <c r="K573" s="126" t="s">
        <v>8522</v>
      </c>
      <c r="L573" s="126" t="s">
        <v>8738</v>
      </c>
      <c r="M573" s="126" t="s">
        <v>399</v>
      </c>
      <c r="Q573" s="3">
        <f t="shared" si="17"/>
        <v>72.53</v>
      </c>
      <c r="S573" s="55" t="s">
        <v>9013</v>
      </c>
      <c r="U573" s="3" t="str">
        <f t="shared" si="18"/>
        <v/>
      </c>
    </row>
    <row r="574" spans="1:21" x14ac:dyDescent="0.35">
      <c r="A574" s="126" t="s">
        <v>35</v>
      </c>
      <c r="B574" s="126" t="s">
        <v>1123</v>
      </c>
      <c r="C574" s="126" t="s">
        <v>2</v>
      </c>
      <c r="D574" s="126" t="s">
        <v>3</v>
      </c>
      <c r="E574" s="126">
        <v>71.95</v>
      </c>
      <c r="F574" s="126" t="s">
        <v>88</v>
      </c>
      <c r="G574" s="108">
        <v>45446</v>
      </c>
      <c r="H574" s="126" t="s">
        <v>94</v>
      </c>
      <c r="I574" s="126" t="s">
        <v>1129</v>
      </c>
      <c r="J574" s="126" t="s">
        <v>7926</v>
      </c>
      <c r="K574" s="126"/>
      <c r="L574" s="126"/>
      <c r="M574" s="126"/>
      <c r="N574" s="126"/>
      <c r="O574" s="126" t="s">
        <v>7906</v>
      </c>
      <c r="Q574" s="3">
        <f t="shared" si="17"/>
        <v>71.95</v>
      </c>
      <c r="U574" s="3" t="str">
        <f t="shared" si="18"/>
        <v/>
      </c>
    </row>
    <row r="575" spans="1:21" x14ac:dyDescent="0.35">
      <c r="A575" s="126" t="s">
        <v>35</v>
      </c>
      <c r="B575" s="126" t="s">
        <v>6044</v>
      </c>
      <c r="C575" s="126" t="s">
        <v>2</v>
      </c>
      <c r="D575" s="126" t="s">
        <v>3</v>
      </c>
      <c r="E575" s="126">
        <v>71.819999999999993</v>
      </c>
      <c r="F575" s="126" t="s">
        <v>88</v>
      </c>
      <c r="G575" s="108">
        <v>45412</v>
      </c>
      <c r="H575" s="126" t="s">
        <v>94</v>
      </c>
      <c r="I575" s="126" t="s">
        <v>247</v>
      </c>
      <c r="J575" s="126" t="s">
        <v>4</v>
      </c>
      <c r="K575" s="126"/>
      <c r="L575" s="126"/>
      <c r="M575" s="126"/>
      <c r="N575" s="126"/>
      <c r="O575" s="126" t="s">
        <v>4241</v>
      </c>
      <c r="Q575" s="3">
        <f t="shared" si="17"/>
        <v>71.819999999999993</v>
      </c>
      <c r="U575" s="3" t="str">
        <f t="shared" si="18"/>
        <v/>
      </c>
    </row>
    <row r="576" spans="1:21" x14ac:dyDescent="0.35">
      <c r="A576" s="126" t="s">
        <v>35</v>
      </c>
      <c r="B576" s="126" t="s">
        <v>6057</v>
      </c>
      <c r="C576" s="126" t="s">
        <v>2</v>
      </c>
      <c r="D576" s="126" t="s">
        <v>3</v>
      </c>
      <c r="E576" s="126">
        <v>70.91</v>
      </c>
      <c r="F576" s="126" t="s">
        <v>88</v>
      </c>
      <c r="G576" s="108">
        <v>45386</v>
      </c>
      <c r="H576" s="126" t="s">
        <v>94</v>
      </c>
      <c r="I576" s="126" t="s">
        <v>4461</v>
      </c>
      <c r="J576" s="126" t="s">
        <v>7657</v>
      </c>
      <c r="K576" s="126"/>
      <c r="L576" s="126"/>
      <c r="M576" s="126"/>
      <c r="N576" s="126"/>
      <c r="O576" s="126" t="s">
        <v>7658</v>
      </c>
      <c r="Q576" s="3">
        <f t="shared" si="17"/>
        <v>70.91</v>
      </c>
      <c r="U576" s="3" t="str">
        <f t="shared" si="18"/>
        <v/>
      </c>
    </row>
    <row r="577" spans="1:21" x14ac:dyDescent="0.35">
      <c r="A577" s="126" t="s">
        <v>0</v>
      </c>
      <c r="B577" s="126" t="s">
        <v>606</v>
      </c>
      <c r="C577" s="126" t="s">
        <v>2</v>
      </c>
      <c r="D577" s="126" t="s">
        <v>3</v>
      </c>
      <c r="E577" s="126">
        <v>70.87</v>
      </c>
      <c r="F577" s="126" t="s">
        <v>88</v>
      </c>
      <c r="G577" s="108">
        <v>45485</v>
      </c>
      <c r="H577" s="126" t="s">
        <v>89</v>
      </c>
      <c r="I577" s="126" t="s">
        <v>8134</v>
      </c>
      <c r="J577" s="126"/>
      <c r="K577" s="126" t="s">
        <v>8135</v>
      </c>
      <c r="L577" s="126" t="s">
        <v>8136</v>
      </c>
      <c r="M577" s="126" t="s">
        <v>399</v>
      </c>
      <c r="Q577" s="3">
        <f t="shared" si="17"/>
        <v>70.87</v>
      </c>
      <c r="S577" s="55" t="s">
        <v>9013</v>
      </c>
      <c r="U577" s="3" t="str">
        <f t="shared" si="18"/>
        <v/>
      </c>
    </row>
    <row r="578" spans="1:21" x14ac:dyDescent="0.35">
      <c r="A578" s="126" t="s">
        <v>35</v>
      </c>
      <c r="B578" s="126" t="s">
        <v>3422</v>
      </c>
      <c r="C578" s="126" t="s">
        <v>2</v>
      </c>
      <c r="D578" s="126" t="s">
        <v>3</v>
      </c>
      <c r="E578" s="126">
        <v>70.819999999999993</v>
      </c>
      <c r="F578" s="126" t="s">
        <v>88</v>
      </c>
      <c r="G578" s="108">
        <v>45639</v>
      </c>
      <c r="H578" s="126" t="s">
        <v>94</v>
      </c>
      <c r="I578" s="126" t="s">
        <v>459</v>
      </c>
      <c r="J578" s="126" t="s">
        <v>8970</v>
      </c>
      <c r="K578" s="126"/>
      <c r="L578" s="126"/>
      <c r="M578" s="126"/>
      <c r="N578" s="126"/>
      <c r="O578" s="126" t="s">
        <v>538</v>
      </c>
      <c r="Q578" s="3">
        <f t="shared" si="17"/>
        <v>70.819999999999993</v>
      </c>
      <c r="U578" s="3" t="str">
        <f t="shared" si="18"/>
        <v/>
      </c>
    </row>
    <row r="579" spans="1:21" x14ac:dyDescent="0.35">
      <c r="A579" s="126" t="s">
        <v>0</v>
      </c>
      <c r="B579" s="126" t="s">
        <v>7675</v>
      </c>
      <c r="C579" s="126" t="s">
        <v>2</v>
      </c>
      <c r="D579" s="126" t="s">
        <v>3</v>
      </c>
      <c r="E579" s="126">
        <v>70.790000000000006</v>
      </c>
      <c r="F579" s="126" t="s">
        <v>88</v>
      </c>
      <c r="G579" s="108">
        <v>45432</v>
      </c>
      <c r="H579" s="126" t="s">
        <v>89</v>
      </c>
      <c r="I579" s="126" t="s">
        <v>7842</v>
      </c>
      <c r="J579" s="126"/>
      <c r="K579" s="126" t="s">
        <v>7840</v>
      </c>
      <c r="L579" s="126" t="s">
        <v>7843</v>
      </c>
      <c r="M579" s="126" t="s">
        <v>399</v>
      </c>
      <c r="Q579" s="3">
        <f t="shared" si="17"/>
        <v>70.790000000000006</v>
      </c>
      <c r="S579" s="55" t="s">
        <v>9013</v>
      </c>
      <c r="U579" s="3" t="str">
        <f t="shared" si="18"/>
        <v/>
      </c>
    </row>
    <row r="580" spans="1:21" x14ac:dyDescent="0.35">
      <c r="A580" s="126" t="s">
        <v>0</v>
      </c>
      <c r="B580" s="126" t="s">
        <v>7675</v>
      </c>
      <c r="C580" s="126" t="s">
        <v>2</v>
      </c>
      <c r="D580" s="126" t="s">
        <v>3</v>
      </c>
      <c r="E580" s="126">
        <v>70.790000000000006</v>
      </c>
      <c r="F580" s="126" t="s">
        <v>88</v>
      </c>
      <c r="G580" s="108">
        <v>45611</v>
      </c>
      <c r="H580" s="126" t="s">
        <v>89</v>
      </c>
      <c r="I580" s="126" t="s">
        <v>8737</v>
      </c>
      <c r="J580" s="126"/>
      <c r="K580" s="126" t="s">
        <v>8522</v>
      </c>
      <c r="L580" s="126" t="s">
        <v>8738</v>
      </c>
      <c r="M580" s="126" t="s">
        <v>399</v>
      </c>
      <c r="N580" s="126"/>
      <c r="O580" s="126"/>
      <c r="Q580" s="3">
        <f t="shared" si="17"/>
        <v>70.790000000000006</v>
      </c>
      <c r="S580" s="55" t="s">
        <v>9013</v>
      </c>
      <c r="U580" s="3" t="str">
        <f t="shared" si="18"/>
        <v/>
      </c>
    </row>
    <row r="581" spans="1:21" x14ac:dyDescent="0.35">
      <c r="A581" s="126" t="s">
        <v>35</v>
      </c>
      <c r="B581" s="126" t="s">
        <v>740</v>
      </c>
      <c r="C581" s="126" t="s">
        <v>2</v>
      </c>
      <c r="D581" s="126" t="s">
        <v>3</v>
      </c>
      <c r="E581" s="126">
        <v>70.55</v>
      </c>
      <c r="F581" s="126" t="s">
        <v>88</v>
      </c>
      <c r="G581" s="108">
        <v>45602</v>
      </c>
      <c r="H581" s="126" t="s">
        <v>94</v>
      </c>
      <c r="I581" s="126" t="s">
        <v>426</v>
      </c>
      <c r="J581" s="126" t="s">
        <v>8679</v>
      </c>
      <c r="K581" s="126"/>
      <c r="L581" s="126"/>
      <c r="M581" s="126"/>
      <c r="N581" s="126"/>
      <c r="O581" s="126" t="s">
        <v>8680</v>
      </c>
      <c r="Q581" s="3">
        <f t="shared" si="17"/>
        <v>70.55</v>
      </c>
      <c r="S581" s="55" t="s">
        <v>586</v>
      </c>
      <c r="U581" s="3" t="str">
        <f t="shared" si="18"/>
        <v/>
      </c>
    </row>
    <row r="582" spans="1:21" x14ac:dyDescent="0.35">
      <c r="A582" s="126" t="s">
        <v>35</v>
      </c>
      <c r="B582" s="126" t="s">
        <v>1075</v>
      </c>
      <c r="C582" s="126" t="s">
        <v>2</v>
      </c>
      <c r="D582" s="126" t="s">
        <v>3</v>
      </c>
      <c r="E582" s="126">
        <v>70.45</v>
      </c>
      <c r="F582" s="126" t="s">
        <v>88</v>
      </c>
      <c r="G582" s="108">
        <v>45538</v>
      </c>
      <c r="H582" s="126" t="s">
        <v>89</v>
      </c>
      <c r="I582" s="126" t="s">
        <v>8394</v>
      </c>
      <c r="J582" s="126"/>
      <c r="K582" s="126" t="s">
        <v>7880</v>
      </c>
      <c r="L582" s="126" t="s">
        <v>8395</v>
      </c>
      <c r="M582" s="126" t="s">
        <v>396</v>
      </c>
      <c r="N582" s="126"/>
      <c r="O582" s="126"/>
      <c r="Q582" s="3">
        <f t="shared" si="17"/>
        <v>70.45</v>
      </c>
      <c r="S582" s="55" t="s">
        <v>9016</v>
      </c>
      <c r="U582" s="3" t="str">
        <f t="shared" si="18"/>
        <v/>
      </c>
    </row>
    <row r="583" spans="1:21" x14ac:dyDescent="0.35">
      <c r="A583" s="126" t="s">
        <v>35</v>
      </c>
      <c r="B583" s="126" t="s">
        <v>2031</v>
      </c>
      <c r="C583" s="126" t="s">
        <v>2</v>
      </c>
      <c r="D583" s="126" t="s">
        <v>3</v>
      </c>
      <c r="E583" s="126">
        <v>70</v>
      </c>
      <c r="F583" s="126" t="s">
        <v>88</v>
      </c>
      <c r="G583" s="108">
        <v>45384</v>
      </c>
      <c r="H583" s="126" t="s">
        <v>94</v>
      </c>
      <c r="I583" s="126" t="s">
        <v>2032</v>
      </c>
      <c r="J583" s="126" t="s">
        <v>7633</v>
      </c>
      <c r="K583" s="126"/>
      <c r="L583" s="126"/>
      <c r="M583" s="126"/>
      <c r="N583" s="126"/>
      <c r="O583" s="126" t="s">
        <v>2070</v>
      </c>
      <c r="Q583" s="3">
        <f t="shared" si="17"/>
        <v>70</v>
      </c>
      <c r="S583" s="55" t="s">
        <v>9017</v>
      </c>
      <c r="T583" t="s">
        <v>64</v>
      </c>
      <c r="U583" s="3">
        <f t="shared" si="18"/>
        <v>70</v>
      </c>
    </row>
    <row r="584" spans="1:21" x14ac:dyDescent="0.35">
      <c r="A584" s="126" t="s">
        <v>35</v>
      </c>
      <c r="B584" s="126" t="s">
        <v>868</v>
      </c>
      <c r="C584" s="126" t="s">
        <v>2</v>
      </c>
      <c r="D584" s="126" t="s">
        <v>3</v>
      </c>
      <c r="E584" s="126">
        <v>70</v>
      </c>
      <c r="F584" s="126" t="s">
        <v>88</v>
      </c>
      <c r="G584" s="108">
        <v>45516</v>
      </c>
      <c r="H584" s="126" t="s">
        <v>94</v>
      </c>
      <c r="I584" s="126" t="s">
        <v>2918</v>
      </c>
      <c r="J584" s="126" t="s">
        <v>7853</v>
      </c>
      <c r="K584" s="126"/>
      <c r="L584" s="126"/>
      <c r="M584" s="126"/>
      <c r="N584" s="126"/>
      <c r="O584" s="126" t="s">
        <v>8316</v>
      </c>
      <c r="Q584" s="3">
        <f t="shared" ref="Q584:Q647" si="19">ABS(E584)</f>
        <v>70</v>
      </c>
      <c r="S584" s="55" t="s">
        <v>9017</v>
      </c>
      <c r="T584" t="s">
        <v>64</v>
      </c>
      <c r="U584" s="3">
        <f t="shared" ref="U584:U647" si="20">IF(T584="Y",E584,"")</f>
        <v>70</v>
      </c>
    </row>
    <row r="585" spans="1:21" x14ac:dyDescent="0.35">
      <c r="A585" s="126" t="s">
        <v>35</v>
      </c>
      <c r="B585" s="126" t="s">
        <v>698</v>
      </c>
      <c r="C585" s="126" t="s">
        <v>2</v>
      </c>
      <c r="D585" s="126" t="s">
        <v>3</v>
      </c>
      <c r="E585" s="126">
        <v>69.8</v>
      </c>
      <c r="F585" s="126" t="s">
        <v>88</v>
      </c>
      <c r="G585" s="108">
        <v>45607</v>
      </c>
      <c r="H585" s="126" t="s">
        <v>94</v>
      </c>
      <c r="I585" s="126" t="s">
        <v>8710</v>
      </c>
      <c r="J585" s="126" t="s">
        <v>8712</v>
      </c>
      <c r="K585" s="126"/>
      <c r="L585" s="126"/>
      <c r="M585" s="126"/>
      <c r="N585" s="126"/>
      <c r="O585" s="126" t="s">
        <v>4447</v>
      </c>
      <c r="Q585" s="3">
        <f t="shared" si="19"/>
        <v>69.8</v>
      </c>
      <c r="S585" s="55" t="s">
        <v>586</v>
      </c>
      <c r="U585" s="3" t="str">
        <f t="shared" si="20"/>
        <v/>
      </c>
    </row>
    <row r="586" spans="1:21" x14ac:dyDescent="0.35">
      <c r="A586" s="126" t="s">
        <v>35</v>
      </c>
      <c r="B586" s="126" t="s">
        <v>893</v>
      </c>
      <c r="C586" s="126" t="s">
        <v>2</v>
      </c>
      <c r="D586" s="126" t="s">
        <v>3</v>
      </c>
      <c r="E586" s="126">
        <v>69.39</v>
      </c>
      <c r="F586" s="126" t="s">
        <v>88</v>
      </c>
      <c r="G586" s="108">
        <v>45504</v>
      </c>
      <c r="H586" s="126" t="s">
        <v>94</v>
      </c>
      <c r="I586" s="126" t="s">
        <v>846</v>
      </c>
      <c r="J586" s="126" t="s">
        <v>8230</v>
      </c>
      <c r="K586" s="126"/>
      <c r="L586" s="126"/>
      <c r="M586" s="126"/>
      <c r="N586" s="126"/>
      <c r="O586" s="126" t="s">
        <v>8027</v>
      </c>
      <c r="Q586" s="3">
        <f t="shared" si="19"/>
        <v>69.39</v>
      </c>
      <c r="U586" s="3" t="str">
        <f t="shared" si="20"/>
        <v/>
      </c>
    </row>
    <row r="587" spans="1:21" x14ac:dyDescent="0.35">
      <c r="A587" s="126" t="s">
        <v>35</v>
      </c>
      <c r="B587" s="126" t="s">
        <v>893</v>
      </c>
      <c r="C587" s="126" t="s">
        <v>2</v>
      </c>
      <c r="D587" s="126" t="s">
        <v>3</v>
      </c>
      <c r="E587" s="126">
        <v>69.39</v>
      </c>
      <c r="F587" s="126" t="s">
        <v>88</v>
      </c>
      <c r="G587" s="108">
        <v>45512</v>
      </c>
      <c r="H587" s="126" t="s">
        <v>94</v>
      </c>
      <c r="I587" s="126" t="s">
        <v>846</v>
      </c>
      <c r="J587" s="126" t="s">
        <v>8295</v>
      </c>
      <c r="K587" s="126"/>
      <c r="L587" s="126"/>
      <c r="M587" s="126"/>
      <c r="N587" s="126"/>
      <c r="O587" s="126" t="s">
        <v>8027</v>
      </c>
      <c r="Q587" s="3">
        <f t="shared" si="19"/>
        <v>69.39</v>
      </c>
      <c r="U587" s="3" t="str">
        <f t="shared" si="20"/>
        <v/>
      </c>
    </row>
    <row r="588" spans="1:21" x14ac:dyDescent="0.35">
      <c r="A588" s="126" t="s">
        <v>35</v>
      </c>
      <c r="B588" s="126" t="s">
        <v>756</v>
      </c>
      <c r="C588" s="126" t="s">
        <v>2</v>
      </c>
      <c r="D588" s="126" t="s">
        <v>3</v>
      </c>
      <c r="E588" s="126">
        <v>69.180000000000007</v>
      </c>
      <c r="F588" s="126" t="s">
        <v>88</v>
      </c>
      <c r="G588" s="108">
        <v>45461</v>
      </c>
      <c r="H588" s="126" t="s">
        <v>94</v>
      </c>
      <c r="I588" s="126" t="s">
        <v>895</v>
      </c>
      <c r="J588" s="126" t="s">
        <v>8015</v>
      </c>
      <c r="K588" s="126"/>
      <c r="L588" s="126"/>
      <c r="M588" s="126"/>
      <c r="N588" s="126"/>
      <c r="O588" s="126" t="s">
        <v>8016</v>
      </c>
      <c r="Q588" s="3">
        <f t="shared" si="19"/>
        <v>69.180000000000007</v>
      </c>
      <c r="U588" s="3" t="str">
        <f t="shared" si="20"/>
        <v/>
      </c>
    </row>
    <row r="589" spans="1:21" x14ac:dyDescent="0.35">
      <c r="A589" s="126" t="s">
        <v>35</v>
      </c>
      <c r="B589" s="126" t="s">
        <v>819</v>
      </c>
      <c r="C589" s="126" t="s">
        <v>2</v>
      </c>
      <c r="D589" s="126" t="s">
        <v>3</v>
      </c>
      <c r="E589" s="126">
        <v>69</v>
      </c>
      <c r="F589" s="126" t="s">
        <v>88</v>
      </c>
      <c r="G589" s="108">
        <v>45401</v>
      </c>
      <c r="H589" s="126" t="s">
        <v>94</v>
      </c>
      <c r="I589" s="126" t="s">
        <v>484</v>
      </c>
      <c r="J589" s="126" t="s">
        <v>7742</v>
      </c>
      <c r="K589" s="126"/>
      <c r="L589" s="126"/>
      <c r="M589" s="126"/>
      <c r="N589" s="126"/>
      <c r="O589" s="126" t="s">
        <v>561</v>
      </c>
      <c r="Q589" s="3">
        <f t="shared" si="19"/>
        <v>69</v>
      </c>
      <c r="U589" s="3" t="str">
        <f t="shared" si="20"/>
        <v/>
      </c>
    </row>
    <row r="590" spans="1:21" x14ac:dyDescent="0.35">
      <c r="A590" s="126" t="s">
        <v>35</v>
      </c>
      <c r="B590" s="126" t="s">
        <v>615</v>
      </c>
      <c r="C590" s="126" t="s">
        <v>2</v>
      </c>
      <c r="D590" s="126" t="s">
        <v>3</v>
      </c>
      <c r="E590" s="126">
        <v>68.180000000000007</v>
      </c>
      <c r="F590" s="126" t="s">
        <v>88</v>
      </c>
      <c r="G590" s="108">
        <v>45504</v>
      </c>
      <c r="H590" s="126" t="s">
        <v>94</v>
      </c>
      <c r="I590" s="126" t="s">
        <v>7987</v>
      </c>
      <c r="J590" s="126" t="s">
        <v>8231</v>
      </c>
      <c r="K590" s="126"/>
      <c r="L590" s="126"/>
      <c r="M590" s="126"/>
      <c r="N590" s="126"/>
      <c r="O590" s="126" t="s">
        <v>573</v>
      </c>
      <c r="Q590" s="3">
        <f t="shared" si="19"/>
        <v>68.180000000000007</v>
      </c>
      <c r="U590" s="3" t="str">
        <f t="shared" si="20"/>
        <v/>
      </c>
    </row>
    <row r="591" spans="1:21" x14ac:dyDescent="0.35">
      <c r="A591" s="126" t="s">
        <v>35</v>
      </c>
      <c r="B591" s="126" t="s">
        <v>1280</v>
      </c>
      <c r="C591" s="126" t="s">
        <v>2</v>
      </c>
      <c r="D591" s="126" t="s">
        <v>3</v>
      </c>
      <c r="E591" s="126">
        <v>68.180000000000007</v>
      </c>
      <c r="F591" s="126" t="s">
        <v>88</v>
      </c>
      <c r="G591" s="108">
        <v>45604</v>
      </c>
      <c r="H591" s="126" t="s">
        <v>94</v>
      </c>
      <c r="I591" s="126" t="s">
        <v>8417</v>
      </c>
      <c r="J591" s="126" t="s">
        <v>391</v>
      </c>
      <c r="K591" s="126"/>
      <c r="L591" s="126"/>
      <c r="M591" s="126"/>
      <c r="N591" s="126"/>
      <c r="O591" s="126" t="s">
        <v>8697</v>
      </c>
      <c r="Q591" s="3">
        <f t="shared" si="19"/>
        <v>68.180000000000007</v>
      </c>
      <c r="U591" s="3" t="str">
        <f t="shared" si="20"/>
        <v/>
      </c>
    </row>
    <row r="592" spans="1:21" x14ac:dyDescent="0.35">
      <c r="A592" s="126" t="s">
        <v>35</v>
      </c>
      <c r="B592" s="126" t="s">
        <v>740</v>
      </c>
      <c r="C592" s="126" t="s">
        <v>2</v>
      </c>
      <c r="D592" s="126" t="s">
        <v>3</v>
      </c>
      <c r="E592" s="126">
        <v>67.66</v>
      </c>
      <c r="F592" s="126" t="s">
        <v>88</v>
      </c>
      <c r="G592" s="108">
        <v>45636</v>
      </c>
      <c r="H592" s="126" t="s">
        <v>94</v>
      </c>
      <c r="I592" s="126" t="s">
        <v>426</v>
      </c>
      <c r="J592" s="126" t="s">
        <v>8925</v>
      </c>
      <c r="K592" s="126"/>
      <c r="L592" s="126"/>
      <c r="M592" s="126"/>
      <c r="N592" s="126"/>
      <c r="O592" s="126" t="s">
        <v>575</v>
      </c>
      <c r="Q592" s="3">
        <f t="shared" si="19"/>
        <v>67.66</v>
      </c>
      <c r="S592" s="55" t="s">
        <v>586</v>
      </c>
      <c r="U592" s="3" t="str">
        <f t="shared" si="20"/>
        <v/>
      </c>
    </row>
    <row r="593" spans="1:21" x14ac:dyDescent="0.35">
      <c r="A593" s="126" t="s">
        <v>0</v>
      </c>
      <c r="B593" s="126" t="s">
        <v>1995</v>
      </c>
      <c r="C593" s="126" t="s">
        <v>2</v>
      </c>
      <c r="D593" s="126" t="s">
        <v>3</v>
      </c>
      <c r="E593" s="126">
        <v>67.55</v>
      </c>
      <c r="F593" s="126" t="s">
        <v>88</v>
      </c>
      <c r="G593" s="108">
        <v>45611</v>
      </c>
      <c r="H593" s="126" t="s">
        <v>89</v>
      </c>
      <c r="I593" s="126" t="s">
        <v>8737</v>
      </c>
      <c r="J593" s="126"/>
      <c r="K593" s="126" t="s">
        <v>8522</v>
      </c>
      <c r="L593" s="126" t="s">
        <v>8738</v>
      </c>
      <c r="M593" s="126" t="s">
        <v>399</v>
      </c>
      <c r="N593" s="126"/>
      <c r="O593" s="126"/>
      <c r="Q593" s="3">
        <f t="shared" si="19"/>
        <v>67.55</v>
      </c>
      <c r="S593" s="55" t="s">
        <v>9013</v>
      </c>
      <c r="U593" s="3" t="str">
        <f t="shared" si="20"/>
        <v/>
      </c>
    </row>
    <row r="594" spans="1:21" x14ac:dyDescent="0.35">
      <c r="A594" s="126" t="s">
        <v>35</v>
      </c>
      <c r="B594" s="126" t="s">
        <v>909</v>
      </c>
      <c r="C594" s="126" t="s">
        <v>2</v>
      </c>
      <c r="D594" s="126" t="s">
        <v>3</v>
      </c>
      <c r="E594" s="126">
        <v>67.09</v>
      </c>
      <c r="F594" s="126" t="s">
        <v>88</v>
      </c>
      <c r="G594" s="108">
        <v>45595</v>
      </c>
      <c r="H594" s="126" t="s">
        <v>94</v>
      </c>
      <c r="I594" s="126" t="s">
        <v>469</v>
      </c>
      <c r="J594" s="126" t="s">
        <v>8614</v>
      </c>
      <c r="K594" s="126"/>
      <c r="L594" s="126"/>
      <c r="M594" s="126"/>
      <c r="N594" s="126"/>
      <c r="O594" s="126" t="s">
        <v>552</v>
      </c>
      <c r="Q594" s="3">
        <f t="shared" si="19"/>
        <v>67.09</v>
      </c>
      <c r="U594" s="3" t="str">
        <f t="shared" si="20"/>
        <v/>
      </c>
    </row>
    <row r="595" spans="1:21" x14ac:dyDescent="0.35">
      <c r="A595" s="126" t="s">
        <v>35</v>
      </c>
      <c r="B595" s="126" t="s">
        <v>915</v>
      </c>
      <c r="C595" s="126" t="s">
        <v>2</v>
      </c>
      <c r="D595" s="126" t="s">
        <v>3</v>
      </c>
      <c r="E595" s="126">
        <v>66.819999999999993</v>
      </c>
      <c r="F595" s="126" t="s">
        <v>88</v>
      </c>
      <c r="G595" s="108">
        <v>45512</v>
      </c>
      <c r="H595" s="126" t="s">
        <v>94</v>
      </c>
      <c r="I595" s="126" t="s">
        <v>7766</v>
      </c>
      <c r="J595" s="126" t="s">
        <v>8296</v>
      </c>
      <c r="K595" s="126"/>
      <c r="L595" s="126"/>
      <c r="M595" s="126"/>
      <c r="N595" s="126"/>
      <c r="O595" s="126" t="s">
        <v>4241</v>
      </c>
      <c r="Q595" s="3">
        <f t="shared" si="19"/>
        <v>66.819999999999993</v>
      </c>
      <c r="U595" s="3" t="str">
        <f t="shared" si="20"/>
        <v/>
      </c>
    </row>
    <row r="596" spans="1:21" x14ac:dyDescent="0.35">
      <c r="A596" s="126" t="s">
        <v>0</v>
      </c>
      <c r="B596" s="126" t="s">
        <v>867</v>
      </c>
      <c r="C596" s="126" t="s">
        <v>2</v>
      </c>
      <c r="D596" s="126" t="s">
        <v>3</v>
      </c>
      <c r="E596" s="126">
        <v>66.650000000000006</v>
      </c>
      <c r="F596" s="126" t="s">
        <v>88</v>
      </c>
      <c r="G596" s="108">
        <v>45457</v>
      </c>
      <c r="H596" s="126" t="s">
        <v>89</v>
      </c>
      <c r="I596" s="126" t="s">
        <v>7995</v>
      </c>
      <c r="J596" s="126"/>
      <c r="K596" s="126" t="s">
        <v>7996</v>
      </c>
      <c r="L596" s="126" t="s">
        <v>7997</v>
      </c>
      <c r="M596" s="126" t="s">
        <v>7998</v>
      </c>
      <c r="N596" s="126"/>
      <c r="O596" s="126"/>
      <c r="Q596" s="3">
        <f t="shared" si="19"/>
        <v>66.650000000000006</v>
      </c>
      <c r="S596" s="55" t="s">
        <v>9013</v>
      </c>
      <c r="U596" s="3" t="str">
        <f t="shared" si="20"/>
        <v/>
      </c>
    </row>
    <row r="597" spans="1:21" x14ac:dyDescent="0.35">
      <c r="A597" s="126" t="s">
        <v>35</v>
      </c>
      <c r="B597" s="126" t="s">
        <v>2543</v>
      </c>
      <c r="C597" s="126" t="s">
        <v>2</v>
      </c>
      <c r="D597" s="126" t="s">
        <v>3</v>
      </c>
      <c r="E597" s="126">
        <v>66.36</v>
      </c>
      <c r="F597" s="126" t="s">
        <v>88</v>
      </c>
      <c r="G597" s="108">
        <v>45534</v>
      </c>
      <c r="H597" s="126" t="s">
        <v>94</v>
      </c>
      <c r="I597" s="126" t="s">
        <v>456</v>
      </c>
      <c r="J597" s="126" t="s">
        <v>514</v>
      </c>
      <c r="K597" s="126"/>
      <c r="L597" s="126"/>
      <c r="M597" s="126"/>
      <c r="N597" s="126"/>
      <c r="O597" s="126" t="s">
        <v>8374</v>
      </c>
      <c r="Q597" s="3">
        <f t="shared" si="19"/>
        <v>66.36</v>
      </c>
      <c r="U597" s="3" t="str">
        <f t="shared" si="20"/>
        <v/>
      </c>
    </row>
    <row r="598" spans="1:21" x14ac:dyDescent="0.35">
      <c r="A598" s="126" t="s">
        <v>0</v>
      </c>
      <c r="B598" s="126" t="s">
        <v>756</v>
      </c>
      <c r="C598" s="126" t="s">
        <v>2</v>
      </c>
      <c r="D598" s="126" t="s">
        <v>3</v>
      </c>
      <c r="E598" s="126">
        <v>66.36</v>
      </c>
      <c r="F598" s="126" t="s">
        <v>88</v>
      </c>
      <c r="G598" s="108">
        <v>45635</v>
      </c>
      <c r="H598" s="126" t="s">
        <v>89</v>
      </c>
      <c r="I598" s="126" t="s">
        <v>8881</v>
      </c>
      <c r="J598" s="126"/>
      <c r="K598" s="126" t="s">
        <v>8735</v>
      </c>
      <c r="L598" s="126" t="s">
        <v>8882</v>
      </c>
      <c r="M598" s="126" t="s">
        <v>399</v>
      </c>
      <c r="Q598" s="3">
        <f t="shared" si="19"/>
        <v>66.36</v>
      </c>
      <c r="S598" s="55" t="s">
        <v>9013</v>
      </c>
      <c r="U598" s="3" t="str">
        <f t="shared" si="20"/>
        <v/>
      </c>
    </row>
    <row r="599" spans="1:21" x14ac:dyDescent="0.35">
      <c r="A599" s="126" t="s">
        <v>0</v>
      </c>
      <c r="B599" s="126" t="s">
        <v>1566</v>
      </c>
      <c r="C599" s="126" t="s">
        <v>2</v>
      </c>
      <c r="D599" s="126" t="s">
        <v>3</v>
      </c>
      <c r="E599" s="126">
        <v>66.239999999999995</v>
      </c>
      <c r="F599" s="126" t="s">
        <v>88</v>
      </c>
      <c r="G599" s="108">
        <v>45432</v>
      </c>
      <c r="H599" s="126" t="s">
        <v>89</v>
      </c>
      <c r="I599" s="126" t="s">
        <v>7839</v>
      </c>
      <c r="J599" s="126"/>
      <c r="K599" s="126" t="s">
        <v>7840</v>
      </c>
      <c r="L599" s="126" t="s">
        <v>7841</v>
      </c>
      <c r="M599" s="126" t="s">
        <v>399</v>
      </c>
      <c r="N599" s="35"/>
      <c r="O599" s="35"/>
      <c r="Q599" s="3">
        <f t="shared" si="19"/>
        <v>66.239999999999995</v>
      </c>
      <c r="S599" s="55" t="s">
        <v>9013</v>
      </c>
      <c r="U599" s="3" t="str">
        <f t="shared" si="20"/>
        <v/>
      </c>
    </row>
    <row r="600" spans="1:21" x14ac:dyDescent="0.35">
      <c r="A600" s="126" t="s">
        <v>0</v>
      </c>
      <c r="B600" s="126" t="s">
        <v>1566</v>
      </c>
      <c r="C600" s="126" t="s">
        <v>2</v>
      </c>
      <c r="D600" s="126" t="s">
        <v>3</v>
      </c>
      <c r="E600" s="126">
        <v>66.239999999999995</v>
      </c>
      <c r="F600" s="126" t="s">
        <v>88</v>
      </c>
      <c r="G600" s="108">
        <v>45454</v>
      </c>
      <c r="H600" s="126" t="s">
        <v>89</v>
      </c>
      <c r="I600" s="126" t="s">
        <v>7958</v>
      </c>
      <c r="J600" s="126"/>
      <c r="K600" s="126" t="s">
        <v>7959</v>
      </c>
      <c r="L600" s="126" t="s">
        <v>7960</v>
      </c>
      <c r="M600" s="126" t="s">
        <v>399</v>
      </c>
      <c r="Q600" s="3">
        <f t="shared" si="19"/>
        <v>66.239999999999995</v>
      </c>
      <c r="S600" s="55" t="s">
        <v>9013</v>
      </c>
      <c r="U600" s="3" t="str">
        <f t="shared" si="20"/>
        <v/>
      </c>
    </row>
    <row r="601" spans="1:21" x14ac:dyDescent="0.35">
      <c r="A601" s="126" t="s">
        <v>0</v>
      </c>
      <c r="B601" s="126" t="s">
        <v>1566</v>
      </c>
      <c r="C601" s="126" t="s">
        <v>2</v>
      </c>
      <c r="D601" s="126" t="s">
        <v>3</v>
      </c>
      <c r="E601" s="126">
        <v>66.239999999999995</v>
      </c>
      <c r="F601" s="126" t="s">
        <v>88</v>
      </c>
      <c r="G601" s="108">
        <v>45485</v>
      </c>
      <c r="H601" s="126" t="s">
        <v>89</v>
      </c>
      <c r="I601" s="126" t="s">
        <v>8134</v>
      </c>
      <c r="J601" s="126"/>
      <c r="K601" s="126" t="s">
        <v>8135</v>
      </c>
      <c r="L601" s="126" t="s">
        <v>8136</v>
      </c>
      <c r="M601" s="126" t="s">
        <v>399</v>
      </c>
      <c r="Q601" s="3">
        <f t="shared" si="19"/>
        <v>66.239999999999995</v>
      </c>
      <c r="S601" s="55" t="s">
        <v>9013</v>
      </c>
      <c r="U601" s="3" t="str">
        <f t="shared" si="20"/>
        <v/>
      </c>
    </row>
    <row r="602" spans="1:21" x14ac:dyDescent="0.35">
      <c r="A602" s="126" t="s">
        <v>0</v>
      </c>
      <c r="B602" s="126" t="s">
        <v>1566</v>
      </c>
      <c r="C602" s="126" t="s">
        <v>2</v>
      </c>
      <c r="D602" s="126" t="s">
        <v>3</v>
      </c>
      <c r="E602" s="126">
        <v>66.239999999999995</v>
      </c>
      <c r="F602" s="126" t="s">
        <v>88</v>
      </c>
      <c r="G602" s="108">
        <v>45517</v>
      </c>
      <c r="H602" s="126" t="s">
        <v>89</v>
      </c>
      <c r="I602" s="126" t="s">
        <v>8320</v>
      </c>
      <c r="J602" s="126"/>
      <c r="K602" s="126" t="s">
        <v>8321</v>
      </c>
      <c r="L602" s="126" t="s">
        <v>8322</v>
      </c>
      <c r="M602" s="126" t="s">
        <v>399</v>
      </c>
      <c r="Q602" s="3">
        <f t="shared" si="19"/>
        <v>66.239999999999995</v>
      </c>
      <c r="S602" s="55" t="s">
        <v>9013</v>
      </c>
      <c r="U602" s="3" t="str">
        <f t="shared" si="20"/>
        <v/>
      </c>
    </row>
    <row r="603" spans="1:21" x14ac:dyDescent="0.35">
      <c r="A603" s="126" t="s">
        <v>0</v>
      </c>
      <c r="B603" s="126" t="s">
        <v>1566</v>
      </c>
      <c r="C603" s="126" t="s">
        <v>2</v>
      </c>
      <c r="D603" s="126" t="s">
        <v>3</v>
      </c>
      <c r="E603" s="126">
        <v>66.239999999999995</v>
      </c>
      <c r="F603" s="126" t="s">
        <v>88</v>
      </c>
      <c r="G603" s="108">
        <v>45551</v>
      </c>
      <c r="H603" s="126" t="s">
        <v>89</v>
      </c>
      <c r="I603" s="126" t="s">
        <v>8431</v>
      </c>
      <c r="J603" s="126"/>
      <c r="K603" s="126" t="s">
        <v>8432</v>
      </c>
      <c r="L603" s="126" t="s">
        <v>8433</v>
      </c>
      <c r="M603" s="126" t="s">
        <v>399</v>
      </c>
      <c r="N603" s="126"/>
      <c r="O603" s="126"/>
      <c r="Q603" s="3">
        <f t="shared" si="19"/>
        <v>66.239999999999995</v>
      </c>
      <c r="S603" s="55" t="s">
        <v>9013</v>
      </c>
      <c r="U603" s="3" t="str">
        <f t="shared" si="20"/>
        <v/>
      </c>
    </row>
    <row r="604" spans="1:21" x14ac:dyDescent="0.35">
      <c r="A604" s="126" t="s">
        <v>0</v>
      </c>
      <c r="B604" s="126" t="s">
        <v>1566</v>
      </c>
      <c r="C604" s="126" t="s">
        <v>2</v>
      </c>
      <c r="D604" s="126" t="s">
        <v>3</v>
      </c>
      <c r="E604" s="126">
        <v>66.239999999999995</v>
      </c>
      <c r="F604" s="126" t="s">
        <v>88</v>
      </c>
      <c r="G604" s="108">
        <v>45569</v>
      </c>
      <c r="H604" s="126" t="s">
        <v>89</v>
      </c>
      <c r="I604" s="126" t="s">
        <v>8521</v>
      </c>
      <c r="J604" s="126"/>
      <c r="K604" s="126" t="s">
        <v>8522</v>
      </c>
      <c r="L604" s="126" t="s">
        <v>8523</v>
      </c>
      <c r="M604" s="126" t="s">
        <v>399</v>
      </c>
      <c r="Q604" s="3">
        <f t="shared" si="19"/>
        <v>66.239999999999995</v>
      </c>
      <c r="S604" s="55" t="s">
        <v>9013</v>
      </c>
      <c r="U604" s="3" t="str">
        <f t="shared" si="20"/>
        <v/>
      </c>
    </row>
    <row r="605" spans="1:21" x14ac:dyDescent="0.35">
      <c r="A605" s="126" t="s">
        <v>0</v>
      </c>
      <c r="B605" s="126" t="s">
        <v>1566</v>
      </c>
      <c r="C605" s="126" t="s">
        <v>2</v>
      </c>
      <c r="D605" s="126" t="s">
        <v>3</v>
      </c>
      <c r="E605" s="126">
        <v>66.239999999999995</v>
      </c>
      <c r="F605" s="126" t="s">
        <v>88</v>
      </c>
      <c r="G605" s="108">
        <v>45611</v>
      </c>
      <c r="H605" s="126" t="s">
        <v>89</v>
      </c>
      <c r="I605" s="126" t="s">
        <v>8734</v>
      </c>
      <c r="J605" s="126"/>
      <c r="K605" s="126" t="s">
        <v>8735</v>
      </c>
      <c r="L605" s="126" t="s">
        <v>8736</v>
      </c>
      <c r="M605" s="126" t="s">
        <v>399</v>
      </c>
      <c r="Q605" s="3">
        <f t="shared" si="19"/>
        <v>66.239999999999995</v>
      </c>
      <c r="S605" s="55" t="s">
        <v>9013</v>
      </c>
      <c r="U605" s="3" t="str">
        <f t="shared" si="20"/>
        <v/>
      </c>
    </row>
    <row r="606" spans="1:21" x14ac:dyDescent="0.35">
      <c r="A606" s="126" t="s">
        <v>0</v>
      </c>
      <c r="B606" s="126" t="s">
        <v>1566</v>
      </c>
      <c r="C606" s="126" t="s">
        <v>2</v>
      </c>
      <c r="D606" s="126" t="s">
        <v>3</v>
      </c>
      <c r="E606" s="126">
        <v>66.239999999999995</v>
      </c>
      <c r="F606" s="126" t="s">
        <v>88</v>
      </c>
      <c r="G606" s="108">
        <v>45635</v>
      </c>
      <c r="H606" s="126" t="s">
        <v>89</v>
      </c>
      <c r="I606" s="126" t="s">
        <v>8878</v>
      </c>
      <c r="J606" s="126"/>
      <c r="K606" s="126" t="s">
        <v>8879</v>
      </c>
      <c r="L606" s="126" t="s">
        <v>8880</v>
      </c>
      <c r="M606" s="126" t="s">
        <v>399</v>
      </c>
      <c r="Q606" s="3">
        <f t="shared" si="19"/>
        <v>66.239999999999995</v>
      </c>
      <c r="S606" s="55" t="s">
        <v>9013</v>
      </c>
      <c r="U606" s="3" t="str">
        <f t="shared" si="20"/>
        <v/>
      </c>
    </row>
    <row r="607" spans="1:21" x14ac:dyDescent="0.35">
      <c r="A607" s="126" t="s">
        <v>0</v>
      </c>
      <c r="B607" s="126" t="s">
        <v>3466</v>
      </c>
      <c r="C607" s="126" t="s">
        <v>2</v>
      </c>
      <c r="D607" s="126" t="s">
        <v>3</v>
      </c>
      <c r="E607" s="126">
        <v>66.19</v>
      </c>
      <c r="F607" s="126" t="s">
        <v>88</v>
      </c>
      <c r="G607" s="108">
        <v>45635</v>
      </c>
      <c r="H607" s="126" t="s">
        <v>89</v>
      </c>
      <c r="I607" s="126" t="s">
        <v>8876</v>
      </c>
      <c r="J607" s="126"/>
      <c r="K607" s="126" t="s">
        <v>8239</v>
      </c>
      <c r="L607" s="126" t="s">
        <v>8877</v>
      </c>
      <c r="M607" s="126" t="s">
        <v>8241</v>
      </c>
      <c r="Q607" s="3">
        <f t="shared" si="19"/>
        <v>66.19</v>
      </c>
      <c r="S607" s="55" t="s">
        <v>9016</v>
      </c>
      <c r="U607" s="3" t="str">
        <f t="shared" si="20"/>
        <v/>
      </c>
    </row>
    <row r="608" spans="1:21" x14ac:dyDescent="0.35">
      <c r="A608" s="126" t="s">
        <v>35</v>
      </c>
      <c r="B608" s="126" t="s">
        <v>869</v>
      </c>
      <c r="C608" s="126" t="s">
        <v>2</v>
      </c>
      <c r="D608" s="126" t="s">
        <v>3</v>
      </c>
      <c r="E608" s="126">
        <v>66.14</v>
      </c>
      <c r="F608" s="126" t="s">
        <v>88</v>
      </c>
      <c r="G608" s="108">
        <v>45490</v>
      </c>
      <c r="H608" s="126" t="s">
        <v>94</v>
      </c>
      <c r="I608" s="126" t="s">
        <v>7860</v>
      </c>
      <c r="J608" s="126" t="s">
        <v>8178</v>
      </c>
      <c r="K608" s="126"/>
      <c r="L608" s="126"/>
      <c r="M608" s="126"/>
      <c r="N608" s="126"/>
      <c r="O608" s="126" t="s">
        <v>7862</v>
      </c>
      <c r="Q608" s="3">
        <f t="shared" si="19"/>
        <v>66.14</v>
      </c>
      <c r="U608" s="3" t="str">
        <f t="shared" si="20"/>
        <v/>
      </c>
    </row>
    <row r="609" spans="1:21" x14ac:dyDescent="0.35">
      <c r="A609" s="126" t="s">
        <v>0</v>
      </c>
      <c r="B609" s="126" t="s">
        <v>1566</v>
      </c>
      <c r="C609" s="126" t="s">
        <v>2</v>
      </c>
      <c r="D609" s="126" t="s">
        <v>3</v>
      </c>
      <c r="E609" s="126">
        <v>66.12</v>
      </c>
      <c r="F609" s="126" t="s">
        <v>88</v>
      </c>
      <c r="G609" s="108">
        <v>45391</v>
      </c>
      <c r="H609" s="126" t="s">
        <v>89</v>
      </c>
      <c r="I609" s="126" t="s">
        <v>7691</v>
      </c>
      <c r="J609" s="126"/>
      <c r="K609" s="126" t="s">
        <v>7672</v>
      </c>
      <c r="L609" s="126" t="s">
        <v>7692</v>
      </c>
      <c r="M609" s="126" t="s">
        <v>399</v>
      </c>
      <c r="N609" s="35"/>
      <c r="O609" s="35"/>
      <c r="Q609" s="3">
        <f t="shared" si="19"/>
        <v>66.12</v>
      </c>
      <c r="S609" s="55" t="s">
        <v>9013</v>
      </c>
      <c r="U609" s="3" t="str">
        <f t="shared" si="20"/>
        <v/>
      </c>
    </row>
    <row r="610" spans="1:21" x14ac:dyDescent="0.35">
      <c r="A610" s="126" t="s">
        <v>35</v>
      </c>
      <c r="B610" s="126" t="s">
        <v>698</v>
      </c>
      <c r="C610" s="126" t="s">
        <v>2</v>
      </c>
      <c r="D610" s="126" t="s">
        <v>3</v>
      </c>
      <c r="E610" s="126">
        <v>66</v>
      </c>
      <c r="F610" s="126" t="s">
        <v>88</v>
      </c>
      <c r="G610" s="108">
        <v>45512</v>
      </c>
      <c r="H610" s="126" t="s">
        <v>89</v>
      </c>
      <c r="I610" s="126" t="s">
        <v>8290</v>
      </c>
      <c r="J610" s="126"/>
      <c r="K610" s="126" t="s">
        <v>8291</v>
      </c>
      <c r="L610" s="126" t="s">
        <v>8292</v>
      </c>
      <c r="M610" s="126" t="s">
        <v>455</v>
      </c>
      <c r="N610" s="126"/>
      <c r="O610" s="126"/>
      <c r="Q610" s="3">
        <f t="shared" si="19"/>
        <v>66</v>
      </c>
      <c r="S610" s="55" t="s">
        <v>9016</v>
      </c>
      <c r="U610" s="3" t="str">
        <f t="shared" si="20"/>
        <v/>
      </c>
    </row>
    <row r="611" spans="1:21" x14ac:dyDescent="0.35">
      <c r="A611" s="126" t="s">
        <v>35</v>
      </c>
      <c r="B611" s="126" t="s">
        <v>615</v>
      </c>
      <c r="C611" s="126" t="s">
        <v>2</v>
      </c>
      <c r="D611" s="126" t="s">
        <v>3</v>
      </c>
      <c r="E611" s="126">
        <v>65.360000000000014</v>
      </c>
      <c r="F611" s="126" t="s">
        <v>88</v>
      </c>
      <c r="G611" s="108">
        <v>45622</v>
      </c>
      <c r="H611" s="126" t="s">
        <v>94</v>
      </c>
      <c r="I611" s="126" t="s">
        <v>447</v>
      </c>
      <c r="J611" s="126" t="s">
        <v>332</v>
      </c>
      <c r="K611" s="126"/>
      <c r="L611" s="126"/>
      <c r="M611" s="126"/>
      <c r="N611" s="126"/>
      <c r="O611" s="126" t="s">
        <v>539</v>
      </c>
      <c r="Q611" s="3">
        <f t="shared" si="19"/>
        <v>65.360000000000014</v>
      </c>
      <c r="U611" s="3" t="str">
        <f t="shared" si="20"/>
        <v/>
      </c>
    </row>
    <row r="612" spans="1:21" x14ac:dyDescent="0.35">
      <c r="A612" s="126" t="s">
        <v>35</v>
      </c>
      <c r="B612" s="126" t="s">
        <v>2031</v>
      </c>
      <c r="C612" s="126" t="s">
        <v>2</v>
      </c>
      <c r="D612" s="126" t="s">
        <v>3</v>
      </c>
      <c r="E612" s="126">
        <v>64.77</v>
      </c>
      <c r="F612" s="126" t="s">
        <v>88</v>
      </c>
      <c r="G612" s="108">
        <v>45439</v>
      </c>
      <c r="H612" s="126" t="s">
        <v>94</v>
      </c>
      <c r="I612" s="126" t="s">
        <v>450</v>
      </c>
      <c r="J612" s="126" t="s">
        <v>7904</v>
      </c>
      <c r="K612" s="126"/>
      <c r="L612" s="126"/>
      <c r="M612" s="126"/>
      <c r="N612" s="126"/>
      <c r="O612" s="126" t="s">
        <v>2076</v>
      </c>
      <c r="Q612" s="3">
        <f t="shared" si="19"/>
        <v>64.77</v>
      </c>
      <c r="S612" s="55" t="s">
        <v>586</v>
      </c>
      <c r="U612" s="3" t="str">
        <f t="shared" si="20"/>
        <v/>
      </c>
    </row>
    <row r="613" spans="1:21" x14ac:dyDescent="0.35">
      <c r="A613" s="126" t="s">
        <v>35</v>
      </c>
      <c r="B613" s="126" t="s">
        <v>915</v>
      </c>
      <c r="C613" s="126" t="s">
        <v>2</v>
      </c>
      <c r="D613" s="126" t="s">
        <v>3</v>
      </c>
      <c r="E613" s="126">
        <v>64.55</v>
      </c>
      <c r="F613" s="126" t="s">
        <v>88</v>
      </c>
      <c r="G613" s="108">
        <v>45435</v>
      </c>
      <c r="H613" s="126" t="s">
        <v>94</v>
      </c>
      <c r="I613" s="126" t="s">
        <v>7887</v>
      </c>
      <c r="J613" s="126" t="s">
        <v>515</v>
      </c>
      <c r="K613" s="126"/>
      <c r="L613" s="126"/>
      <c r="M613" s="126"/>
      <c r="N613" s="126"/>
      <c r="O613" s="126" t="s">
        <v>528</v>
      </c>
      <c r="Q613" s="3">
        <f t="shared" si="19"/>
        <v>64.55</v>
      </c>
      <c r="U613" s="3" t="str">
        <f t="shared" si="20"/>
        <v/>
      </c>
    </row>
    <row r="614" spans="1:21" x14ac:dyDescent="0.35">
      <c r="A614" s="126" t="s">
        <v>35</v>
      </c>
      <c r="B614" s="126" t="s">
        <v>852</v>
      </c>
      <c r="C614" s="126" t="s">
        <v>2</v>
      </c>
      <c r="D614" s="126" t="s">
        <v>3</v>
      </c>
      <c r="E614" s="126">
        <v>64.040000000000006</v>
      </c>
      <c r="F614" s="126" t="s">
        <v>88</v>
      </c>
      <c r="G614" s="108">
        <v>45587</v>
      </c>
      <c r="H614" s="126" t="s">
        <v>94</v>
      </c>
      <c r="I614" s="126" t="s">
        <v>1105</v>
      </c>
      <c r="J614" s="126" t="s">
        <v>8599</v>
      </c>
      <c r="K614" s="126"/>
      <c r="L614" s="126"/>
      <c r="M614" s="126"/>
      <c r="N614" s="126"/>
      <c r="O614" s="126" t="s">
        <v>348</v>
      </c>
      <c r="Q614" s="3">
        <f t="shared" si="19"/>
        <v>64.040000000000006</v>
      </c>
      <c r="S614" s="55" t="s">
        <v>9014</v>
      </c>
      <c r="U614" s="3" t="str">
        <f t="shared" si="20"/>
        <v/>
      </c>
    </row>
    <row r="615" spans="1:21" x14ac:dyDescent="0.35">
      <c r="A615" s="126" t="s">
        <v>35</v>
      </c>
      <c r="B615" s="126" t="s">
        <v>633</v>
      </c>
      <c r="C615" s="126" t="s">
        <v>2</v>
      </c>
      <c r="D615" s="126" t="s">
        <v>3</v>
      </c>
      <c r="E615" s="126">
        <v>63.66</v>
      </c>
      <c r="F615" s="126" t="s">
        <v>88</v>
      </c>
      <c r="G615" s="108">
        <v>45523</v>
      </c>
      <c r="H615" s="126" t="s">
        <v>94</v>
      </c>
      <c r="I615" s="126" t="s">
        <v>495</v>
      </c>
      <c r="J615" s="126" t="s">
        <v>496</v>
      </c>
      <c r="K615" s="126"/>
      <c r="L615" s="126"/>
      <c r="M615" s="126"/>
      <c r="N615" s="126"/>
      <c r="O615" s="126" t="s">
        <v>541</v>
      </c>
      <c r="Q615" s="3">
        <f t="shared" si="19"/>
        <v>63.66</v>
      </c>
      <c r="S615" s="55" t="s">
        <v>9014</v>
      </c>
      <c r="U615" s="3" t="str">
        <f t="shared" si="20"/>
        <v/>
      </c>
    </row>
    <row r="616" spans="1:21" x14ac:dyDescent="0.35">
      <c r="A616" s="126" t="s">
        <v>35</v>
      </c>
      <c r="B616" s="126" t="s">
        <v>615</v>
      </c>
      <c r="C616" s="126" t="s">
        <v>2</v>
      </c>
      <c r="D616" s="126" t="s">
        <v>3</v>
      </c>
      <c r="E616" s="126">
        <v>63.64</v>
      </c>
      <c r="F616" s="126" t="s">
        <v>88</v>
      </c>
      <c r="G616" s="108">
        <v>45477</v>
      </c>
      <c r="H616" s="126" t="s">
        <v>94</v>
      </c>
      <c r="I616" s="126" t="s">
        <v>425</v>
      </c>
      <c r="J616" s="126" t="s">
        <v>8117</v>
      </c>
      <c r="K616" s="126"/>
      <c r="L616" s="126"/>
      <c r="M616" s="126"/>
      <c r="N616" s="126"/>
      <c r="O616" s="126" t="s">
        <v>8118</v>
      </c>
      <c r="Q616" s="3">
        <f t="shared" si="19"/>
        <v>63.64</v>
      </c>
      <c r="U616" s="3" t="str">
        <f t="shared" si="20"/>
        <v/>
      </c>
    </row>
    <row r="617" spans="1:21" x14ac:dyDescent="0.35">
      <c r="A617" s="126" t="s">
        <v>35</v>
      </c>
      <c r="B617" s="126" t="s">
        <v>788</v>
      </c>
      <c r="C617" s="126" t="s">
        <v>2</v>
      </c>
      <c r="D617" s="126" t="s">
        <v>3</v>
      </c>
      <c r="E617" s="126">
        <v>63.55</v>
      </c>
      <c r="F617" s="126" t="s">
        <v>88</v>
      </c>
      <c r="G617" s="108">
        <v>45399</v>
      </c>
      <c r="H617" s="126" t="s">
        <v>94</v>
      </c>
      <c r="I617" s="126" t="s">
        <v>7734</v>
      </c>
      <c r="J617" s="126" t="s">
        <v>7735</v>
      </c>
      <c r="K617" s="126"/>
      <c r="L617" s="126"/>
      <c r="M617" s="126"/>
      <c r="N617" s="126"/>
      <c r="O617" s="126" t="s">
        <v>7736</v>
      </c>
      <c r="Q617" s="3">
        <f t="shared" si="19"/>
        <v>63.55</v>
      </c>
      <c r="U617" s="3" t="str">
        <f t="shared" si="20"/>
        <v/>
      </c>
    </row>
    <row r="618" spans="1:21" x14ac:dyDescent="0.35">
      <c r="A618" s="126" t="s">
        <v>0</v>
      </c>
      <c r="B618" s="126" t="s">
        <v>852</v>
      </c>
      <c r="C618" s="126" t="s">
        <v>2</v>
      </c>
      <c r="D618" s="126" t="s">
        <v>3</v>
      </c>
      <c r="E618" s="126">
        <v>63.27</v>
      </c>
      <c r="F618" s="126" t="s">
        <v>88</v>
      </c>
      <c r="G618" s="108">
        <v>45457</v>
      </c>
      <c r="H618" s="126" t="s">
        <v>89</v>
      </c>
      <c r="I618" s="126" t="s">
        <v>7995</v>
      </c>
      <c r="J618" s="126"/>
      <c r="K618" s="126" t="s">
        <v>7996</v>
      </c>
      <c r="L618" s="126" t="s">
        <v>7997</v>
      </c>
      <c r="M618" s="126" t="s">
        <v>7998</v>
      </c>
      <c r="N618" s="126"/>
      <c r="O618" s="126"/>
      <c r="Q618" s="3">
        <f t="shared" si="19"/>
        <v>63.27</v>
      </c>
      <c r="S618" s="55" t="s">
        <v>9013</v>
      </c>
      <c r="U618" s="3" t="str">
        <f t="shared" si="20"/>
        <v/>
      </c>
    </row>
    <row r="619" spans="1:21" x14ac:dyDescent="0.35">
      <c r="A619" s="126" t="s">
        <v>0</v>
      </c>
      <c r="B619" s="126" t="s">
        <v>1491</v>
      </c>
      <c r="C619" s="126" t="s">
        <v>2</v>
      </c>
      <c r="D619" s="126" t="s">
        <v>3</v>
      </c>
      <c r="E619" s="126">
        <v>63.26</v>
      </c>
      <c r="F619" s="126" t="s">
        <v>88</v>
      </c>
      <c r="G619" s="108">
        <v>45457</v>
      </c>
      <c r="H619" s="126" t="s">
        <v>89</v>
      </c>
      <c r="I619" s="126" t="s">
        <v>7995</v>
      </c>
      <c r="J619" s="126"/>
      <c r="K619" s="126" t="s">
        <v>7996</v>
      </c>
      <c r="L619" s="126" t="s">
        <v>7997</v>
      </c>
      <c r="M619" s="126" t="s">
        <v>7998</v>
      </c>
      <c r="N619" s="126"/>
      <c r="O619" s="126"/>
      <c r="Q619" s="3">
        <f t="shared" si="19"/>
        <v>63.26</v>
      </c>
      <c r="S619" s="55" t="s">
        <v>9013</v>
      </c>
      <c r="U619" s="3" t="str">
        <f t="shared" si="20"/>
        <v/>
      </c>
    </row>
    <row r="620" spans="1:21" x14ac:dyDescent="0.35">
      <c r="A620" s="126" t="s">
        <v>35</v>
      </c>
      <c r="B620" s="126" t="s">
        <v>5426</v>
      </c>
      <c r="C620" s="126" t="s">
        <v>2</v>
      </c>
      <c r="D620" s="126" t="s">
        <v>3</v>
      </c>
      <c r="E620" s="126">
        <v>62.76</v>
      </c>
      <c r="F620" s="126" t="s">
        <v>88</v>
      </c>
      <c r="G620" s="108">
        <v>45614</v>
      </c>
      <c r="H620" s="126" t="s">
        <v>94</v>
      </c>
      <c r="I620" s="126" t="s">
        <v>408</v>
      </c>
      <c r="J620" s="126" t="s">
        <v>409</v>
      </c>
      <c r="K620" s="126"/>
      <c r="L620" s="126"/>
      <c r="M620" s="126"/>
      <c r="N620" s="126"/>
      <c r="O620" s="126" t="s">
        <v>518</v>
      </c>
      <c r="Q620" s="3">
        <f t="shared" si="19"/>
        <v>62.76</v>
      </c>
      <c r="S620" s="55" t="s">
        <v>586</v>
      </c>
      <c r="U620" s="3" t="str">
        <f t="shared" si="20"/>
        <v/>
      </c>
    </row>
    <row r="621" spans="1:21" x14ac:dyDescent="0.35">
      <c r="A621" s="126" t="s">
        <v>35</v>
      </c>
      <c r="B621" s="126" t="s">
        <v>2543</v>
      </c>
      <c r="C621" s="126" t="s">
        <v>2</v>
      </c>
      <c r="D621" s="126" t="s">
        <v>3</v>
      </c>
      <c r="E621" s="126">
        <v>62.73</v>
      </c>
      <c r="F621" s="126" t="s">
        <v>88</v>
      </c>
      <c r="G621" s="108">
        <v>45601</v>
      </c>
      <c r="H621" s="126" t="s">
        <v>94</v>
      </c>
      <c r="I621" s="126" t="s">
        <v>513</v>
      </c>
      <c r="J621" s="126" t="s">
        <v>514</v>
      </c>
      <c r="K621" s="126"/>
      <c r="L621" s="126"/>
      <c r="M621" s="126"/>
      <c r="N621" s="126"/>
      <c r="O621" s="126" t="s">
        <v>7774</v>
      </c>
      <c r="Q621" s="3">
        <f t="shared" si="19"/>
        <v>62.73</v>
      </c>
      <c r="S621" s="55" t="s">
        <v>53</v>
      </c>
      <c r="T621" t="s">
        <v>64</v>
      </c>
      <c r="U621" s="3">
        <f t="shared" si="20"/>
        <v>62.73</v>
      </c>
    </row>
    <row r="622" spans="1:21" x14ac:dyDescent="0.35">
      <c r="A622" s="126" t="s">
        <v>0</v>
      </c>
      <c r="B622" s="126" t="s">
        <v>1995</v>
      </c>
      <c r="C622" s="126" t="s">
        <v>2</v>
      </c>
      <c r="D622" s="126" t="s">
        <v>3</v>
      </c>
      <c r="E622" s="126">
        <v>62.69</v>
      </c>
      <c r="F622" s="126" t="s">
        <v>88</v>
      </c>
      <c r="G622" s="108">
        <v>45544</v>
      </c>
      <c r="H622" s="126" t="s">
        <v>89</v>
      </c>
      <c r="I622" s="126" t="s">
        <v>8400</v>
      </c>
      <c r="J622" s="126"/>
      <c r="K622" s="126" t="s">
        <v>8321</v>
      </c>
      <c r="L622" s="126" t="s">
        <v>8401</v>
      </c>
      <c r="M622" s="126" t="s">
        <v>399</v>
      </c>
      <c r="Q622" s="3">
        <f t="shared" si="19"/>
        <v>62.69</v>
      </c>
      <c r="S622" s="55" t="s">
        <v>9013</v>
      </c>
      <c r="U622" s="3" t="str">
        <f t="shared" si="20"/>
        <v/>
      </c>
    </row>
    <row r="623" spans="1:21" x14ac:dyDescent="0.35">
      <c r="A623" s="126" t="s">
        <v>0</v>
      </c>
      <c r="B623" s="126" t="s">
        <v>1995</v>
      </c>
      <c r="C623" s="126" t="s">
        <v>2</v>
      </c>
      <c r="D623" s="126" t="s">
        <v>3</v>
      </c>
      <c r="E623" s="126">
        <v>62.69</v>
      </c>
      <c r="F623" s="126" t="s">
        <v>88</v>
      </c>
      <c r="G623" s="108">
        <v>45635</v>
      </c>
      <c r="H623" s="126" t="s">
        <v>89</v>
      </c>
      <c r="I623" s="126" t="s">
        <v>8881</v>
      </c>
      <c r="J623" s="126"/>
      <c r="K623" s="126" t="s">
        <v>8735</v>
      </c>
      <c r="L623" s="126" t="s">
        <v>8882</v>
      </c>
      <c r="M623" s="126" t="s">
        <v>399</v>
      </c>
      <c r="Q623" s="3">
        <f t="shared" si="19"/>
        <v>62.69</v>
      </c>
      <c r="S623" s="55" t="s">
        <v>9013</v>
      </c>
      <c r="U623" s="3" t="str">
        <f t="shared" si="20"/>
        <v/>
      </c>
    </row>
    <row r="624" spans="1:21" x14ac:dyDescent="0.35">
      <c r="A624" s="126" t="s">
        <v>0</v>
      </c>
      <c r="B624" s="126" t="s">
        <v>1216</v>
      </c>
      <c r="C624" s="126" t="s">
        <v>2</v>
      </c>
      <c r="D624" s="126" t="s">
        <v>3</v>
      </c>
      <c r="E624" s="126">
        <v>62.68</v>
      </c>
      <c r="F624" s="126" t="s">
        <v>88</v>
      </c>
      <c r="G624" s="108">
        <v>45544</v>
      </c>
      <c r="H624" s="126" t="s">
        <v>89</v>
      </c>
      <c r="I624" s="126" t="s">
        <v>8400</v>
      </c>
      <c r="J624" s="126"/>
      <c r="K624" s="126" t="s">
        <v>8321</v>
      </c>
      <c r="L624" s="126" t="s">
        <v>8401</v>
      </c>
      <c r="M624" s="126" t="s">
        <v>399</v>
      </c>
      <c r="Q624" s="3">
        <f t="shared" si="19"/>
        <v>62.68</v>
      </c>
      <c r="S624" s="55" t="s">
        <v>9013</v>
      </c>
      <c r="U624" s="3" t="str">
        <f t="shared" si="20"/>
        <v/>
      </c>
    </row>
    <row r="625" spans="1:21" x14ac:dyDescent="0.35">
      <c r="A625" s="126" t="s">
        <v>0</v>
      </c>
      <c r="B625" s="126" t="s">
        <v>764</v>
      </c>
      <c r="C625" s="126" t="s">
        <v>2</v>
      </c>
      <c r="D625" s="126" t="s">
        <v>3</v>
      </c>
      <c r="E625" s="126">
        <v>62.66</v>
      </c>
      <c r="F625" s="126" t="s">
        <v>88</v>
      </c>
      <c r="G625" s="108">
        <v>45544</v>
      </c>
      <c r="H625" s="126" t="s">
        <v>89</v>
      </c>
      <c r="I625" s="126" t="s">
        <v>8400</v>
      </c>
      <c r="J625" s="126"/>
      <c r="K625" s="126" t="s">
        <v>8321</v>
      </c>
      <c r="L625" s="126" t="s">
        <v>8401</v>
      </c>
      <c r="M625" s="126" t="s">
        <v>399</v>
      </c>
      <c r="Q625" s="3">
        <f t="shared" si="19"/>
        <v>62.66</v>
      </c>
      <c r="S625" s="55" t="s">
        <v>9013</v>
      </c>
      <c r="U625" s="3" t="str">
        <f t="shared" si="20"/>
        <v/>
      </c>
    </row>
    <row r="626" spans="1:21" x14ac:dyDescent="0.35">
      <c r="A626" s="126" t="s">
        <v>0</v>
      </c>
      <c r="B626" s="126" t="s">
        <v>764</v>
      </c>
      <c r="C626" s="126" t="s">
        <v>2</v>
      </c>
      <c r="D626" s="126" t="s">
        <v>3</v>
      </c>
      <c r="E626" s="126">
        <v>62.63</v>
      </c>
      <c r="F626" s="126" t="s">
        <v>88</v>
      </c>
      <c r="G626" s="108">
        <v>45390</v>
      </c>
      <c r="H626" s="126" t="s">
        <v>89</v>
      </c>
      <c r="I626" s="126" t="s">
        <v>7671</v>
      </c>
      <c r="J626" s="126"/>
      <c r="K626" s="126" t="s">
        <v>7672</v>
      </c>
      <c r="L626" s="126" t="s">
        <v>7673</v>
      </c>
      <c r="M626" s="126" t="s">
        <v>399</v>
      </c>
      <c r="N626" s="35"/>
      <c r="O626" s="35"/>
      <c r="Q626" s="3">
        <f t="shared" si="19"/>
        <v>62.63</v>
      </c>
      <c r="S626" s="55" t="s">
        <v>9013</v>
      </c>
      <c r="U626" s="3" t="str">
        <f t="shared" si="20"/>
        <v/>
      </c>
    </row>
    <row r="627" spans="1:21" x14ac:dyDescent="0.35">
      <c r="A627" s="126" t="s">
        <v>0</v>
      </c>
      <c r="B627" s="126" t="s">
        <v>1069</v>
      </c>
      <c r="C627" s="126" t="s">
        <v>2</v>
      </c>
      <c r="D627" s="126" t="s">
        <v>3</v>
      </c>
      <c r="E627" s="126">
        <v>62.63</v>
      </c>
      <c r="F627" s="126" t="s">
        <v>88</v>
      </c>
      <c r="G627" s="108">
        <v>45390</v>
      </c>
      <c r="H627" s="126" t="s">
        <v>89</v>
      </c>
      <c r="I627" s="126" t="s">
        <v>7671</v>
      </c>
      <c r="J627" s="126"/>
      <c r="K627" s="126" t="s">
        <v>7672</v>
      </c>
      <c r="L627" s="126" t="s">
        <v>7673</v>
      </c>
      <c r="M627" s="126" t="s">
        <v>399</v>
      </c>
      <c r="N627" s="35"/>
      <c r="O627" s="35"/>
      <c r="Q627" s="3">
        <f t="shared" si="19"/>
        <v>62.63</v>
      </c>
      <c r="S627" s="55" t="s">
        <v>9013</v>
      </c>
      <c r="U627" s="3" t="str">
        <f t="shared" si="20"/>
        <v/>
      </c>
    </row>
    <row r="628" spans="1:21" x14ac:dyDescent="0.35">
      <c r="A628" s="126" t="s">
        <v>0</v>
      </c>
      <c r="B628" s="126" t="s">
        <v>1069</v>
      </c>
      <c r="C628" s="126" t="s">
        <v>2</v>
      </c>
      <c r="D628" s="126" t="s">
        <v>3</v>
      </c>
      <c r="E628" s="126">
        <v>62.62</v>
      </c>
      <c r="F628" s="126" t="s">
        <v>88</v>
      </c>
      <c r="G628" s="108">
        <v>45454</v>
      </c>
      <c r="H628" s="126" t="s">
        <v>89</v>
      </c>
      <c r="I628" s="126" t="s">
        <v>7961</v>
      </c>
      <c r="J628" s="126"/>
      <c r="K628" s="126" t="s">
        <v>7959</v>
      </c>
      <c r="L628" s="126" t="s">
        <v>7962</v>
      </c>
      <c r="M628" s="126" t="s">
        <v>399</v>
      </c>
      <c r="Q628" s="3">
        <f t="shared" si="19"/>
        <v>62.62</v>
      </c>
      <c r="S628" s="55" t="s">
        <v>9013</v>
      </c>
      <c r="U628" s="3" t="str">
        <f t="shared" si="20"/>
        <v/>
      </c>
    </row>
    <row r="629" spans="1:21" x14ac:dyDescent="0.35">
      <c r="A629" s="126" t="s">
        <v>0</v>
      </c>
      <c r="B629" s="126" t="s">
        <v>1069</v>
      </c>
      <c r="C629" s="126" t="s">
        <v>2</v>
      </c>
      <c r="D629" s="126" t="s">
        <v>3</v>
      </c>
      <c r="E629" s="126">
        <v>62.62</v>
      </c>
      <c r="F629" s="126" t="s">
        <v>88</v>
      </c>
      <c r="G629" s="108">
        <v>45544</v>
      </c>
      <c r="H629" s="126" t="s">
        <v>89</v>
      </c>
      <c r="I629" s="126" t="s">
        <v>8400</v>
      </c>
      <c r="J629" s="126"/>
      <c r="K629" s="126" t="s">
        <v>8321</v>
      </c>
      <c r="L629" s="126" t="s">
        <v>8401</v>
      </c>
      <c r="M629" s="126" t="s">
        <v>399</v>
      </c>
      <c r="Q629" s="3">
        <f t="shared" si="19"/>
        <v>62.62</v>
      </c>
      <c r="S629" s="55" t="s">
        <v>9013</v>
      </c>
      <c r="U629" s="3" t="str">
        <f t="shared" si="20"/>
        <v/>
      </c>
    </row>
    <row r="630" spans="1:21" x14ac:dyDescent="0.35">
      <c r="A630" s="126" t="s">
        <v>0</v>
      </c>
      <c r="B630" s="126" t="s">
        <v>1069</v>
      </c>
      <c r="C630" s="126" t="s">
        <v>2</v>
      </c>
      <c r="D630" s="126" t="s">
        <v>3</v>
      </c>
      <c r="E630" s="126">
        <v>62.62</v>
      </c>
      <c r="F630" s="126" t="s">
        <v>88</v>
      </c>
      <c r="G630" s="108">
        <v>45635</v>
      </c>
      <c r="H630" s="126" t="s">
        <v>89</v>
      </c>
      <c r="I630" s="126" t="s">
        <v>8881</v>
      </c>
      <c r="J630" s="126"/>
      <c r="K630" s="126" t="s">
        <v>8735</v>
      </c>
      <c r="L630" s="126" t="s">
        <v>8882</v>
      </c>
      <c r="M630" s="126" t="s">
        <v>399</v>
      </c>
      <c r="Q630" s="3">
        <f t="shared" si="19"/>
        <v>62.62</v>
      </c>
      <c r="S630" s="55" t="s">
        <v>9013</v>
      </c>
      <c r="U630" s="3" t="str">
        <f t="shared" si="20"/>
        <v/>
      </c>
    </row>
    <row r="631" spans="1:21" x14ac:dyDescent="0.35">
      <c r="A631" s="126" t="s">
        <v>0</v>
      </c>
      <c r="B631" s="126" t="s">
        <v>969</v>
      </c>
      <c r="C631" s="126" t="s">
        <v>2</v>
      </c>
      <c r="D631" s="126" t="s">
        <v>3</v>
      </c>
      <c r="E631" s="126">
        <v>62.6</v>
      </c>
      <c r="F631" s="126" t="s">
        <v>88</v>
      </c>
      <c r="G631" s="108">
        <v>45544</v>
      </c>
      <c r="H631" s="126" t="s">
        <v>89</v>
      </c>
      <c r="I631" s="126" t="s">
        <v>8400</v>
      </c>
      <c r="J631" s="126"/>
      <c r="K631" s="126" t="s">
        <v>8321</v>
      </c>
      <c r="L631" s="126" t="s">
        <v>8401</v>
      </c>
      <c r="M631" s="126" t="s">
        <v>399</v>
      </c>
      <c r="Q631" s="3">
        <f t="shared" si="19"/>
        <v>62.6</v>
      </c>
      <c r="S631" s="55" t="s">
        <v>9013</v>
      </c>
      <c r="U631" s="3" t="str">
        <f t="shared" si="20"/>
        <v/>
      </c>
    </row>
    <row r="632" spans="1:21" x14ac:dyDescent="0.35">
      <c r="A632" s="126" t="s">
        <v>0</v>
      </c>
      <c r="B632" s="126" t="s">
        <v>969</v>
      </c>
      <c r="C632" s="126" t="s">
        <v>2</v>
      </c>
      <c r="D632" s="126" t="s">
        <v>3</v>
      </c>
      <c r="E632" s="126">
        <v>62.6</v>
      </c>
      <c r="F632" s="126" t="s">
        <v>88</v>
      </c>
      <c r="G632" s="108">
        <v>45635</v>
      </c>
      <c r="H632" s="126" t="s">
        <v>89</v>
      </c>
      <c r="I632" s="126" t="s">
        <v>8881</v>
      </c>
      <c r="J632" s="126"/>
      <c r="K632" s="126" t="s">
        <v>8735</v>
      </c>
      <c r="L632" s="126" t="s">
        <v>8882</v>
      </c>
      <c r="M632" s="126" t="s">
        <v>399</v>
      </c>
      <c r="Q632" s="3">
        <f t="shared" si="19"/>
        <v>62.6</v>
      </c>
      <c r="S632" s="55" t="s">
        <v>9013</v>
      </c>
      <c r="U632" s="3" t="str">
        <f t="shared" si="20"/>
        <v/>
      </c>
    </row>
    <row r="633" spans="1:21" x14ac:dyDescent="0.35">
      <c r="A633" s="126" t="s">
        <v>0</v>
      </c>
      <c r="B633" s="126" t="s">
        <v>969</v>
      </c>
      <c r="C633" s="126" t="s">
        <v>2</v>
      </c>
      <c r="D633" s="126" t="s">
        <v>3</v>
      </c>
      <c r="E633" s="126">
        <v>62.59</v>
      </c>
      <c r="F633" s="126" t="s">
        <v>88</v>
      </c>
      <c r="G633" s="108">
        <v>45390</v>
      </c>
      <c r="H633" s="126" t="s">
        <v>89</v>
      </c>
      <c r="I633" s="126" t="s">
        <v>7671</v>
      </c>
      <c r="J633" s="126"/>
      <c r="K633" s="126" t="s">
        <v>7672</v>
      </c>
      <c r="L633" s="126" t="s">
        <v>7673</v>
      </c>
      <c r="M633" s="126" t="s">
        <v>399</v>
      </c>
      <c r="N633" s="35"/>
      <c r="O633" s="35"/>
      <c r="Q633" s="3">
        <f t="shared" si="19"/>
        <v>62.59</v>
      </c>
      <c r="S633" s="55" t="s">
        <v>9013</v>
      </c>
      <c r="U633" s="3" t="str">
        <f t="shared" si="20"/>
        <v/>
      </c>
    </row>
    <row r="634" spans="1:21" x14ac:dyDescent="0.35">
      <c r="A634" s="126" t="s">
        <v>0</v>
      </c>
      <c r="B634" s="126" t="s">
        <v>1423</v>
      </c>
      <c r="C634" s="126" t="s">
        <v>2</v>
      </c>
      <c r="D634" s="126" t="s">
        <v>3</v>
      </c>
      <c r="E634" s="126">
        <v>62.54</v>
      </c>
      <c r="F634" s="126" t="s">
        <v>88</v>
      </c>
      <c r="G634" s="108">
        <v>45390</v>
      </c>
      <c r="H634" s="126" t="s">
        <v>89</v>
      </c>
      <c r="I634" s="126" t="s">
        <v>7671</v>
      </c>
      <c r="J634" s="126"/>
      <c r="K634" s="126" t="s">
        <v>7672</v>
      </c>
      <c r="L634" s="126" t="s">
        <v>7673</v>
      </c>
      <c r="M634" s="126" t="s">
        <v>399</v>
      </c>
      <c r="N634" s="126"/>
      <c r="O634" s="126"/>
      <c r="Q634" s="3">
        <f t="shared" si="19"/>
        <v>62.54</v>
      </c>
      <c r="S634" s="55" t="s">
        <v>9013</v>
      </c>
      <c r="U634" s="3" t="str">
        <f t="shared" si="20"/>
        <v/>
      </c>
    </row>
    <row r="635" spans="1:21" x14ac:dyDescent="0.35">
      <c r="A635" s="126" t="s">
        <v>0</v>
      </c>
      <c r="B635" s="126" t="s">
        <v>915</v>
      </c>
      <c r="C635" s="126" t="s">
        <v>2</v>
      </c>
      <c r="D635" s="126" t="s">
        <v>3</v>
      </c>
      <c r="E635" s="126">
        <v>62.53</v>
      </c>
      <c r="F635" s="126" t="s">
        <v>88</v>
      </c>
      <c r="G635" s="108">
        <v>45390</v>
      </c>
      <c r="H635" s="126" t="s">
        <v>89</v>
      </c>
      <c r="I635" s="126" t="s">
        <v>7671</v>
      </c>
      <c r="J635" s="126"/>
      <c r="K635" s="126" t="s">
        <v>7672</v>
      </c>
      <c r="L635" s="126" t="s">
        <v>7673</v>
      </c>
      <c r="M635" s="126" t="s">
        <v>399</v>
      </c>
      <c r="N635" s="35"/>
      <c r="O635" s="35"/>
      <c r="Q635" s="3">
        <f t="shared" si="19"/>
        <v>62.53</v>
      </c>
      <c r="S635" s="55" t="s">
        <v>9013</v>
      </c>
      <c r="U635" s="3" t="str">
        <f t="shared" si="20"/>
        <v/>
      </c>
    </row>
    <row r="636" spans="1:21" x14ac:dyDescent="0.35">
      <c r="A636" s="126" t="s">
        <v>0</v>
      </c>
      <c r="B636" s="126" t="s">
        <v>915</v>
      </c>
      <c r="C636" s="126" t="s">
        <v>2</v>
      </c>
      <c r="D636" s="126" t="s">
        <v>3</v>
      </c>
      <c r="E636" s="126">
        <v>62.53</v>
      </c>
      <c r="F636" s="126" t="s">
        <v>88</v>
      </c>
      <c r="G636" s="108">
        <v>45544</v>
      </c>
      <c r="H636" s="126" t="s">
        <v>89</v>
      </c>
      <c r="I636" s="126" t="s">
        <v>8400</v>
      </c>
      <c r="J636" s="126"/>
      <c r="K636" s="126" t="s">
        <v>8321</v>
      </c>
      <c r="L636" s="126" t="s">
        <v>8401</v>
      </c>
      <c r="M636" s="126" t="s">
        <v>399</v>
      </c>
      <c r="Q636" s="3">
        <f t="shared" si="19"/>
        <v>62.53</v>
      </c>
      <c r="S636" s="55" t="s">
        <v>9013</v>
      </c>
      <c r="U636" s="3" t="str">
        <f t="shared" si="20"/>
        <v/>
      </c>
    </row>
    <row r="637" spans="1:21" x14ac:dyDescent="0.35">
      <c r="A637" s="126" t="s">
        <v>0</v>
      </c>
      <c r="B637" s="126" t="s">
        <v>915</v>
      </c>
      <c r="C637" s="126" t="s">
        <v>2</v>
      </c>
      <c r="D637" s="126" t="s">
        <v>3</v>
      </c>
      <c r="E637" s="126">
        <v>62.53</v>
      </c>
      <c r="F637" s="126" t="s">
        <v>88</v>
      </c>
      <c r="G637" s="108">
        <v>45635</v>
      </c>
      <c r="H637" s="126" t="s">
        <v>89</v>
      </c>
      <c r="I637" s="126" t="s">
        <v>8881</v>
      </c>
      <c r="J637" s="126"/>
      <c r="K637" s="126" t="s">
        <v>8735</v>
      </c>
      <c r="L637" s="126" t="s">
        <v>8882</v>
      </c>
      <c r="M637" s="126" t="s">
        <v>399</v>
      </c>
      <c r="Q637" s="3">
        <f t="shared" si="19"/>
        <v>62.53</v>
      </c>
      <c r="S637" s="55" t="s">
        <v>9013</v>
      </c>
      <c r="U637" s="3" t="str">
        <f t="shared" si="20"/>
        <v/>
      </c>
    </row>
    <row r="638" spans="1:21" x14ac:dyDescent="0.35">
      <c r="A638" s="126" t="s">
        <v>0</v>
      </c>
      <c r="B638" s="126" t="s">
        <v>7675</v>
      </c>
      <c r="C638" s="126" t="s">
        <v>2</v>
      </c>
      <c r="D638" s="126" t="s">
        <v>3</v>
      </c>
      <c r="E638" s="126">
        <v>62.52</v>
      </c>
      <c r="F638" s="126" t="s">
        <v>88</v>
      </c>
      <c r="G638" s="108">
        <v>45390</v>
      </c>
      <c r="H638" s="126" t="s">
        <v>89</v>
      </c>
      <c r="I638" s="126" t="s">
        <v>7671</v>
      </c>
      <c r="J638" s="126"/>
      <c r="K638" s="126" t="s">
        <v>7672</v>
      </c>
      <c r="L638" s="126" t="s">
        <v>7673</v>
      </c>
      <c r="M638" s="126" t="s">
        <v>399</v>
      </c>
      <c r="N638" s="35"/>
      <c r="O638" s="35"/>
      <c r="Q638" s="3">
        <f t="shared" si="19"/>
        <v>62.52</v>
      </c>
      <c r="S638" s="55" t="s">
        <v>9013</v>
      </c>
      <c r="U638" s="3" t="str">
        <f t="shared" si="20"/>
        <v/>
      </c>
    </row>
    <row r="639" spans="1:21" x14ac:dyDescent="0.35">
      <c r="A639" s="126" t="s">
        <v>0</v>
      </c>
      <c r="B639" s="126" t="s">
        <v>1423</v>
      </c>
      <c r="C639" s="126" t="s">
        <v>2</v>
      </c>
      <c r="D639" s="126" t="s">
        <v>3</v>
      </c>
      <c r="E639" s="126">
        <v>62.52</v>
      </c>
      <c r="F639" s="126" t="s">
        <v>88</v>
      </c>
      <c r="G639" s="108">
        <v>45635</v>
      </c>
      <c r="H639" s="126" t="s">
        <v>89</v>
      </c>
      <c r="I639" s="126" t="s">
        <v>8881</v>
      </c>
      <c r="J639" s="126"/>
      <c r="K639" s="126" t="s">
        <v>8735</v>
      </c>
      <c r="L639" s="126" t="s">
        <v>8882</v>
      </c>
      <c r="M639" s="126" t="s">
        <v>399</v>
      </c>
      <c r="Q639" s="3">
        <f t="shared" si="19"/>
        <v>62.52</v>
      </c>
      <c r="S639" s="55" t="s">
        <v>9013</v>
      </c>
      <c r="U639" s="3" t="str">
        <f t="shared" si="20"/>
        <v/>
      </c>
    </row>
    <row r="640" spans="1:21" x14ac:dyDescent="0.35">
      <c r="A640" s="126" t="s">
        <v>0</v>
      </c>
      <c r="B640" s="126" t="s">
        <v>2473</v>
      </c>
      <c r="C640" s="126" t="s">
        <v>2</v>
      </c>
      <c r="D640" s="126" t="s">
        <v>3</v>
      </c>
      <c r="E640" s="126">
        <v>62.51</v>
      </c>
      <c r="F640" s="126" t="s">
        <v>88</v>
      </c>
      <c r="G640" s="108">
        <v>45454</v>
      </c>
      <c r="H640" s="126" t="s">
        <v>89</v>
      </c>
      <c r="I640" s="126" t="s">
        <v>7961</v>
      </c>
      <c r="J640" s="126"/>
      <c r="K640" s="126" t="s">
        <v>7959</v>
      </c>
      <c r="L640" s="126" t="s">
        <v>7962</v>
      </c>
      <c r="M640" s="126" t="s">
        <v>399</v>
      </c>
      <c r="Q640" s="3">
        <f t="shared" si="19"/>
        <v>62.51</v>
      </c>
      <c r="S640" s="55" t="s">
        <v>9013</v>
      </c>
      <c r="U640" s="3" t="str">
        <f t="shared" si="20"/>
        <v/>
      </c>
    </row>
    <row r="641" spans="1:21" x14ac:dyDescent="0.35">
      <c r="A641" s="126" t="s">
        <v>0</v>
      </c>
      <c r="B641" s="126" t="s">
        <v>2473</v>
      </c>
      <c r="C641" s="126" t="s">
        <v>2</v>
      </c>
      <c r="D641" s="126" t="s">
        <v>3</v>
      </c>
      <c r="E641" s="126">
        <v>62.51</v>
      </c>
      <c r="F641" s="126" t="s">
        <v>88</v>
      </c>
      <c r="G641" s="108">
        <v>45544</v>
      </c>
      <c r="H641" s="126" t="s">
        <v>89</v>
      </c>
      <c r="I641" s="126" t="s">
        <v>8400</v>
      </c>
      <c r="J641" s="126"/>
      <c r="K641" s="126" t="s">
        <v>8321</v>
      </c>
      <c r="L641" s="126" t="s">
        <v>8401</v>
      </c>
      <c r="M641" s="126" t="s">
        <v>399</v>
      </c>
      <c r="Q641" s="3">
        <f t="shared" si="19"/>
        <v>62.51</v>
      </c>
      <c r="S641" s="55" t="s">
        <v>9013</v>
      </c>
      <c r="U641" s="3" t="str">
        <f t="shared" si="20"/>
        <v/>
      </c>
    </row>
    <row r="642" spans="1:21" x14ac:dyDescent="0.35">
      <c r="A642" s="126" t="s">
        <v>0</v>
      </c>
      <c r="B642" s="126" t="s">
        <v>2473</v>
      </c>
      <c r="C642" s="126" t="s">
        <v>2</v>
      </c>
      <c r="D642" s="126" t="s">
        <v>3</v>
      </c>
      <c r="E642" s="126">
        <v>62.5</v>
      </c>
      <c r="F642" s="126" t="s">
        <v>88</v>
      </c>
      <c r="G642" s="108">
        <v>45390</v>
      </c>
      <c r="H642" s="126" t="s">
        <v>89</v>
      </c>
      <c r="I642" s="126" t="s">
        <v>7671</v>
      </c>
      <c r="J642" s="126"/>
      <c r="K642" s="126" t="s">
        <v>7672</v>
      </c>
      <c r="L642" s="126" t="s">
        <v>7673</v>
      </c>
      <c r="M642" s="126" t="s">
        <v>399</v>
      </c>
      <c r="N642" s="35"/>
      <c r="O642" s="35"/>
      <c r="Q642" s="3">
        <f t="shared" si="19"/>
        <v>62.5</v>
      </c>
      <c r="S642" s="55" t="s">
        <v>9013</v>
      </c>
      <c r="U642" s="3" t="str">
        <f t="shared" si="20"/>
        <v/>
      </c>
    </row>
    <row r="643" spans="1:21" x14ac:dyDescent="0.35">
      <c r="A643" s="126" t="s">
        <v>0</v>
      </c>
      <c r="B643" s="126" t="s">
        <v>861</v>
      </c>
      <c r="C643" s="126" t="s">
        <v>2</v>
      </c>
      <c r="D643" s="126" t="s">
        <v>3</v>
      </c>
      <c r="E643" s="126">
        <v>62.48</v>
      </c>
      <c r="F643" s="126" t="s">
        <v>88</v>
      </c>
      <c r="G643" s="108">
        <v>45454</v>
      </c>
      <c r="H643" s="126" t="s">
        <v>89</v>
      </c>
      <c r="I643" s="126" t="s">
        <v>7961</v>
      </c>
      <c r="J643" s="126"/>
      <c r="K643" s="126" t="s">
        <v>7959</v>
      </c>
      <c r="L643" s="126" t="s">
        <v>7962</v>
      </c>
      <c r="M643" s="126" t="s">
        <v>399</v>
      </c>
      <c r="Q643" s="3">
        <f t="shared" si="19"/>
        <v>62.48</v>
      </c>
      <c r="S643" s="55" t="s">
        <v>9013</v>
      </c>
      <c r="U643" s="3" t="str">
        <f t="shared" si="20"/>
        <v/>
      </c>
    </row>
    <row r="644" spans="1:21" x14ac:dyDescent="0.35">
      <c r="A644" s="126" t="s">
        <v>0</v>
      </c>
      <c r="B644" s="126" t="s">
        <v>861</v>
      </c>
      <c r="C644" s="126" t="s">
        <v>2</v>
      </c>
      <c r="D644" s="126" t="s">
        <v>3</v>
      </c>
      <c r="E644" s="126">
        <v>62.48</v>
      </c>
      <c r="F644" s="126" t="s">
        <v>88</v>
      </c>
      <c r="G644" s="108">
        <v>45544</v>
      </c>
      <c r="H644" s="126" t="s">
        <v>89</v>
      </c>
      <c r="I644" s="126" t="s">
        <v>8400</v>
      </c>
      <c r="J644" s="126"/>
      <c r="K644" s="126" t="s">
        <v>8321</v>
      </c>
      <c r="L644" s="126" t="s">
        <v>8401</v>
      </c>
      <c r="M644" s="126" t="s">
        <v>399</v>
      </c>
      <c r="Q644" s="3">
        <f t="shared" si="19"/>
        <v>62.48</v>
      </c>
      <c r="S644" s="55" t="s">
        <v>9013</v>
      </c>
      <c r="U644" s="3" t="str">
        <f t="shared" si="20"/>
        <v/>
      </c>
    </row>
    <row r="645" spans="1:21" x14ac:dyDescent="0.35">
      <c r="A645" s="126" t="s">
        <v>0</v>
      </c>
      <c r="B645" s="126" t="s">
        <v>861</v>
      </c>
      <c r="C645" s="126" t="s">
        <v>2</v>
      </c>
      <c r="D645" s="126" t="s">
        <v>3</v>
      </c>
      <c r="E645" s="126">
        <v>62.48</v>
      </c>
      <c r="F645" s="126" t="s">
        <v>88</v>
      </c>
      <c r="G645" s="108">
        <v>45635</v>
      </c>
      <c r="H645" s="126" t="s">
        <v>89</v>
      </c>
      <c r="I645" s="126" t="s">
        <v>8881</v>
      </c>
      <c r="J645" s="126"/>
      <c r="K645" s="126" t="s">
        <v>8735</v>
      </c>
      <c r="L645" s="126" t="s">
        <v>8882</v>
      </c>
      <c r="M645" s="126" t="s">
        <v>399</v>
      </c>
      <c r="Q645" s="3">
        <f t="shared" si="19"/>
        <v>62.48</v>
      </c>
      <c r="S645" s="55" t="s">
        <v>9013</v>
      </c>
      <c r="U645" s="3" t="str">
        <f t="shared" si="20"/>
        <v/>
      </c>
    </row>
    <row r="646" spans="1:21" x14ac:dyDescent="0.35">
      <c r="A646" s="126" t="s">
        <v>0</v>
      </c>
      <c r="B646" s="126" t="s">
        <v>606</v>
      </c>
      <c r="C646" s="126" t="s">
        <v>2</v>
      </c>
      <c r="D646" s="126" t="s">
        <v>3</v>
      </c>
      <c r="E646" s="126">
        <v>62.47</v>
      </c>
      <c r="F646" s="126" t="s">
        <v>88</v>
      </c>
      <c r="G646" s="108">
        <v>45454</v>
      </c>
      <c r="H646" s="126" t="s">
        <v>89</v>
      </c>
      <c r="I646" s="126" t="s">
        <v>7961</v>
      </c>
      <c r="J646" s="126"/>
      <c r="K646" s="126" t="s">
        <v>7959</v>
      </c>
      <c r="L646" s="126" t="s">
        <v>7962</v>
      </c>
      <c r="M646" s="126" t="s">
        <v>399</v>
      </c>
      <c r="Q646" s="3">
        <f t="shared" si="19"/>
        <v>62.47</v>
      </c>
      <c r="S646" s="55" t="s">
        <v>9013</v>
      </c>
      <c r="U646" s="3" t="str">
        <f t="shared" si="20"/>
        <v/>
      </c>
    </row>
    <row r="647" spans="1:21" x14ac:dyDescent="0.35">
      <c r="A647" s="126" t="s">
        <v>0</v>
      </c>
      <c r="B647" s="126" t="s">
        <v>606</v>
      </c>
      <c r="C647" s="126" t="s">
        <v>2</v>
      </c>
      <c r="D647" s="126" t="s">
        <v>3</v>
      </c>
      <c r="E647" s="126">
        <v>62.47</v>
      </c>
      <c r="F647" s="126" t="s">
        <v>88</v>
      </c>
      <c r="G647" s="108">
        <v>45635</v>
      </c>
      <c r="H647" s="126" t="s">
        <v>89</v>
      </c>
      <c r="I647" s="126" t="s">
        <v>8881</v>
      </c>
      <c r="J647" s="126"/>
      <c r="K647" s="126" t="s">
        <v>8735</v>
      </c>
      <c r="L647" s="126" t="s">
        <v>8882</v>
      </c>
      <c r="M647" s="126" t="s">
        <v>399</v>
      </c>
      <c r="Q647" s="3">
        <f t="shared" si="19"/>
        <v>62.47</v>
      </c>
      <c r="S647" s="55" t="s">
        <v>9013</v>
      </c>
      <c r="U647" s="3" t="str">
        <f t="shared" si="20"/>
        <v/>
      </c>
    </row>
    <row r="648" spans="1:21" x14ac:dyDescent="0.35">
      <c r="A648" s="126" t="s">
        <v>0</v>
      </c>
      <c r="B648" s="126" t="s">
        <v>5426</v>
      </c>
      <c r="C648" s="126" t="s">
        <v>2</v>
      </c>
      <c r="D648" s="126" t="s">
        <v>3</v>
      </c>
      <c r="E648" s="126">
        <v>62.46</v>
      </c>
      <c r="F648" s="126" t="s">
        <v>88</v>
      </c>
      <c r="G648" s="108">
        <v>45390</v>
      </c>
      <c r="H648" s="126" t="s">
        <v>89</v>
      </c>
      <c r="I648" s="126" t="s">
        <v>7671</v>
      </c>
      <c r="J648" s="126"/>
      <c r="K648" s="126" t="s">
        <v>7672</v>
      </c>
      <c r="L648" s="126" t="s">
        <v>7673</v>
      </c>
      <c r="M648" s="126" t="s">
        <v>399</v>
      </c>
      <c r="N648" s="126"/>
      <c r="O648" s="126"/>
      <c r="Q648" s="3">
        <f t="shared" ref="Q648:Q711" si="21">ABS(E648)</f>
        <v>62.46</v>
      </c>
      <c r="S648" s="55" t="s">
        <v>9013</v>
      </c>
      <c r="U648" s="3" t="str">
        <f t="shared" ref="U648:U711" si="22">IF(T648="Y",E648,"")</f>
        <v/>
      </c>
    </row>
    <row r="649" spans="1:21" x14ac:dyDescent="0.35">
      <c r="A649" s="126" t="s">
        <v>0</v>
      </c>
      <c r="B649" s="126" t="s">
        <v>5426</v>
      </c>
      <c r="C649" s="126" t="s">
        <v>2</v>
      </c>
      <c r="D649" s="126" t="s">
        <v>3</v>
      </c>
      <c r="E649" s="126">
        <v>62.45</v>
      </c>
      <c r="F649" s="126" t="s">
        <v>88</v>
      </c>
      <c r="G649" s="108">
        <v>45454</v>
      </c>
      <c r="H649" s="126" t="s">
        <v>89</v>
      </c>
      <c r="I649" s="126" t="s">
        <v>7961</v>
      </c>
      <c r="J649" s="126"/>
      <c r="K649" s="126" t="s">
        <v>7959</v>
      </c>
      <c r="L649" s="126" t="s">
        <v>7962</v>
      </c>
      <c r="M649" s="126" t="s">
        <v>399</v>
      </c>
      <c r="Q649" s="3">
        <f t="shared" si="21"/>
        <v>62.45</v>
      </c>
      <c r="S649" s="55" t="s">
        <v>9013</v>
      </c>
      <c r="U649" s="3" t="str">
        <f t="shared" si="22"/>
        <v/>
      </c>
    </row>
    <row r="650" spans="1:21" x14ac:dyDescent="0.35">
      <c r="A650" s="126" t="s">
        <v>35</v>
      </c>
      <c r="B650" s="126" t="s">
        <v>893</v>
      </c>
      <c r="C650" s="126" t="s">
        <v>2</v>
      </c>
      <c r="D650" s="126" t="s">
        <v>3</v>
      </c>
      <c r="E650" s="126">
        <v>62.45</v>
      </c>
      <c r="F650" s="126" t="s">
        <v>88</v>
      </c>
      <c r="G650" s="108">
        <v>45520</v>
      </c>
      <c r="H650" s="126" t="s">
        <v>94</v>
      </c>
      <c r="I650" s="126" t="s">
        <v>457</v>
      </c>
      <c r="J650" s="126" t="s">
        <v>458</v>
      </c>
      <c r="K650" s="126"/>
      <c r="L650" s="126"/>
      <c r="M650" s="126"/>
      <c r="N650" s="126"/>
      <c r="O650" s="126" t="s">
        <v>571</v>
      </c>
      <c r="Q650" s="3">
        <f t="shared" si="21"/>
        <v>62.45</v>
      </c>
      <c r="S650" s="55" t="s">
        <v>586</v>
      </c>
      <c r="U650" s="3" t="str">
        <f t="shared" si="22"/>
        <v/>
      </c>
    </row>
    <row r="651" spans="1:21" x14ac:dyDescent="0.35">
      <c r="A651" s="126" t="s">
        <v>0</v>
      </c>
      <c r="B651" s="126" t="s">
        <v>5426</v>
      </c>
      <c r="C651" s="126" t="s">
        <v>2</v>
      </c>
      <c r="D651" s="126" t="s">
        <v>3</v>
      </c>
      <c r="E651" s="126">
        <v>62.45</v>
      </c>
      <c r="F651" s="126" t="s">
        <v>88</v>
      </c>
      <c r="G651" s="108">
        <v>45544</v>
      </c>
      <c r="H651" s="126" t="s">
        <v>89</v>
      </c>
      <c r="I651" s="126" t="s">
        <v>8400</v>
      </c>
      <c r="J651" s="126"/>
      <c r="K651" s="126" t="s">
        <v>8321</v>
      </c>
      <c r="L651" s="126" t="s">
        <v>8401</v>
      </c>
      <c r="M651" s="126" t="s">
        <v>399</v>
      </c>
      <c r="N651" s="126"/>
      <c r="O651" s="126"/>
      <c r="Q651" s="3">
        <f t="shared" si="21"/>
        <v>62.45</v>
      </c>
      <c r="S651" s="55" t="s">
        <v>9013</v>
      </c>
      <c r="U651" s="3" t="str">
        <f t="shared" si="22"/>
        <v/>
      </c>
    </row>
    <row r="652" spans="1:21" x14ac:dyDescent="0.35">
      <c r="A652" s="126" t="s">
        <v>0</v>
      </c>
      <c r="B652" s="126" t="s">
        <v>881</v>
      </c>
      <c r="C652" s="126" t="s">
        <v>2</v>
      </c>
      <c r="D652" s="126" t="s">
        <v>3</v>
      </c>
      <c r="E652" s="126">
        <v>62.37</v>
      </c>
      <c r="F652" s="126" t="s">
        <v>88</v>
      </c>
      <c r="G652" s="108">
        <v>45432</v>
      </c>
      <c r="H652" s="126" t="s">
        <v>89</v>
      </c>
      <c r="I652" s="126" t="s">
        <v>7839</v>
      </c>
      <c r="J652" s="126"/>
      <c r="K652" s="126" t="s">
        <v>7840</v>
      </c>
      <c r="L652" s="126" t="s">
        <v>7841</v>
      </c>
      <c r="M652" s="126" t="s">
        <v>399</v>
      </c>
      <c r="N652" s="35"/>
      <c r="O652" s="35"/>
      <c r="Q652" s="3">
        <f t="shared" si="21"/>
        <v>62.37</v>
      </c>
      <c r="S652" s="55" t="s">
        <v>9013</v>
      </c>
      <c r="U652" s="3" t="str">
        <f t="shared" si="22"/>
        <v/>
      </c>
    </row>
    <row r="653" spans="1:21" x14ac:dyDescent="0.35">
      <c r="A653" s="126" t="s">
        <v>0</v>
      </c>
      <c r="B653" s="126" t="s">
        <v>881</v>
      </c>
      <c r="C653" s="126" t="s">
        <v>2</v>
      </c>
      <c r="D653" s="126" t="s">
        <v>3</v>
      </c>
      <c r="E653" s="126">
        <v>62.37</v>
      </c>
      <c r="F653" s="126" t="s">
        <v>88</v>
      </c>
      <c r="G653" s="108">
        <v>45454</v>
      </c>
      <c r="H653" s="126" t="s">
        <v>89</v>
      </c>
      <c r="I653" s="126" t="s">
        <v>7958</v>
      </c>
      <c r="J653" s="126"/>
      <c r="K653" s="126" t="s">
        <v>7959</v>
      </c>
      <c r="L653" s="126" t="s">
        <v>7960</v>
      </c>
      <c r="M653" s="126" t="s">
        <v>399</v>
      </c>
      <c r="Q653" s="3">
        <f t="shared" si="21"/>
        <v>62.37</v>
      </c>
      <c r="S653" s="55" t="s">
        <v>9013</v>
      </c>
      <c r="U653" s="3" t="str">
        <f t="shared" si="22"/>
        <v/>
      </c>
    </row>
    <row r="654" spans="1:21" x14ac:dyDescent="0.35">
      <c r="A654" s="126" t="s">
        <v>0</v>
      </c>
      <c r="B654" s="126" t="s">
        <v>881</v>
      </c>
      <c r="C654" s="126" t="s">
        <v>2</v>
      </c>
      <c r="D654" s="126" t="s">
        <v>3</v>
      </c>
      <c r="E654" s="126">
        <v>62.37</v>
      </c>
      <c r="F654" s="126" t="s">
        <v>88</v>
      </c>
      <c r="G654" s="108">
        <v>45485</v>
      </c>
      <c r="H654" s="126" t="s">
        <v>89</v>
      </c>
      <c r="I654" s="126" t="s">
        <v>8134</v>
      </c>
      <c r="J654" s="126"/>
      <c r="K654" s="126" t="s">
        <v>8135</v>
      </c>
      <c r="L654" s="126" t="s">
        <v>8136</v>
      </c>
      <c r="M654" s="126" t="s">
        <v>399</v>
      </c>
      <c r="Q654" s="3">
        <f t="shared" si="21"/>
        <v>62.37</v>
      </c>
      <c r="S654" s="55" t="s">
        <v>9013</v>
      </c>
      <c r="U654" s="3" t="str">
        <f t="shared" si="22"/>
        <v/>
      </c>
    </row>
    <row r="655" spans="1:21" x14ac:dyDescent="0.35">
      <c r="A655" s="126" t="s">
        <v>0</v>
      </c>
      <c r="B655" s="126" t="s">
        <v>881</v>
      </c>
      <c r="C655" s="126" t="s">
        <v>2</v>
      </c>
      <c r="D655" s="126" t="s">
        <v>3</v>
      </c>
      <c r="E655" s="126">
        <v>62.37</v>
      </c>
      <c r="F655" s="126" t="s">
        <v>88</v>
      </c>
      <c r="G655" s="108">
        <v>45517</v>
      </c>
      <c r="H655" s="126" t="s">
        <v>89</v>
      </c>
      <c r="I655" s="126" t="s">
        <v>8320</v>
      </c>
      <c r="J655" s="126"/>
      <c r="K655" s="126" t="s">
        <v>8321</v>
      </c>
      <c r="L655" s="126" t="s">
        <v>8322</v>
      </c>
      <c r="M655" s="126" t="s">
        <v>399</v>
      </c>
      <c r="Q655" s="3">
        <f t="shared" si="21"/>
        <v>62.37</v>
      </c>
      <c r="S655" s="55" t="s">
        <v>9013</v>
      </c>
      <c r="U655" s="3" t="str">
        <f t="shared" si="22"/>
        <v/>
      </c>
    </row>
    <row r="656" spans="1:21" x14ac:dyDescent="0.35">
      <c r="A656" s="126" t="s">
        <v>0</v>
      </c>
      <c r="B656" s="126" t="s">
        <v>881</v>
      </c>
      <c r="C656" s="126" t="s">
        <v>2</v>
      </c>
      <c r="D656" s="126" t="s">
        <v>3</v>
      </c>
      <c r="E656" s="126">
        <v>62.37</v>
      </c>
      <c r="F656" s="126" t="s">
        <v>88</v>
      </c>
      <c r="G656" s="108">
        <v>45551</v>
      </c>
      <c r="H656" s="126" t="s">
        <v>89</v>
      </c>
      <c r="I656" s="126" t="s">
        <v>8431</v>
      </c>
      <c r="J656" s="126"/>
      <c r="K656" s="126" t="s">
        <v>8432</v>
      </c>
      <c r="L656" s="126" t="s">
        <v>8433</v>
      </c>
      <c r="M656" s="126" t="s">
        <v>399</v>
      </c>
      <c r="Q656" s="3">
        <f t="shared" si="21"/>
        <v>62.37</v>
      </c>
      <c r="S656" s="55" t="s">
        <v>9013</v>
      </c>
      <c r="U656" s="3" t="str">
        <f t="shared" si="22"/>
        <v/>
      </c>
    </row>
    <row r="657" spans="1:21" x14ac:dyDescent="0.35">
      <c r="A657" s="126" t="s">
        <v>0</v>
      </c>
      <c r="B657" s="126" t="s">
        <v>881</v>
      </c>
      <c r="C657" s="126" t="s">
        <v>2</v>
      </c>
      <c r="D657" s="126" t="s">
        <v>3</v>
      </c>
      <c r="E657" s="126">
        <v>62.37</v>
      </c>
      <c r="F657" s="126" t="s">
        <v>88</v>
      </c>
      <c r="G657" s="108">
        <v>45569</v>
      </c>
      <c r="H657" s="126" t="s">
        <v>89</v>
      </c>
      <c r="I657" s="126" t="s">
        <v>8521</v>
      </c>
      <c r="J657" s="126"/>
      <c r="K657" s="126" t="s">
        <v>8522</v>
      </c>
      <c r="L657" s="126" t="s">
        <v>8523</v>
      </c>
      <c r="M657" s="126" t="s">
        <v>399</v>
      </c>
      <c r="Q657" s="3">
        <f t="shared" si="21"/>
        <v>62.37</v>
      </c>
      <c r="S657" s="55" t="s">
        <v>9013</v>
      </c>
      <c r="U657" s="3" t="str">
        <f t="shared" si="22"/>
        <v/>
      </c>
    </row>
    <row r="658" spans="1:21" x14ac:dyDescent="0.35">
      <c r="A658" s="126" t="s">
        <v>0</v>
      </c>
      <c r="B658" s="126" t="s">
        <v>881</v>
      </c>
      <c r="C658" s="126" t="s">
        <v>2</v>
      </c>
      <c r="D658" s="126" t="s">
        <v>3</v>
      </c>
      <c r="E658" s="126">
        <v>62.37</v>
      </c>
      <c r="F658" s="126" t="s">
        <v>88</v>
      </c>
      <c r="G658" s="108">
        <v>45611</v>
      </c>
      <c r="H658" s="126" t="s">
        <v>89</v>
      </c>
      <c r="I658" s="126" t="s">
        <v>8734</v>
      </c>
      <c r="J658" s="126"/>
      <c r="K658" s="126" t="s">
        <v>8735</v>
      </c>
      <c r="L658" s="126" t="s">
        <v>8736</v>
      </c>
      <c r="M658" s="126" t="s">
        <v>399</v>
      </c>
      <c r="N658" s="126"/>
      <c r="O658" s="126"/>
      <c r="Q658" s="3">
        <f t="shared" si="21"/>
        <v>62.37</v>
      </c>
      <c r="S658" s="55" t="s">
        <v>9013</v>
      </c>
      <c r="U658" s="3" t="str">
        <f t="shared" si="22"/>
        <v/>
      </c>
    </row>
    <row r="659" spans="1:21" x14ac:dyDescent="0.35">
      <c r="A659" s="126" t="s">
        <v>0</v>
      </c>
      <c r="B659" s="126" t="s">
        <v>881</v>
      </c>
      <c r="C659" s="126" t="s">
        <v>2</v>
      </c>
      <c r="D659" s="126" t="s">
        <v>3</v>
      </c>
      <c r="E659" s="126">
        <v>62.37</v>
      </c>
      <c r="F659" s="126" t="s">
        <v>88</v>
      </c>
      <c r="G659" s="108">
        <v>45635</v>
      </c>
      <c r="H659" s="126" t="s">
        <v>89</v>
      </c>
      <c r="I659" s="126" t="s">
        <v>8878</v>
      </c>
      <c r="J659" s="126"/>
      <c r="K659" s="126" t="s">
        <v>8879</v>
      </c>
      <c r="L659" s="126" t="s">
        <v>8880</v>
      </c>
      <c r="M659" s="126" t="s">
        <v>399</v>
      </c>
      <c r="Q659" s="3">
        <f t="shared" si="21"/>
        <v>62.37</v>
      </c>
      <c r="S659" s="55" t="s">
        <v>9013</v>
      </c>
      <c r="U659" s="3" t="str">
        <f t="shared" si="22"/>
        <v/>
      </c>
    </row>
    <row r="660" spans="1:21" x14ac:dyDescent="0.35">
      <c r="A660" s="126" t="s">
        <v>0</v>
      </c>
      <c r="B660" s="126" t="s">
        <v>881</v>
      </c>
      <c r="C660" s="126" t="s">
        <v>2</v>
      </c>
      <c r="D660" s="126" t="s">
        <v>3</v>
      </c>
      <c r="E660" s="126">
        <v>62.29</v>
      </c>
      <c r="F660" s="126" t="s">
        <v>88</v>
      </c>
      <c r="G660" s="108">
        <v>45391</v>
      </c>
      <c r="H660" s="126" t="s">
        <v>89</v>
      </c>
      <c r="I660" s="126" t="s">
        <v>7691</v>
      </c>
      <c r="J660" s="126"/>
      <c r="K660" s="126" t="s">
        <v>7672</v>
      </c>
      <c r="L660" s="126" t="s">
        <v>7692</v>
      </c>
      <c r="M660" s="126" t="s">
        <v>399</v>
      </c>
      <c r="N660" s="35"/>
      <c r="O660" s="35"/>
      <c r="Q660" s="3">
        <f t="shared" si="21"/>
        <v>62.29</v>
      </c>
      <c r="S660" s="55" t="s">
        <v>9013</v>
      </c>
      <c r="U660" s="3" t="str">
        <f t="shared" si="22"/>
        <v/>
      </c>
    </row>
    <row r="661" spans="1:21" x14ac:dyDescent="0.35">
      <c r="A661" s="126" t="s">
        <v>35</v>
      </c>
      <c r="B661" s="126" t="s">
        <v>4583</v>
      </c>
      <c r="C661" s="126" t="s">
        <v>2</v>
      </c>
      <c r="D661" s="126" t="s">
        <v>3</v>
      </c>
      <c r="E661" s="126">
        <v>62.2</v>
      </c>
      <c r="F661" s="126" t="s">
        <v>88</v>
      </c>
      <c r="G661" s="108">
        <v>45643</v>
      </c>
      <c r="H661" s="126" t="s">
        <v>94</v>
      </c>
      <c r="I661" s="126" t="s">
        <v>501</v>
      </c>
      <c r="J661" s="126" t="s">
        <v>502</v>
      </c>
      <c r="K661" s="126"/>
      <c r="L661" s="126"/>
      <c r="M661" s="126"/>
      <c r="N661" s="126"/>
      <c r="O661" s="126" t="s">
        <v>8384</v>
      </c>
      <c r="Q661" s="3">
        <f t="shared" si="21"/>
        <v>62.2</v>
      </c>
      <c r="S661" s="55" t="s">
        <v>9014</v>
      </c>
      <c r="U661" s="3" t="str">
        <f t="shared" si="22"/>
        <v/>
      </c>
    </row>
    <row r="662" spans="1:21" x14ac:dyDescent="0.35">
      <c r="A662" s="126" t="s">
        <v>35</v>
      </c>
      <c r="B662" s="126" t="s">
        <v>2226</v>
      </c>
      <c r="C662" s="126" t="s">
        <v>2</v>
      </c>
      <c r="D662" s="126" t="s">
        <v>3</v>
      </c>
      <c r="E662" s="126">
        <v>61.81</v>
      </c>
      <c r="F662" s="126" t="s">
        <v>88</v>
      </c>
      <c r="G662" s="108">
        <v>45384</v>
      </c>
      <c r="H662" s="126" t="s">
        <v>94</v>
      </c>
      <c r="I662" s="126" t="s">
        <v>7630</v>
      </c>
      <c r="J662" s="126" t="s">
        <v>7631</v>
      </c>
      <c r="K662" s="126"/>
      <c r="L662" s="126"/>
      <c r="M662" s="126"/>
      <c r="N662" s="126"/>
      <c r="O662" s="126" t="s">
        <v>7632</v>
      </c>
      <c r="Q662" s="3">
        <f t="shared" si="21"/>
        <v>61.81</v>
      </c>
      <c r="S662" s="55" t="s">
        <v>53</v>
      </c>
      <c r="T662" t="s">
        <v>64</v>
      </c>
      <c r="U662" s="3">
        <f t="shared" si="22"/>
        <v>61.81</v>
      </c>
    </row>
    <row r="663" spans="1:21" x14ac:dyDescent="0.35">
      <c r="A663" s="126" t="s">
        <v>0</v>
      </c>
      <c r="B663" s="126" t="s">
        <v>633</v>
      </c>
      <c r="C663" s="126" t="s">
        <v>2</v>
      </c>
      <c r="D663" s="126" t="s">
        <v>3</v>
      </c>
      <c r="E663" s="126">
        <v>61.81</v>
      </c>
      <c r="F663" s="126" t="s">
        <v>88</v>
      </c>
      <c r="G663" s="108">
        <v>45454</v>
      </c>
      <c r="H663" s="126" t="s">
        <v>89</v>
      </c>
      <c r="I663" s="126" t="s">
        <v>7961</v>
      </c>
      <c r="J663" s="126"/>
      <c r="K663" s="126" t="s">
        <v>7959</v>
      </c>
      <c r="L663" s="126" t="s">
        <v>7962</v>
      </c>
      <c r="M663" s="126" t="s">
        <v>399</v>
      </c>
      <c r="Q663" s="3">
        <f t="shared" si="21"/>
        <v>61.81</v>
      </c>
      <c r="S663" s="55" t="s">
        <v>9013</v>
      </c>
      <c r="U663" s="3" t="str">
        <f t="shared" si="22"/>
        <v/>
      </c>
    </row>
    <row r="664" spans="1:21" x14ac:dyDescent="0.35">
      <c r="A664" s="126" t="s">
        <v>0</v>
      </c>
      <c r="B664" s="126" t="s">
        <v>633</v>
      </c>
      <c r="C664" s="126" t="s">
        <v>2</v>
      </c>
      <c r="D664" s="126" t="s">
        <v>3</v>
      </c>
      <c r="E664" s="126">
        <v>61.790000000000006</v>
      </c>
      <c r="F664" s="126" t="s">
        <v>88</v>
      </c>
      <c r="G664" s="108">
        <v>45390</v>
      </c>
      <c r="H664" s="126" t="s">
        <v>89</v>
      </c>
      <c r="I664" s="126" t="s">
        <v>7671</v>
      </c>
      <c r="J664" s="126"/>
      <c r="K664" s="126" t="s">
        <v>7672</v>
      </c>
      <c r="L664" s="126" t="s">
        <v>7673</v>
      </c>
      <c r="M664" s="126" t="s">
        <v>399</v>
      </c>
      <c r="N664" s="35"/>
      <c r="O664" s="35"/>
      <c r="Q664" s="3">
        <f t="shared" si="21"/>
        <v>61.790000000000006</v>
      </c>
      <c r="S664" s="55" t="s">
        <v>9013</v>
      </c>
      <c r="U664" s="3" t="str">
        <f t="shared" si="22"/>
        <v/>
      </c>
    </row>
    <row r="665" spans="1:21" x14ac:dyDescent="0.35">
      <c r="A665" s="126" t="s">
        <v>35</v>
      </c>
      <c r="B665" s="126" t="s">
        <v>3466</v>
      </c>
      <c r="C665" s="126" t="s">
        <v>2</v>
      </c>
      <c r="D665" s="126" t="s">
        <v>3</v>
      </c>
      <c r="E665" s="126">
        <v>61.48</v>
      </c>
      <c r="F665" s="126" t="s">
        <v>88</v>
      </c>
      <c r="G665" s="108">
        <v>45520</v>
      </c>
      <c r="H665" s="126" t="s">
        <v>94</v>
      </c>
      <c r="I665" s="126" t="s">
        <v>471</v>
      </c>
      <c r="J665" s="126" t="s">
        <v>8339</v>
      </c>
      <c r="K665" s="126"/>
      <c r="L665" s="126"/>
      <c r="M665" s="126"/>
      <c r="N665" s="126"/>
      <c r="O665" s="126" t="s">
        <v>8341</v>
      </c>
      <c r="Q665" s="3">
        <f t="shared" si="21"/>
        <v>61.48</v>
      </c>
      <c r="U665" s="3" t="str">
        <f t="shared" si="22"/>
        <v/>
      </c>
    </row>
    <row r="666" spans="1:21" x14ac:dyDescent="0.35">
      <c r="A666" s="126" t="s">
        <v>35</v>
      </c>
      <c r="B666" s="126" t="s">
        <v>969</v>
      </c>
      <c r="C666" s="126" t="s">
        <v>2</v>
      </c>
      <c r="D666" s="126" t="s">
        <v>3</v>
      </c>
      <c r="E666" s="126">
        <v>61.05</v>
      </c>
      <c r="F666" s="126" t="s">
        <v>88</v>
      </c>
      <c r="G666" s="108">
        <v>45575</v>
      </c>
      <c r="H666" s="126" t="s">
        <v>94</v>
      </c>
      <c r="I666" s="126" t="s">
        <v>1398</v>
      </c>
      <c r="J666" s="126" t="s">
        <v>8556</v>
      </c>
      <c r="K666" s="126"/>
      <c r="L666" s="126"/>
      <c r="M666" s="126"/>
      <c r="N666" s="126"/>
      <c r="O666" s="126" t="s">
        <v>7918</v>
      </c>
      <c r="Q666" s="3">
        <f t="shared" si="21"/>
        <v>61.05</v>
      </c>
      <c r="U666" s="3" t="str">
        <f t="shared" si="22"/>
        <v/>
      </c>
    </row>
    <row r="667" spans="1:21" x14ac:dyDescent="0.35">
      <c r="A667" s="126" t="s">
        <v>0</v>
      </c>
      <c r="B667" s="126" t="s">
        <v>969</v>
      </c>
      <c r="C667" s="126" t="s">
        <v>2</v>
      </c>
      <c r="D667" s="126" t="s">
        <v>3</v>
      </c>
      <c r="E667" s="126">
        <v>60.92</v>
      </c>
      <c r="F667" s="126" t="s">
        <v>88</v>
      </c>
      <c r="G667" s="108">
        <v>45439</v>
      </c>
      <c r="H667" s="126" t="s">
        <v>89</v>
      </c>
      <c r="I667" s="126" t="s">
        <v>7894</v>
      </c>
      <c r="J667" s="126"/>
      <c r="K667" s="126" t="s">
        <v>7655</v>
      </c>
      <c r="L667" s="126" t="s">
        <v>7895</v>
      </c>
      <c r="M667" s="126" t="s">
        <v>420</v>
      </c>
      <c r="N667" s="126"/>
      <c r="O667" s="126"/>
      <c r="Q667" s="3">
        <f t="shared" si="21"/>
        <v>60.92</v>
      </c>
      <c r="U667" s="3" t="str">
        <f t="shared" si="22"/>
        <v/>
      </c>
    </row>
    <row r="668" spans="1:21" x14ac:dyDescent="0.35">
      <c r="A668" s="126" t="s">
        <v>35</v>
      </c>
      <c r="B668" s="126" t="s">
        <v>768</v>
      </c>
      <c r="C668" s="126" t="s">
        <v>2</v>
      </c>
      <c r="D668" s="126" t="s">
        <v>3</v>
      </c>
      <c r="E668" s="126">
        <v>60.91</v>
      </c>
      <c r="F668" s="126" t="s">
        <v>88</v>
      </c>
      <c r="G668" s="108">
        <v>45385</v>
      </c>
      <c r="H668" s="126" t="s">
        <v>94</v>
      </c>
      <c r="I668" s="126" t="s">
        <v>406</v>
      </c>
      <c r="J668" s="126" t="s">
        <v>407</v>
      </c>
      <c r="K668" s="126"/>
      <c r="L668" s="126"/>
      <c r="M668" s="126"/>
      <c r="N668" s="126"/>
      <c r="O668" s="126" t="s">
        <v>517</v>
      </c>
      <c r="Q668" s="3">
        <f t="shared" si="21"/>
        <v>60.91</v>
      </c>
      <c r="U668" s="3" t="str">
        <f t="shared" si="22"/>
        <v/>
      </c>
    </row>
    <row r="669" spans="1:21" x14ac:dyDescent="0.35">
      <c r="A669" s="126" t="s">
        <v>0</v>
      </c>
      <c r="B669" s="126" t="s">
        <v>1423</v>
      </c>
      <c r="C669" s="126" t="s">
        <v>2</v>
      </c>
      <c r="D669" s="126" t="s">
        <v>3</v>
      </c>
      <c r="E669" s="126">
        <v>60.87</v>
      </c>
      <c r="F669" s="126" t="s">
        <v>88</v>
      </c>
      <c r="G669" s="108">
        <v>45602</v>
      </c>
      <c r="H669" s="126" t="s">
        <v>89</v>
      </c>
      <c r="I669" s="126" t="s">
        <v>8662</v>
      </c>
      <c r="J669" s="126"/>
      <c r="K669" s="126" t="s">
        <v>403</v>
      </c>
      <c r="L669" s="126" t="s">
        <v>8663</v>
      </c>
      <c r="M669" s="126" t="s">
        <v>8664</v>
      </c>
      <c r="N669" s="126"/>
      <c r="O669" s="126"/>
      <c r="Q669" s="3">
        <f t="shared" si="21"/>
        <v>60.87</v>
      </c>
      <c r="S669" s="55" t="s">
        <v>9027</v>
      </c>
      <c r="U669" s="3" t="str">
        <f t="shared" si="22"/>
        <v/>
      </c>
    </row>
    <row r="670" spans="1:21" x14ac:dyDescent="0.35">
      <c r="A670" s="126" t="s">
        <v>35</v>
      </c>
      <c r="B670" s="126" t="s">
        <v>6270</v>
      </c>
      <c r="C670" s="126" t="s">
        <v>2</v>
      </c>
      <c r="D670" s="126" t="s">
        <v>3</v>
      </c>
      <c r="E670" s="126">
        <v>60.58</v>
      </c>
      <c r="F670" s="126" t="s">
        <v>88</v>
      </c>
      <c r="G670" s="108">
        <v>45520</v>
      </c>
      <c r="H670" s="126" t="s">
        <v>94</v>
      </c>
      <c r="I670" s="126" t="s">
        <v>753</v>
      </c>
      <c r="J670" s="126" t="s">
        <v>8338</v>
      </c>
      <c r="K670" s="126"/>
      <c r="L670" s="126"/>
      <c r="M670" s="126"/>
      <c r="N670" s="126"/>
      <c r="O670" s="126" t="s">
        <v>7211</v>
      </c>
      <c r="Q670" s="3">
        <f t="shared" si="21"/>
        <v>60.58</v>
      </c>
      <c r="U670" s="3" t="str">
        <f t="shared" si="22"/>
        <v/>
      </c>
    </row>
    <row r="671" spans="1:21" x14ac:dyDescent="0.35">
      <c r="A671" s="126" t="s">
        <v>0</v>
      </c>
      <c r="B671" s="126" t="s">
        <v>1216</v>
      </c>
      <c r="C671" s="126" t="s">
        <v>2</v>
      </c>
      <c r="D671" s="126" t="s">
        <v>3</v>
      </c>
      <c r="E671" s="126">
        <v>60.15</v>
      </c>
      <c r="F671" s="126" t="s">
        <v>88</v>
      </c>
      <c r="G671" s="108">
        <v>45505</v>
      </c>
      <c r="H671" s="126" t="s">
        <v>89</v>
      </c>
      <c r="I671" s="126" t="s">
        <v>8248</v>
      </c>
      <c r="J671" s="126"/>
      <c r="K671" s="126" t="s">
        <v>8135</v>
      </c>
      <c r="L671" s="126" t="s">
        <v>8249</v>
      </c>
      <c r="M671" s="126" t="s">
        <v>399</v>
      </c>
      <c r="Q671" s="3">
        <f t="shared" si="21"/>
        <v>60.15</v>
      </c>
      <c r="S671" s="55" t="s">
        <v>9013</v>
      </c>
      <c r="U671" s="3" t="str">
        <f t="shared" si="22"/>
        <v/>
      </c>
    </row>
    <row r="672" spans="1:21" x14ac:dyDescent="0.35">
      <c r="A672" s="126" t="s">
        <v>0</v>
      </c>
      <c r="B672" s="126" t="s">
        <v>1216</v>
      </c>
      <c r="C672" s="126" t="s">
        <v>2</v>
      </c>
      <c r="D672" s="126" t="s">
        <v>3</v>
      </c>
      <c r="E672" s="126">
        <v>60.15</v>
      </c>
      <c r="F672" s="126" t="s">
        <v>88</v>
      </c>
      <c r="G672" s="108">
        <v>45517</v>
      </c>
      <c r="H672" s="126" t="s">
        <v>89</v>
      </c>
      <c r="I672" s="126" t="s">
        <v>8323</v>
      </c>
      <c r="J672" s="126"/>
      <c r="K672" s="126" t="s">
        <v>8321</v>
      </c>
      <c r="L672" s="126" t="s">
        <v>8324</v>
      </c>
      <c r="M672" s="126" t="s">
        <v>399</v>
      </c>
      <c r="Q672" s="3">
        <f t="shared" si="21"/>
        <v>60.15</v>
      </c>
      <c r="S672" s="55" t="s">
        <v>9013</v>
      </c>
      <c r="U672" s="3" t="str">
        <f t="shared" si="22"/>
        <v/>
      </c>
    </row>
    <row r="673" spans="1:21" x14ac:dyDescent="0.35">
      <c r="A673" s="126" t="s">
        <v>0</v>
      </c>
      <c r="B673" s="126" t="s">
        <v>1216</v>
      </c>
      <c r="C673" s="126" t="s">
        <v>2</v>
      </c>
      <c r="D673" s="126" t="s">
        <v>3</v>
      </c>
      <c r="E673" s="126">
        <v>60.15</v>
      </c>
      <c r="F673" s="126" t="s">
        <v>88</v>
      </c>
      <c r="G673" s="108">
        <v>45569</v>
      </c>
      <c r="H673" s="126" t="s">
        <v>89</v>
      </c>
      <c r="I673" s="126" t="s">
        <v>8524</v>
      </c>
      <c r="J673" s="126"/>
      <c r="K673" s="126" t="s">
        <v>8525</v>
      </c>
      <c r="L673" s="126" t="s">
        <v>8526</v>
      </c>
      <c r="M673" s="126" t="s">
        <v>399</v>
      </c>
      <c r="Q673" s="3">
        <f t="shared" si="21"/>
        <v>60.15</v>
      </c>
      <c r="S673" s="55" t="s">
        <v>9013</v>
      </c>
      <c r="U673" s="3" t="str">
        <f t="shared" si="22"/>
        <v/>
      </c>
    </row>
    <row r="674" spans="1:21" x14ac:dyDescent="0.35">
      <c r="A674" s="126" t="s">
        <v>0</v>
      </c>
      <c r="B674" s="126" t="s">
        <v>1216</v>
      </c>
      <c r="C674" s="126" t="s">
        <v>2</v>
      </c>
      <c r="D674" s="126" t="s">
        <v>3</v>
      </c>
      <c r="E674" s="126">
        <v>60.13</v>
      </c>
      <c r="F674" s="126" t="s">
        <v>88</v>
      </c>
      <c r="G674" s="108">
        <v>45611</v>
      </c>
      <c r="H674" s="126" t="s">
        <v>89</v>
      </c>
      <c r="I674" s="126" t="s">
        <v>8737</v>
      </c>
      <c r="J674" s="126"/>
      <c r="K674" s="126" t="s">
        <v>8522</v>
      </c>
      <c r="L674" s="126" t="s">
        <v>8738</v>
      </c>
      <c r="M674" s="126" t="s">
        <v>399</v>
      </c>
      <c r="Q674" s="3">
        <f t="shared" si="21"/>
        <v>60.13</v>
      </c>
      <c r="S674" s="55" t="s">
        <v>9013</v>
      </c>
      <c r="U674" s="3" t="str">
        <f t="shared" si="22"/>
        <v/>
      </c>
    </row>
    <row r="675" spans="1:21" x14ac:dyDescent="0.35">
      <c r="A675" s="126" t="s">
        <v>0</v>
      </c>
      <c r="B675" s="126" t="s">
        <v>764</v>
      </c>
      <c r="C675" s="126" t="s">
        <v>2</v>
      </c>
      <c r="D675" s="126" t="s">
        <v>3</v>
      </c>
      <c r="E675" s="126">
        <v>60.12</v>
      </c>
      <c r="F675" s="126" t="s">
        <v>88</v>
      </c>
      <c r="G675" s="108">
        <v>45505</v>
      </c>
      <c r="H675" s="126" t="s">
        <v>89</v>
      </c>
      <c r="I675" s="126" t="s">
        <v>8248</v>
      </c>
      <c r="J675" s="126"/>
      <c r="K675" s="126" t="s">
        <v>8135</v>
      </c>
      <c r="L675" s="126" t="s">
        <v>8249</v>
      </c>
      <c r="M675" s="126" t="s">
        <v>399</v>
      </c>
      <c r="Q675" s="3">
        <f t="shared" si="21"/>
        <v>60.12</v>
      </c>
      <c r="S675" s="55" t="s">
        <v>9013</v>
      </c>
      <c r="U675" s="3" t="str">
        <f t="shared" si="22"/>
        <v/>
      </c>
    </row>
    <row r="676" spans="1:21" x14ac:dyDescent="0.35">
      <c r="A676" s="126" t="s">
        <v>0</v>
      </c>
      <c r="B676" s="126" t="s">
        <v>764</v>
      </c>
      <c r="C676" s="126" t="s">
        <v>2</v>
      </c>
      <c r="D676" s="126" t="s">
        <v>3</v>
      </c>
      <c r="E676" s="126">
        <v>60.12</v>
      </c>
      <c r="F676" s="126" t="s">
        <v>88</v>
      </c>
      <c r="G676" s="108">
        <v>45569</v>
      </c>
      <c r="H676" s="126" t="s">
        <v>89</v>
      </c>
      <c r="I676" s="126" t="s">
        <v>8524</v>
      </c>
      <c r="J676" s="126"/>
      <c r="K676" s="126" t="s">
        <v>8525</v>
      </c>
      <c r="L676" s="126" t="s">
        <v>8526</v>
      </c>
      <c r="M676" s="126" t="s">
        <v>399</v>
      </c>
      <c r="Q676" s="3">
        <f t="shared" si="21"/>
        <v>60.12</v>
      </c>
      <c r="S676" s="55" t="s">
        <v>9013</v>
      </c>
      <c r="U676" s="3" t="str">
        <f t="shared" si="22"/>
        <v/>
      </c>
    </row>
    <row r="677" spans="1:21" x14ac:dyDescent="0.35">
      <c r="A677" s="126" t="s">
        <v>0</v>
      </c>
      <c r="B677" s="126" t="s">
        <v>764</v>
      </c>
      <c r="C677" s="126" t="s">
        <v>2</v>
      </c>
      <c r="D677" s="126" t="s">
        <v>3</v>
      </c>
      <c r="E677" s="126">
        <v>60.12</v>
      </c>
      <c r="F677" s="126" t="s">
        <v>88</v>
      </c>
      <c r="G677" s="108">
        <v>45611</v>
      </c>
      <c r="H677" s="126" t="s">
        <v>89</v>
      </c>
      <c r="I677" s="126" t="s">
        <v>8737</v>
      </c>
      <c r="J677" s="126"/>
      <c r="K677" s="126" t="s">
        <v>8522</v>
      </c>
      <c r="L677" s="126" t="s">
        <v>8738</v>
      </c>
      <c r="M677" s="126" t="s">
        <v>399</v>
      </c>
      <c r="Q677" s="3">
        <f t="shared" si="21"/>
        <v>60.12</v>
      </c>
      <c r="S677" s="55" t="s">
        <v>9013</v>
      </c>
      <c r="U677" s="3" t="str">
        <f t="shared" si="22"/>
        <v/>
      </c>
    </row>
    <row r="678" spans="1:21" x14ac:dyDescent="0.35">
      <c r="A678" s="126" t="s">
        <v>0</v>
      </c>
      <c r="B678" s="126" t="s">
        <v>1411</v>
      </c>
      <c r="C678" s="126" t="s">
        <v>2</v>
      </c>
      <c r="D678" s="126" t="s">
        <v>3</v>
      </c>
      <c r="E678" s="126">
        <v>60.11</v>
      </c>
      <c r="F678" s="126" t="s">
        <v>88</v>
      </c>
      <c r="G678" s="108">
        <v>45432</v>
      </c>
      <c r="H678" s="126" t="s">
        <v>89</v>
      </c>
      <c r="I678" s="126" t="s">
        <v>7842</v>
      </c>
      <c r="J678" s="126"/>
      <c r="K678" s="126" t="s">
        <v>7840</v>
      </c>
      <c r="L678" s="126" t="s">
        <v>7843</v>
      </c>
      <c r="M678" s="126" t="s">
        <v>399</v>
      </c>
      <c r="Q678" s="3">
        <f t="shared" si="21"/>
        <v>60.11</v>
      </c>
      <c r="S678" s="55" t="s">
        <v>9013</v>
      </c>
      <c r="U678" s="3" t="str">
        <f t="shared" si="22"/>
        <v/>
      </c>
    </row>
    <row r="679" spans="1:21" x14ac:dyDescent="0.35">
      <c r="A679" s="126" t="s">
        <v>0</v>
      </c>
      <c r="B679" s="126" t="s">
        <v>1411</v>
      </c>
      <c r="C679" s="126" t="s">
        <v>2</v>
      </c>
      <c r="D679" s="126" t="s">
        <v>3</v>
      </c>
      <c r="E679" s="126">
        <v>60.11</v>
      </c>
      <c r="F679" s="126" t="s">
        <v>88</v>
      </c>
      <c r="G679" s="108">
        <v>45505</v>
      </c>
      <c r="H679" s="126" t="s">
        <v>89</v>
      </c>
      <c r="I679" s="126" t="s">
        <v>8248</v>
      </c>
      <c r="J679" s="126"/>
      <c r="K679" s="126" t="s">
        <v>8135</v>
      </c>
      <c r="L679" s="126" t="s">
        <v>8249</v>
      </c>
      <c r="M679" s="126" t="s">
        <v>399</v>
      </c>
      <c r="Q679" s="3">
        <f t="shared" si="21"/>
        <v>60.11</v>
      </c>
      <c r="S679" s="55" t="s">
        <v>9013</v>
      </c>
      <c r="U679" s="3" t="str">
        <f t="shared" si="22"/>
        <v/>
      </c>
    </row>
    <row r="680" spans="1:21" x14ac:dyDescent="0.35">
      <c r="A680" s="126" t="s">
        <v>0</v>
      </c>
      <c r="B680" s="126" t="s">
        <v>1069</v>
      </c>
      <c r="C680" s="126" t="s">
        <v>2</v>
      </c>
      <c r="D680" s="126" t="s">
        <v>3</v>
      </c>
      <c r="E680" s="126">
        <v>60.08</v>
      </c>
      <c r="F680" s="126" t="s">
        <v>88</v>
      </c>
      <c r="G680" s="108">
        <v>45432</v>
      </c>
      <c r="H680" s="126" t="s">
        <v>89</v>
      </c>
      <c r="I680" s="126" t="s">
        <v>7842</v>
      </c>
      <c r="J680" s="126"/>
      <c r="K680" s="126" t="s">
        <v>7840</v>
      </c>
      <c r="L680" s="126" t="s">
        <v>7843</v>
      </c>
      <c r="M680" s="126" t="s">
        <v>399</v>
      </c>
      <c r="Q680" s="3">
        <f t="shared" si="21"/>
        <v>60.08</v>
      </c>
      <c r="S680" s="55" t="s">
        <v>9013</v>
      </c>
      <c r="U680" s="3" t="str">
        <f t="shared" si="22"/>
        <v/>
      </c>
    </row>
    <row r="681" spans="1:21" x14ac:dyDescent="0.35">
      <c r="A681" s="126" t="s">
        <v>0</v>
      </c>
      <c r="B681" s="126" t="s">
        <v>1069</v>
      </c>
      <c r="C681" s="126" t="s">
        <v>2</v>
      </c>
      <c r="D681" s="126" t="s">
        <v>3</v>
      </c>
      <c r="E681" s="126">
        <v>60.08</v>
      </c>
      <c r="F681" s="126" t="s">
        <v>88</v>
      </c>
      <c r="G681" s="108">
        <v>45505</v>
      </c>
      <c r="H681" s="126" t="s">
        <v>89</v>
      </c>
      <c r="I681" s="126" t="s">
        <v>8248</v>
      </c>
      <c r="J681" s="126"/>
      <c r="K681" s="126" t="s">
        <v>8135</v>
      </c>
      <c r="L681" s="126" t="s">
        <v>8249</v>
      </c>
      <c r="M681" s="126" t="s">
        <v>399</v>
      </c>
      <c r="Q681" s="3">
        <f t="shared" si="21"/>
        <v>60.08</v>
      </c>
      <c r="S681" s="55" t="s">
        <v>9013</v>
      </c>
      <c r="U681" s="3" t="str">
        <f t="shared" si="22"/>
        <v/>
      </c>
    </row>
    <row r="682" spans="1:21" x14ac:dyDescent="0.35">
      <c r="A682" s="126" t="s">
        <v>0</v>
      </c>
      <c r="B682" s="126" t="s">
        <v>1069</v>
      </c>
      <c r="C682" s="126" t="s">
        <v>2</v>
      </c>
      <c r="D682" s="126" t="s">
        <v>3</v>
      </c>
      <c r="E682" s="126">
        <v>60.08</v>
      </c>
      <c r="F682" s="126" t="s">
        <v>88</v>
      </c>
      <c r="G682" s="108">
        <v>45517</v>
      </c>
      <c r="H682" s="126" t="s">
        <v>89</v>
      </c>
      <c r="I682" s="126" t="s">
        <v>8323</v>
      </c>
      <c r="J682" s="126"/>
      <c r="K682" s="126" t="s">
        <v>8321</v>
      </c>
      <c r="L682" s="126" t="s">
        <v>8324</v>
      </c>
      <c r="M682" s="126" t="s">
        <v>399</v>
      </c>
      <c r="Q682" s="3">
        <f t="shared" si="21"/>
        <v>60.08</v>
      </c>
      <c r="S682" s="55" t="s">
        <v>9013</v>
      </c>
      <c r="U682" s="3" t="str">
        <f t="shared" si="22"/>
        <v/>
      </c>
    </row>
    <row r="683" spans="1:21" x14ac:dyDescent="0.35">
      <c r="A683" s="126" t="s">
        <v>0</v>
      </c>
      <c r="B683" s="126" t="s">
        <v>1069</v>
      </c>
      <c r="C683" s="126" t="s">
        <v>2</v>
      </c>
      <c r="D683" s="126" t="s">
        <v>3</v>
      </c>
      <c r="E683" s="126">
        <v>60.08</v>
      </c>
      <c r="F683" s="126" t="s">
        <v>88</v>
      </c>
      <c r="G683" s="108">
        <v>45569</v>
      </c>
      <c r="H683" s="126" t="s">
        <v>89</v>
      </c>
      <c r="I683" s="126" t="s">
        <v>8524</v>
      </c>
      <c r="J683" s="126"/>
      <c r="K683" s="126" t="s">
        <v>8525</v>
      </c>
      <c r="L683" s="126" t="s">
        <v>8526</v>
      </c>
      <c r="M683" s="126" t="s">
        <v>399</v>
      </c>
      <c r="Q683" s="3">
        <f t="shared" si="21"/>
        <v>60.08</v>
      </c>
      <c r="S683" s="55" t="s">
        <v>9013</v>
      </c>
      <c r="U683" s="3" t="str">
        <f t="shared" si="22"/>
        <v/>
      </c>
    </row>
    <row r="684" spans="1:21" x14ac:dyDescent="0.35">
      <c r="A684" s="126" t="s">
        <v>0</v>
      </c>
      <c r="B684" s="126" t="s">
        <v>969</v>
      </c>
      <c r="C684" s="126" t="s">
        <v>2</v>
      </c>
      <c r="D684" s="126" t="s">
        <v>3</v>
      </c>
      <c r="E684" s="126">
        <v>60.07</v>
      </c>
      <c r="F684" s="126" t="s">
        <v>88</v>
      </c>
      <c r="G684" s="108">
        <v>45432</v>
      </c>
      <c r="H684" s="126" t="s">
        <v>89</v>
      </c>
      <c r="I684" s="126" t="s">
        <v>7842</v>
      </c>
      <c r="J684" s="126"/>
      <c r="K684" s="126" t="s">
        <v>7840</v>
      </c>
      <c r="L684" s="126" t="s">
        <v>7843</v>
      </c>
      <c r="M684" s="126" t="s">
        <v>399</v>
      </c>
      <c r="Q684" s="3">
        <f t="shared" si="21"/>
        <v>60.07</v>
      </c>
      <c r="S684" s="55" t="s">
        <v>9013</v>
      </c>
      <c r="U684" s="3" t="str">
        <f t="shared" si="22"/>
        <v/>
      </c>
    </row>
    <row r="685" spans="1:21" x14ac:dyDescent="0.35">
      <c r="A685" s="126" t="s">
        <v>0</v>
      </c>
      <c r="B685" s="126" t="s">
        <v>969</v>
      </c>
      <c r="C685" s="126" t="s">
        <v>2</v>
      </c>
      <c r="D685" s="126" t="s">
        <v>3</v>
      </c>
      <c r="E685" s="126">
        <v>60.07</v>
      </c>
      <c r="F685" s="126" t="s">
        <v>88</v>
      </c>
      <c r="G685" s="108">
        <v>45505</v>
      </c>
      <c r="H685" s="126" t="s">
        <v>89</v>
      </c>
      <c r="I685" s="126" t="s">
        <v>8248</v>
      </c>
      <c r="J685" s="126"/>
      <c r="K685" s="126" t="s">
        <v>8135</v>
      </c>
      <c r="L685" s="126" t="s">
        <v>8249</v>
      </c>
      <c r="M685" s="126" t="s">
        <v>399</v>
      </c>
      <c r="Q685" s="3">
        <f t="shared" si="21"/>
        <v>60.07</v>
      </c>
      <c r="S685" s="55" t="s">
        <v>9013</v>
      </c>
      <c r="U685" s="3" t="str">
        <f t="shared" si="22"/>
        <v/>
      </c>
    </row>
    <row r="686" spans="1:21" x14ac:dyDescent="0.35">
      <c r="A686" s="126" t="s">
        <v>0</v>
      </c>
      <c r="B686" s="126" t="s">
        <v>969</v>
      </c>
      <c r="C686" s="126" t="s">
        <v>2</v>
      </c>
      <c r="D686" s="126" t="s">
        <v>3</v>
      </c>
      <c r="E686" s="126">
        <v>60.07</v>
      </c>
      <c r="F686" s="126" t="s">
        <v>88</v>
      </c>
      <c r="G686" s="108">
        <v>45517</v>
      </c>
      <c r="H686" s="126" t="s">
        <v>89</v>
      </c>
      <c r="I686" s="126" t="s">
        <v>8323</v>
      </c>
      <c r="J686" s="126"/>
      <c r="K686" s="126" t="s">
        <v>8321</v>
      </c>
      <c r="L686" s="126" t="s">
        <v>8324</v>
      </c>
      <c r="M686" s="126" t="s">
        <v>399</v>
      </c>
      <c r="Q686" s="3">
        <f t="shared" si="21"/>
        <v>60.07</v>
      </c>
      <c r="S686" s="55" t="s">
        <v>9013</v>
      </c>
      <c r="U686" s="3" t="str">
        <f t="shared" si="22"/>
        <v/>
      </c>
    </row>
    <row r="687" spans="1:21" x14ac:dyDescent="0.35">
      <c r="A687" s="126" t="s">
        <v>0</v>
      </c>
      <c r="B687" s="126" t="s">
        <v>969</v>
      </c>
      <c r="C687" s="126" t="s">
        <v>2</v>
      </c>
      <c r="D687" s="126" t="s">
        <v>3</v>
      </c>
      <c r="E687" s="126">
        <v>60.07</v>
      </c>
      <c r="F687" s="126" t="s">
        <v>88</v>
      </c>
      <c r="G687" s="108">
        <v>45569</v>
      </c>
      <c r="H687" s="126" t="s">
        <v>89</v>
      </c>
      <c r="I687" s="126" t="s">
        <v>8524</v>
      </c>
      <c r="J687" s="126"/>
      <c r="K687" s="126" t="s">
        <v>8525</v>
      </c>
      <c r="L687" s="126" t="s">
        <v>8526</v>
      </c>
      <c r="M687" s="126" t="s">
        <v>399</v>
      </c>
      <c r="Q687" s="3">
        <f t="shared" si="21"/>
        <v>60.07</v>
      </c>
      <c r="S687" s="55" t="s">
        <v>9013</v>
      </c>
      <c r="U687" s="3" t="str">
        <f t="shared" si="22"/>
        <v/>
      </c>
    </row>
    <row r="688" spans="1:21" x14ac:dyDescent="0.35">
      <c r="A688" s="126" t="s">
        <v>0</v>
      </c>
      <c r="B688" s="126" t="s">
        <v>969</v>
      </c>
      <c r="C688" s="126" t="s">
        <v>2</v>
      </c>
      <c r="D688" s="126" t="s">
        <v>3</v>
      </c>
      <c r="E688" s="126">
        <v>60.07</v>
      </c>
      <c r="F688" s="126" t="s">
        <v>88</v>
      </c>
      <c r="G688" s="108">
        <v>45611</v>
      </c>
      <c r="H688" s="126" t="s">
        <v>89</v>
      </c>
      <c r="I688" s="126" t="s">
        <v>8737</v>
      </c>
      <c r="J688" s="126"/>
      <c r="K688" s="126" t="s">
        <v>8522</v>
      </c>
      <c r="L688" s="126" t="s">
        <v>8738</v>
      </c>
      <c r="M688" s="126" t="s">
        <v>399</v>
      </c>
      <c r="Q688" s="3">
        <f t="shared" si="21"/>
        <v>60.07</v>
      </c>
      <c r="S688" s="55" t="s">
        <v>9013</v>
      </c>
      <c r="U688" s="3" t="str">
        <f t="shared" si="22"/>
        <v/>
      </c>
    </row>
    <row r="689" spans="1:21" x14ac:dyDescent="0.35">
      <c r="A689" s="126" t="s">
        <v>0</v>
      </c>
      <c r="B689" s="126" t="s">
        <v>5927</v>
      </c>
      <c r="C689" s="126" t="s">
        <v>2</v>
      </c>
      <c r="D689" s="126" t="s">
        <v>3</v>
      </c>
      <c r="E689" s="126">
        <v>60</v>
      </c>
      <c r="F689" s="126" t="s">
        <v>88</v>
      </c>
      <c r="G689" s="108">
        <v>45505</v>
      </c>
      <c r="H689" s="126" t="s">
        <v>89</v>
      </c>
      <c r="I689" s="126" t="s">
        <v>8244</v>
      </c>
      <c r="J689" s="126"/>
      <c r="K689" s="126" t="s">
        <v>8245</v>
      </c>
      <c r="L689" s="126" t="s">
        <v>8246</v>
      </c>
      <c r="M689" s="126" t="s">
        <v>8247</v>
      </c>
      <c r="Q689" s="3">
        <f t="shared" si="21"/>
        <v>60</v>
      </c>
      <c r="U689" s="3" t="str">
        <f t="shared" si="22"/>
        <v/>
      </c>
    </row>
    <row r="690" spans="1:21" x14ac:dyDescent="0.35">
      <c r="A690" s="126" t="s">
        <v>35</v>
      </c>
      <c r="B690" s="126" t="s">
        <v>867</v>
      </c>
      <c r="C690" s="126" t="s">
        <v>2</v>
      </c>
      <c r="D690" s="126" t="s">
        <v>3</v>
      </c>
      <c r="E690" s="126">
        <v>60</v>
      </c>
      <c r="F690" s="126" t="s">
        <v>88</v>
      </c>
      <c r="G690" s="108">
        <v>45621</v>
      </c>
      <c r="H690" s="126" t="s">
        <v>94</v>
      </c>
      <c r="I690" s="126" t="s">
        <v>4811</v>
      </c>
      <c r="J690" s="126" t="s">
        <v>8792</v>
      </c>
      <c r="K690" s="126"/>
      <c r="L690" s="126"/>
      <c r="M690" s="126"/>
      <c r="N690" s="126"/>
      <c r="O690" s="126" t="s">
        <v>8793</v>
      </c>
      <c r="Q690" s="3">
        <f t="shared" si="21"/>
        <v>60</v>
      </c>
      <c r="U690" s="3" t="str">
        <f t="shared" si="22"/>
        <v/>
      </c>
    </row>
    <row r="691" spans="1:21" x14ac:dyDescent="0.35">
      <c r="A691" s="126" t="s">
        <v>0</v>
      </c>
      <c r="B691" s="126" t="s">
        <v>915</v>
      </c>
      <c r="C691" s="126" t="s">
        <v>2</v>
      </c>
      <c r="D691" s="126" t="s">
        <v>3</v>
      </c>
      <c r="E691" s="126">
        <v>59.99</v>
      </c>
      <c r="F691" s="126" t="s">
        <v>88</v>
      </c>
      <c r="G691" s="108">
        <v>45432</v>
      </c>
      <c r="H691" s="126" t="s">
        <v>89</v>
      </c>
      <c r="I691" s="126" t="s">
        <v>7842</v>
      </c>
      <c r="J691" s="126"/>
      <c r="K691" s="126" t="s">
        <v>7840</v>
      </c>
      <c r="L691" s="126" t="s">
        <v>7843</v>
      </c>
      <c r="M691" s="126" t="s">
        <v>399</v>
      </c>
      <c r="Q691" s="3">
        <f t="shared" si="21"/>
        <v>59.99</v>
      </c>
      <c r="S691" s="55" t="s">
        <v>9013</v>
      </c>
      <c r="U691" s="3" t="str">
        <f t="shared" si="22"/>
        <v/>
      </c>
    </row>
    <row r="692" spans="1:21" x14ac:dyDescent="0.35">
      <c r="A692" s="126" t="s">
        <v>0</v>
      </c>
      <c r="B692" s="126" t="s">
        <v>915</v>
      </c>
      <c r="C692" s="126" t="s">
        <v>2</v>
      </c>
      <c r="D692" s="126" t="s">
        <v>3</v>
      </c>
      <c r="E692" s="126">
        <v>59.99</v>
      </c>
      <c r="F692" s="126" t="s">
        <v>88</v>
      </c>
      <c r="G692" s="108">
        <v>45505</v>
      </c>
      <c r="H692" s="126" t="s">
        <v>89</v>
      </c>
      <c r="I692" s="126" t="s">
        <v>8248</v>
      </c>
      <c r="J692" s="126"/>
      <c r="K692" s="126" t="s">
        <v>8135</v>
      </c>
      <c r="L692" s="126" t="s">
        <v>8249</v>
      </c>
      <c r="M692" s="126" t="s">
        <v>399</v>
      </c>
      <c r="Q692" s="3">
        <f t="shared" si="21"/>
        <v>59.99</v>
      </c>
      <c r="S692" s="55" t="s">
        <v>9013</v>
      </c>
      <c r="U692" s="3" t="str">
        <f t="shared" si="22"/>
        <v/>
      </c>
    </row>
    <row r="693" spans="1:21" x14ac:dyDescent="0.35">
      <c r="A693" s="126" t="s">
        <v>0</v>
      </c>
      <c r="B693" s="126" t="s">
        <v>915</v>
      </c>
      <c r="C693" s="126" t="s">
        <v>2</v>
      </c>
      <c r="D693" s="126" t="s">
        <v>3</v>
      </c>
      <c r="E693" s="126">
        <v>59.99</v>
      </c>
      <c r="F693" s="126" t="s">
        <v>88</v>
      </c>
      <c r="G693" s="108">
        <v>45517</v>
      </c>
      <c r="H693" s="126" t="s">
        <v>89</v>
      </c>
      <c r="I693" s="126" t="s">
        <v>8323</v>
      </c>
      <c r="J693" s="126"/>
      <c r="K693" s="126" t="s">
        <v>8321</v>
      </c>
      <c r="L693" s="126" t="s">
        <v>8324</v>
      </c>
      <c r="M693" s="126" t="s">
        <v>399</v>
      </c>
      <c r="N693" s="126"/>
      <c r="O693" s="126"/>
      <c r="Q693" s="3">
        <f t="shared" si="21"/>
        <v>59.99</v>
      </c>
      <c r="S693" s="55" t="s">
        <v>9013</v>
      </c>
      <c r="U693" s="3" t="str">
        <f t="shared" si="22"/>
        <v/>
      </c>
    </row>
    <row r="694" spans="1:21" x14ac:dyDescent="0.35">
      <c r="A694" s="126" t="s">
        <v>0</v>
      </c>
      <c r="B694" s="126" t="s">
        <v>915</v>
      </c>
      <c r="C694" s="126" t="s">
        <v>2</v>
      </c>
      <c r="D694" s="126" t="s">
        <v>3</v>
      </c>
      <c r="E694" s="126">
        <v>59.99</v>
      </c>
      <c r="F694" s="126" t="s">
        <v>88</v>
      </c>
      <c r="G694" s="108">
        <v>45569</v>
      </c>
      <c r="H694" s="126" t="s">
        <v>89</v>
      </c>
      <c r="I694" s="126" t="s">
        <v>8524</v>
      </c>
      <c r="J694" s="126"/>
      <c r="K694" s="126" t="s">
        <v>8525</v>
      </c>
      <c r="L694" s="126" t="s">
        <v>8526</v>
      </c>
      <c r="M694" s="126" t="s">
        <v>399</v>
      </c>
      <c r="Q694" s="3">
        <f t="shared" si="21"/>
        <v>59.99</v>
      </c>
      <c r="S694" s="55" t="s">
        <v>9013</v>
      </c>
      <c r="U694" s="3" t="str">
        <f t="shared" si="22"/>
        <v/>
      </c>
    </row>
    <row r="695" spans="1:21" x14ac:dyDescent="0.35">
      <c r="A695" s="126" t="s">
        <v>0</v>
      </c>
      <c r="B695" s="126" t="s">
        <v>915</v>
      </c>
      <c r="C695" s="126" t="s">
        <v>2</v>
      </c>
      <c r="D695" s="126" t="s">
        <v>3</v>
      </c>
      <c r="E695" s="126">
        <v>59.99</v>
      </c>
      <c r="F695" s="126" t="s">
        <v>88</v>
      </c>
      <c r="G695" s="108">
        <v>45611</v>
      </c>
      <c r="H695" s="126" t="s">
        <v>89</v>
      </c>
      <c r="I695" s="126" t="s">
        <v>8737</v>
      </c>
      <c r="J695" s="126"/>
      <c r="K695" s="126" t="s">
        <v>8522</v>
      </c>
      <c r="L695" s="126" t="s">
        <v>8738</v>
      </c>
      <c r="M695" s="126" t="s">
        <v>399</v>
      </c>
      <c r="Q695" s="3">
        <f t="shared" si="21"/>
        <v>59.99</v>
      </c>
      <c r="S695" s="55" t="s">
        <v>9013</v>
      </c>
      <c r="U695" s="3" t="str">
        <f t="shared" si="22"/>
        <v/>
      </c>
    </row>
    <row r="696" spans="1:21" x14ac:dyDescent="0.35">
      <c r="A696" s="126" t="s">
        <v>0</v>
      </c>
      <c r="B696" s="126" t="s">
        <v>2473</v>
      </c>
      <c r="C696" s="126" t="s">
        <v>2</v>
      </c>
      <c r="D696" s="126" t="s">
        <v>3</v>
      </c>
      <c r="E696" s="126">
        <v>59.98</v>
      </c>
      <c r="F696" s="126" t="s">
        <v>88</v>
      </c>
      <c r="G696" s="108">
        <v>45432</v>
      </c>
      <c r="H696" s="126" t="s">
        <v>89</v>
      </c>
      <c r="I696" s="126" t="s">
        <v>7842</v>
      </c>
      <c r="J696" s="126"/>
      <c r="K696" s="126" t="s">
        <v>7840</v>
      </c>
      <c r="L696" s="126" t="s">
        <v>7843</v>
      </c>
      <c r="M696" s="126" t="s">
        <v>399</v>
      </c>
      <c r="Q696" s="3">
        <f t="shared" si="21"/>
        <v>59.98</v>
      </c>
      <c r="S696" s="55" t="s">
        <v>9013</v>
      </c>
      <c r="U696" s="3" t="str">
        <f t="shared" si="22"/>
        <v/>
      </c>
    </row>
    <row r="697" spans="1:21" x14ac:dyDescent="0.35">
      <c r="A697" s="126" t="s">
        <v>0</v>
      </c>
      <c r="B697" s="126" t="s">
        <v>2473</v>
      </c>
      <c r="C697" s="126" t="s">
        <v>2</v>
      </c>
      <c r="D697" s="126" t="s">
        <v>3</v>
      </c>
      <c r="E697" s="126">
        <v>59.98</v>
      </c>
      <c r="F697" s="126" t="s">
        <v>88</v>
      </c>
      <c r="G697" s="108">
        <v>45505</v>
      </c>
      <c r="H697" s="126" t="s">
        <v>89</v>
      </c>
      <c r="I697" s="126" t="s">
        <v>8248</v>
      </c>
      <c r="J697" s="126"/>
      <c r="K697" s="126" t="s">
        <v>8135</v>
      </c>
      <c r="L697" s="126" t="s">
        <v>8249</v>
      </c>
      <c r="M697" s="126" t="s">
        <v>399</v>
      </c>
      <c r="Q697" s="3">
        <f t="shared" si="21"/>
        <v>59.98</v>
      </c>
      <c r="S697" s="55" t="s">
        <v>9013</v>
      </c>
      <c r="U697" s="3" t="str">
        <f t="shared" si="22"/>
        <v/>
      </c>
    </row>
    <row r="698" spans="1:21" x14ac:dyDescent="0.35">
      <c r="A698" s="126" t="s">
        <v>0</v>
      </c>
      <c r="B698" s="126" t="s">
        <v>2473</v>
      </c>
      <c r="C698" s="126" t="s">
        <v>2</v>
      </c>
      <c r="D698" s="126" t="s">
        <v>3</v>
      </c>
      <c r="E698" s="126">
        <v>59.98</v>
      </c>
      <c r="F698" s="126" t="s">
        <v>88</v>
      </c>
      <c r="G698" s="108">
        <v>45569</v>
      </c>
      <c r="H698" s="126" t="s">
        <v>89</v>
      </c>
      <c r="I698" s="126" t="s">
        <v>8524</v>
      </c>
      <c r="J698" s="126"/>
      <c r="K698" s="126" t="s">
        <v>8525</v>
      </c>
      <c r="L698" s="126" t="s">
        <v>8526</v>
      </c>
      <c r="M698" s="126" t="s">
        <v>399</v>
      </c>
      <c r="Q698" s="3">
        <f t="shared" si="21"/>
        <v>59.98</v>
      </c>
      <c r="S698" s="55" t="s">
        <v>9013</v>
      </c>
      <c r="U698" s="3" t="str">
        <f t="shared" si="22"/>
        <v/>
      </c>
    </row>
    <row r="699" spans="1:21" x14ac:dyDescent="0.35">
      <c r="A699" s="126" t="s">
        <v>0</v>
      </c>
      <c r="B699" s="126" t="s">
        <v>2728</v>
      </c>
      <c r="C699" s="126" t="s">
        <v>2</v>
      </c>
      <c r="D699" s="126" t="s">
        <v>3</v>
      </c>
      <c r="E699" s="126">
        <v>59.97</v>
      </c>
      <c r="F699" s="126" t="s">
        <v>88</v>
      </c>
      <c r="G699" s="108">
        <v>45611</v>
      </c>
      <c r="H699" s="126" t="s">
        <v>89</v>
      </c>
      <c r="I699" s="126" t="s">
        <v>8737</v>
      </c>
      <c r="J699" s="126"/>
      <c r="K699" s="126" t="s">
        <v>8522</v>
      </c>
      <c r="L699" s="126" t="s">
        <v>8738</v>
      </c>
      <c r="M699" s="126" t="s">
        <v>399</v>
      </c>
      <c r="Q699" s="3">
        <f t="shared" si="21"/>
        <v>59.97</v>
      </c>
      <c r="S699" s="55" t="s">
        <v>9013</v>
      </c>
      <c r="U699" s="3" t="str">
        <f t="shared" si="22"/>
        <v/>
      </c>
    </row>
    <row r="700" spans="1:21" x14ac:dyDescent="0.35">
      <c r="A700" s="126" t="s">
        <v>0</v>
      </c>
      <c r="B700" s="126" t="s">
        <v>5426</v>
      </c>
      <c r="C700" s="126" t="s">
        <v>2</v>
      </c>
      <c r="D700" s="126" t="s">
        <v>3</v>
      </c>
      <c r="E700" s="126">
        <v>59.92</v>
      </c>
      <c r="F700" s="126" t="s">
        <v>88</v>
      </c>
      <c r="G700" s="108">
        <v>45432</v>
      </c>
      <c r="H700" s="126" t="s">
        <v>89</v>
      </c>
      <c r="I700" s="126" t="s">
        <v>7842</v>
      </c>
      <c r="J700" s="126"/>
      <c r="K700" s="126" t="s">
        <v>7840</v>
      </c>
      <c r="L700" s="126" t="s">
        <v>7843</v>
      </c>
      <c r="M700" s="126" t="s">
        <v>399</v>
      </c>
      <c r="N700" s="35"/>
      <c r="O700" s="35"/>
      <c r="Q700" s="3">
        <f t="shared" si="21"/>
        <v>59.92</v>
      </c>
      <c r="S700" s="55" t="s">
        <v>9013</v>
      </c>
      <c r="U700" s="3" t="str">
        <f t="shared" si="22"/>
        <v/>
      </c>
    </row>
    <row r="701" spans="1:21" x14ac:dyDescent="0.35">
      <c r="A701" s="126" t="s">
        <v>0</v>
      </c>
      <c r="B701" s="126" t="s">
        <v>5426</v>
      </c>
      <c r="C701" s="126" t="s">
        <v>2</v>
      </c>
      <c r="D701" s="126" t="s">
        <v>3</v>
      </c>
      <c r="E701" s="126">
        <v>59.92</v>
      </c>
      <c r="F701" s="126" t="s">
        <v>88</v>
      </c>
      <c r="G701" s="108">
        <v>45505</v>
      </c>
      <c r="H701" s="126" t="s">
        <v>89</v>
      </c>
      <c r="I701" s="126" t="s">
        <v>8248</v>
      </c>
      <c r="J701" s="126"/>
      <c r="K701" s="126" t="s">
        <v>8135</v>
      </c>
      <c r="L701" s="126" t="s">
        <v>8249</v>
      </c>
      <c r="M701" s="126" t="s">
        <v>399</v>
      </c>
      <c r="Q701" s="3">
        <f t="shared" si="21"/>
        <v>59.92</v>
      </c>
      <c r="S701" s="55" t="s">
        <v>9013</v>
      </c>
      <c r="U701" s="3" t="str">
        <f t="shared" si="22"/>
        <v/>
      </c>
    </row>
    <row r="702" spans="1:21" x14ac:dyDescent="0.35">
      <c r="A702" s="126" t="s">
        <v>0</v>
      </c>
      <c r="B702" s="126" t="s">
        <v>1216</v>
      </c>
      <c r="C702" s="126" t="s">
        <v>2</v>
      </c>
      <c r="D702" s="126" t="s">
        <v>3</v>
      </c>
      <c r="E702" s="126">
        <v>59.89</v>
      </c>
      <c r="F702" s="126" t="s">
        <v>88</v>
      </c>
      <c r="G702" s="108">
        <v>45390</v>
      </c>
      <c r="H702" s="126" t="s">
        <v>89</v>
      </c>
      <c r="I702" s="126" t="s">
        <v>7671</v>
      </c>
      <c r="J702" s="126"/>
      <c r="K702" s="126" t="s">
        <v>7672</v>
      </c>
      <c r="L702" s="126" t="s">
        <v>7673</v>
      </c>
      <c r="M702" s="126" t="s">
        <v>399</v>
      </c>
      <c r="N702" s="35"/>
      <c r="O702" s="35"/>
      <c r="Q702" s="3">
        <f t="shared" si="21"/>
        <v>59.89</v>
      </c>
      <c r="S702" s="55" t="s">
        <v>9013</v>
      </c>
      <c r="U702" s="3" t="str">
        <f t="shared" si="22"/>
        <v/>
      </c>
    </row>
    <row r="703" spans="1:21" x14ac:dyDescent="0.35">
      <c r="A703" s="126" t="s">
        <v>35</v>
      </c>
      <c r="B703" s="126" t="s">
        <v>2543</v>
      </c>
      <c r="C703" s="126" t="s">
        <v>2</v>
      </c>
      <c r="D703" s="126" t="s">
        <v>3</v>
      </c>
      <c r="E703" s="126">
        <v>59.82</v>
      </c>
      <c r="F703" s="126" t="s">
        <v>88</v>
      </c>
      <c r="G703" s="108">
        <v>45414</v>
      </c>
      <c r="H703" s="126" t="s">
        <v>94</v>
      </c>
      <c r="I703" s="126" t="s">
        <v>453</v>
      </c>
      <c r="J703" s="126" t="s">
        <v>395</v>
      </c>
      <c r="K703" s="126"/>
      <c r="L703" s="126"/>
      <c r="M703" s="126"/>
      <c r="N703" s="126"/>
      <c r="O703" s="126" t="s">
        <v>537</v>
      </c>
      <c r="Q703" s="3">
        <f t="shared" si="21"/>
        <v>59.82</v>
      </c>
      <c r="S703" s="55" t="s">
        <v>586</v>
      </c>
      <c r="U703" s="3" t="str">
        <f t="shared" si="22"/>
        <v/>
      </c>
    </row>
    <row r="704" spans="1:21" x14ac:dyDescent="0.35">
      <c r="A704" s="126" t="s">
        <v>0</v>
      </c>
      <c r="B704" s="126" t="s">
        <v>624</v>
      </c>
      <c r="C704" s="126" t="s">
        <v>2</v>
      </c>
      <c r="D704" s="126" t="s">
        <v>3</v>
      </c>
      <c r="E704" s="126">
        <v>59.79</v>
      </c>
      <c r="F704" s="126" t="s">
        <v>88</v>
      </c>
      <c r="G704" s="108">
        <v>45391</v>
      </c>
      <c r="H704" s="126" t="s">
        <v>89</v>
      </c>
      <c r="I704" s="126" t="s">
        <v>7691</v>
      </c>
      <c r="J704" s="126"/>
      <c r="K704" s="126" t="s">
        <v>7672</v>
      </c>
      <c r="L704" s="126" t="s">
        <v>7692</v>
      </c>
      <c r="M704" s="126" t="s">
        <v>399</v>
      </c>
      <c r="N704" s="35"/>
      <c r="O704" s="35"/>
      <c r="Q704" s="3">
        <f t="shared" si="21"/>
        <v>59.79</v>
      </c>
      <c r="S704" s="55" t="s">
        <v>9013</v>
      </c>
      <c r="U704" s="3" t="str">
        <f t="shared" si="22"/>
        <v/>
      </c>
    </row>
    <row r="705" spans="1:21" x14ac:dyDescent="0.35">
      <c r="A705" s="126" t="s">
        <v>0</v>
      </c>
      <c r="B705" s="126" t="s">
        <v>624</v>
      </c>
      <c r="C705" s="126" t="s">
        <v>2</v>
      </c>
      <c r="D705" s="126" t="s">
        <v>3</v>
      </c>
      <c r="E705" s="126">
        <v>59.79</v>
      </c>
      <c r="F705" s="126" t="s">
        <v>88</v>
      </c>
      <c r="G705" s="108">
        <v>45432</v>
      </c>
      <c r="H705" s="126" t="s">
        <v>89</v>
      </c>
      <c r="I705" s="126" t="s">
        <v>7839</v>
      </c>
      <c r="J705" s="126"/>
      <c r="K705" s="126" t="s">
        <v>7840</v>
      </c>
      <c r="L705" s="126" t="s">
        <v>7841</v>
      </c>
      <c r="M705" s="126" t="s">
        <v>399</v>
      </c>
      <c r="N705" s="35"/>
      <c r="O705" s="35"/>
      <c r="Q705" s="3">
        <f t="shared" si="21"/>
        <v>59.79</v>
      </c>
      <c r="S705" s="55" t="s">
        <v>9013</v>
      </c>
      <c r="U705" s="3" t="str">
        <f t="shared" si="22"/>
        <v/>
      </c>
    </row>
    <row r="706" spans="1:21" x14ac:dyDescent="0.35">
      <c r="A706" s="126" t="s">
        <v>0</v>
      </c>
      <c r="B706" s="126" t="s">
        <v>624</v>
      </c>
      <c r="C706" s="126" t="s">
        <v>2</v>
      </c>
      <c r="D706" s="126" t="s">
        <v>3</v>
      </c>
      <c r="E706" s="126">
        <v>59.79</v>
      </c>
      <c r="F706" s="126" t="s">
        <v>88</v>
      </c>
      <c r="G706" s="108">
        <v>45454</v>
      </c>
      <c r="H706" s="126" t="s">
        <v>89</v>
      </c>
      <c r="I706" s="126" t="s">
        <v>7958</v>
      </c>
      <c r="J706" s="126"/>
      <c r="K706" s="126" t="s">
        <v>7959</v>
      </c>
      <c r="L706" s="126" t="s">
        <v>7960</v>
      </c>
      <c r="M706" s="126" t="s">
        <v>399</v>
      </c>
      <c r="Q706" s="3">
        <f t="shared" si="21"/>
        <v>59.79</v>
      </c>
      <c r="S706" s="55" t="s">
        <v>9013</v>
      </c>
      <c r="U706" s="3" t="str">
        <f t="shared" si="22"/>
        <v/>
      </c>
    </row>
    <row r="707" spans="1:21" x14ac:dyDescent="0.35">
      <c r="A707" s="126" t="s">
        <v>0</v>
      </c>
      <c r="B707" s="126" t="s">
        <v>624</v>
      </c>
      <c r="C707" s="126" t="s">
        <v>2</v>
      </c>
      <c r="D707" s="126" t="s">
        <v>3</v>
      </c>
      <c r="E707" s="126">
        <v>59.79</v>
      </c>
      <c r="F707" s="126" t="s">
        <v>88</v>
      </c>
      <c r="G707" s="108">
        <v>45485</v>
      </c>
      <c r="H707" s="126" t="s">
        <v>89</v>
      </c>
      <c r="I707" s="126" t="s">
        <v>8134</v>
      </c>
      <c r="J707" s="126"/>
      <c r="K707" s="126" t="s">
        <v>8135</v>
      </c>
      <c r="L707" s="126" t="s">
        <v>8136</v>
      </c>
      <c r="M707" s="126" t="s">
        <v>399</v>
      </c>
      <c r="Q707" s="3">
        <f t="shared" si="21"/>
        <v>59.79</v>
      </c>
      <c r="S707" s="55" t="s">
        <v>9013</v>
      </c>
      <c r="U707" s="3" t="str">
        <f t="shared" si="22"/>
        <v/>
      </c>
    </row>
    <row r="708" spans="1:21" x14ac:dyDescent="0.35">
      <c r="A708" s="126" t="s">
        <v>0</v>
      </c>
      <c r="B708" s="126" t="s">
        <v>624</v>
      </c>
      <c r="C708" s="126" t="s">
        <v>2</v>
      </c>
      <c r="D708" s="126" t="s">
        <v>3</v>
      </c>
      <c r="E708" s="126">
        <v>59.79</v>
      </c>
      <c r="F708" s="126" t="s">
        <v>88</v>
      </c>
      <c r="G708" s="108">
        <v>45517</v>
      </c>
      <c r="H708" s="126" t="s">
        <v>89</v>
      </c>
      <c r="I708" s="126" t="s">
        <v>8320</v>
      </c>
      <c r="J708" s="126"/>
      <c r="K708" s="126" t="s">
        <v>8321</v>
      </c>
      <c r="L708" s="126" t="s">
        <v>8322</v>
      </c>
      <c r="M708" s="126" t="s">
        <v>399</v>
      </c>
      <c r="Q708" s="3">
        <f t="shared" si="21"/>
        <v>59.79</v>
      </c>
      <c r="S708" s="55" t="s">
        <v>9013</v>
      </c>
      <c r="U708" s="3" t="str">
        <f t="shared" si="22"/>
        <v/>
      </c>
    </row>
    <row r="709" spans="1:21" x14ac:dyDescent="0.35">
      <c r="A709" s="126" t="s">
        <v>0</v>
      </c>
      <c r="B709" s="126" t="s">
        <v>624</v>
      </c>
      <c r="C709" s="126" t="s">
        <v>2</v>
      </c>
      <c r="D709" s="126" t="s">
        <v>3</v>
      </c>
      <c r="E709" s="126">
        <v>59.79</v>
      </c>
      <c r="F709" s="126" t="s">
        <v>88</v>
      </c>
      <c r="G709" s="108">
        <v>45551</v>
      </c>
      <c r="H709" s="126" t="s">
        <v>89</v>
      </c>
      <c r="I709" s="126" t="s">
        <v>8431</v>
      </c>
      <c r="J709" s="126"/>
      <c r="K709" s="126" t="s">
        <v>8432</v>
      </c>
      <c r="L709" s="126" t="s">
        <v>8433</v>
      </c>
      <c r="M709" s="126" t="s">
        <v>399</v>
      </c>
      <c r="N709" s="126"/>
      <c r="O709" s="126"/>
      <c r="Q709" s="3">
        <f t="shared" si="21"/>
        <v>59.79</v>
      </c>
      <c r="S709" s="55" t="s">
        <v>9013</v>
      </c>
      <c r="U709" s="3" t="str">
        <f t="shared" si="22"/>
        <v/>
      </c>
    </row>
    <row r="710" spans="1:21" x14ac:dyDescent="0.35">
      <c r="A710" s="126" t="s">
        <v>0</v>
      </c>
      <c r="B710" s="126" t="s">
        <v>624</v>
      </c>
      <c r="C710" s="126" t="s">
        <v>2</v>
      </c>
      <c r="D710" s="126" t="s">
        <v>3</v>
      </c>
      <c r="E710" s="126">
        <v>59.79</v>
      </c>
      <c r="F710" s="126" t="s">
        <v>88</v>
      </c>
      <c r="G710" s="108">
        <v>45569</v>
      </c>
      <c r="H710" s="126" t="s">
        <v>89</v>
      </c>
      <c r="I710" s="126" t="s">
        <v>8521</v>
      </c>
      <c r="J710" s="126"/>
      <c r="K710" s="126" t="s">
        <v>8522</v>
      </c>
      <c r="L710" s="126" t="s">
        <v>8523</v>
      </c>
      <c r="M710" s="126" t="s">
        <v>399</v>
      </c>
      <c r="Q710" s="3">
        <f t="shared" si="21"/>
        <v>59.79</v>
      </c>
      <c r="S710" s="55" t="s">
        <v>9013</v>
      </c>
      <c r="U710" s="3" t="str">
        <f t="shared" si="22"/>
        <v/>
      </c>
    </row>
    <row r="711" spans="1:21" x14ac:dyDescent="0.35">
      <c r="A711" s="126" t="s">
        <v>0</v>
      </c>
      <c r="B711" s="126" t="s">
        <v>624</v>
      </c>
      <c r="C711" s="126" t="s">
        <v>2</v>
      </c>
      <c r="D711" s="126" t="s">
        <v>3</v>
      </c>
      <c r="E711" s="126">
        <v>59.79</v>
      </c>
      <c r="F711" s="126" t="s">
        <v>88</v>
      </c>
      <c r="G711" s="108">
        <v>45611</v>
      </c>
      <c r="H711" s="126" t="s">
        <v>89</v>
      </c>
      <c r="I711" s="126" t="s">
        <v>8734</v>
      </c>
      <c r="J711" s="126"/>
      <c r="K711" s="126" t="s">
        <v>8735</v>
      </c>
      <c r="L711" s="126" t="s">
        <v>8736</v>
      </c>
      <c r="M711" s="126" t="s">
        <v>399</v>
      </c>
      <c r="Q711" s="3">
        <f t="shared" si="21"/>
        <v>59.79</v>
      </c>
      <c r="S711" s="55" t="s">
        <v>9013</v>
      </c>
      <c r="U711" s="3" t="str">
        <f t="shared" si="22"/>
        <v/>
      </c>
    </row>
    <row r="712" spans="1:21" x14ac:dyDescent="0.35">
      <c r="A712" s="126" t="s">
        <v>0</v>
      </c>
      <c r="B712" s="126" t="s">
        <v>624</v>
      </c>
      <c r="C712" s="126" t="s">
        <v>2</v>
      </c>
      <c r="D712" s="126" t="s">
        <v>3</v>
      </c>
      <c r="E712" s="126">
        <v>59.79</v>
      </c>
      <c r="F712" s="126" t="s">
        <v>88</v>
      </c>
      <c r="G712" s="108">
        <v>45635</v>
      </c>
      <c r="H712" s="126" t="s">
        <v>89</v>
      </c>
      <c r="I712" s="126" t="s">
        <v>8878</v>
      </c>
      <c r="J712" s="126"/>
      <c r="K712" s="126" t="s">
        <v>8879</v>
      </c>
      <c r="L712" s="126" t="s">
        <v>8880</v>
      </c>
      <c r="M712" s="126" t="s">
        <v>399</v>
      </c>
      <c r="Q712" s="3">
        <f t="shared" ref="Q712:Q775" si="23">ABS(E712)</f>
        <v>59.79</v>
      </c>
      <c r="S712" s="55" t="s">
        <v>9013</v>
      </c>
      <c r="U712" s="3" t="str">
        <f t="shared" ref="U712:U775" si="24">IF(T712="Y",E712,"")</f>
        <v/>
      </c>
    </row>
    <row r="713" spans="1:21" x14ac:dyDescent="0.35">
      <c r="A713" s="126" t="s">
        <v>35</v>
      </c>
      <c r="B713" s="126" t="s">
        <v>2543</v>
      </c>
      <c r="C713" s="126" t="s">
        <v>2</v>
      </c>
      <c r="D713" s="126" t="s">
        <v>3</v>
      </c>
      <c r="E713" s="126">
        <v>59.77</v>
      </c>
      <c r="F713" s="126" t="s">
        <v>88</v>
      </c>
      <c r="G713" s="108">
        <v>45586</v>
      </c>
      <c r="H713" s="126" t="s">
        <v>94</v>
      </c>
      <c r="I713" s="126" t="s">
        <v>453</v>
      </c>
      <c r="J713" s="126" t="s">
        <v>395</v>
      </c>
      <c r="K713" s="126"/>
      <c r="L713" s="126"/>
      <c r="M713" s="126"/>
      <c r="N713" s="126"/>
      <c r="O713" s="126" t="s">
        <v>537</v>
      </c>
      <c r="Q713" s="3">
        <f t="shared" si="23"/>
        <v>59.77</v>
      </c>
      <c r="S713" s="55" t="s">
        <v>586</v>
      </c>
      <c r="U713" s="3" t="str">
        <f t="shared" si="24"/>
        <v/>
      </c>
    </row>
    <row r="714" spans="1:21" x14ac:dyDescent="0.35">
      <c r="A714" s="126" t="s">
        <v>0</v>
      </c>
      <c r="B714" s="126" t="s">
        <v>2728</v>
      </c>
      <c r="C714" s="126" t="s">
        <v>2</v>
      </c>
      <c r="D714" s="126" t="s">
        <v>3</v>
      </c>
      <c r="E714" s="126">
        <v>59.75</v>
      </c>
      <c r="F714" s="126" t="s">
        <v>88</v>
      </c>
      <c r="G714" s="108">
        <v>45454</v>
      </c>
      <c r="H714" s="126" t="s">
        <v>89</v>
      </c>
      <c r="I714" s="126" t="s">
        <v>7961</v>
      </c>
      <c r="J714" s="126"/>
      <c r="K714" s="126" t="s">
        <v>7959</v>
      </c>
      <c r="L714" s="126" t="s">
        <v>7962</v>
      </c>
      <c r="M714" s="126" t="s">
        <v>399</v>
      </c>
      <c r="Q714" s="3">
        <f t="shared" si="23"/>
        <v>59.75</v>
      </c>
      <c r="S714" s="55" t="s">
        <v>9013</v>
      </c>
      <c r="U714" s="3" t="str">
        <f t="shared" si="24"/>
        <v/>
      </c>
    </row>
    <row r="715" spans="1:21" x14ac:dyDescent="0.35">
      <c r="A715" s="126" t="s">
        <v>35</v>
      </c>
      <c r="B715" s="126" t="s">
        <v>893</v>
      </c>
      <c r="C715" s="126" t="s">
        <v>2</v>
      </c>
      <c r="D715" s="126" t="s">
        <v>3</v>
      </c>
      <c r="E715" s="126">
        <v>59.72</v>
      </c>
      <c r="F715" s="126" t="s">
        <v>88</v>
      </c>
      <c r="G715" s="108">
        <v>45604</v>
      </c>
      <c r="H715" s="126" t="s">
        <v>94</v>
      </c>
      <c r="I715" s="126" t="s">
        <v>457</v>
      </c>
      <c r="J715" s="126" t="s">
        <v>8416</v>
      </c>
      <c r="K715" s="126"/>
      <c r="L715" s="126"/>
      <c r="M715" s="126"/>
      <c r="N715" s="126"/>
      <c r="O715" s="126" t="s">
        <v>571</v>
      </c>
      <c r="Q715" s="3">
        <f t="shared" si="23"/>
        <v>59.72</v>
      </c>
      <c r="S715" s="55" t="s">
        <v>586</v>
      </c>
      <c r="U715" s="3" t="str">
        <f t="shared" si="24"/>
        <v/>
      </c>
    </row>
    <row r="716" spans="1:21" x14ac:dyDescent="0.35">
      <c r="A716" s="126" t="s">
        <v>0</v>
      </c>
      <c r="B716" s="126" t="s">
        <v>606</v>
      </c>
      <c r="C716" s="126" t="s">
        <v>2</v>
      </c>
      <c r="D716" s="126" t="s">
        <v>3</v>
      </c>
      <c r="E716" s="126">
        <v>59.61</v>
      </c>
      <c r="F716" s="126" t="s">
        <v>88</v>
      </c>
      <c r="G716" s="108">
        <v>45457</v>
      </c>
      <c r="H716" s="126" t="s">
        <v>89</v>
      </c>
      <c r="I716" s="126" t="s">
        <v>7995</v>
      </c>
      <c r="J716" s="126"/>
      <c r="K716" s="126" t="s">
        <v>7996</v>
      </c>
      <c r="L716" s="126" t="s">
        <v>7997</v>
      </c>
      <c r="M716" s="126" t="s">
        <v>7998</v>
      </c>
      <c r="N716" s="126"/>
      <c r="O716" s="126"/>
      <c r="Q716" s="3">
        <f t="shared" si="23"/>
        <v>59.61</v>
      </c>
      <c r="S716" s="55" t="s">
        <v>9013</v>
      </c>
      <c r="U716" s="3" t="str">
        <f t="shared" si="24"/>
        <v/>
      </c>
    </row>
    <row r="717" spans="1:21" x14ac:dyDescent="0.35">
      <c r="A717" s="126" t="s">
        <v>0</v>
      </c>
      <c r="B717" s="126" t="s">
        <v>819</v>
      </c>
      <c r="C717" s="126" t="s">
        <v>2</v>
      </c>
      <c r="D717" s="126" t="s">
        <v>3</v>
      </c>
      <c r="E717" s="126">
        <v>59.61</v>
      </c>
      <c r="F717" s="126" t="s">
        <v>88</v>
      </c>
      <c r="G717" s="108">
        <v>45635</v>
      </c>
      <c r="H717" s="126" t="s">
        <v>89</v>
      </c>
      <c r="I717" s="126" t="s">
        <v>8881</v>
      </c>
      <c r="J717" s="126"/>
      <c r="K717" s="126" t="s">
        <v>8735</v>
      </c>
      <c r="L717" s="126" t="s">
        <v>8882</v>
      </c>
      <c r="M717" s="126" t="s">
        <v>399</v>
      </c>
      <c r="Q717" s="3">
        <f t="shared" si="23"/>
        <v>59.61</v>
      </c>
      <c r="S717" s="55" t="s">
        <v>9013</v>
      </c>
      <c r="U717" s="3" t="str">
        <f t="shared" si="24"/>
        <v/>
      </c>
    </row>
    <row r="718" spans="1:21" x14ac:dyDescent="0.35">
      <c r="A718" s="126" t="s">
        <v>35</v>
      </c>
      <c r="B718" s="126" t="s">
        <v>698</v>
      </c>
      <c r="C718" s="126" t="s">
        <v>2</v>
      </c>
      <c r="D718" s="126" t="s">
        <v>3</v>
      </c>
      <c r="E718" s="126">
        <v>59.27</v>
      </c>
      <c r="F718" s="126" t="s">
        <v>88</v>
      </c>
      <c r="G718" s="108">
        <v>45404</v>
      </c>
      <c r="H718" s="126" t="s">
        <v>94</v>
      </c>
      <c r="I718" s="126" t="s">
        <v>7755</v>
      </c>
      <c r="J718" s="126" t="s">
        <v>7756</v>
      </c>
      <c r="K718" s="126"/>
      <c r="L718" s="126"/>
      <c r="M718" s="126"/>
      <c r="N718" s="126"/>
      <c r="O718" s="126" t="s">
        <v>4447</v>
      </c>
      <c r="Q718" s="3">
        <f t="shared" si="23"/>
        <v>59.27</v>
      </c>
      <c r="S718" s="55" t="s">
        <v>586</v>
      </c>
      <c r="U718" s="3" t="str">
        <f t="shared" si="24"/>
        <v/>
      </c>
    </row>
    <row r="719" spans="1:21" x14ac:dyDescent="0.35">
      <c r="A719" s="126" t="s">
        <v>35</v>
      </c>
      <c r="B719" s="126" t="s">
        <v>5426</v>
      </c>
      <c r="C719" s="126" t="s">
        <v>2</v>
      </c>
      <c r="D719" s="126" t="s">
        <v>3</v>
      </c>
      <c r="E719" s="126">
        <v>59.18</v>
      </c>
      <c r="F719" s="126" t="s">
        <v>88</v>
      </c>
      <c r="G719" s="108">
        <v>45391</v>
      </c>
      <c r="H719" s="126" t="s">
        <v>94</v>
      </c>
      <c r="I719" s="126" t="s">
        <v>475</v>
      </c>
      <c r="J719" s="126" t="s">
        <v>409</v>
      </c>
      <c r="K719" s="126"/>
      <c r="L719" s="126"/>
      <c r="M719" s="126"/>
      <c r="N719" s="126"/>
      <c r="O719" s="126" t="s">
        <v>7697</v>
      </c>
      <c r="Q719" s="3">
        <f t="shared" si="23"/>
        <v>59.18</v>
      </c>
      <c r="S719" s="55" t="s">
        <v>586</v>
      </c>
      <c r="U719" s="3" t="str">
        <f t="shared" si="24"/>
        <v/>
      </c>
    </row>
    <row r="720" spans="1:21" x14ac:dyDescent="0.35">
      <c r="A720" s="126" t="s">
        <v>35</v>
      </c>
      <c r="B720" s="126" t="s">
        <v>1279</v>
      </c>
      <c r="C720" s="126" t="s">
        <v>2</v>
      </c>
      <c r="D720" s="126" t="s">
        <v>3</v>
      </c>
      <c r="E720" s="126">
        <v>59.08</v>
      </c>
      <c r="F720" s="126" t="s">
        <v>88</v>
      </c>
      <c r="G720" s="108">
        <v>45408</v>
      </c>
      <c r="H720" s="126" t="s">
        <v>94</v>
      </c>
      <c r="I720" s="126" t="s">
        <v>430</v>
      </c>
      <c r="J720" s="126" t="s">
        <v>431</v>
      </c>
      <c r="K720" s="126"/>
      <c r="L720" s="126"/>
      <c r="M720" s="126"/>
      <c r="N720" s="126"/>
      <c r="O720" s="126" t="s">
        <v>7775</v>
      </c>
      <c r="Q720" s="3">
        <f t="shared" si="23"/>
        <v>59.08</v>
      </c>
      <c r="U720" s="3" t="str">
        <f t="shared" si="24"/>
        <v/>
      </c>
    </row>
    <row r="721" spans="1:21" x14ac:dyDescent="0.35">
      <c r="A721" s="126" t="s">
        <v>35</v>
      </c>
      <c r="B721" s="126" t="s">
        <v>1279</v>
      </c>
      <c r="C721" s="126" t="s">
        <v>2</v>
      </c>
      <c r="D721" s="126" t="s">
        <v>3</v>
      </c>
      <c r="E721" s="126">
        <v>59.08</v>
      </c>
      <c r="F721" s="126" t="s">
        <v>88</v>
      </c>
      <c r="G721" s="108">
        <v>45429</v>
      </c>
      <c r="H721" s="126" t="s">
        <v>94</v>
      </c>
      <c r="I721" s="126" t="s">
        <v>430</v>
      </c>
      <c r="J721" s="126" t="s">
        <v>431</v>
      </c>
      <c r="K721" s="126"/>
      <c r="L721" s="126"/>
      <c r="M721" s="126"/>
      <c r="N721" s="126"/>
      <c r="O721" s="126" t="s">
        <v>7835</v>
      </c>
      <c r="Q721" s="3">
        <f t="shared" si="23"/>
        <v>59.08</v>
      </c>
      <c r="U721" s="3" t="str">
        <f t="shared" si="24"/>
        <v/>
      </c>
    </row>
    <row r="722" spans="1:21" x14ac:dyDescent="0.35">
      <c r="A722" s="126" t="s">
        <v>35</v>
      </c>
      <c r="B722" s="126" t="s">
        <v>708</v>
      </c>
      <c r="C722" s="126" t="s">
        <v>2</v>
      </c>
      <c r="D722" s="126" t="s">
        <v>3</v>
      </c>
      <c r="E722" s="126">
        <v>59.08</v>
      </c>
      <c r="F722" s="126" t="s">
        <v>88</v>
      </c>
      <c r="G722" s="108">
        <v>45502</v>
      </c>
      <c r="H722" s="126" t="s">
        <v>94</v>
      </c>
      <c r="I722" s="126" t="s">
        <v>7875</v>
      </c>
      <c r="J722" s="126" t="s">
        <v>8216</v>
      </c>
      <c r="K722" s="126"/>
      <c r="L722" s="126"/>
      <c r="M722" s="126"/>
      <c r="N722" s="126"/>
      <c r="O722" s="126" t="s">
        <v>8217</v>
      </c>
      <c r="Q722" s="3">
        <f t="shared" si="23"/>
        <v>59.08</v>
      </c>
      <c r="U722" s="3" t="str">
        <f t="shared" si="24"/>
        <v/>
      </c>
    </row>
    <row r="723" spans="1:21" x14ac:dyDescent="0.35">
      <c r="A723" s="126" t="s">
        <v>0</v>
      </c>
      <c r="B723" s="126" t="s">
        <v>4583</v>
      </c>
      <c r="C723" s="126" t="s">
        <v>2</v>
      </c>
      <c r="D723" s="126" t="s">
        <v>3</v>
      </c>
      <c r="E723" s="126">
        <v>58.86</v>
      </c>
      <c r="F723" s="126" t="s">
        <v>88</v>
      </c>
      <c r="G723" s="108">
        <v>45457</v>
      </c>
      <c r="H723" s="126" t="s">
        <v>89</v>
      </c>
      <c r="I723" s="126" t="s">
        <v>7995</v>
      </c>
      <c r="J723" s="126"/>
      <c r="K723" s="126" t="s">
        <v>7996</v>
      </c>
      <c r="L723" s="126" t="s">
        <v>7997</v>
      </c>
      <c r="M723" s="126" t="s">
        <v>7998</v>
      </c>
      <c r="N723" s="126"/>
      <c r="O723" s="126"/>
      <c r="Q723" s="3">
        <f t="shared" si="23"/>
        <v>58.86</v>
      </c>
      <c r="S723" s="55" t="s">
        <v>9013</v>
      </c>
      <c r="U723" s="3" t="str">
        <f t="shared" si="24"/>
        <v/>
      </c>
    </row>
    <row r="724" spans="1:21" x14ac:dyDescent="0.35">
      <c r="A724" s="126" t="s">
        <v>0</v>
      </c>
      <c r="B724" s="126" t="s">
        <v>3466</v>
      </c>
      <c r="C724" s="126" t="s">
        <v>2</v>
      </c>
      <c r="D724" s="126" t="s">
        <v>3</v>
      </c>
      <c r="E724" s="126">
        <v>57.99</v>
      </c>
      <c r="F724" s="126" t="s">
        <v>88</v>
      </c>
      <c r="G724" s="108">
        <v>45505</v>
      </c>
      <c r="H724" s="126" t="s">
        <v>89</v>
      </c>
      <c r="I724" s="126" t="s">
        <v>8238</v>
      </c>
      <c r="J724" s="126"/>
      <c r="K724" s="126" t="s">
        <v>8239</v>
      </c>
      <c r="L724" s="126" t="s">
        <v>8240</v>
      </c>
      <c r="M724" s="126" t="s">
        <v>8241</v>
      </c>
      <c r="Q724" s="3">
        <f t="shared" si="23"/>
        <v>57.99</v>
      </c>
      <c r="S724" s="55" t="s">
        <v>9016</v>
      </c>
      <c r="U724" s="3" t="str">
        <f t="shared" si="24"/>
        <v/>
      </c>
    </row>
    <row r="725" spans="1:21" x14ac:dyDescent="0.35">
      <c r="A725" s="126" t="s">
        <v>35</v>
      </c>
      <c r="B725" s="126" t="s">
        <v>869</v>
      </c>
      <c r="C725" s="126" t="s">
        <v>2</v>
      </c>
      <c r="D725" s="126" t="s">
        <v>3</v>
      </c>
      <c r="E725" s="126">
        <v>57.63</v>
      </c>
      <c r="F725" s="126" t="s">
        <v>88</v>
      </c>
      <c r="G725" s="108">
        <v>45490</v>
      </c>
      <c r="H725" s="126" t="s">
        <v>94</v>
      </c>
      <c r="I725" s="126" t="s">
        <v>426</v>
      </c>
      <c r="J725" s="126" t="s">
        <v>8172</v>
      </c>
      <c r="K725" s="126"/>
      <c r="L725" s="126"/>
      <c r="M725" s="126"/>
      <c r="N725" s="126"/>
      <c r="O725" s="126" t="s">
        <v>575</v>
      </c>
      <c r="Q725" s="3">
        <f t="shared" si="23"/>
        <v>57.63</v>
      </c>
      <c r="S725" s="55" t="s">
        <v>9016</v>
      </c>
      <c r="U725" s="3" t="str">
        <f t="shared" si="24"/>
        <v/>
      </c>
    </row>
    <row r="726" spans="1:21" x14ac:dyDescent="0.35">
      <c r="A726" s="126" t="s">
        <v>35</v>
      </c>
      <c r="B726" s="126" t="s">
        <v>1075</v>
      </c>
      <c r="C726" s="126" t="s">
        <v>2</v>
      </c>
      <c r="D726" s="126" t="s">
        <v>3</v>
      </c>
      <c r="E726" s="126">
        <v>57.629999999999995</v>
      </c>
      <c r="F726" s="126" t="s">
        <v>88</v>
      </c>
      <c r="G726" s="108">
        <v>45566</v>
      </c>
      <c r="H726" s="126" t="s">
        <v>89</v>
      </c>
      <c r="I726" s="126" t="s">
        <v>8505</v>
      </c>
      <c r="J726" s="126"/>
      <c r="K726" s="126" t="s">
        <v>7880</v>
      </c>
      <c r="L726" s="126" t="s">
        <v>8506</v>
      </c>
      <c r="M726" s="126" t="s">
        <v>396</v>
      </c>
      <c r="N726" s="126"/>
      <c r="O726" s="126"/>
      <c r="Q726" s="3">
        <f t="shared" si="23"/>
        <v>57.629999999999995</v>
      </c>
      <c r="S726" s="55" t="s">
        <v>9016</v>
      </c>
      <c r="U726" s="3" t="str">
        <f t="shared" si="24"/>
        <v/>
      </c>
    </row>
    <row r="727" spans="1:21" x14ac:dyDescent="0.35">
      <c r="A727" s="126" t="s">
        <v>0</v>
      </c>
      <c r="B727" s="126" t="s">
        <v>1995</v>
      </c>
      <c r="C727" s="126" t="s">
        <v>2</v>
      </c>
      <c r="D727" s="126" t="s">
        <v>3</v>
      </c>
      <c r="E727" s="126">
        <v>57.62</v>
      </c>
      <c r="F727" s="126" t="s">
        <v>88</v>
      </c>
      <c r="G727" s="108">
        <v>45505</v>
      </c>
      <c r="H727" s="126" t="s">
        <v>89</v>
      </c>
      <c r="I727" s="126" t="s">
        <v>8248</v>
      </c>
      <c r="J727" s="126"/>
      <c r="K727" s="126" t="s">
        <v>8135</v>
      </c>
      <c r="L727" s="126" t="s">
        <v>8249</v>
      </c>
      <c r="M727" s="126" t="s">
        <v>399</v>
      </c>
      <c r="Q727" s="3">
        <f t="shared" si="23"/>
        <v>57.62</v>
      </c>
      <c r="S727" s="55" t="s">
        <v>9013</v>
      </c>
      <c r="U727" s="3" t="str">
        <f t="shared" si="24"/>
        <v/>
      </c>
    </row>
    <row r="728" spans="1:21" x14ac:dyDescent="0.35">
      <c r="A728" s="126" t="s">
        <v>0</v>
      </c>
      <c r="B728" s="126" t="s">
        <v>1995</v>
      </c>
      <c r="C728" s="126" t="s">
        <v>2</v>
      </c>
      <c r="D728" s="126" t="s">
        <v>3</v>
      </c>
      <c r="E728" s="126">
        <v>57.62</v>
      </c>
      <c r="F728" s="126" t="s">
        <v>88</v>
      </c>
      <c r="G728" s="108">
        <v>45517</v>
      </c>
      <c r="H728" s="126" t="s">
        <v>89</v>
      </c>
      <c r="I728" s="126" t="s">
        <v>8323</v>
      </c>
      <c r="J728" s="126"/>
      <c r="K728" s="126" t="s">
        <v>8321</v>
      </c>
      <c r="L728" s="126" t="s">
        <v>8324</v>
      </c>
      <c r="M728" s="126" t="s">
        <v>399</v>
      </c>
      <c r="N728" s="126"/>
      <c r="O728" s="126"/>
      <c r="Q728" s="3">
        <f t="shared" si="23"/>
        <v>57.62</v>
      </c>
      <c r="S728" s="55" t="s">
        <v>9013</v>
      </c>
      <c r="U728" s="3" t="str">
        <f t="shared" si="24"/>
        <v/>
      </c>
    </row>
    <row r="729" spans="1:21" x14ac:dyDescent="0.35">
      <c r="A729" s="126" t="s">
        <v>0</v>
      </c>
      <c r="B729" s="126" t="s">
        <v>1995</v>
      </c>
      <c r="C729" s="126" t="s">
        <v>2</v>
      </c>
      <c r="D729" s="126" t="s">
        <v>3</v>
      </c>
      <c r="E729" s="126">
        <v>57.62</v>
      </c>
      <c r="F729" s="126" t="s">
        <v>88</v>
      </c>
      <c r="G729" s="108">
        <v>45569</v>
      </c>
      <c r="H729" s="126" t="s">
        <v>89</v>
      </c>
      <c r="I729" s="126" t="s">
        <v>8524</v>
      </c>
      <c r="J729" s="126"/>
      <c r="K729" s="126" t="s">
        <v>8525</v>
      </c>
      <c r="L729" s="126" t="s">
        <v>8526</v>
      </c>
      <c r="M729" s="126" t="s">
        <v>399</v>
      </c>
      <c r="N729" s="126"/>
      <c r="O729" s="126"/>
      <c r="Q729" s="3">
        <f t="shared" si="23"/>
        <v>57.62</v>
      </c>
      <c r="S729" s="55" t="s">
        <v>9013</v>
      </c>
      <c r="U729" s="3" t="str">
        <f t="shared" si="24"/>
        <v/>
      </c>
    </row>
    <row r="730" spans="1:21" x14ac:dyDescent="0.35">
      <c r="A730" s="126" t="s">
        <v>0</v>
      </c>
      <c r="B730" s="126" t="s">
        <v>1244</v>
      </c>
      <c r="C730" s="126" t="s">
        <v>2</v>
      </c>
      <c r="D730" s="126" t="s">
        <v>3</v>
      </c>
      <c r="E730" s="126">
        <v>57.55</v>
      </c>
      <c r="F730" s="126" t="s">
        <v>88</v>
      </c>
      <c r="G730" s="108">
        <v>45391</v>
      </c>
      <c r="H730" s="126" t="s">
        <v>89</v>
      </c>
      <c r="I730" s="126" t="s">
        <v>7691</v>
      </c>
      <c r="J730" s="126"/>
      <c r="K730" s="126" t="s">
        <v>7672</v>
      </c>
      <c r="L730" s="126" t="s">
        <v>7692</v>
      </c>
      <c r="M730" s="126" t="s">
        <v>399</v>
      </c>
      <c r="N730" s="35"/>
      <c r="O730" s="35"/>
      <c r="Q730" s="3">
        <f t="shared" si="23"/>
        <v>57.55</v>
      </c>
      <c r="S730" s="55" t="s">
        <v>9013</v>
      </c>
      <c r="U730" s="3" t="str">
        <f t="shared" si="24"/>
        <v/>
      </c>
    </row>
    <row r="731" spans="1:21" x14ac:dyDescent="0.35">
      <c r="A731" s="126" t="s">
        <v>0</v>
      </c>
      <c r="B731" s="126" t="s">
        <v>1244</v>
      </c>
      <c r="C731" s="126" t="s">
        <v>2</v>
      </c>
      <c r="D731" s="126" t="s">
        <v>3</v>
      </c>
      <c r="E731" s="126">
        <v>57.55</v>
      </c>
      <c r="F731" s="126" t="s">
        <v>88</v>
      </c>
      <c r="G731" s="108">
        <v>45432</v>
      </c>
      <c r="H731" s="126" t="s">
        <v>89</v>
      </c>
      <c r="I731" s="126" t="s">
        <v>7839</v>
      </c>
      <c r="J731" s="126"/>
      <c r="K731" s="126" t="s">
        <v>7840</v>
      </c>
      <c r="L731" s="126" t="s">
        <v>7841</v>
      </c>
      <c r="M731" s="126" t="s">
        <v>399</v>
      </c>
      <c r="N731" s="35"/>
      <c r="O731" s="35"/>
      <c r="Q731" s="3">
        <f t="shared" si="23"/>
        <v>57.55</v>
      </c>
      <c r="S731" s="55" t="s">
        <v>9013</v>
      </c>
      <c r="U731" s="3" t="str">
        <f t="shared" si="24"/>
        <v/>
      </c>
    </row>
    <row r="732" spans="1:21" x14ac:dyDescent="0.35">
      <c r="A732" s="126" t="s">
        <v>0</v>
      </c>
      <c r="B732" s="126" t="s">
        <v>1244</v>
      </c>
      <c r="C732" s="126" t="s">
        <v>2</v>
      </c>
      <c r="D732" s="126" t="s">
        <v>3</v>
      </c>
      <c r="E732" s="126">
        <v>57.55</v>
      </c>
      <c r="F732" s="126" t="s">
        <v>88</v>
      </c>
      <c r="G732" s="108">
        <v>45454</v>
      </c>
      <c r="H732" s="126" t="s">
        <v>89</v>
      </c>
      <c r="I732" s="126" t="s">
        <v>7958</v>
      </c>
      <c r="J732" s="126"/>
      <c r="K732" s="126" t="s">
        <v>7959</v>
      </c>
      <c r="L732" s="126" t="s">
        <v>7960</v>
      </c>
      <c r="M732" s="126" t="s">
        <v>399</v>
      </c>
      <c r="Q732" s="3">
        <f t="shared" si="23"/>
        <v>57.55</v>
      </c>
      <c r="S732" s="55" t="s">
        <v>9013</v>
      </c>
      <c r="U732" s="3" t="str">
        <f t="shared" si="24"/>
        <v/>
      </c>
    </row>
    <row r="733" spans="1:21" x14ac:dyDescent="0.35">
      <c r="A733" s="126" t="s">
        <v>0</v>
      </c>
      <c r="B733" s="126" t="s">
        <v>1244</v>
      </c>
      <c r="C733" s="126" t="s">
        <v>2</v>
      </c>
      <c r="D733" s="126" t="s">
        <v>3</v>
      </c>
      <c r="E733" s="126">
        <v>57.55</v>
      </c>
      <c r="F733" s="126" t="s">
        <v>88</v>
      </c>
      <c r="G733" s="108">
        <v>45485</v>
      </c>
      <c r="H733" s="126" t="s">
        <v>89</v>
      </c>
      <c r="I733" s="126" t="s">
        <v>8134</v>
      </c>
      <c r="J733" s="126"/>
      <c r="K733" s="126" t="s">
        <v>8135</v>
      </c>
      <c r="L733" s="126" t="s">
        <v>8136</v>
      </c>
      <c r="M733" s="126" t="s">
        <v>399</v>
      </c>
      <c r="Q733" s="3">
        <f t="shared" si="23"/>
        <v>57.55</v>
      </c>
      <c r="S733" s="55" t="s">
        <v>9013</v>
      </c>
      <c r="U733" s="3" t="str">
        <f t="shared" si="24"/>
        <v/>
      </c>
    </row>
    <row r="734" spans="1:21" x14ac:dyDescent="0.35">
      <c r="A734" s="126" t="s">
        <v>0</v>
      </c>
      <c r="B734" s="126" t="s">
        <v>1244</v>
      </c>
      <c r="C734" s="126" t="s">
        <v>2</v>
      </c>
      <c r="D734" s="126" t="s">
        <v>3</v>
      </c>
      <c r="E734" s="126">
        <v>57.55</v>
      </c>
      <c r="F734" s="126" t="s">
        <v>88</v>
      </c>
      <c r="G734" s="108">
        <v>45517</v>
      </c>
      <c r="H734" s="126" t="s">
        <v>89</v>
      </c>
      <c r="I734" s="126" t="s">
        <v>8320</v>
      </c>
      <c r="J734" s="126"/>
      <c r="K734" s="126" t="s">
        <v>8321</v>
      </c>
      <c r="L734" s="126" t="s">
        <v>8322</v>
      </c>
      <c r="M734" s="126" t="s">
        <v>399</v>
      </c>
      <c r="Q734" s="3">
        <f t="shared" si="23"/>
        <v>57.55</v>
      </c>
      <c r="S734" s="55" t="s">
        <v>9013</v>
      </c>
      <c r="U734" s="3" t="str">
        <f t="shared" si="24"/>
        <v/>
      </c>
    </row>
    <row r="735" spans="1:21" x14ac:dyDescent="0.35">
      <c r="A735" s="126" t="s">
        <v>0</v>
      </c>
      <c r="B735" s="126" t="s">
        <v>1244</v>
      </c>
      <c r="C735" s="126" t="s">
        <v>2</v>
      </c>
      <c r="D735" s="126" t="s">
        <v>3</v>
      </c>
      <c r="E735" s="126">
        <v>57.55</v>
      </c>
      <c r="F735" s="126" t="s">
        <v>88</v>
      </c>
      <c r="G735" s="108">
        <v>45551</v>
      </c>
      <c r="H735" s="126" t="s">
        <v>89</v>
      </c>
      <c r="I735" s="126" t="s">
        <v>8431</v>
      </c>
      <c r="J735" s="126"/>
      <c r="K735" s="126" t="s">
        <v>8432</v>
      </c>
      <c r="L735" s="126" t="s">
        <v>8433</v>
      </c>
      <c r="M735" s="126" t="s">
        <v>399</v>
      </c>
      <c r="Q735" s="3">
        <f t="shared" si="23"/>
        <v>57.55</v>
      </c>
      <c r="S735" s="55" t="s">
        <v>9013</v>
      </c>
      <c r="U735" s="3" t="str">
        <f t="shared" si="24"/>
        <v/>
      </c>
    </row>
    <row r="736" spans="1:21" x14ac:dyDescent="0.35">
      <c r="A736" s="126" t="s">
        <v>0</v>
      </c>
      <c r="B736" s="126" t="s">
        <v>1244</v>
      </c>
      <c r="C736" s="126" t="s">
        <v>2</v>
      </c>
      <c r="D736" s="126" t="s">
        <v>3</v>
      </c>
      <c r="E736" s="126">
        <v>57.55</v>
      </c>
      <c r="F736" s="126" t="s">
        <v>88</v>
      </c>
      <c r="G736" s="108">
        <v>45569</v>
      </c>
      <c r="H736" s="126" t="s">
        <v>89</v>
      </c>
      <c r="I736" s="126" t="s">
        <v>8521</v>
      </c>
      <c r="J736" s="126"/>
      <c r="K736" s="126" t="s">
        <v>8522</v>
      </c>
      <c r="L736" s="126" t="s">
        <v>8523</v>
      </c>
      <c r="M736" s="126" t="s">
        <v>399</v>
      </c>
      <c r="Q736" s="3">
        <f t="shared" si="23"/>
        <v>57.55</v>
      </c>
      <c r="S736" s="55" t="s">
        <v>9013</v>
      </c>
      <c r="U736" s="3" t="str">
        <f t="shared" si="24"/>
        <v/>
      </c>
    </row>
    <row r="737" spans="1:21" x14ac:dyDescent="0.35">
      <c r="A737" s="126" t="s">
        <v>0</v>
      </c>
      <c r="B737" s="126" t="s">
        <v>1244</v>
      </c>
      <c r="C737" s="126" t="s">
        <v>2</v>
      </c>
      <c r="D737" s="126" t="s">
        <v>3</v>
      </c>
      <c r="E737" s="126">
        <v>57.55</v>
      </c>
      <c r="F737" s="126" t="s">
        <v>88</v>
      </c>
      <c r="G737" s="108">
        <v>45611</v>
      </c>
      <c r="H737" s="126" t="s">
        <v>89</v>
      </c>
      <c r="I737" s="126" t="s">
        <v>8734</v>
      </c>
      <c r="J737" s="126"/>
      <c r="K737" s="126" t="s">
        <v>8522</v>
      </c>
      <c r="L737" s="126" t="s">
        <v>8736</v>
      </c>
      <c r="M737" s="126" t="s">
        <v>399</v>
      </c>
      <c r="Q737" s="3">
        <f t="shared" si="23"/>
        <v>57.55</v>
      </c>
      <c r="S737" s="55" t="s">
        <v>9013</v>
      </c>
      <c r="U737" s="3" t="str">
        <f t="shared" si="24"/>
        <v/>
      </c>
    </row>
    <row r="738" spans="1:21" x14ac:dyDescent="0.35">
      <c r="A738" s="126" t="s">
        <v>0</v>
      </c>
      <c r="B738" s="126" t="s">
        <v>1244</v>
      </c>
      <c r="C738" s="126" t="s">
        <v>2</v>
      </c>
      <c r="D738" s="126" t="s">
        <v>3</v>
      </c>
      <c r="E738" s="126">
        <v>57.55</v>
      </c>
      <c r="F738" s="126" t="s">
        <v>88</v>
      </c>
      <c r="G738" s="108">
        <v>45635</v>
      </c>
      <c r="H738" s="126" t="s">
        <v>89</v>
      </c>
      <c r="I738" s="126" t="s">
        <v>8878</v>
      </c>
      <c r="J738" s="126"/>
      <c r="K738" s="126" t="s">
        <v>8879</v>
      </c>
      <c r="L738" s="126" t="s">
        <v>8880</v>
      </c>
      <c r="M738" s="126" t="s">
        <v>399</v>
      </c>
      <c r="Q738" s="3">
        <f t="shared" si="23"/>
        <v>57.55</v>
      </c>
      <c r="S738" s="55" t="s">
        <v>9013</v>
      </c>
      <c r="U738" s="3" t="str">
        <f t="shared" si="24"/>
        <v/>
      </c>
    </row>
    <row r="739" spans="1:21" x14ac:dyDescent="0.35">
      <c r="A739" s="126" t="s">
        <v>0</v>
      </c>
      <c r="B739" s="126" t="s">
        <v>606</v>
      </c>
      <c r="C739" s="126" t="s">
        <v>2</v>
      </c>
      <c r="D739" s="126" t="s">
        <v>3</v>
      </c>
      <c r="E739" s="126">
        <v>57.41</v>
      </c>
      <c r="F739" s="126" t="s">
        <v>88</v>
      </c>
      <c r="G739" s="108">
        <v>45432</v>
      </c>
      <c r="H739" s="126" t="s">
        <v>89</v>
      </c>
      <c r="I739" s="126" t="s">
        <v>7842</v>
      </c>
      <c r="J739" s="126"/>
      <c r="K739" s="126" t="s">
        <v>7840</v>
      </c>
      <c r="L739" s="126" t="s">
        <v>7843</v>
      </c>
      <c r="M739" s="126" t="s">
        <v>399</v>
      </c>
      <c r="N739" s="35"/>
      <c r="O739" s="35"/>
      <c r="Q739" s="3">
        <f t="shared" si="23"/>
        <v>57.41</v>
      </c>
      <c r="S739" s="55" t="s">
        <v>9013</v>
      </c>
      <c r="U739" s="3" t="str">
        <f t="shared" si="24"/>
        <v/>
      </c>
    </row>
    <row r="740" spans="1:21" x14ac:dyDescent="0.35">
      <c r="A740" s="126" t="s">
        <v>0</v>
      </c>
      <c r="B740" s="126" t="s">
        <v>724</v>
      </c>
      <c r="C740" s="126" t="s">
        <v>2</v>
      </c>
      <c r="D740" s="126" t="s">
        <v>3</v>
      </c>
      <c r="E740" s="126">
        <v>57.41</v>
      </c>
      <c r="F740" s="126" t="s">
        <v>88</v>
      </c>
      <c r="G740" s="108">
        <v>45432</v>
      </c>
      <c r="H740" s="126" t="s">
        <v>89</v>
      </c>
      <c r="I740" s="126" t="s">
        <v>7842</v>
      </c>
      <c r="J740" s="126"/>
      <c r="K740" s="126" t="s">
        <v>7840</v>
      </c>
      <c r="L740" s="126" t="s">
        <v>7843</v>
      </c>
      <c r="M740" s="126" t="s">
        <v>399</v>
      </c>
      <c r="Q740" s="3">
        <f t="shared" si="23"/>
        <v>57.41</v>
      </c>
      <c r="S740" s="55" t="s">
        <v>9013</v>
      </c>
      <c r="U740" s="3" t="str">
        <f t="shared" si="24"/>
        <v/>
      </c>
    </row>
    <row r="741" spans="1:21" x14ac:dyDescent="0.35">
      <c r="A741" s="126" t="s">
        <v>0</v>
      </c>
      <c r="B741" s="126" t="s">
        <v>606</v>
      </c>
      <c r="C741" s="126" t="s">
        <v>2</v>
      </c>
      <c r="D741" s="126" t="s">
        <v>3</v>
      </c>
      <c r="E741" s="126">
        <v>57.41</v>
      </c>
      <c r="F741" s="126" t="s">
        <v>88</v>
      </c>
      <c r="G741" s="108">
        <v>45505</v>
      </c>
      <c r="H741" s="126" t="s">
        <v>89</v>
      </c>
      <c r="I741" s="126" t="s">
        <v>8248</v>
      </c>
      <c r="J741" s="126"/>
      <c r="K741" s="126" t="s">
        <v>8135</v>
      </c>
      <c r="L741" s="126" t="s">
        <v>8249</v>
      </c>
      <c r="M741" s="126" t="s">
        <v>399</v>
      </c>
      <c r="Q741" s="3">
        <f t="shared" si="23"/>
        <v>57.41</v>
      </c>
      <c r="S741" s="55" t="s">
        <v>9013</v>
      </c>
      <c r="U741" s="3" t="str">
        <f t="shared" si="24"/>
        <v/>
      </c>
    </row>
    <row r="742" spans="1:21" x14ac:dyDescent="0.35">
      <c r="A742" s="126" t="s">
        <v>0</v>
      </c>
      <c r="B742" s="126" t="s">
        <v>724</v>
      </c>
      <c r="C742" s="126" t="s">
        <v>2</v>
      </c>
      <c r="D742" s="126" t="s">
        <v>3</v>
      </c>
      <c r="E742" s="126">
        <v>57.41</v>
      </c>
      <c r="F742" s="126" t="s">
        <v>88</v>
      </c>
      <c r="G742" s="108">
        <v>45505</v>
      </c>
      <c r="H742" s="126" t="s">
        <v>89</v>
      </c>
      <c r="I742" s="126" t="s">
        <v>8248</v>
      </c>
      <c r="J742" s="126"/>
      <c r="K742" s="126" t="s">
        <v>8135</v>
      </c>
      <c r="L742" s="126" t="s">
        <v>8249</v>
      </c>
      <c r="M742" s="126" t="s">
        <v>399</v>
      </c>
      <c r="Q742" s="3">
        <f t="shared" si="23"/>
        <v>57.41</v>
      </c>
      <c r="S742" s="55" t="s">
        <v>9013</v>
      </c>
      <c r="U742" s="3" t="str">
        <f t="shared" si="24"/>
        <v/>
      </c>
    </row>
    <row r="743" spans="1:21" x14ac:dyDescent="0.35">
      <c r="A743" s="126" t="s">
        <v>0</v>
      </c>
      <c r="B743" s="126" t="s">
        <v>606</v>
      </c>
      <c r="C743" s="126" t="s">
        <v>2</v>
      </c>
      <c r="D743" s="126" t="s">
        <v>3</v>
      </c>
      <c r="E743" s="126">
        <v>57.41</v>
      </c>
      <c r="F743" s="126" t="s">
        <v>88</v>
      </c>
      <c r="G743" s="108">
        <v>45517</v>
      </c>
      <c r="H743" s="126" t="s">
        <v>89</v>
      </c>
      <c r="I743" s="126" t="s">
        <v>8323</v>
      </c>
      <c r="J743" s="126"/>
      <c r="K743" s="126" t="s">
        <v>8321</v>
      </c>
      <c r="L743" s="126" t="s">
        <v>8324</v>
      </c>
      <c r="M743" s="126" t="s">
        <v>399</v>
      </c>
      <c r="Q743" s="3">
        <f t="shared" si="23"/>
        <v>57.41</v>
      </c>
      <c r="S743" s="55" t="s">
        <v>9013</v>
      </c>
      <c r="U743" s="3" t="str">
        <f t="shared" si="24"/>
        <v/>
      </c>
    </row>
    <row r="744" spans="1:21" x14ac:dyDescent="0.35">
      <c r="A744" s="126" t="s">
        <v>0</v>
      </c>
      <c r="B744" s="126" t="s">
        <v>724</v>
      </c>
      <c r="C744" s="126" t="s">
        <v>2</v>
      </c>
      <c r="D744" s="126" t="s">
        <v>3</v>
      </c>
      <c r="E744" s="126">
        <v>57.41</v>
      </c>
      <c r="F744" s="126" t="s">
        <v>88</v>
      </c>
      <c r="G744" s="108">
        <v>45544</v>
      </c>
      <c r="H744" s="126" t="s">
        <v>89</v>
      </c>
      <c r="I744" s="126" t="s">
        <v>8400</v>
      </c>
      <c r="J744" s="126"/>
      <c r="K744" s="126" t="s">
        <v>8321</v>
      </c>
      <c r="L744" s="126" t="s">
        <v>8401</v>
      </c>
      <c r="M744" s="126" t="s">
        <v>399</v>
      </c>
      <c r="Q744" s="3">
        <f t="shared" si="23"/>
        <v>57.41</v>
      </c>
      <c r="S744" s="55" t="s">
        <v>9013</v>
      </c>
      <c r="U744" s="3" t="str">
        <f t="shared" si="24"/>
        <v/>
      </c>
    </row>
    <row r="745" spans="1:21" x14ac:dyDescent="0.35">
      <c r="A745" s="126" t="s">
        <v>0</v>
      </c>
      <c r="B745" s="126" t="s">
        <v>606</v>
      </c>
      <c r="C745" s="126" t="s">
        <v>2</v>
      </c>
      <c r="D745" s="126" t="s">
        <v>3</v>
      </c>
      <c r="E745" s="126">
        <v>57.41</v>
      </c>
      <c r="F745" s="126" t="s">
        <v>88</v>
      </c>
      <c r="G745" s="108">
        <v>45569</v>
      </c>
      <c r="H745" s="126" t="s">
        <v>89</v>
      </c>
      <c r="I745" s="126" t="s">
        <v>8524</v>
      </c>
      <c r="J745" s="126"/>
      <c r="K745" s="126" t="s">
        <v>8525</v>
      </c>
      <c r="L745" s="126" t="s">
        <v>8526</v>
      </c>
      <c r="M745" s="126" t="s">
        <v>399</v>
      </c>
      <c r="Q745" s="3">
        <f t="shared" si="23"/>
        <v>57.41</v>
      </c>
      <c r="S745" s="55" t="s">
        <v>9013</v>
      </c>
      <c r="U745" s="3" t="str">
        <f t="shared" si="24"/>
        <v/>
      </c>
    </row>
    <row r="746" spans="1:21" x14ac:dyDescent="0.35">
      <c r="A746" s="126" t="s">
        <v>0</v>
      </c>
      <c r="B746" s="126" t="s">
        <v>724</v>
      </c>
      <c r="C746" s="126" t="s">
        <v>2</v>
      </c>
      <c r="D746" s="126" t="s">
        <v>3</v>
      </c>
      <c r="E746" s="126">
        <v>57.41</v>
      </c>
      <c r="F746" s="126" t="s">
        <v>88</v>
      </c>
      <c r="G746" s="108">
        <v>45569</v>
      </c>
      <c r="H746" s="126" t="s">
        <v>89</v>
      </c>
      <c r="I746" s="126" t="s">
        <v>8524</v>
      </c>
      <c r="J746" s="126"/>
      <c r="K746" s="126" t="s">
        <v>8525</v>
      </c>
      <c r="L746" s="126" t="s">
        <v>8526</v>
      </c>
      <c r="M746" s="126" t="s">
        <v>399</v>
      </c>
      <c r="N746" s="126"/>
      <c r="O746" s="126"/>
      <c r="Q746" s="3">
        <f t="shared" si="23"/>
        <v>57.41</v>
      </c>
      <c r="S746" s="55" t="s">
        <v>9013</v>
      </c>
      <c r="U746" s="3" t="str">
        <f t="shared" si="24"/>
        <v/>
      </c>
    </row>
    <row r="747" spans="1:21" x14ac:dyDescent="0.35">
      <c r="A747" s="126" t="s">
        <v>0</v>
      </c>
      <c r="B747" s="126" t="s">
        <v>724</v>
      </c>
      <c r="C747" s="126" t="s">
        <v>2</v>
      </c>
      <c r="D747" s="126" t="s">
        <v>3</v>
      </c>
      <c r="E747" s="126">
        <v>57.41</v>
      </c>
      <c r="F747" s="126" t="s">
        <v>88</v>
      </c>
      <c r="G747" s="108">
        <v>45611</v>
      </c>
      <c r="H747" s="126" t="s">
        <v>89</v>
      </c>
      <c r="I747" s="126" t="s">
        <v>8737</v>
      </c>
      <c r="J747" s="126"/>
      <c r="K747" s="126" t="s">
        <v>8522</v>
      </c>
      <c r="L747" s="126" t="s">
        <v>8738</v>
      </c>
      <c r="M747" s="126" t="s">
        <v>399</v>
      </c>
      <c r="Q747" s="3">
        <f t="shared" si="23"/>
        <v>57.41</v>
      </c>
      <c r="S747" s="55" t="s">
        <v>9013</v>
      </c>
      <c r="U747" s="3" t="str">
        <f t="shared" si="24"/>
        <v/>
      </c>
    </row>
    <row r="748" spans="1:21" x14ac:dyDescent="0.35">
      <c r="A748" s="126" t="s">
        <v>0</v>
      </c>
      <c r="B748" s="126" t="s">
        <v>724</v>
      </c>
      <c r="C748" s="126" t="s">
        <v>2</v>
      </c>
      <c r="D748" s="126" t="s">
        <v>3</v>
      </c>
      <c r="E748" s="126">
        <v>57.38</v>
      </c>
      <c r="F748" s="126" t="s">
        <v>88</v>
      </c>
      <c r="G748" s="108">
        <v>45390</v>
      </c>
      <c r="H748" s="126" t="s">
        <v>89</v>
      </c>
      <c r="I748" s="126" t="s">
        <v>7671</v>
      </c>
      <c r="J748" s="126"/>
      <c r="K748" s="126" t="s">
        <v>7672</v>
      </c>
      <c r="L748" s="126" t="s">
        <v>7673</v>
      </c>
      <c r="M748" s="126" t="s">
        <v>399</v>
      </c>
      <c r="Q748" s="3">
        <f t="shared" si="23"/>
        <v>57.38</v>
      </c>
      <c r="S748" s="55" t="s">
        <v>9013</v>
      </c>
      <c r="U748" s="3" t="str">
        <f t="shared" si="24"/>
        <v/>
      </c>
    </row>
    <row r="749" spans="1:21" x14ac:dyDescent="0.35">
      <c r="A749" s="126" t="s">
        <v>0</v>
      </c>
      <c r="B749" s="126" t="s">
        <v>1216</v>
      </c>
      <c r="C749" s="126" t="s">
        <v>2</v>
      </c>
      <c r="D749" s="126" t="s">
        <v>3</v>
      </c>
      <c r="E749" s="126">
        <v>57.38</v>
      </c>
      <c r="F749" s="126" t="s">
        <v>88</v>
      </c>
      <c r="G749" s="108">
        <v>45432</v>
      </c>
      <c r="H749" s="126" t="s">
        <v>89</v>
      </c>
      <c r="I749" s="126" t="s">
        <v>7842</v>
      </c>
      <c r="J749" s="126"/>
      <c r="K749" s="126" t="s">
        <v>7840</v>
      </c>
      <c r="L749" s="126" t="s">
        <v>7843</v>
      </c>
      <c r="M749" s="126" t="s">
        <v>399</v>
      </c>
      <c r="Q749" s="3">
        <f t="shared" si="23"/>
        <v>57.38</v>
      </c>
      <c r="S749" s="55" t="s">
        <v>9013</v>
      </c>
      <c r="U749" s="3" t="str">
        <f t="shared" si="24"/>
        <v/>
      </c>
    </row>
    <row r="750" spans="1:21" x14ac:dyDescent="0.35">
      <c r="A750" s="126" t="s">
        <v>0</v>
      </c>
      <c r="B750" s="126" t="s">
        <v>764</v>
      </c>
      <c r="C750" s="126" t="s">
        <v>2</v>
      </c>
      <c r="D750" s="126" t="s">
        <v>3</v>
      </c>
      <c r="E750" s="126">
        <v>57.36</v>
      </c>
      <c r="F750" s="126" t="s">
        <v>88</v>
      </c>
      <c r="G750" s="108">
        <v>45517</v>
      </c>
      <c r="H750" s="126" t="s">
        <v>89</v>
      </c>
      <c r="I750" s="126" t="s">
        <v>8323</v>
      </c>
      <c r="J750" s="126"/>
      <c r="K750" s="126" t="s">
        <v>8321</v>
      </c>
      <c r="L750" s="126" t="s">
        <v>8324</v>
      </c>
      <c r="M750" s="126" t="s">
        <v>399</v>
      </c>
      <c r="Q750" s="3">
        <f t="shared" si="23"/>
        <v>57.36</v>
      </c>
      <c r="S750" s="55" t="s">
        <v>9013</v>
      </c>
      <c r="U750" s="3" t="str">
        <f t="shared" si="24"/>
        <v/>
      </c>
    </row>
    <row r="751" spans="1:21" x14ac:dyDescent="0.35">
      <c r="A751" s="126" t="s">
        <v>35</v>
      </c>
      <c r="B751" s="126" t="s">
        <v>5426</v>
      </c>
      <c r="C751" s="126" t="s">
        <v>2</v>
      </c>
      <c r="D751" s="126" t="s">
        <v>3</v>
      </c>
      <c r="E751" s="126">
        <v>57.27</v>
      </c>
      <c r="F751" s="126" t="s">
        <v>88</v>
      </c>
      <c r="G751" s="108">
        <v>45427</v>
      </c>
      <c r="H751" s="126" t="s">
        <v>94</v>
      </c>
      <c r="I751" s="126" t="s">
        <v>475</v>
      </c>
      <c r="J751" s="126" t="s">
        <v>7823</v>
      </c>
      <c r="K751" s="126"/>
      <c r="L751" s="126"/>
      <c r="M751" s="126"/>
      <c r="N751" s="126"/>
      <c r="O751" s="126" t="s">
        <v>7824</v>
      </c>
      <c r="Q751" s="3">
        <f t="shared" si="23"/>
        <v>57.27</v>
      </c>
      <c r="S751" s="55" t="s">
        <v>53</v>
      </c>
      <c r="T751" t="s">
        <v>64</v>
      </c>
      <c r="U751" s="3">
        <f t="shared" si="24"/>
        <v>57.27</v>
      </c>
    </row>
    <row r="752" spans="1:21" x14ac:dyDescent="0.35">
      <c r="A752" s="126" t="s">
        <v>0</v>
      </c>
      <c r="B752" s="126" t="s">
        <v>1423</v>
      </c>
      <c r="C752" s="126" t="s">
        <v>2</v>
      </c>
      <c r="D752" s="126" t="s">
        <v>3</v>
      </c>
      <c r="E752" s="126">
        <v>57.22</v>
      </c>
      <c r="F752" s="126" t="s">
        <v>88</v>
      </c>
      <c r="G752" s="108">
        <v>45611</v>
      </c>
      <c r="H752" s="126" t="s">
        <v>89</v>
      </c>
      <c r="I752" s="126" t="s">
        <v>8737</v>
      </c>
      <c r="J752" s="126"/>
      <c r="K752" s="126" t="s">
        <v>8522</v>
      </c>
      <c r="L752" s="126" t="s">
        <v>8738</v>
      </c>
      <c r="M752" s="126" t="s">
        <v>399</v>
      </c>
      <c r="Q752" s="3">
        <f t="shared" si="23"/>
        <v>57.22</v>
      </c>
      <c r="S752" s="55" t="s">
        <v>9013</v>
      </c>
      <c r="U752" s="3" t="str">
        <f t="shared" si="24"/>
        <v/>
      </c>
    </row>
    <row r="753" spans="1:21" x14ac:dyDescent="0.35">
      <c r="A753" s="126" t="s">
        <v>0</v>
      </c>
      <c r="B753" s="126" t="s">
        <v>969</v>
      </c>
      <c r="C753" s="126" t="s">
        <v>2</v>
      </c>
      <c r="D753" s="126" t="s">
        <v>3</v>
      </c>
      <c r="E753" s="126">
        <v>57.15</v>
      </c>
      <c r="F753" s="126" t="s">
        <v>88</v>
      </c>
      <c r="G753" s="108">
        <v>45439</v>
      </c>
      <c r="H753" s="126" t="s">
        <v>89</v>
      </c>
      <c r="I753" s="126" t="s">
        <v>7896</v>
      </c>
      <c r="J753" s="126"/>
      <c r="K753" s="126" t="s">
        <v>7655</v>
      </c>
      <c r="L753" s="126" t="s">
        <v>7897</v>
      </c>
      <c r="M753" s="126" t="s">
        <v>420</v>
      </c>
      <c r="N753" s="126"/>
      <c r="O753" s="126"/>
      <c r="Q753" s="3">
        <f t="shared" si="23"/>
        <v>57.15</v>
      </c>
      <c r="U753" s="3" t="str">
        <f t="shared" si="24"/>
        <v/>
      </c>
    </row>
    <row r="754" spans="1:21" x14ac:dyDescent="0.35">
      <c r="A754" s="126" t="s">
        <v>0</v>
      </c>
      <c r="B754" s="126" t="s">
        <v>819</v>
      </c>
      <c r="C754" s="126" t="s">
        <v>2</v>
      </c>
      <c r="D754" s="126" t="s">
        <v>3</v>
      </c>
      <c r="E754" s="126">
        <v>57.12</v>
      </c>
      <c r="F754" s="126" t="s">
        <v>88</v>
      </c>
      <c r="G754" s="108">
        <v>45505</v>
      </c>
      <c r="H754" s="126" t="s">
        <v>89</v>
      </c>
      <c r="I754" s="126" t="s">
        <v>8248</v>
      </c>
      <c r="J754" s="126"/>
      <c r="K754" s="126" t="s">
        <v>8135</v>
      </c>
      <c r="L754" s="126" t="s">
        <v>8249</v>
      </c>
      <c r="M754" s="126" t="s">
        <v>399</v>
      </c>
      <c r="Q754" s="3">
        <f t="shared" si="23"/>
        <v>57.12</v>
      </c>
      <c r="S754" s="55" t="s">
        <v>9013</v>
      </c>
      <c r="U754" s="3" t="str">
        <f t="shared" si="24"/>
        <v/>
      </c>
    </row>
    <row r="755" spans="1:21" x14ac:dyDescent="0.35">
      <c r="A755" s="126" t="s">
        <v>0</v>
      </c>
      <c r="B755" s="126" t="s">
        <v>819</v>
      </c>
      <c r="C755" s="126" t="s">
        <v>2</v>
      </c>
      <c r="D755" s="126" t="s">
        <v>3</v>
      </c>
      <c r="E755" s="126">
        <v>57.12</v>
      </c>
      <c r="F755" s="126" t="s">
        <v>88</v>
      </c>
      <c r="G755" s="108">
        <v>45517</v>
      </c>
      <c r="H755" s="126" t="s">
        <v>89</v>
      </c>
      <c r="I755" s="126" t="s">
        <v>8323</v>
      </c>
      <c r="J755" s="126"/>
      <c r="K755" s="126" t="s">
        <v>8321</v>
      </c>
      <c r="L755" s="126" t="s">
        <v>8324</v>
      </c>
      <c r="M755" s="126" t="s">
        <v>399</v>
      </c>
      <c r="N755" s="126"/>
      <c r="O755" s="126"/>
      <c r="Q755" s="3">
        <f t="shared" si="23"/>
        <v>57.12</v>
      </c>
      <c r="S755" s="55" t="s">
        <v>9013</v>
      </c>
      <c r="U755" s="3" t="str">
        <f t="shared" si="24"/>
        <v/>
      </c>
    </row>
    <row r="756" spans="1:21" x14ac:dyDescent="0.35">
      <c r="A756" s="126" t="s">
        <v>35</v>
      </c>
      <c r="B756" s="126" t="s">
        <v>2543</v>
      </c>
      <c r="C756" s="126" t="s">
        <v>2</v>
      </c>
      <c r="D756" s="126" t="s">
        <v>3</v>
      </c>
      <c r="E756" s="126">
        <v>57.08</v>
      </c>
      <c r="F756" s="126" t="s">
        <v>88</v>
      </c>
      <c r="G756" s="108">
        <v>45426</v>
      </c>
      <c r="H756" s="126" t="s">
        <v>94</v>
      </c>
      <c r="I756" s="126" t="s">
        <v>453</v>
      </c>
      <c r="J756" s="126" t="s">
        <v>395</v>
      </c>
      <c r="K756" s="126"/>
      <c r="L756" s="126"/>
      <c r="M756" s="126"/>
      <c r="N756" s="126"/>
      <c r="O756" s="126" t="s">
        <v>537</v>
      </c>
      <c r="Q756" s="3">
        <f t="shared" si="23"/>
        <v>57.08</v>
      </c>
      <c r="S756" s="55" t="s">
        <v>586</v>
      </c>
      <c r="U756" s="3" t="str">
        <f t="shared" si="24"/>
        <v/>
      </c>
    </row>
    <row r="757" spans="1:21" x14ac:dyDescent="0.35">
      <c r="A757" s="126" t="s">
        <v>0</v>
      </c>
      <c r="B757" s="126" t="s">
        <v>909</v>
      </c>
      <c r="C757" s="126" t="s">
        <v>2</v>
      </c>
      <c r="D757" s="126" t="s">
        <v>3</v>
      </c>
      <c r="E757" s="126">
        <v>57</v>
      </c>
      <c r="F757" s="126" t="s">
        <v>88</v>
      </c>
      <c r="G757" s="108">
        <v>45505</v>
      </c>
      <c r="H757" s="126" t="s">
        <v>89</v>
      </c>
      <c r="I757" s="126" t="s">
        <v>8248</v>
      </c>
      <c r="J757" s="126"/>
      <c r="K757" s="126" t="s">
        <v>8135</v>
      </c>
      <c r="L757" s="126" t="s">
        <v>8249</v>
      </c>
      <c r="M757" s="126" t="s">
        <v>399</v>
      </c>
      <c r="Q757" s="3">
        <f t="shared" si="23"/>
        <v>57</v>
      </c>
      <c r="S757" s="55" t="s">
        <v>9013</v>
      </c>
      <c r="U757" s="3" t="str">
        <f t="shared" si="24"/>
        <v/>
      </c>
    </row>
    <row r="758" spans="1:21" x14ac:dyDescent="0.35">
      <c r="A758" s="126" t="s">
        <v>0</v>
      </c>
      <c r="B758" s="126" t="s">
        <v>909</v>
      </c>
      <c r="C758" s="126" t="s">
        <v>2</v>
      </c>
      <c r="D758" s="126" t="s">
        <v>3</v>
      </c>
      <c r="E758" s="126">
        <v>57</v>
      </c>
      <c r="F758" s="126" t="s">
        <v>88</v>
      </c>
      <c r="G758" s="108">
        <v>45611</v>
      </c>
      <c r="H758" s="126" t="s">
        <v>89</v>
      </c>
      <c r="I758" s="126" t="s">
        <v>8737</v>
      </c>
      <c r="J758" s="126"/>
      <c r="K758" s="126" t="s">
        <v>8522</v>
      </c>
      <c r="L758" s="126" t="s">
        <v>8738</v>
      </c>
      <c r="M758" s="126" t="s">
        <v>399</v>
      </c>
      <c r="Q758" s="3">
        <f t="shared" si="23"/>
        <v>57</v>
      </c>
      <c r="S758" s="55" t="s">
        <v>9013</v>
      </c>
      <c r="U758" s="3" t="str">
        <f t="shared" si="24"/>
        <v/>
      </c>
    </row>
    <row r="759" spans="1:21" x14ac:dyDescent="0.35">
      <c r="A759" s="126" t="s">
        <v>35</v>
      </c>
      <c r="B759" s="126" t="s">
        <v>740</v>
      </c>
      <c r="C759" s="126" t="s">
        <v>2</v>
      </c>
      <c r="D759" s="126" t="s">
        <v>3</v>
      </c>
      <c r="E759" s="126">
        <v>56.67</v>
      </c>
      <c r="F759" s="126" t="s">
        <v>88</v>
      </c>
      <c r="G759" s="108">
        <v>45467</v>
      </c>
      <c r="H759" s="126" t="s">
        <v>94</v>
      </c>
      <c r="I759" s="126" t="s">
        <v>426</v>
      </c>
      <c r="J759" s="126" t="s">
        <v>8062</v>
      </c>
      <c r="K759" s="126"/>
      <c r="L759" s="126"/>
      <c r="M759" s="126"/>
      <c r="N759" s="126"/>
      <c r="O759" s="126" t="s">
        <v>575</v>
      </c>
      <c r="Q759" s="3">
        <f t="shared" si="23"/>
        <v>56.67</v>
      </c>
      <c r="S759" s="55" t="s">
        <v>9016</v>
      </c>
      <c r="U759" s="3" t="str">
        <f t="shared" si="24"/>
        <v/>
      </c>
    </row>
    <row r="760" spans="1:21" x14ac:dyDescent="0.35">
      <c r="A760" s="126" t="s">
        <v>0</v>
      </c>
      <c r="B760" s="126" t="s">
        <v>6057</v>
      </c>
      <c r="C760" s="126" t="s">
        <v>2</v>
      </c>
      <c r="D760" s="126" t="s">
        <v>3</v>
      </c>
      <c r="E760" s="126">
        <v>56.63</v>
      </c>
      <c r="F760" s="126" t="s">
        <v>88</v>
      </c>
      <c r="G760" s="108">
        <v>45432</v>
      </c>
      <c r="H760" s="126" t="s">
        <v>89</v>
      </c>
      <c r="I760" s="126" t="s">
        <v>7839</v>
      </c>
      <c r="J760" s="126"/>
      <c r="K760" s="126" t="s">
        <v>7840</v>
      </c>
      <c r="L760" s="126" t="s">
        <v>7841</v>
      </c>
      <c r="M760" s="126" t="s">
        <v>399</v>
      </c>
      <c r="N760" s="35"/>
      <c r="O760" s="35"/>
      <c r="Q760" s="3">
        <f t="shared" si="23"/>
        <v>56.63</v>
      </c>
      <c r="S760" s="55" t="s">
        <v>9013</v>
      </c>
      <c r="U760" s="3" t="str">
        <f t="shared" si="24"/>
        <v/>
      </c>
    </row>
    <row r="761" spans="1:21" x14ac:dyDescent="0.35">
      <c r="A761" s="126" t="s">
        <v>0</v>
      </c>
      <c r="B761" s="126" t="s">
        <v>6057</v>
      </c>
      <c r="C761" s="126" t="s">
        <v>2</v>
      </c>
      <c r="D761" s="126" t="s">
        <v>3</v>
      </c>
      <c r="E761" s="126">
        <v>56.63</v>
      </c>
      <c r="F761" s="126" t="s">
        <v>88</v>
      </c>
      <c r="G761" s="108">
        <v>45454</v>
      </c>
      <c r="H761" s="126" t="s">
        <v>89</v>
      </c>
      <c r="I761" s="126" t="s">
        <v>7958</v>
      </c>
      <c r="J761" s="126"/>
      <c r="K761" s="126" t="s">
        <v>7959</v>
      </c>
      <c r="L761" s="126" t="s">
        <v>7960</v>
      </c>
      <c r="M761" s="126" t="s">
        <v>399</v>
      </c>
      <c r="Q761" s="3">
        <f t="shared" si="23"/>
        <v>56.63</v>
      </c>
      <c r="S761" s="55" t="s">
        <v>9013</v>
      </c>
      <c r="U761" s="3" t="str">
        <f t="shared" si="24"/>
        <v/>
      </c>
    </row>
    <row r="762" spans="1:21" x14ac:dyDescent="0.35">
      <c r="A762" s="126" t="s">
        <v>0</v>
      </c>
      <c r="B762" s="126" t="s">
        <v>6057</v>
      </c>
      <c r="C762" s="126" t="s">
        <v>2</v>
      </c>
      <c r="D762" s="126" t="s">
        <v>3</v>
      </c>
      <c r="E762" s="126">
        <v>56.63</v>
      </c>
      <c r="F762" s="126" t="s">
        <v>88</v>
      </c>
      <c r="G762" s="108">
        <v>45485</v>
      </c>
      <c r="H762" s="126" t="s">
        <v>89</v>
      </c>
      <c r="I762" s="126" t="s">
        <v>8134</v>
      </c>
      <c r="J762" s="126"/>
      <c r="K762" s="126" t="s">
        <v>8135</v>
      </c>
      <c r="L762" s="126" t="s">
        <v>8136</v>
      </c>
      <c r="M762" s="126" t="s">
        <v>399</v>
      </c>
      <c r="Q762" s="3">
        <f t="shared" si="23"/>
        <v>56.63</v>
      </c>
      <c r="S762" s="55" t="s">
        <v>9013</v>
      </c>
      <c r="U762" s="3" t="str">
        <f t="shared" si="24"/>
        <v/>
      </c>
    </row>
    <row r="763" spans="1:21" x14ac:dyDescent="0.35">
      <c r="A763" s="126" t="s">
        <v>0</v>
      </c>
      <c r="B763" s="126" t="s">
        <v>6057</v>
      </c>
      <c r="C763" s="126" t="s">
        <v>2</v>
      </c>
      <c r="D763" s="126" t="s">
        <v>3</v>
      </c>
      <c r="E763" s="126">
        <v>56.63</v>
      </c>
      <c r="F763" s="126" t="s">
        <v>88</v>
      </c>
      <c r="G763" s="108">
        <v>45517</v>
      </c>
      <c r="H763" s="126" t="s">
        <v>89</v>
      </c>
      <c r="I763" s="126" t="s">
        <v>8320</v>
      </c>
      <c r="J763" s="126"/>
      <c r="K763" s="126" t="s">
        <v>8321</v>
      </c>
      <c r="L763" s="126" t="s">
        <v>8322</v>
      </c>
      <c r="M763" s="126" t="s">
        <v>399</v>
      </c>
      <c r="Q763" s="3">
        <f t="shared" si="23"/>
        <v>56.63</v>
      </c>
      <c r="S763" s="55" t="s">
        <v>9013</v>
      </c>
      <c r="U763" s="3" t="str">
        <f t="shared" si="24"/>
        <v/>
      </c>
    </row>
    <row r="764" spans="1:21" x14ac:dyDescent="0.35">
      <c r="A764" s="126" t="s">
        <v>0</v>
      </c>
      <c r="B764" s="126" t="s">
        <v>6057</v>
      </c>
      <c r="C764" s="126" t="s">
        <v>2</v>
      </c>
      <c r="D764" s="126" t="s">
        <v>3</v>
      </c>
      <c r="E764" s="126">
        <v>56.63</v>
      </c>
      <c r="F764" s="126" t="s">
        <v>88</v>
      </c>
      <c r="G764" s="108">
        <v>45551</v>
      </c>
      <c r="H764" s="126" t="s">
        <v>89</v>
      </c>
      <c r="I764" s="126" t="s">
        <v>8431</v>
      </c>
      <c r="J764" s="126"/>
      <c r="K764" s="126" t="s">
        <v>8432</v>
      </c>
      <c r="L764" s="126" t="s">
        <v>8433</v>
      </c>
      <c r="M764" s="126" t="s">
        <v>399</v>
      </c>
      <c r="Q764" s="3">
        <f t="shared" si="23"/>
        <v>56.63</v>
      </c>
      <c r="S764" s="55" t="s">
        <v>9013</v>
      </c>
      <c r="U764" s="3" t="str">
        <f t="shared" si="24"/>
        <v/>
      </c>
    </row>
    <row r="765" spans="1:21" x14ac:dyDescent="0.35">
      <c r="A765" s="126" t="s">
        <v>0</v>
      </c>
      <c r="B765" s="126" t="s">
        <v>6057</v>
      </c>
      <c r="C765" s="126" t="s">
        <v>2</v>
      </c>
      <c r="D765" s="126" t="s">
        <v>3</v>
      </c>
      <c r="E765" s="126">
        <v>56.63</v>
      </c>
      <c r="F765" s="126" t="s">
        <v>88</v>
      </c>
      <c r="G765" s="108">
        <v>45569</v>
      </c>
      <c r="H765" s="126" t="s">
        <v>89</v>
      </c>
      <c r="I765" s="126" t="s">
        <v>8521</v>
      </c>
      <c r="J765" s="126"/>
      <c r="K765" s="126" t="s">
        <v>8522</v>
      </c>
      <c r="L765" s="126" t="s">
        <v>8523</v>
      </c>
      <c r="M765" s="126" t="s">
        <v>399</v>
      </c>
      <c r="Q765" s="3">
        <f t="shared" si="23"/>
        <v>56.63</v>
      </c>
      <c r="S765" s="55" t="s">
        <v>9013</v>
      </c>
      <c r="U765" s="3" t="str">
        <f t="shared" si="24"/>
        <v/>
      </c>
    </row>
    <row r="766" spans="1:21" x14ac:dyDescent="0.35">
      <c r="A766" s="126" t="s">
        <v>0</v>
      </c>
      <c r="B766" s="126" t="s">
        <v>6057</v>
      </c>
      <c r="C766" s="126" t="s">
        <v>2</v>
      </c>
      <c r="D766" s="126" t="s">
        <v>3</v>
      </c>
      <c r="E766" s="126">
        <v>56.63</v>
      </c>
      <c r="F766" s="126" t="s">
        <v>88</v>
      </c>
      <c r="G766" s="108">
        <v>45611</v>
      </c>
      <c r="H766" s="126" t="s">
        <v>89</v>
      </c>
      <c r="I766" s="126" t="s">
        <v>8734</v>
      </c>
      <c r="J766" s="126"/>
      <c r="K766" s="126" t="s">
        <v>8522</v>
      </c>
      <c r="L766" s="126" t="s">
        <v>8736</v>
      </c>
      <c r="M766" s="126" t="s">
        <v>399</v>
      </c>
      <c r="Q766" s="3">
        <f t="shared" si="23"/>
        <v>56.63</v>
      </c>
      <c r="S766" s="55" t="s">
        <v>9013</v>
      </c>
      <c r="U766" s="3" t="str">
        <f t="shared" si="24"/>
        <v/>
      </c>
    </row>
    <row r="767" spans="1:21" x14ac:dyDescent="0.35">
      <c r="A767" s="126" t="s">
        <v>0</v>
      </c>
      <c r="B767" s="126" t="s">
        <v>6057</v>
      </c>
      <c r="C767" s="126" t="s">
        <v>2</v>
      </c>
      <c r="D767" s="126" t="s">
        <v>3</v>
      </c>
      <c r="E767" s="126">
        <v>56.63</v>
      </c>
      <c r="F767" s="126" t="s">
        <v>88</v>
      </c>
      <c r="G767" s="108">
        <v>45635</v>
      </c>
      <c r="H767" s="126" t="s">
        <v>89</v>
      </c>
      <c r="I767" s="126" t="s">
        <v>8878</v>
      </c>
      <c r="J767" s="126"/>
      <c r="K767" s="126" t="s">
        <v>8879</v>
      </c>
      <c r="L767" s="126" t="s">
        <v>8880</v>
      </c>
      <c r="M767" s="126" t="s">
        <v>399</v>
      </c>
      <c r="Q767" s="3">
        <f t="shared" si="23"/>
        <v>56.63</v>
      </c>
      <c r="S767" s="55" t="s">
        <v>9013</v>
      </c>
      <c r="U767" s="3" t="str">
        <f t="shared" si="24"/>
        <v/>
      </c>
    </row>
    <row r="768" spans="1:21" x14ac:dyDescent="0.35">
      <c r="A768" s="126" t="s">
        <v>0</v>
      </c>
      <c r="B768" s="126" t="s">
        <v>6057</v>
      </c>
      <c r="C768" s="126" t="s">
        <v>2</v>
      </c>
      <c r="D768" s="126" t="s">
        <v>3</v>
      </c>
      <c r="E768" s="126">
        <v>56.62</v>
      </c>
      <c r="F768" s="126" t="s">
        <v>88</v>
      </c>
      <c r="G768" s="108">
        <v>45391</v>
      </c>
      <c r="H768" s="126" t="s">
        <v>89</v>
      </c>
      <c r="I768" s="126" t="s">
        <v>7691</v>
      </c>
      <c r="J768" s="126"/>
      <c r="K768" s="126" t="s">
        <v>7672</v>
      </c>
      <c r="L768" s="126" t="s">
        <v>7692</v>
      </c>
      <c r="M768" s="126" t="s">
        <v>399</v>
      </c>
      <c r="Q768" s="3">
        <f t="shared" si="23"/>
        <v>56.62</v>
      </c>
      <c r="S768" s="55" t="s">
        <v>9013</v>
      </c>
      <c r="U768" s="3" t="str">
        <f t="shared" si="24"/>
        <v/>
      </c>
    </row>
    <row r="769" spans="1:21" x14ac:dyDescent="0.35">
      <c r="A769" s="126" t="s">
        <v>35</v>
      </c>
      <c r="B769" s="126" t="s">
        <v>768</v>
      </c>
      <c r="C769" s="126" t="s">
        <v>2</v>
      </c>
      <c r="D769" s="126" t="s">
        <v>3</v>
      </c>
      <c r="E769" s="126">
        <v>56.36</v>
      </c>
      <c r="F769" s="126" t="s">
        <v>88</v>
      </c>
      <c r="G769" s="108">
        <v>45523</v>
      </c>
      <c r="H769" s="126" t="s">
        <v>94</v>
      </c>
      <c r="I769" s="126" t="s">
        <v>406</v>
      </c>
      <c r="J769" s="126" t="s">
        <v>407</v>
      </c>
      <c r="K769" s="126"/>
      <c r="L769" s="126"/>
      <c r="M769" s="126"/>
      <c r="N769" s="126"/>
      <c r="O769" s="126" t="s">
        <v>517</v>
      </c>
      <c r="Q769" s="3">
        <f t="shared" si="23"/>
        <v>56.36</v>
      </c>
      <c r="U769" s="3" t="str">
        <f t="shared" si="24"/>
        <v/>
      </c>
    </row>
    <row r="770" spans="1:21" x14ac:dyDescent="0.35">
      <c r="A770" s="126" t="s">
        <v>35</v>
      </c>
      <c r="B770" s="126" t="s">
        <v>740</v>
      </c>
      <c r="C770" s="126" t="s">
        <v>2</v>
      </c>
      <c r="D770" s="126" t="s">
        <v>3</v>
      </c>
      <c r="E770" s="126">
        <v>56.36</v>
      </c>
      <c r="F770" s="126" t="s">
        <v>88</v>
      </c>
      <c r="G770" s="108">
        <v>45636</v>
      </c>
      <c r="H770" s="126" t="s">
        <v>94</v>
      </c>
      <c r="I770" s="126" t="s">
        <v>426</v>
      </c>
      <c r="J770" s="126" t="s">
        <v>8062</v>
      </c>
      <c r="K770" s="126"/>
      <c r="L770" s="126"/>
      <c r="M770" s="126"/>
      <c r="N770" s="126"/>
      <c r="O770" s="126" t="s">
        <v>8928</v>
      </c>
      <c r="Q770" s="3">
        <f t="shared" si="23"/>
        <v>56.36</v>
      </c>
      <c r="S770" s="55" t="s">
        <v>9016</v>
      </c>
      <c r="U770" s="3" t="str">
        <f t="shared" si="24"/>
        <v/>
      </c>
    </row>
    <row r="771" spans="1:21" x14ac:dyDescent="0.35">
      <c r="A771" s="126" t="s">
        <v>35</v>
      </c>
      <c r="B771" s="126" t="s">
        <v>768</v>
      </c>
      <c r="C771" s="126" t="s">
        <v>2</v>
      </c>
      <c r="D771" s="126" t="s">
        <v>3</v>
      </c>
      <c r="E771" s="126">
        <v>56.32</v>
      </c>
      <c r="F771" s="126" t="s">
        <v>88</v>
      </c>
      <c r="G771" s="108">
        <v>45614</v>
      </c>
      <c r="H771" s="126" t="s">
        <v>94</v>
      </c>
      <c r="I771" s="126" t="s">
        <v>406</v>
      </c>
      <c r="J771" s="126" t="s">
        <v>407</v>
      </c>
      <c r="K771" s="126"/>
      <c r="L771" s="126"/>
      <c r="M771" s="126"/>
      <c r="N771" s="126"/>
      <c r="O771" s="126" t="s">
        <v>517</v>
      </c>
      <c r="Q771" s="3">
        <f t="shared" si="23"/>
        <v>56.32</v>
      </c>
      <c r="U771" s="3" t="str">
        <f t="shared" si="24"/>
        <v/>
      </c>
    </row>
    <row r="772" spans="1:21" x14ac:dyDescent="0.35">
      <c r="A772" s="126" t="s">
        <v>35</v>
      </c>
      <c r="B772" s="126" t="s">
        <v>3422</v>
      </c>
      <c r="C772" s="126" t="s">
        <v>2</v>
      </c>
      <c r="D772" s="126" t="s">
        <v>3</v>
      </c>
      <c r="E772" s="126">
        <v>56.27</v>
      </c>
      <c r="F772" s="126" t="s">
        <v>88</v>
      </c>
      <c r="G772" s="108">
        <v>45446</v>
      </c>
      <c r="H772" s="126" t="s">
        <v>94</v>
      </c>
      <c r="I772" s="126" t="s">
        <v>4435</v>
      </c>
      <c r="J772" s="126" t="s">
        <v>7661</v>
      </c>
      <c r="K772" s="126"/>
      <c r="L772" s="126"/>
      <c r="M772" s="126"/>
      <c r="N772" s="126"/>
      <c r="O772" s="126" t="s">
        <v>538</v>
      </c>
      <c r="Q772" s="3">
        <f t="shared" si="23"/>
        <v>56.27</v>
      </c>
      <c r="U772" s="3" t="str">
        <f t="shared" si="24"/>
        <v/>
      </c>
    </row>
    <row r="773" spans="1:21" x14ac:dyDescent="0.35">
      <c r="A773" s="126" t="s">
        <v>0</v>
      </c>
      <c r="B773" s="126" t="s">
        <v>868</v>
      </c>
      <c r="C773" s="126" t="s">
        <v>2</v>
      </c>
      <c r="D773" s="126" t="s">
        <v>3</v>
      </c>
      <c r="E773" s="126">
        <v>56.16</v>
      </c>
      <c r="F773" s="126" t="s">
        <v>88</v>
      </c>
      <c r="G773" s="108">
        <v>45457</v>
      </c>
      <c r="H773" s="126" t="s">
        <v>89</v>
      </c>
      <c r="I773" s="126" t="s">
        <v>7995</v>
      </c>
      <c r="J773" s="126"/>
      <c r="K773" s="126" t="s">
        <v>7996</v>
      </c>
      <c r="L773" s="126" t="s">
        <v>7997</v>
      </c>
      <c r="M773" s="126" t="s">
        <v>7998</v>
      </c>
      <c r="N773" s="126"/>
      <c r="O773" s="126"/>
      <c r="Q773" s="3">
        <f t="shared" si="23"/>
        <v>56.16</v>
      </c>
      <c r="S773" s="55" t="s">
        <v>9013</v>
      </c>
      <c r="U773" s="3" t="str">
        <f t="shared" si="24"/>
        <v/>
      </c>
    </row>
    <row r="774" spans="1:21" x14ac:dyDescent="0.35">
      <c r="A774" s="126" t="s">
        <v>35</v>
      </c>
      <c r="B774" s="126" t="s">
        <v>893</v>
      </c>
      <c r="C774" s="126" t="s">
        <v>2</v>
      </c>
      <c r="D774" s="126" t="s">
        <v>3</v>
      </c>
      <c r="E774" s="126">
        <v>56.11</v>
      </c>
      <c r="F774" s="126" t="s">
        <v>88</v>
      </c>
      <c r="G774" s="108">
        <v>45630</v>
      </c>
      <c r="H774" s="126" t="s">
        <v>94</v>
      </c>
      <c r="I774" s="126" t="s">
        <v>846</v>
      </c>
      <c r="J774" s="126" t="s">
        <v>8846</v>
      </c>
      <c r="K774" s="126"/>
      <c r="L774" s="126"/>
      <c r="M774" s="126"/>
      <c r="N774" s="126"/>
      <c r="O774" s="126" t="s">
        <v>545</v>
      </c>
      <c r="Q774" s="3">
        <f t="shared" si="23"/>
        <v>56.11</v>
      </c>
      <c r="U774" s="3" t="str">
        <f t="shared" si="24"/>
        <v/>
      </c>
    </row>
    <row r="775" spans="1:21" x14ac:dyDescent="0.35">
      <c r="A775" s="126" t="s">
        <v>35</v>
      </c>
      <c r="B775" s="126" t="s">
        <v>2543</v>
      </c>
      <c r="C775" s="126" t="s">
        <v>2</v>
      </c>
      <c r="D775" s="126" t="s">
        <v>3</v>
      </c>
      <c r="E775" s="126">
        <v>55.91</v>
      </c>
      <c r="F775" s="126" t="s">
        <v>88</v>
      </c>
      <c r="G775" s="108">
        <v>45601</v>
      </c>
      <c r="H775" s="126" t="s">
        <v>94</v>
      </c>
      <c r="I775" s="126" t="s">
        <v>510</v>
      </c>
      <c r="J775" s="126" t="s">
        <v>514</v>
      </c>
      <c r="K775" s="126"/>
      <c r="L775" s="126"/>
      <c r="M775" s="126"/>
      <c r="N775" s="126"/>
      <c r="O775" s="126" t="s">
        <v>537</v>
      </c>
      <c r="Q775" s="3">
        <f t="shared" si="23"/>
        <v>55.91</v>
      </c>
      <c r="U775" s="3" t="str">
        <f t="shared" si="24"/>
        <v/>
      </c>
    </row>
    <row r="776" spans="1:21" x14ac:dyDescent="0.35">
      <c r="A776" s="126" t="s">
        <v>35</v>
      </c>
      <c r="B776" s="126" t="s">
        <v>2543</v>
      </c>
      <c r="C776" s="126" t="s">
        <v>2</v>
      </c>
      <c r="D776" s="126" t="s">
        <v>3</v>
      </c>
      <c r="E776" s="126">
        <v>55.87</v>
      </c>
      <c r="F776" s="126" t="s">
        <v>88</v>
      </c>
      <c r="G776" s="108">
        <v>45474</v>
      </c>
      <c r="H776" s="126" t="s">
        <v>94</v>
      </c>
      <c r="I776" s="126" t="s">
        <v>453</v>
      </c>
      <c r="J776" s="126" t="s">
        <v>395</v>
      </c>
      <c r="K776" s="126"/>
      <c r="L776" s="126"/>
      <c r="M776" s="126"/>
      <c r="N776" s="126"/>
      <c r="O776" s="126" t="s">
        <v>537</v>
      </c>
      <c r="Q776" s="3">
        <f t="shared" ref="Q776:Q839" si="25">ABS(E776)</f>
        <v>55.87</v>
      </c>
      <c r="S776" s="55" t="s">
        <v>586</v>
      </c>
      <c r="U776" s="3" t="str">
        <f t="shared" ref="U776:U839" si="26">IF(T776="Y",E776,"")</f>
        <v/>
      </c>
    </row>
    <row r="777" spans="1:21" x14ac:dyDescent="0.35">
      <c r="A777" s="126" t="s">
        <v>35</v>
      </c>
      <c r="B777" s="126" t="s">
        <v>1075</v>
      </c>
      <c r="C777" s="126" t="s">
        <v>2</v>
      </c>
      <c r="D777" s="126" t="s">
        <v>3</v>
      </c>
      <c r="E777" s="126">
        <v>55.84</v>
      </c>
      <c r="F777" s="126" t="s">
        <v>88</v>
      </c>
      <c r="G777" s="108">
        <v>45602</v>
      </c>
      <c r="H777" s="126" t="s">
        <v>89</v>
      </c>
      <c r="I777" s="126" t="s">
        <v>8665</v>
      </c>
      <c r="J777" s="126"/>
      <c r="K777" s="126" t="s">
        <v>7880</v>
      </c>
      <c r="L777" s="126" t="s">
        <v>8666</v>
      </c>
      <c r="M777" s="126" t="s">
        <v>396</v>
      </c>
      <c r="N777" s="126"/>
      <c r="O777" s="126"/>
      <c r="Q777" s="3">
        <f t="shared" si="25"/>
        <v>55.84</v>
      </c>
      <c r="S777" s="55" t="s">
        <v>9016</v>
      </c>
      <c r="U777" s="3" t="str">
        <f t="shared" si="26"/>
        <v/>
      </c>
    </row>
    <row r="778" spans="1:21" x14ac:dyDescent="0.35">
      <c r="A778" s="126" t="s">
        <v>35</v>
      </c>
      <c r="B778" s="126" t="s">
        <v>2543</v>
      </c>
      <c r="C778" s="126" t="s">
        <v>2</v>
      </c>
      <c r="D778" s="126" t="s">
        <v>3</v>
      </c>
      <c r="E778" s="126">
        <v>55.38</v>
      </c>
      <c r="F778" s="126" t="s">
        <v>88</v>
      </c>
      <c r="G778" s="108">
        <v>45406</v>
      </c>
      <c r="H778" s="126" t="s">
        <v>94</v>
      </c>
      <c r="I778" s="126" t="s">
        <v>453</v>
      </c>
      <c r="J778" s="126" t="s">
        <v>395</v>
      </c>
      <c r="K778" s="126"/>
      <c r="L778" s="126"/>
      <c r="M778" s="126"/>
      <c r="N778" s="126"/>
      <c r="O778" s="126" t="s">
        <v>537</v>
      </c>
      <c r="Q778" s="3">
        <f t="shared" si="25"/>
        <v>55.38</v>
      </c>
      <c r="S778" s="55" t="s">
        <v>586</v>
      </c>
      <c r="U778" s="3" t="str">
        <f t="shared" si="26"/>
        <v/>
      </c>
    </row>
    <row r="779" spans="1:21" x14ac:dyDescent="0.35">
      <c r="A779" s="126" t="s">
        <v>0</v>
      </c>
      <c r="B779" s="126" t="s">
        <v>952</v>
      </c>
      <c r="C779" s="126" t="s">
        <v>2</v>
      </c>
      <c r="D779" s="126" t="s">
        <v>3</v>
      </c>
      <c r="E779" s="126">
        <v>55.36</v>
      </c>
      <c r="F779" s="126" t="s">
        <v>88</v>
      </c>
      <c r="G779" s="108">
        <v>45611</v>
      </c>
      <c r="H779" s="126" t="s">
        <v>89</v>
      </c>
      <c r="I779" s="126" t="s">
        <v>8734</v>
      </c>
      <c r="J779" s="126"/>
      <c r="K779" s="126" t="s">
        <v>8522</v>
      </c>
      <c r="L779" s="126" t="s">
        <v>8736</v>
      </c>
      <c r="M779" s="126" t="s">
        <v>399</v>
      </c>
      <c r="Q779" s="3">
        <f t="shared" si="25"/>
        <v>55.36</v>
      </c>
      <c r="S779" s="55" t="s">
        <v>9013</v>
      </c>
      <c r="U779" s="3" t="str">
        <f t="shared" si="26"/>
        <v/>
      </c>
    </row>
    <row r="780" spans="1:21" x14ac:dyDescent="0.35">
      <c r="A780" s="126" t="s">
        <v>35</v>
      </c>
      <c r="B780" s="126" t="s">
        <v>5426</v>
      </c>
      <c r="C780" s="126" t="s">
        <v>2</v>
      </c>
      <c r="D780" s="126" t="s">
        <v>3</v>
      </c>
      <c r="E780" s="126">
        <v>55.09</v>
      </c>
      <c r="F780" s="126" t="s">
        <v>88</v>
      </c>
      <c r="G780" s="108">
        <v>45475</v>
      </c>
      <c r="H780" s="126" t="s">
        <v>94</v>
      </c>
      <c r="I780" s="126" t="s">
        <v>475</v>
      </c>
      <c r="J780" s="126" t="s">
        <v>409</v>
      </c>
      <c r="K780" s="126"/>
      <c r="L780" s="126"/>
      <c r="M780" s="126"/>
      <c r="N780" s="126"/>
      <c r="O780" s="126" t="s">
        <v>518</v>
      </c>
      <c r="Q780" s="3">
        <f t="shared" si="25"/>
        <v>55.09</v>
      </c>
      <c r="S780" s="55" t="s">
        <v>586</v>
      </c>
      <c r="U780" s="3" t="str">
        <f t="shared" si="26"/>
        <v/>
      </c>
    </row>
    <row r="781" spans="1:21" x14ac:dyDescent="0.35">
      <c r="A781" s="126" t="s">
        <v>35</v>
      </c>
      <c r="B781" s="126" t="s">
        <v>1480</v>
      </c>
      <c r="C781" s="126" t="s">
        <v>2</v>
      </c>
      <c r="D781" s="126" t="s">
        <v>3</v>
      </c>
      <c r="E781" s="126">
        <v>54.7</v>
      </c>
      <c r="F781" s="126" t="s">
        <v>88</v>
      </c>
      <c r="G781" s="108">
        <v>45562</v>
      </c>
      <c r="H781" s="126" t="s">
        <v>94</v>
      </c>
      <c r="I781" s="126" t="s">
        <v>326</v>
      </c>
      <c r="J781" s="126" t="s">
        <v>327</v>
      </c>
      <c r="K781" s="126"/>
      <c r="L781" s="126"/>
      <c r="M781" s="126"/>
      <c r="N781" s="126"/>
      <c r="O781" s="126" t="s">
        <v>550</v>
      </c>
      <c r="Q781" s="3">
        <f t="shared" si="25"/>
        <v>54.7</v>
      </c>
      <c r="U781" s="3" t="str">
        <f t="shared" si="26"/>
        <v/>
      </c>
    </row>
    <row r="782" spans="1:21" x14ac:dyDescent="0.35">
      <c r="A782" s="126" t="s">
        <v>0</v>
      </c>
      <c r="B782" s="126" t="s">
        <v>606</v>
      </c>
      <c r="C782" s="126" t="s">
        <v>2</v>
      </c>
      <c r="D782" s="126" t="s">
        <v>3</v>
      </c>
      <c r="E782" s="126">
        <v>54.57</v>
      </c>
      <c r="F782" s="126" t="s">
        <v>88</v>
      </c>
      <c r="G782" s="108">
        <v>45391</v>
      </c>
      <c r="H782" s="126" t="s">
        <v>89</v>
      </c>
      <c r="I782" s="126" t="s">
        <v>7691</v>
      </c>
      <c r="J782" s="126"/>
      <c r="K782" s="126" t="s">
        <v>7672</v>
      </c>
      <c r="L782" s="126" t="s">
        <v>7692</v>
      </c>
      <c r="M782" s="126" t="s">
        <v>399</v>
      </c>
      <c r="N782" s="35"/>
      <c r="O782" s="35"/>
      <c r="Q782" s="3">
        <f t="shared" si="25"/>
        <v>54.57</v>
      </c>
      <c r="S782" s="55" t="s">
        <v>9013</v>
      </c>
      <c r="U782" s="3" t="str">
        <f t="shared" si="26"/>
        <v/>
      </c>
    </row>
    <row r="783" spans="1:21" x14ac:dyDescent="0.35">
      <c r="A783" s="126" t="s">
        <v>35</v>
      </c>
      <c r="B783" s="126" t="s">
        <v>2543</v>
      </c>
      <c r="C783" s="126" t="s">
        <v>2</v>
      </c>
      <c r="D783" s="126" t="s">
        <v>3</v>
      </c>
      <c r="E783" s="126">
        <v>54.55</v>
      </c>
      <c r="F783" s="126" t="s">
        <v>88</v>
      </c>
      <c r="G783" s="108">
        <v>45435</v>
      </c>
      <c r="H783" s="126" t="s">
        <v>94</v>
      </c>
      <c r="I783" s="126" t="s">
        <v>7884</v>
      </c>
      <c r="J783" s="126" t="s">
        <v>7885</v>
      </c>
      <c r="K783" s="126"/>
      <c r="L783" s="126"/>
      <c r="M783" s="126"/>
      <c r="N783" s="126"/>
      <c r="O783" s="126" t="s">
        <v>7886</v>
      </c>
      <c r="Q783" s="3">
        <f t="shared" si="25"/>
        <v>54.55</v>
      </c>
      <c r="U783" s="3" t="str">
        <f t="shared" si="26"/>
        <v/>
      </c>
    </row>
    <row r="784" spans="1:21" x14ac:dyDescent="0.35">
      <c r="A784" s="126" t="s">
        <v>35</v>
      </c>
      <c r="B784" s="126" t="s">
        <v>2031</v>
      </c>
      <c r="C784" s="126" t="s">
        <v>2</v>
      </c>
      <c r="D784" s="126" t="s">
        <v>3</v>
      </c>
      <c r="E784" s="126">
        <v>54.55</v>
      </c>
      <c r="F784" s="126" t="s">
        <v>88</v>
      </c>
      <c r="G784" s="108">
        <v>45639</v>
      </c>
      <c r="H784" s="126" t="s">
        <v>94</v>
      </c>
      <c r="I784" s="126" t="s">
        <v>497</v>
      </c>
      <c r="J784" s="126" t="s">
        <v>8964</v>
      </c>
      <c r="K784" s="126"/>
      <c r="L784" s="126"/>
      <c r="M784" s="126"/>
      <c r="N784" s="126"/>
      <c r="O784" s="126" t="s">
        <v>2076</v>
      </c>
      <c r="Q784" s="3">
        <f t="shared" si="25"/>
        <v>54.55</v>
      </c>
      <c r="S784" s="55" t="s">
        <v>586</v>
      </c>
      <c r="U784" s="3" t="str">
        <f t="shared" si="26"/>
        <v/>
      </c>
    </row>
    <row r="785" spans="1:21" x14ac:dyDescent="0.35">
      <c r="A785" s="126" t="s">
        <v>35</v>
      </c>
      <c r="B785" s="126" t="s">
        <v>5426</v>
      </c>
      <c r="C785" s="126" t="s">
        <v>2</v>
      </c>
      <c r="D785" s="126" t="s">
        <v>3</v>
      </c>
      <c r="E785" s="126">
        <v>54.55</v>
      </c>
      <c r="F785" s="126" t="s">
        <v>88</v>
      </c>
      <c r="G785" s="108">
        <v>45643</v>
      </c>
      <c r="H785" s="126" t="s">
        <v>94</v>
      </c>
      <c r="I785" s="126" t="s">
        <v>475</v>
      </c>
      <c r="J785" s="126" t="s">
        <v>8976</v>
      </c>
      <c r="K785" s="126"/>
      <c r="L785" s="126"/>
      <c r="M785" s="126"/>
      <c r="N785" s="126"/>
      <c r="O785" s="126" t="s">
        <v>8427</v>
      </c>
      <c r="Q785" s="3">
        <f t="shared" si="25"/>
        <v>54.55</v>
      </c>
      <c r="U785" s="3" t="str">
        <f t="shared" si="26"/>
        <v/>
      </c>
    </row>
    <row r="786" spans="1:21" x14ac:dyDescent="0.35">
      <c r="A786" s="126" t="s">
        <v>0</v>
      </c>
      <c r="B786" s="126" t="s">
        <v>606</v>
      </c>
      <c r="C786" s="126" t="s">
        <v>2</v>
      </c>
      <c r="D786" s="126" t="s">
        <v>3</v>
      </c>
      <c r="E786" s="126">
        <v>54.54</v>
      </c>
      <c r="F786" s="126" t="s">
        <v>88</v>
      </c>
      <c r="G786" s="108">
        <v>45432</v>
      </c>
      <c r="H786" s="126" t="s">
        <v>89</v>
      </c>
      <c r="I786" s="126" t="s">
        <v>7839</v>
      </c>
      <c r="J786" s="126"/>
      <c r="K786" s="126" t="s">
        <v>7840</v>
      </c>
      <c r="L786" s="126" t="s">
        <v>7841</v>
      </c>
      <c r="M786" s="126" t="s">
        <v>399</v>
      </c>
      <c r="N786" s="35"/>
      <c r="O786" s="35"/>
      <c r="Q786" s="3">
        <f t="shared" si="25"/>
        <v>54.54</v>
      </c>
      <c r="S786" s="55" t="s">
        <v>9013</v>
      </c>
      <c r="U786" s="3" t="str">
        <f t="shared" si="26"/>
        <v/>
      </c>
    </row>
    <row r="787" spans="1:21" x14ac:dyDescent="0.35">
      <c r="A787" s="126" t="s">
        <v>0</v>
      </c>
      <c r="B787" s="126" t="s">
        <v>606</v>
      </c>
      <c r="C787" s="126" t="s">
        <v>2</v>
      </c>
      <c r="D787" s="126" t="s">
        <v>3</v>
      </c>
      <c r="E787" s="126">
        <v>54.54</v>
      </c>
      <c r="F787" s="126" t="s">
        <v>88</v>
      </c>
      <c r="G787" s="108">
        <v>45454</v>
      </c>
      <c r="H787" s="126" t="s">
        <v>89</v>
      </c>
      <c r="I787" s="126" t="s">
        <v>7958</v>
      </c>
      <c r="J787" s="126"/>
      <c r="K787" s="126" t="s">
        <v>7959</v>
      </c>
      <c r="L787" s="126" t="s">
        <v>7960</v>
      </c>
      <c r="M787" s="126" t="s">
        <v>399</v>
      </c>
      <c r="Q787" s="3">
        <f t="shared" si="25"/>
        <v>54.54</v>
      </c>
      <c r="S787" s="55" t="s">
        <v>9013</v>
      </c>
      <c r="U787" s="3" t="str">
        <f t="shared" si="26"/>
        <v/>
      </c>
    </row>
    <row r="788" spans="1:21" x14ac:dyDescent="0.35">
      <c r="A788" s="126" t="s">
        <v>0</v>
      </c>
      <c r="B788" s="126" t="s">
        <v>606</v>
      </c>
      <c r="C788" s="126" t="s">
        <v>2</v>
      </c>
      <c r="D788" s="126" t="s">
        <v>3</v>
      </c>
      <c r="E788" s="126">
        <v>54.54</v>
      </c>
      <c r="F788" s="126" t="s">
        <v>88</v>
      </c>
      <c r="G788" s="108">
        <v>45517</v>
      </c>
      <c r="H788" s="126" t="s">
        <v>89</v>
      </c>
      <c r="I788" s="126" t="s">
        <v>8320</v>
      </c>
      <c r="J788" s="126"/>
      <c r="K788" s="126" t="s">
        <v>8321</v>
      </c>
      <c r="L788" s="126" t="s">
        <v>8322</v>
      </c>
      <c r="M788" s="126" t="s">
        <v>399</v>
      </c>
      <c r="Q788" s="3">
        <f t="shared" si="25"/>
        <v>54.54</v>
      </c>
      <c r="S788" s="55" t="s">
        <v>9013</v>
      </c>
      <c r="U788" s="3" t="str">
        <f t="shared" si="26"/>
        <v/>
      </c>
    </row>
    <row r="789" spans="1:21" x14ac:dyDescent="0.35">
      <c r="A789" s="126" t="s">
        <v>0</v>
      </c>
      <c r="B789" s="126" t="s">
        <v>606</v>
      </c>
      <c r="C789" s="126" t="s">
        <v>2</v>
      </c>
      <c r="D789" s="126" t="s">
        <v>3</v>
      </c>
      <c r="E789" s="126">
        <v>54.54</v>
      </c>
      <c r="F789" s="126" t="s">
        <v>88</v>
      </c>
      <c r="G789" s="108">
        <v>45551</v>
      </c>
      <c r="H789" s="126" t="s">
        <v>89</v>
      </c>
      <c r="I789" s="126" t="s">
        <v>8431</v>
      </c>
      <c r="J789" s="126"/>
      <c r="K789" s="126" t="s">
        <v>8432</v>
      </c>
      <c r="L789" s="126" t="s">
        <v>8433</v>
      </c>
      <c r="M789" s="126" t="s">
        <v>399</v>
      </c>
      <c r="Q789" s="3">
        <f t="shared" si="25"/>
        <v>54.54</v>
      </c>
      <c r="S789" s="55" t="s">
        <v>9013</v>
      </c>
      <c r="U789" s="3" t="str">
        <f t="shared" si="26"/>
        <v/>
      </c>
    </row>
    <row r="790" spans="1:21" x14ac:dyDescent="0.35">
      <c r="A790" s="126" t="s">
        <v>0</v>
      </c>
      <c r="B790" s="126" t="s">
        <v>606</v>
      </c>
      <c r="C790" s="126" t="s">
        <v>2</v>
      </c>
      <c r="D790" s="126" t="s">
        <v>3</v>
      </c>
      <c r="E790" s="126">
        <v>54.54</v>
      </c>
      <c r="F790" s="126" t="s">
        <v>88</v>
      </c>
      <c r="G790" s="108">
        <v>45569</v>
      </c>
      <c r="H790" s="126" t="s">
        <v>89</v>
      </c>
      <c r="I790" s="126" t="s">
        <v>8521</v>
      </c>
      <c r="J790" s="126"/>
      <c r="K790" s="126" t="s">
        <v>8522</v>
      </c>
      <c r="L790" s="126" t="s">
        <v>8523</v>
      </c>
      <c r="M790" s="126" t="s">
        <v>399</v>
      </c>
      <c r="Q790" s="3">
        <f t="shared" si="25"/>
        <v>54.54</v>
      </c>
      <c r="S790" s="55" t="s">
        <v>9013</v>
      </c>
      <c r="U790" s="3" t="str">
        <f t="shared" si="26"/>
        <v/>
      </c>
    </row>
    <row r="791" spans="1:21" x14ac:dyDescent="0.35">
      <c r="A791" s="126" t="s">
        <v>0</v>
      </c>
      <c r="B791" s="126" t="s">
        <v>606</v>
      </c>
      <c r="C791" s="126" t="s">
        <v>2</v>
      </c>
      <c r="D791" s="126" t="s">
        <v>3</v>
      </c>
      <c r="E791" s="126">
        <v>54.54</v>
      </c>
      <c r="F791" s="126" t="s">
        <v>88</v>
      </c>
      <c r="G791" s="108">
        <v>45611</v>
      </c>
      <c r="H791" s="126" t="s">
        <v>89</v>
      </c>
      <c r="I791" s="126" t="s">
        <v>8734</v>
      </c>
      <c r="J791" s="126"/>
      <c r="K791" s="126" t="s">
        <v>8522</v>
      </c>
      <c r="L791" s="126" t="s">
        <v>8736</v>
      </c>
      <c r="M791" s="126" t="s">
        <v>399</v>
      </c>
      <c r="Q791" s="3">
        <f t="shared" si="25"/>
        <v>54.54</v>
      </c>
      <c r="S791" s="55" t="s">
        <v>9013</v>
      </c>
      <c r="U791" s="3" t="str">
        <f t="shared" si="26"/>
        <v/>
      </c>
    </row>
    <row r="792" spans="1:21" x14ac:dyDescent="0.35">
      <c r="A792" s="126" t="s">
        <v>0</v>
      </c>
      <c r="B792" s="126" t="s">
        <v>606</v>
      </c>
      <c r="C792" s="126" t="s">
        <v>2</v>
      </c>
      <c r="D792" s="126" t="s">
        <v>3</v>
      </c>
      <c r="E792" s="126">
        <v>54.54</v>
      </c>
      <c r="F792" s="126" t="s">
        <v>88</v>
      </c>
      <c r="G792" s="108">
        <v>45635</v>
      </c>
      <c r="H792" s="126" t="s">
        <v>89</v>
      </c>
      <c r="I792" s="126" t="s">
        <v>8878</v>
      </c>
      <c r="J792" s="126"/>
      <c r="K792" s="126" t="s">
        <v>8879</v>
      </c>
      <c r="L792" s="126" t="s">
        <v>8880</v>
      </c>
      <c r="M792" s="126" t="s">
        <v>399</v>
      </c>
      <c r="Q792" s="3">
        <f t="shared" si="25"/>
        <v>54.54</v>
      </c>
      <c r="S792" s="55" t="s">
        <v>9013</v>
      </c>
      <c r="U792" s="3" t="str">
        <f t="shared" si="26"/>
        <v/>
      </c>
    </row>
    <row r="793" spans="1:21" x14ac:dyDescent="0.35">
      <c r="A793" s="126" t="s">
        <v>35</v>
      </c>
      <c r="B793" s="126" t="s">
        <v>2031</v>
      </c>
      <c r="C793" s="126" t="s">
        <v>2</v>
      </c>
      <c r="D793" s="126" t="s">
        <v>3</v>
      </c>
      <c r="E793" s="126">
        <v>54.53</v>
      </c>
      <c r="F793" s="126" t="s">
        <v>88</v>
      </c>
      <c r="G793" s="108">
        <v>45414</v>
      </c>
      <c r="H793" s="126" t="s">
        <v>94</v>
      </c>
      <c r="I793" s="126" t="s">
        <v>493</v>
      </c>
      <c r="J793" s="126" t="s">
        <v>7788</v>
      </c>
      <c r="K793" s="126"/>
      <c r="L793" s="126"/>
      <c r="M793" s="126"/>
      <c r="N793" s="126"/>
      <c r="O793" s="126" t="s">
        <v>540</v>
      </c>
      <c r="Q793" s="3">
        <f t="shared" si="25"/>
        <v>54.53</v>
      </c>
      <c r="U793" s="3" t="str">
        <f t="shared" si="26"/>
        <v/>
      </c>
    </row>
    <row r="794" spans="1:21" x14ac:dyDescent="0.35">
      <c r="A794" s="126" t="s">
        <v>35</v>
      </c>
      <c r="B794" s="126" t="s">
        <v>2543</v>
      </c>
      <c r="C794" s="126" t="s">
        <v>2</v>
      </c>
      <c r="D794" s="126" t="s">
        <v>3</v>
      </c>
      <c r="E794" s="126">
        <v>54.51</v>
      </c>
      <c r="F794" s="126" t="s">
        <v>88</v>
      </c>
      <c r="G794" s="108">
        <v>45464</v>
      </c>
      <c r="H794" s="126" t="s">
        <v>94</v>
      </c>
      <c r="I794" s="126" t="s">
        <v>453</v>
      </c>
      <c r="J794" s="126" t="s">
        <v>395</v>
      </c>
      <c r="K794" s="126"/>
      <c r="L794" s="126"/>
      <c r="M794" s="126"/>
      <c r="N794" s="126"/>
      <c r="O794" s="126" t="s">
        <v>537</v>
      </c>
      <c r="Q794" s="3">
        <f t="shared" si="25"/>
        <v>54.51</v>
      </c>
      <c r="S794" s="55" t="s">
        <v>586</v>
      </c>
      <c r="U794" s="3" t="str">
        <f t="shared" si="26"/>
        <v/>
      </c>
    </row>
    <row r="795" spans="1:21" x14ac:dyDescent="0.35">
      <c r="A795" s="126" t="s">
        <v>35</v>
      </c>
      <c r="B795" s="126" t="s">
        <v>1480</v>
      </c>
      <c r="C795" s="126" t="s">
        <v>2</v>
      </c>
      <c r="D795" s="126" t="s">
        <v>3</v>
      </c>
      <c r="E795" s="126">
        <v>54.45</v>
      </c>
      <c r="F795" s="126" t="s">
        <v>88</v>
      </c>
      <c r="G795" s="108">
        <v>45436</v>
      </c>
      <c r="H795" s="126" t="s">
        <v>94</v>
      </c>
      <c r="I795" s="126" t="s">
        <v>7889</v>
      </c>
      <c r="J795" s="126" t="s">
        <v>7890</v>
      </c>
      <c r="K795" s="126"/>
      <c r="L795" s="126"/>
      <c r="M795" s="126"/>
      <c r="N795" s="126"/>
      <c r="O795" s="126" t="s">
        <v>7891</v>
      </c>
      <c r="Q795" s="3">
        <f t="shared" si="25"/>
        <v>54.45</v>
      </c>
      <c r="S795" s="55" t="s">
        <v>53</v>
      </c>
      <c r="T795" t="s">
        <v>64</v>
      </c>
      <c r="U795" s="3">
        <f t="shared" si="26"/>
        <v>54.45</v>
      </c>
    </row>
    <row r="796" spans="1:21" x14ac:dyDescent="0.35">
      <c r="A796" s="126" t="s">
        <v>0</v>
      </c>
      <c r="B796" s="126" t="s">
        <v>633</v>
      </c>
      <c r="C796" s="126" t="s">
        <v>2</v>
      </c>
      <c r="D796" s="126" t="s">
        <v>3</v>
      </c>
      <c r="E796" s="126">
        <v>54.21</v>
      </c>
      <c r="F796" s="126" t="s">
        <v>88</v>
      </c>
      <c r="G796" s="108">
        <v>45432</v>
      </c>
      <c r="H796" s="126" t="s">
        <v>89</v>
      </c>
      <c r="I796" s="126" t="s">
        <v>7842</v>
      </c>
      <c r="J796" s="126"/>
      <c r="K796" s="126" t="s">
        <v>7840</v>
      </c>
      <c r="L796" s="126" t="s">
        <v>7843</v>
      </c>
      <c r="M796" s="126" t="s">
        <v>399</v>
      </c>
      <c r="Q796" s="3">
        <f t="shared" si="25"/>
        <v>54.21</v>
      </c>
      <c r="S796" s="55" t="s">
        <v>9013</v>
      </c>
      <c r="U796" s="3" t="str">
        <f t="shared" si="26"/>
        <v/>
      </c>
    </row>
    <row r="797" spans="1:21" x14ac:dyDescent="0.35">
      <c r="A797" s="126" t="s">
        <v>0</v>
      </c>
      <c r="B797" s="126" t="s">
        <v>633</v>
      </c>
      <c r="C797" s="126" t="s">
        <v>2</v>
      </c>
      <c r="D797" s="126" t="s">
        <v>3</v>
      </c>
      <c r="E797" s="126">
        <v>54.21</v>
      </c>
      <c r="F797" s="126" t="s">
        <v>88</v>
      </c>
      <c r="G797" s="108">
        <v>45505</v>
      </c>
      <c r="H797" s="126" t="s">
        <v>89</v>
      </c>
      <c r="I797" s="126" t="s">
        <v>8248</v>
      </c>
      <c r="J797" s="126"/>
      <c r="K797" s="126" t="s">
        <v>8135</v>
      </c>
      <c r="L797" s="126" t="s">
        <v>8249</v>
      </c>
      <c r="M797" s="126" t="s">
        <v>399</v>
      </c>
      <c r="Q797" s="3">
        <f t="shared" si="25"/>
        <v>54.21</v>
      </c>
      <c r="S797" s="55" t="s">
        <v>9013</v>
      </c>
      <c r="U797" s="3" t="str">
        <f t="shared" si="26"/>
        <v/>
      </c>
    </row>
    <row r="798" spans="1:21" x14ac:dyDescent="0.35">
      <c r="A798" s="126" t="s">
        <v>0</v>
      </c>
      <c r="B798" s="126" t="s">
        <v>633</v>
      </c>
      <c r="C798" s="126" t="s">
        <v>2</v>
      </c>
      <c r="D798" s="126" t="s">
        <v>3</v>
      </c>
      <c r="E798" s="126">
        <v>54.21</v>
      </c>
      <c r="F798" s="126" t="s">
        <v>88</v>
      </c>
      <c r="G798" s="108">
        <v>45569</v>
      </c>
      <c r="H798" s="126" t="s">
        <v>89</v>
      </c>
      <c r="I798" s="126" t="s">
        <v>8524</v>
      </c>
      <c r="J798" s="126"/>
      <c r="K798" s="126" t="s">
        <v>8525</v>
      </c>
      <c r="L798" s="126" t="s">
        <v>8526</v>
      </c>
      <c r="M798" s="126" t="s">
        <v>399</v>
      </c>
      <c r="N798" s="126"/>
      <c r="O798" s="126"/>
      <c r="Q798" s="3">
        <f t="shared" si="25"/>
        <v>54.21</v>
      </c>
      <c r="S798" s="55" t="s">
        <v>9013</v>
      </c>
      <c r="U798" s="3" t="str">
        <f t="shared" si="26"/>
        <v/>
      </c>
    </row>
    <row r="799" spans="1:21" x14ac:dyDescent="0.35">
      <c r="A799" s="126" t="s">
        <v>35</v>
      </c>
      <c r="B799" s="126" t="s">
        <v>724</v>
      </c>
      <c r="C799" s="126" t="s">
        <v>2</v>
      </c>
      <c r="D799" s="126" t="s">
        <v>3</v>
      </c>
      <c r="E799" s="126">
        <v>53.64</v>
      </c>
      <c r="F799" s="126" t="s">
        <v>88</v>
      </c>
      <c r="G799" s="108">
        <v>45618</v>
      </c>
      <c r="H799" s="126" t="s">
        <v>94</v>
      </c>
      <c r="I799" s="126" t="s">
        <v>858</v>
      </c>
      <c r="J799" s="126" t="s">
        <v>8778</v>
      </c>
      <c r="K799" s="126"/>
      <c r="L799" s="126"/>
      <c r="M799" s="126"/>
      <c r="N799" s="126"/>
      <c r="O799" s="126" t="s">
        <v>8779</v>
      </c>
      <c r="Q799" s="3">
        <f t="shared" si="25"/>
        <v>53.64</v>
      </c>
      <c r="U799" s="3" t="str">
        <f t="shared" si="26"/>
        <v/>
      </c>
    </row>
    <row r="800" spans="1:21" x14ac:dyDescent="0.35">
      <c r="A800" s="126" t="s">
        <v>35</v>
      </c>
      <c r="B800" s="126" t="s">
        <v>869</v>
      </c>
      <c r="C800" s="126" t="s">
        <v>2</v>
      </c>
      <c r="D800" s="126" t="s">
        <v>3</v>
      </c>
      <c r="E800" s="126">
        <v>53.57</v>
      </c>
      <c r="F800" s="126" t="s">
        <v>88</v>
      </c>
      <c r="G800" s="108">
        <v>45495</v>
      </c>
      <c r="H800" s="126" t="s">
        <v>89</v>
      </c>
      <c r="I800" s="126" t="s">
        <v>8192</v>
      </c>
      <c r="J800" s="126"/>
      <c r="K800" s="126" t="s">
        <v>8193</v>
      </c>
      <c r="L800" s="126" t="s">
        <v>8194</v>
      </c>
      <c r="M800" s="126" t="s">
        <v>8195</v>
      </c>
      <c r="N800" s="126"/>
      <c r="O800" s="126"/>
      <c r="Q800" s="3">
        <f t="shared" si="25"/>
        <v>53.57</v>
      </c>
      <c r="U800" s="3" t="str">
        <f t="shared" si="26"/>
        <v/>
      </c>
    </row>
    <row r="801" spans="1:21" x14ac:dyDescent="0.35">
      <c r="A801" s="126" t="s">
        <v>35</v>
      </c>
      <c r="B801" s="126" t="s">
        <v>615</v>
      </c>
      <c r="C801" s="126" t="s">
        <v>2</v>
      </c>
      <c r="D801" s="126" t="s">
        <v>3</v>
      </c>
      <c r="E801" s="126">
        <v>53.36</v>
      </c>
      <c r="F801" s="126" t="s">
        <v>88</v>
      </c>
      <c r="G801" s="108">
        <v>45390</v>
      </c>
      <c r="H801" s="126" t="s">
        <v>94</v>
      </c>
      <c r="I801" s="126" t="s">
        <v>616</v>
      </c>
      <c r="J801" s="126" t="s">
        <v>7687</v>
      </c>
      <c r="K801" s="126"/>
      <c r="L801" s="126"/>
      <c r="M801" s="126"/>
      <c r="N801" s="126"/>
      <c r="O801" s="126" t="s">
        <v>617</v>
      </c>
      <c r="Q801" s="3">
        <f t="shared" si="25"/>
        <v>53.36</v>
      </c>
      <c r="U801" s="3" t="str">
        <f t="shared" si="26"/>
        <v/>
      </c>
    </row>
    <row r="802" spans="1:21" x14ac:dyDescent="0.35">
      <c r="A802" s="126" t="s">
        <v>0</v>
      </c>
      <c r="B802" s="126" t="s">
        <v>969</v>
      </c>
      <c r="C802" s="126" t="s">
        <v>2</v>
      </c>
      <c r="D802" s="126" t="s">
        <v>3</v>
      </c>
      <c r="E802" s="126">
        <v>53.29</v>
      </c>
      <c r="F802" s="126" t="s">
        <v>88</v>
      </c>
      <c r="G802" s="108">
        <v>45386</v>
      </c>
      <c r="H802" s="126" t="s">
        <v>89</v>
      </c>
      <c r="I802" s="126" t="s">
        <v>7654</v>
      </c>
      <c r="J802" s="126"/>
      <c r="K802" s="126" t="s">
        <v>7650</v>
      </c>
      <c r="L802" s="126" t="s">
        <v>7656</v>
      </c>
      <c r="M802" s="126" t="s">
        <v>420</v>
      </c>
      <c r="N802" s="126"/>
      <c r="O802" s="126"/>
      <c r="Q802" s="3">
        <f t="shared" si="25"/>
        <v>53.29</v>
      </c>
      <c r="U802" s="3" t="str">
        <f t="shared" si="26"/>
        <v/>
      </c>
    </row>
    <row r="803" spans="1:21" x14ac:dyDescent="0.35">
      <c r="A803" s="126" t="s">
        <v>0</v>
      </c>
      <c r="B803" s="126" t="s">
        <v>1075</v>
      </c>
      <c r="C803" s="126" t="s">
        <v>2</v>
      </c>
      <c r="D803" s="126" t="s">
        <v>3</v>
      </c>
      <c r="E803" s="126">
        <v>53.199999999999996</v>
      </c>
      <c r="F803" s="126" t="s">
        <v>88</v>
      </c>
      <c r="G803" s="108">
        <v>45432</v>
      </c>
      <c r="H803" s="126" t="s">
        <v>89</v>
      </c>
      <c r="I803" s="126" t="s">
        <v>7836</v>
      </c>
      <c r="J803" s="126"/>
      <c r="K803" s="126" t="s">
        <v>7837</v>
      </c>
      <c r="L803" s="126" t="s">
        <v>7838</v>
      </c>
      <c r="M803" s="126" t="s">
        <v>396</v>
      </c>
      <c r="N803" s="126"/>
      <c r="O803" s="126"/>
      <c r="Q803" s="3">
        <f t="shared" si="25"/>
        <v>53.199999999999996</v>
      </c>
      <c r="S803" s="55" t="s">
        <v>9016</v>
      </c>
      <c r="U803" s="3" t="str">
        <f t="shared" si="26"/>
        <v/>
      </c>
    </row>
    <row r="804" spans="1:21" x14ac:dyDescent="0.35">
      <c r="A804" s="126" t="s">
        <v>35</v>
      </c>
      <c r="B804" s="126" t="s">
        <v>3422</v>
      </c>
      <c r="C804" s="126" t="s">
        <v>2</v>
      </c>
      <c r="D804" s="126" t="s">
        <v>3</v>
      </c>
      <c r="E804" s="126">
        <v>53.180000000000007</v>
      </c>
      <c r="F804" s="126" t="s">
        <v>88</v>
      </c>
      <c r="G804" s="108">
        <v>45404</v>
      </c>
      <c r="H804" s="126" t="s">
        <v>94</v>
      </c>
      <c r="I804" s="126" t="s">
        <v>4435</v>
      </c>
      <c r="J804" s="126" t="s">
        <v>7661</v>
      </c>
      <c r="K804" s="126"/>
      <c r="L804" s="126"/>
      <c r="M804" s="126"/>
      <c r="N804" s="126"/>
      <c r="O804" s="126" t="s">
        <v>538</v>
      </c>
      <c r="Q804" s="3">
        <f t="shared" si="25"/>
        <v>53.180000000000007</v>
      </c>
      <c r="U804" s="3" t="str">
        <f t="shared" si="26"/>
        <v/>
      </c>
    </row>
    <row r="805" spans="1:21" x14ac:dyDescent="0.35">
      <c r="A805" s="126" t="s">
        <v>0</v>
      </c>
      <c r="B805" s="126" t="s">
        <v>3466</v>
      </c>
      <c r="C805" s="126" t="s">
        <v>2</v>
      </c>
      <c r="D805" s="126" t="s">
        <v>3</v>
      </c>
      <c r="E805" s="126">
        <v>53.16</v>
      </c>
      <c r="F805" s="126" t="s">
        <v>88</v>
      </c>
      <c r="G805" s="108">
        <v>45505</v>
      </c>
      <c r="H805" s="126" t="s">
        <v>89</v>
      </c>
      <c r="I805" s="126" t="s">
        <v>8242</v>
      </c>
      <c r="J805" s="126"/>
      <c r="K805" s="126" t="s">
        <v>8239</v>
      </c>
      <c r="L805" s="126" t="s">
        <v>8243</v>
      </c>
      <c r="M805" s="126" t="s">
        <v>8241</v>
      </c>
      <c r="Q805" s="3">
        <f t="shared" si="25"/>
        <v>53.16</v>
      </c>
      <c r="S805" s="55" t="s">
        <v>9016</v>
      </c>
      <c r="U805" s="3" t="str">
        <f t="shared" si="26"/>
        <v/>
      </c>
    </row>
    <row r="806" spans="1:21" x14ac:dyDescent="0.35">
      <c r="A806" s="126" t="s">
        <v>0</v>
      </c>
      <c r="B806" s="126" t="s">
        <v>3466</v>
      </c>
      <c r="C806" s="126" t="s">
        <v>2</v>
      </c>
      <c r="D806" s="126" t="s">
        <v>3</v>
      </c>
      <c r="E806" s="126">
        <v>52.78</v>
      </c>
      <c r="F806" s="126" t="s">
        <v>88</v>
      </c>
      <c r="G806" s="108">
        <v>45629</v>
      </c>
      <c r="H806" s="126" t="s">
        <v>89</v>
      </c>
      <c r="I806" s="126" t="s">
        <v>8833</v>
      </c>
      <c r="J806" s="126"/>
      <c r="K806" s="126" t="s">
        <v>8239</v>
      </c>
      <c r="L806" s="126" t="s">
        <v>8834</v>
      </c>
      <c r="M806" s="126" t="s">
        <v>8241</v>
      </c>
      <c r="N806" s="126"/>
      <c r="O806" s="126"/>
      <c r="Q806" s="3">
        <f t="shared" si="25"/>
        <v>52.78</v>
      </c>
      <c r="S806" s="55" t="s">
        <v>9016</v>
      </c>
      <c r="U806" s="3" t="str">
        <f t="shared" si="26"/>
        <v/>
      </c>
    </row>
    <row r="807" spans="1:21" x14ac:dyDescent="0.35">
      <c r="A807" s="126" t="s">
        <v>0</v>
      </c>
      <c r="B807" s="126" t="s">
        <v>2543</v>
      </c>
      <c r="C807" s="126" t="s">
        <v>2</v>
      </c>
      <c r="D807" s="126" t="s">
        <v>3</v>
      </c>
      <c r="E807" s="126">
        <v>52.67</v>
      </c>
      <c r="F807" s="126" t="s">
        <v>88</v>
      </c>
      <c r="G807" s="108">
        <v>45457</v>
      </c>
      <c r="H807" s="126" t="s">
        <v>89</v>
      </c>
      <c r="I807" s="126" t="s">
        <v>7995</v>
      </c>
      <c r="J807" s="126"/>
      <c r="K807" s="126" t="s">
        <v>7996</v>
      </c>
      <c r="L807" s="126" t="s">
        <v>7997</v>
      </c>
      <c r="M807" s="126" t="s">
        <v>7998</v>
      </c>
      <c r="N807" s="126"/>
      <c r="O807" s="126"/>
      <c r="Q807" s="3">
        <f t="shared" si="25"/>
        <v>52.67</v>
      </c>
      <c r="S807" s="55" t="s">
        <v>9013</v>
      </c>
      <c r="U807" s="3" t="str">
        <f t="shared" si="26"/>
        <v/>
      </c>
    </row>
    <row r="808" spans="1:21" x14ac:dyDescent="0.35">
      <c r="A808" s="126" t="s">
        <v>0</v>
      </c>
      <c r="B808" s="126" t="s">
        <v>3466</v>
      </c>
      <c r="C808" s="126" t="s">
        <v>2</v>
      </c>
      <c r="D808" s="126" t="s">
        <v>3</v>
      </c>
      <c r="E808" s="126">
        <v>52.64</v>
      </c>
      <c r="F808" s="126" t="s">
        <v>88</v>
      </c>
      <c r="G808" s="108">
        <v>45457</v>
      </c>
      <c r="H808" s="126" t="s">
        <v>89</v>
      </c>
      <c r="I808" s="126" t="s">
        <v>7995</v>
      </c>
      <c r="J808" s="126"/>
      <c r="K808" s="126" t="s">
        <v>7996</v>
      </c>
      <c r="L808" s="126" t="s">
        <v>7997</v>
      </c>
      <c r="M808" s="126" t="s">
        <v>7998</v>
      </c>
      <c r="N808" s="126"/>
      <c r="O808" s="126"/>
      <c r="Q808" s="3">
        <f t="shared" si="25"/>
        <v>52.64</v>
      </c>
      <c r="S808" s="55" t="s">
        <v>9013</v>
      </c>
      <c r="U808" s="3" t="str">
        <f t="shared" si="26"/>
        <v/>
      </c>
    </row>
    <row r="809" spans="1:21" x14ac:dyDescent="0.35">
      <c r="A809" s="126" t="s">
        <v>0</v>
      </c>
      <c r="B809" s="126" t="s">
        <v>1487</v>
      </c>
      <c r="C809" s="126" t="s">
        <v>2</v>
      </c>
      <c r="D809" s="126" t="s">
        <v>3</v>
      </c>
      <c r="E809" s="126">
        <v>52.32</v>
      </c>
      <c r="F809" s="126" t="s">
        <v>88</v>
      </c>
      <c r="G809" s="108">
        <v>45432</v>
      </c>
      <c r="H809" s="126" t="s">
        <v>89</v>
      </c>
      <c r="I809" s="126" t="s">
        <v>7842</v>
      </c>
      <c r="J809" s="126"/>
      <c r="K809" s="126" t="s">
        <v>7840</v>
      </c>
      <c r="L809" s="126" t="s">
        <v>7843</v>
      </c>
      <c r="M809" s="126" t="s">
        <v>399</v>
      </c>
      <c r="Q809" s="3">
        <f t="shared" si="25"/>
        <v>52.32</v>
      </c>
      <c r="S809" s="55" t="s">
        <v>9013</v>
      </c>
      <c r="U809" s="3" t="str">
        <f t="shared" si="26"/>
        <v/>
      </c>
    </row>
    <row r="810" spans="1:21" x14ac:dyDescent="0.35">
      <c r="A810" s="126" t="s">
        <v>0</v>
      </c>
      <c r="B810" s="126" t="s">
        <v>953</v>
      </c>
      <c r="C810" s="126" t="s">
        <v>2</v>
      </c>
      <c r="D810" s="126" t="s">
        <v>3</v>
      </c>
      <c r="E810" s="126">
        <v>52.1</v>
      </c>
      <c r="F810" s="126" t="s">
        <v>88</v>
      </c>
      <c r="G810" s="108">
        <v>45530</v>
      </c>
      <c r="H810" s="126" t="s">
        <v>89</v>
      </c>
      <c r="I810" s="126" t="s">
        <v>8359</v>
      </c>
      <c r="J810" s="126"/>
      <c r="K810" s="126" t="s">
        <v>405</v>
      </c>
      <c r="L810" s="126" t="s">
        <v>8360</v>
      </c>
      <c r="M810" s="126" t="s">
        <v>322</v>
      </c>
      <c r="N810" s="126"/>
      <c r="O810" s="126"/>
      <c r="Q810" s="3">
        <f t="shared" si="25"/>
        <v>52.1</v>
      </c>
      <c r="U810" s="3" t="str">
        <f t="shared" si="26"/>
        <v/>
      </c>
    </row>
    <row r="811" spans="1:21" x14ac:dyDescent="0.35">
      <c r="A811" s="126" t="s">
        <v>35</v>
      </c>
      <c r="B811" s="126" t="s">
        <v>740</v>
      </c>
      <c r="C811" s="126" t="s">
        <v>2</v>
      </c>
      <c r="D811" s="126" t="s">
        <v>3</v>
      </c>
      <c r="E811" s="126">
        <v>51.82</v>
      </c>
      <c r="F811" s="126" t="s">
        <v>88</v>
      </c>
      <c r="G811" s="108">
        <v>45602</v>
      </c>
      <c r="H811" s="126" t="s">
        <v>94</v>
      </c>
      <c r="I811" s="126" t="s">
        <v>426</v>
      </c>
      <c r="J811" s="126" t="s">
        <v>8173</v>
      </c>
      <c r="K811" s="126"/>
      <c r="L811" s="126"/>
      <c r="M811" s="126"/>
      <c r="N811" s="126"/>
      <c r="O811" s="126" t="s">
        <v>8682</v>
      </c>
      <c r="Q811" s="3">
        <f t="shared" si="25"/>
        <v>51.82</v>
      </c>
      <c r="S811" s="55" t="s">
        <v>9016</v>
      </c>
      <c r="U811" s="3" t="str">
        <f t="shared" si="26"/>
        <v/>
      </c>
    </row>
    <row r="812" spans="1:21" x14ac:dyDescent="0.35">
      <c r="A812" s="126" t="s">
        <v>35</v>
      </c>
      <c r="B812" s="126" t="s">
        <v>869</v>
      </c>
      <c r="C812" s="126" t="s">
        <v>2</v>
      </c>
      <c r="D812" s="126" t="s">
        <v>3</v>
      </c>
      <c r="E812" s="126">
        <v>51.69</v>
      </c>
      <c r="F812" s="126" t="s">
        <v>88</v>
      </c>
      <c r="G812" s="108">
        <v>45636</v>
      </c>
      <c r="H812" s="126" t="s">
        <v>94</v>
      </c>
      <c r="I812" s="126" t="s">
        <v>7987</v>
      </c>
      <c r="J812" s="126" t="s">
        <v>8913</v>
      </c>
      <c r="K812" s="126"/>
      <c r="L812" s="126"/>
      <c r="M812" s="126"/>
      <c r="N812" s="126"/>
      <c r="O812" s="126" t="s">
        <v>8370</v>
      </c>
      <c r="Q812" s="3">
        <f t="shared" si="25"/>
        <v>51.69</v>
      </c>
      <c r="U812" s="3" t="str">
        <f t="shared" si="26"/>
        <v/>
      </c>
    </row>
    <row r="813" spans="1:21" x14ac:dyDescent="0.35">
      <c r="A813" s="126" t="s">
        <v>35</v>
      </c>
      <c r="B813" s="126" t="s">
        <v>1123</v>
      </c>
      <c r="C813" s="126" t="s">
        <v>2</v>
      </c>
      <c r="D813" s="126" t="s">
        <v>3</v>
      </c>
      <c r="E813" s="126">
        <v>51.52</v>
      </c>
      <c r="F813" s="126" t="s">
        <v>88</v>
      </c>
      <c r="G813" s="108">
        <v>45440</v>
      </c>
      <c r="H813" s="126" t="s">
        <v>94</v>
      </c>
      <c r="I813" s="126" t="s">
        <v>1129</v>
      </c>
      <c r="J813" s="126" t="s">
        <v>7905</v>
      </c>
      <c r="K813" s="126"/>
      <c r="L813" s="126"/>
      <c r="M813" s="126"/>
      <c r="N813" s="126"/>
      <c r="O813" s="126" t="s">
        <v>7906</v>
      </c>
      <c r="Q813" s="3">
        <f t="shared" si="25"/>
        <v>51.52</v>
      </c>
      <c r="U813" s="3" t="str">
        <f t="shared" si="26"/>
        <v/>
      </c>
    </row>
    <row r="814" spans="1:21" x14ac:dyDescent="0.35">
      <c r="A814" s="126" t="s">
        <v>35</v>
      </c>
      <c r="B814" s="126" t="s">
        <v>2226</v>
      </c>
      <c r="C814" s="126" t="s">
        <v>2</v>
      </c>
      <c r="D814" s="126" t="s">
        <v>3</v>
      </c>
      <c r="E814" s="126">
        <v>51.52</v>
      </c>
      <c r="F814" s="126" t="s">
        <v>88</v>
      </c>
      <c r="G814" s="108">
        <v>45460</v>
      </c>
      <c r="H814" s="126" t="s">
        <v>94</v>
      </c>
      <c r="I814" s="126" t="s">
        <v>335</v>
      </c>
      <c r="J814" s="126" t="s">
        <v>336</v>
      </c>
      <c r="K814" s="126"/>
      <c r="L814" s="126"/>
      <c r="M814" s="126"/>
      <c r="N814" s="126"/>
      <c r="O814" s="126" t="s">
        <v>532</v>
      </c>
      <c r="Q814" s="3">
        <f t="shared" si="25"/>
        <v>51.52</v>
      </c>
      <c r="U814" s="3" t="str">
        <f t="shared" si="26"/>
        <v/>
      </c>
    </row>
    <row r="815" spans="1:21" x14ac:dyDescent="0.35">
      <c r="A815" s="126" t="s">
        <v>0</v>
      </c>
      <c r="B815" s="126" t="s">
        <v>6047</v>
      </c>
      <c r="C815" s="126" t="s">
        <v>2</v>
      </c>
      <c r="D815" s="126" t="s">
        <v>3</v>
      </c>
      <c r="E815" s="126">
        <v>51.05</v>
      </c>
      <c r="F815" s="126" t="s">
        <v>88</v>
      </c>
      <c r="G815" s="108">
        <v>45635</v>
      </c>
      <c r="H815" s="126" t="s">
        <v>89</v>
      </c>
      <c r="I815" s="126" t="s">
        <v>8878</v>
      </c>
      <c r="J815" s="126"/>
      <c r="K815" s="126" t="s">
        <v>8879</v>
      </c>
      <c r="L815" s="126" t="s">
        <v>8880</v>
      </c>
      <c r="M815" s="126" t="s">
        <v>399</v>
      </c>
      <c r="Q815" s="3">
        <f t="shared" si="25"/>
        <v>51.05</v>
      </c>
      <c r="S815" s="55" t="s">
        <v>9013</v>
      </c>
      <c r="U815" s="3" t="str">
        <f t="shared" si="26"/>
        <v/>
      </c>
    </row>
    <row r="816" spans="1:21" x14ac:dyDescent="0.35">
      <c r="A816" s="126" t="s">
        <v>0</v>
      </c>
      <c r="B816" s="126" t="s">
        <v>6047</v>
      </c>
      <c r="C816" s="126" t="s">
        <v>2</v>
      </c>
      <c r="D816" s="126" t="s">
        <v>3</v>
      </c>
      <c r="E816" s="126">
        <v>51.03</v>
      </c>
      <c r="F816" s="126" t="s">
        <v>88</v>
      </c>
      <c r="G816" s="108">
        <v>45391</v>
      </c>
      <c r="H816" s="126" t="s">
        <v>89</v>
      </c>
      <c r="I816" s="126" t="s">
        <v>7691</v>
      </c>
      <c r="J816" s="126"/>
      <c r="K816" s="126" t="s">
        <v>7672</v>
      </c>
      <c r="L816" s="126" t="s">
        <v>7692</v>
      </c>
      <c r="M816" s="126" t="s">
        <v>399</v>
      </c>
      <c r="Q816" s="3">
        <f t="shared" si="25"/>
        <v>51.03</v>
      </c>
      <c r="S816" s="55" t="s">
        <v>9013</v>
      </c>
      <c r="U816" s="3" t="str">
        <f t="shared" si="26"/>
        <v/>
      </c>
    </row>
    <row r="817" spans="1:21" x14ac:dyDescent="0.35">
      <c r="A817" s="126" t="s">
        <v>0</v>
      </c>
      <c r="B817" s="126" t="s">
        <v>6047</v>
      </c>
      <c r="C817" s="126" t="s">
        <v>2</v>
      </c>
      <c r="D817" s="126" t="s">
        <v>3</v>
      </c>
      <c r="E817" s="126">
        <v>51.02</v>
      </c>
      <c r="F817" s="126" t="s">
        <v>88</v>
      </c>
      <c r="G817" s="108">
        <v>45432</v>
      </c>
      <c r="H817" s="126" t="s">
        <v>89</v>
      </c>
      <c r="I817" s="126" t="s">
        <v>7839</v>
      </c>
      <c r="J817" s="126"/>
      <c r="K817" s="126" t="s">
        <v>7840</v>
      </c>
      <c r="L817" s="126" t="s">
        <v>7841</v>
      </c>
      <c r="M817" s="126" t="s">
        <v>399</v>
      </c>
      <c r="N817" s="35"/>
      <c r="O817" s="35"/>
      <c r="Q817" s="3">
        <f t="shared" si="25"/>
        <v>51.02</v>
      </c>
      <c r="S817" s="55" t="s">
        <v>9013</v>
      </c>
      <c r="U817" s="3" t="str">
        <f t="shared" si="26"/>
        <v/>
      </c>
    </row>
    <row r="818" spans="1:21" x14ac:dyDescent="0.35">
      <c r="A818" s="126" t="s">
        <v>0</v>
      </c>
      <c r="B818" s="126" t="s">
        <v>6047</v>
      </c>
      <c r="C818" s="126" t="s">
        <v>2</v>
      </c>
      <c r="D818" s="126" t="s">
        <v>3</v>
      </c>
      <c r="E818" s="126">
        <v>51.02</v>
      </c>
      <c r="F818" s="126" t="s">
        <v>88</v>
      </c>
      <c r="G818" s="108">
        <v>45454</v>
      </c>
      <c r="H818" s="126" t="s">
        <v>89</v>
      </c>
      <c r="I818" s="126" t="s">
        <v>7958</v>
      </c>
      <c r="J818" s="126"/>
      <c r="K818" s="126" t="s">
        <v>7959</v>
      </c>
      <c r="L818" s="126" t="s">
        <v>7960</v>
      </c>
      <c r="M818" s="126" t="s">
        <v>399</v>
      </c>
      <c r="Q818" s="3">
        <f t="shared" si="25"/>
        <v>51.02</v>
      </c>
      <c r="S818" s="55" t="s">
        <v>9013</v>
      </c>
      <c r="U818" s="3" t="str">
        <f t="shared" si="26"/>
        <v/>
      </c>
    </row>
    <row r="819" spans="1:21" x14ac:dyDescent="0.35">
      <c r="A819" s="126" t="s">
        <v>0</v>
      </c>
      <c r="B819" s="126" t="s">
        <v>6047</v>
      </c>
      <c r="C819" s="126" t="s">
        <v>2</v>
      </c>
      <c r="D819" s="126" t="s">
        <v>3</v>
      </c>
      <c r="E819" s="126">
        <v>51.02</v>
      </c>
      <c r="F819" s="126" t="s">
        <v>88</v>
      </c>
      <c r="G819" s="108">
        <v>45485</v>
      </c>
      <c r="H819" s="126" t="s">
        <v>89</v>
      </c>
      <c r="I819" s="126" t="s">
        <v>8134</v>
      </c>
      <c r="J819" s="126"/>
      <c r="K819" s="126" t="s">
        <v>8135</v>
      </c>
      <c r="L819" s="126" t="s">
        <v>8136</v>
      </c>
      <c r="M819" s="126" t="s">
        <v>399</v>
      </c>
      <c r="Q819" s="3">
        <f t="shared" si="25"/>
        <v>51.02</v>
      </c>
      <c r="S819" s="55" t="s">
        <v>9013</v>
      </c>
      <c r="U819" s="3" t="str">
        <f t="shared" si="26"/>
        <v/>
      </c>
    </row>
    <row r="820" spans="1:21" x14ac:dyDescent="0.35">
      <c r="A820" s="126" t="s">
        <v>0</v>
      </c>
      <c r="B820" s="126" t="s">
        <v>6047</v>
      </c>
      <c r="C820" s="126" t="s">
        <v>2</v>
      </c>
      <c r="D820" s="126" t="s">
        <v>3</v>
      </c>
      <c r="E820" s="126">
        <v>51.02</v>
      </c>
      <c r="F820" s="126" t="s">
        <v>88</v>
      </c>
      <c r="G820" s="108">
        <v>45517</v>
      </c>
      <c r="H820" s="126" t="s">
        <v>89</v>
      </c>
      <c r="I820" s="126" t="s">
        <v>8320</v>
      </c>
      <c r="J820" s="126"/>
      <c r="K820" s="126" t="s">
        <v>8321</v>
      </c>
      <c r="L820" s="126" t="s">
        <v>8322</v>
      </c>
      <c r="M820" s="126" t="s">
        <v>399</v>
      </c>
      <c r="Q820" s="3">
        <f t="shared" si="25"/>
        <v>51.02</v>
      </c>
      <c r="S820" s="55" t="s">
        <v>9013</v>
      </c>
      <c r="U820" s="3" t="str">
        <f t="shared" si="26"/>
        <v/>
      </c>
    </row>
    <row r="821" spans="1:21" x14ac:dyDescent="0.35">
      <c r="A821" s="126" t="s">
        <v>0</v>
      </c>
      <c r="B821" s="126" t="s">
        <v>6047</v>
      </c>
      <c r="C821" s="126" t="s">
        <v>2</v>
      </c>
      <c r="D821" s="126" t="s">
        <v>3</v>
      </c>
      <c r="E821" s="126">
        <v>51.02</v>
      </c>
      <c r="F821" s="126" t="s">
        <v>88</v>
      </c>
      <c r="G821" s="108">
        <v>45551</v>
      </c>
      <c r="H821" s="126" t="s">
        <v>89</v>
      </c>
      <c r="I821" s="126" t="s">
        <v>8431</v>
      </c>
      <c r="J821" s="126"/>
      <c r="K821" s="126" t="s">
        <v>8432</v>
      </c>
      <c r="L821" s="126" t="s">
        <v>8433</v>
      </c>
      <c r="M821" s="126" t="s">
        <v>399</v>
      </c>
      <c r="N821" s="126"/>
      <c r="O821" s="126"/>
      <c r="Q821" s="3">
        <f t="shared" si="25"/>
        <v>51.02</v>
      </c>
      <c r="S821" s="55" t="s">
        <v>9013</v>
      </c>
      <c r="U821" s="3" t="str">
        <f t="shared" si="26"/>
        <v/>
      </c>
    </row>
    <row r="822" spans="1:21" x14ac:dyDescent="0.35">
      <c r="A822" s="126" t="s">
        <v>0</v>
      </c>
      <c r="B822" s="126" t="s">
        <v>6047</v>
      </c>
      <c r="C822" s="126" t="s">
        <v>2</v>
      </c>
      <c r="D822" s="126" t="s">
        <v>3</v>
      </c>
      <c r="E822" s="126">
        <v>51.02</v>
      </c>
      <c r="F822" s="126" t="s">
        <v>88</v>
      </c>
      <c r="G822" s="108">
        <v>45569</v>
      </c>
      <c r="H822" s="126" t="s">
        <v>89</v>
      </c>
      <c r="I822" s="126" t="s">
        <v>8521</v>
      </c>
      <c r="J822" s="126"/>
      <c r="K822" s="126" t="s">
        <v>8522</v>
      </c>
      <c r="L822" s="126" t="s">
        <v>8523</v>
      </c>
      <c r="M822" s="126" t="s">
        <v>399</v>
      </c>
      <c r="Q822" s="3">
        <f t="shared" si="25"/>
        <v>51.02</v>
      </c>
      <c r="S822" s="55" t="s">
        <v>9013</v>
      </c>
      <c r="U822" s="3" t="str">
        <f t="shared" si="26"/>
        <v/>
      </c>
    </row>
    <row r="823" spans="1:21" x14ac:dyDescent="0.35">
      <c r="A823" s="126" t="s">
        <v>0</v>
      </c>
      <c r="B823" s="126" t="s">
        <v>6047</v>
      </c>
      <c r="C823" s="126" t="s">
        <v>2</v>
      </c>
      <c r="D823" s="126" t="s">
        <v>3</v>
      </c>
      <c r="E823" s="126">
        <v>51.02</v>
      </c>
      <c r="F823" s="126" t="s">
        <v>88</v>
      </c>
      <c r="G823" s="108">
        <v>45611</v>
      </c>
      <c r="H823" s="126" t="s">
        <v>89</v>
      </c>
      <c r="I823" s="126" t="s">
        <v>8734</v>
      </c>
      <c r="J823" s="126"/>
      <c r="K823" s="126" t="s">
        <v>8735</v>
      </c>
      <c r="L823" s="126" t="s">
        <v>8736</v>
      </c>
      <c r="M823" s="126" t="s">
        <v>399</v>
      </c>
      <c r="Q823" s="3">
        <f t="shared" si="25"/>
        <v>51.02</v>
      </c>
      <c r="S823" s="55" t="s">
        <v>9013</v>
      </c>
      <c r="U823" s="3" t="str">
        <f t="shared" si="26"/>
        <v/>
      </c>
    </row>
    <row r="824" spans="1:21" x14ac:dyDescent="0.35">
      <c r="A824" s="126" t="s">
        <v>35</v>
      </c>
      <c r="B824" s="126" t="s">
        <v>2728</v>
      </c>
      <c r="C824" s="126" t="s">
        <v>2</v>
      </c>
      <c r="D824" s="126" t="s">
        <v>3</v>
      </c>
      <c r="E824" s="126">
        <v>51.01</v>
      </c>
      <c r="F824" s="126" t="s">
        <v>88</v>
      </c>
      <c r="G824" s="108">
        <v>45400</v>
      </c>
      <c r="H824" s="126" t="s">
        <v>94</v>
      </c>
      <c r="I824" s="126" t="s">
        <v>461</v>
      </c>
      <c r="J824" s="126" t="s">
        <v>445</v>
      </c>
      <c r="K824" s="126"/>
      <c r="L824" s="126"/>
      <c r="M824" s="126"/>
      <c r="N824" s="126"/>
      <c r="O824" s="126" t="s">
        <v>547</v>
      </c>
      <c r="Q824" s="3">
        <f t="shared" si="25"/>
        <v>51.01</v>
      </c>
      <c r="U824" s="3" t="str">
        <f t="shared" si="26"/>
        <v/>
      </c>
    </row>
    <row r="825" spans="1:21" x14ac:dyDescent="0.35">
      <c r="A825" s="126" t="s">
        <v>35</v>
      </c>
      <c r="B825" s="126" t="s">
        <v>633</v>
      </c>
      <c r="C825" s="126" t="s">
        <v>2</v>
      </c>
      <c r="D825" s="126" t="s">
        <v>3</v>
      </c>
      <c r="E825" s="126">
        <v>51</v>
      </c>
      <c r="F825" s="126" t="s">
        <v>88</v>
      </c>
      <c r="G825" s="108">
        <v>45460</v>
      </c>
      <c r="H825" s="126" t="s">
        <v>89</v>
      </c>
      <c r="I825" s="126" t="s">
        <v>8003</v>
      </c>
      <c r="J825" s="126"/>
      <c r="K825" s="126" t="s">
        <v>8004</v>
      </c>
      <c r="L825" s="126" t="s">
        <v>8005</v>
      </c>
      <c r="M825" s="126" t="s">
        <v>427</v>
      </c>
      <c r="N825" s="126"/>
      <c r="O825" s="126"/>
      <c r="Q825" s="3">
        <f t="shared" si="25"/>
        <v>51</v>
      </c>
      <c r="U825" s="3" t="str">
        <f t="shared" si="26"/>
        <v/>
      </c>
    </row>
    <row r="826" spans="1:21" x14ac:dyDescent="0.35">
      <c r="A826" s="126" t="s">
        <v>0</v>
      </c>
      <c r="B826" s="126" t="s">
        <v>915</v>
      </c>
      <c r="C826" s="126" t="s">
        <v>2</v>
      </c>
      <c r="D826" s="126" t="s">
        <v>3</v>
      </c>
      <c r="E826" s="126">
        <v>50.98</v>
      </c>
      <c r="F826" s="126" t="s">
        <v>88</v>
      </c>
      <c r="G826" s="108">
        <v>45391</v>
      </c>
      <c r="H826" s="126" t="s">
        <v>89</v>
      </c>
      <c r="I826" s="126" t="s">
        <v>7691</v>
      </c>
      <c r="J826" s="126"/>
      <c r="K826" s="126" t="s">
        <v>7672</v>
      </c>
      <c r="L826" s="126" t="s">
        <v>7692</v>
      </c>
      <c r="M826" s="126" t="s">
        <v>399</v>
      </c>
      <c r="N826" s="35"/>
      <c r="O826" s="35"/>
      <c r="Q826" s="3">
        <f t="shared" si="25"/>
        <v>50.98</v>
      </c>
      <c r="S826" s="55" t="s">
        <v>9013</v>
      </c>
      <c r="U826" s="3" t="str">
        <f t="shared" si="26"/>
        <v/>
      </c>
    </row>
    <row r="827" spans="1:21" x14ac:dyDescent="0.35">
      <c r="A827" s="126" t="s">
        <v>0</v>
      </c>
      <c r="B827" s="126" t="s">
        <v>915</v>
      </c>
      <c r="C827" s="126" t="s">
        <v>2</v>
      </c>
      <c r="D827" s="126" t="s">
        <v>3</v>
      </c>
      <c r="E827" s="126">
        <v>50.98</v>
      </c>
      <c r="F827" s="126" t="s">
        <v>88</v>
      </c>
      <c r="G827" s="108">
        <v>45432</v>
      </c>
      <c r="H827" s="126" t="s">
        <v>89</v>
      </c>
      <c r="I827" s="126" t="s">
        <v>7839</v>
      </c>
      <c r="J827" s="126"/>
      <c r="K827" s="126" t="s">
        <v>7840</v>
      </c>
      <c r="L827" s="126" t="s">
        <v>7841</v>
      </c>
      <c r="M827" s="126" t="s">
        <v>399</v>
      </c>
      <c r="N827" s="35"/>
      <c r="O827" s="35"/>
      <c r="Q827" s="3">
        <f t="shared" si="25"/>
        <v>50.98</v>
      </c>
      <c r="S827" s="55" t="s">
        <v>9013</v>
      </c>
      <c r="U827" s="3" t="str">
        <f t="shared" si="26"/>
        <v/>
      </c>
    </row>
    <row r="828" spans="1:21" x14ac:dyDescent="0.35">
      <c r="A828" s="126" t="s">
        <v>0</v>
      </c>
      <c r="B828" s="126" t="s">
        <v>915</v>
      </c>
      <c r="C828" s="126" t="s">
        <v>2</v>
      </c>
      <c r="D828" s="126" t="s">
        <v>3</v>
      </c>
      <c r="E828" s="126">
        <v>50.98</v>
      </c>
      <c r="F828" s="126" t="s">
        <v>88</v>
      </c>
      <c r="G828" s="108">
        <v>45454</v>
      </c>
      <c r="H828" s="126" t="s">
        <v>89</v>
      </c>
      <c r="I828" s="126" t="s">
        <v>7958</v>
      </c>
      <c r="J828" s="126"/>
      <c r="K828" s="126" t="s">
        <v>7959</v>
      </c>
      <c r="L828" s="126" t="s">
        <v>7960</v>
      </c>
      <c r="M828" s="126" t="s">
        <v>399</v>
      </c>
      <c r="Q828" s="3">
        <f t="shared" si="25"/>
        <v>50.98</v>
      </c>
      <c r="S828" s="55" t="s">
        <v>9013</v>
      </c>
      <c r="U828" s="3" t="str">
        <f t="shared" si="26"/>
        <v/>
      </c>
    </row>
    <row r="829" spans="1:21" x14ac:dyDescent="0.35">
      <c r="A829" s="126" t="s">
        <v>0</v>
      </c>
      <c r="B829" s="126" t="s">
        <v>915</v>
      </c>
      <c r="C829" s="126" t="s">
        <v>2</v>
      </c>
      <c r="D829" s="126" t="s">
        <v>3</v>
      </c>
      <c r="E829" s="126">
        <v>50.98</v>
      </c>
      <c r="F829" s="126" t="s">
        <v>88</v>
      </c>
      <c r="G829" s="108">
        <v>45485</v>
      </c>
      <c r="H829" s="126" t="s">
        <v>89</v>
      </c>
      <c r="I829" s="126" t="s">
        <v>8134</v>
      </c>
      <c r="J829" s="126"/>
      <c r="K829" s="126" t="s">
        <v>8135</v>
      </c>
      <c r="L829" s="126" t="s">
        <v>8136</v>
      </c>
      <c r="M829" s="126" t="s">
        <v>399</v>
      </c>
      <c r="Q829" s="3">
        <f t="shared" si="25"/>
        <v>50.98</v>
      </c>
      <c r="S829" s="55" t="s">
        <v>9013</v>
      </c>
      <c r="U829" s="3" t="str">
        <f t="shared" si="26"/>
        <v/>
      </c>
    </row>
    <row r="830" spans="1:21" x14ac:dyDescent="0.35">
      <c r="A830" s="126" t="s">
        <v>0</v>
      </c>
      <c r="B830" s="126" t="s">
        <v>915</v>
      </c>
      <c r="C830" s="126" t="s">
        <v>2</v>
      </c>
      <c r="D830" s="126" t="s">
        <v>3</v>
      </c>
      <c r="E830" s="126">
        <v>50.98</v>
      </c>
      <c r="F830" s="126" t="s">
        <v>88</v>
      </c>
      <c r="G830" s="108">
        <v>45517</v>
      </c>
      <c r="H830" s="126" t="s">
        <v>89</v>
      </c>
      <c r="I830" s="126" t="s">
        <v>8320</v>
      </c>
      <c r="J830" s="126"/>
      <c r="K830" s="126" t="s">
        <v>8321</v>
      </c>
      <c r="L830" s="126" t="s">
        <v>8322</v>
      </c>
      <c r="M830" s="126" t="s">
        <v>399</v>
      </c>
      <c r="Q830" s="3">
        <f t="shared" si="25"/>
        <v>50.98</v>
      </c>
      <c r="S830" s="55" t="s">
        <v>9013</v>
      </c>
      <c r="U830" s="3" t="str">
        <f t="shared" si="26"/>
        <v/>
      </c>
    </row>
    <row r="831" spans="1:21" x14ac:dyDescent="0.35">
      <c r="A831" s="126" t="s">
        <v>0</v>
      </c>
      <c r="B831" s="126" t="s">
        <v>915</v>
      </c>
      <c r="C831" s="126" t="s">
        <v>2</v>
      </c>
      <c r="D831" s="126" t="s">
        <v>3</v>
      </c>
      <c r="E831" s="126">
        <v>50.98</v>
      </c>
      <c r="F831" s="126" t="s">
        <v>88</v>
      </c>
      <c r="G831" s="108">
        <v>45551</v>
      </c>
      <c r="H831" s="126" t="s">
        <v>89</v>
      </c>
      <c r="I831" s="126" t="s">
        <v>8431</v>
      </c>
      <c r="J831" s="126"/>
      <c r="K831" s="126" t="s">
        <v>8432</v>
      </c>
      <c r="L831" s="126" t="s">
        <v>8433</v>
      </c>
      <c r="M831" s="126" t="s">
        <v>399</v>
      </c>
      <c r="Q831" s="3">
        <f t="shared" si="25"/>
        <v>50.98</v>
      </c>
      <c r="S831" s="55" t="s">
        <v>9013</v>
      </c>
      <c r="U831" s="3" t="str">
        <f t="shared" si="26"/>
        <v/>
      </c>
    </row>
    <row r="832" spans="1:21" x14ac:dyDescent="0.35">
      <c r="A832" s="126" t="s">
        <v>0</v>
      </c>
      <c r="B832" s="126" t="s">
        <v>915</v>
      </c>
      <c r="C832" s="126" t="s">
        <v>2</v>
      </c>
      <c r="D832" s="126" t="s">
        <v>3</v>
      </c>
      <c r="E832" s="126">
        <v>50.98</v>
      </c>
      <c r="F832" s="126" t="s">
        <v>88</v>
      </c>
      <c r="G832" s="108">
        <v>45569</v>
      </c>
      <c r="H832" s="126" t="s">
        <v>89</v>
      </c>
      <c r="I832" s="126" t="s">
        <v>8521</v>
      </c>
      <c r="J832" s="126"/>
      <c r="K832" s="126" t="s">
        <v>8522</v>
      </c>
      <c r="L832" s="126" t="s">
        <v>8523</v>
      </c>
      <c r="M832" s="126" t="s">
        <v>399</v>
      </c>
      <c r="Q832" s="3">
        <f t="shared" si="25"/>
        <v>50.98</v>
      </c>
      <c r="S832" s="55" t="s">
        <v>9013</v>
      </c>
      <c r="U832" s="3" t="str">
        <f t="shared" si="26"/>
        <v/>
      </c>
    </row>
    <row r="833" spans="1:21" x14ac:dyDescent="0.35">
      <c r="A833" s="126" t="s">
        <v>0</v>
      </c>
      <c r="B833" s="126" t="s">
        <v>915</v>
      </c>
      <c r="C833" s="126" t="s">
        <v>2</v>
      </c>
      <c r="D833" s="126" t="s">
        <v>3</v>
      </c>
      <c r="E833" s="126">
        <v>50.98</v>
      </c>
      <c r="F833" s="126" t="s">
        <v>88</v>
      </c>
      <c r="G833" s="108">
        <v>45611</v>
      </c>
      <c r="H833" s="126" t="s">
        <v>89</v>
      </c>
      <c r="I833" s="126" t="s">
        <v>8734</v>
      </c>
      <c r="J833" s="126"/>
      <c r="K833" s="126" t="s">
        <v>8735</v>
      </c>
      <c r="L833" s="126" t="s">
        <v>8736</v>
      </c>
      <c r="M833" s="126" t="s">
        <v>399</v>
      </c>
      <c r="N833" s="126"/>
      <c r="O833" s="126"/>
      <c r="Q833" s="3">
        <f t="shared" si="25"/>
        <v>50.98</v>
      </c>
      <c r="S833" s="55" t="s">
        <v>9013</v>
      </c>
      <c r="U833" s="3" t="str">
        <f t="shared" si="26"/>
        <v/>
      </c>
    </row>
    <row r="834" spans="1:21" x14ac:dyDescent="0.35">
      <c r="A834" s="126" t="s">
        <v>0</v>
      </c>
      <c r="B834" s="126" t="s">
        <v>915</v>
      </c>
      <c r="C834" s="126" t="s">
        <v>2</v>
      </c>
      <c r="D834" s="126" t="s">
        <v>3</v>
      </c>
      <c r="E834" s="126">
        <v>50.98</v>
      </c>
      <c r="F834" s="126" t="s">
        <v>88</v>
      </c>
      <c r="G834" s="108">
        <v>45635</v>
      </c>
      <c r="H834" s="126" t="s">
        <v>89</v>
      </c>
      <c r="I834" s="126" t="s">
        <v>8878</v>
      </c>
      <c r="J834" s="126"/>
      <c r="K834" s="126" t="s">
        <v>8879</v>
      </c>
      <c r="L834" s="126" t="s">
        <v>8880</v>
      </c>
      <c r="M834" s="126" t="s">
        <v>399</v>
      </c>
      <c r="Q834" s="3">
        <f t="shared" si="25"/>
        <v>50.98</v>
      </c>
      <c r="S834" s="55" t="s">
        <v>9013</v>
      </c>
      <c r="U834" s="3" t="str">
        <f t="shared" si="26"/>
        <v/>
      </c>
    </row>
    <row r="835" spans="1:21" x14ac:dyDescent="0.35">
      <c r="A835" s="126" t="s">
        <v>35</v>
      </c>
      <c r="B835" s="126" t="s">
        <v>2543</v>
      </c>
      <c r="C835" s="126" t="s">
        <v>2</v>
      </c>
      <c r="D835" s="126" t="s">
        <v>3</v>
      </c>
      <c r="E835" s="126">
        <v>50.91</v>
      </c>
      <c r="F835" s="126" t="s">
        <v>88</v>
      </c>
      <c r="G835" s="108">
        <v>45414</v>
      </c>
      <c r="H835" s="126" t="s">
        <v>94</v>
      </c>
      <c r="I835" s="126" t="s">
        <v>456</v>
      </c>
      <c r="J835" s="126" t="s">
        <v>7786</v>
      </c>
      <c r="K835" s="126"/>
      <c r="L835" s="126"/>
      <c r="M835" s="126"/>
      <c r="N835" s="126"/>
      <c r="O835" s="126" t="s">
        <v>559</v>
      </c>
      <c r="Q835" s="3">
        <f t="shared" si="25"/>
        <v>50.91</v>
      </c>
      <c r="U835" s="3" t="str">
        <f t="shared" si="26"/>
        <v/>
      </c>
    </row>
    <row r="836" spans="1:21" x14ac:dyDescent="0.35">
      <c r="A836" s="126" t="s">
        <v>35</v>
      </c>
      <c r="B836" s="126" t="s">
        <v>2543</v>
      </c>
      <c r="C836" s="126" t="s">
        <v>2</v>
      </c>
      <c r="D836" s="126" t="s">
        <v>3</v>
      </c>
      <c r="E836" s="126">
        <v>50.91</v>
      </c>
      <c r="F836" s="126" t="s">
        <v>88</v>
      </c>
      <c r="G836" s="108">
        <v>45435</v>
      </c>
      <c r="H836" s="126" t="s">
        <v>94</v>
      </c>
      <c r="I836" s="126" t="s">
        <v>7773</v>
      </c>
      <c r="J836" s="126" t="s">
        <v>445</v>
      </c>
      <c r="K836" s="126"/>
      <c r="L836" s="126"/>
      <c r="M836" s="126"/>
      <c r="N836" s="126"/>
      <c r="O836" s="126" t="s">
        <v>7774</v>
      </c>
      <c r="Q836" s="3">
        <f t="shared" si="25"/>
        <v>50.91</v>
      </c>
      <c r="S836" s="55" t="s">
        <v>53</v>
      </c>
      <c r="T836" t="s">
        <v>64</v>
      </c>
      <c r="U836" s="3">
        <f t="shared" si="26"/>
        <v>50.91</v>
      </c>
    </row>
    <row r="837" spans="1:21" x14ac:dyDescent="0.35">
      <c r="A837" s="126" t="s">
        <v>35</v>
      </c>
      <c r="B837" s="126" t="s">
        <v>2031</v>
      </c>
      <c r="C837" s="126" t="s">
        <v>2</v>
      </c>
      <c r="D837" s="126" t="s">
        <v>3</v>
      </c>
      <c r="E837" s="126">
        <v>50.91</v>
      </c>
      <c r="F837" s="126" t="s">
        <v>88</v>
      </c>
      <c r="G837" s="108">
        <v>45581</v>
      </c>
      <c r="H837" s="126" t="s">
        <v>94</v>
      </c>
      <c r="I837" s="126" t="s">
        <v>2319</v>
      </c>
      <c r="J837" s="126" t="s">
        <v>8582</v>
      </c>
      <c r="K837" s="126"/>
      <c r="L837" s="126"/>
      <c r="M837" s="126"/>
      <c r="N837" s="126"/>
      <c r="O837" s="126" t="s">
        <v>2070</v>
      </c>
      <c r="Q837" s="3">
        <f t="shared" si="25"/>
        <v>50.91</v>
      </c>
      <c r="S837" s="55" t="s">
        <v>9017</v>
      </c>
      <c r="T837" t="s">
        <v>64</v>
      </c>
      <c r="U837" s="3">
        <f t="shared" si="26"/>
        <v>50.91</v>
      </c>
    </row>
    <row r="838" spans="1:21" x14ac:dyDescent="0.35">
      <c r="A838" s="126" t="s">
        <v>35</v>
      </c>
      <c r="B838" s="126" t="s">
        <v>1075</v>
      </c>
      <c r="C838" s="126" t="s">
        <v>2</v>
      </c>
      <c r="D838" s="126" t="s">
        <v>3</v>
      </c>
      <c r="E838" s="126">
        <v>50.69</v>
      </c>
      <c r="F838" s="126" t="s">
        <v>88</v>
      </c>
      <c r="G838" s="108">
        <v>45601</v>
      </c>
      <c r="H838" s="126" t="s">
        <v>89</v>
      </c>
      <c r="I838" s="126" t="s">
        <v>8649</v>
      </c>
      <c r="J838" s="126"/>
      <c r="K838" s="126" t="s">
        <v>7880</v>
      </c>
      <c r="L838" s="126" t="s">
        <v>8650</v>
      </c>
      <c r="M838" s="126" t="s">
        <v>396</v>
      </c>
      <c r="N838" s="126"/>
      <c r="O838" s="126"/>
      <c r="Q838" s="3">
        <f t="shared" si="25"/>
        <v>50.69</v>
      </c>
      <c r="S838" s="55" t="s">
        <v>9016</v>
      </c>
      <c r="U838" s="3" t="str">
        <f t="shared" si="26"/>
        <v/>
      </c>
    </row>
    <row r="839" spans="1:21" x14ac:dyDescent="0.35">
      <c r="A839" s="126" t="s">
        <v>35</v>
      </c>
      <c r="B839" s="126" t="s">
        <v>1075</v>
      </c>
      <c r="C839" s="126" t="s">
        <v>2</v>
      </c>
      <c r="D839" s="126" t="s">
        <v>3</v>
      </c>
      <c r="E839" s="126">
        <v>-50.69</v>
      </c>
      <c r="F839" s="126" t="s">
        <v>88</v>
      </c>
      <c r="G839" s="108">
        <v>45602</v>
      </c>
      <c r="H839" s="126" t="s">
        <v>89</v>
      </c>
      <c r="I839" s="126" t="s">
        <v>8649</v>
      </c>
      <c r="J839" s="126"/>
      <c r="K839" s="126" t="s">
        <v>7880</v>
      </c>
      <c r="L839" s="126" t="s">
        <v>8650</v>
      </c>
      <c r="M839" s="126" t="s">
        <v>396</v>
      </c>
      <c r="N839" s="126"/>
      <c r="O839" s="126"/>
      <c r="Q839" s="3">
        <f t="shared" si="25"/>
        <v>50.69</v>
      </c>
      <c r="S839" s="55" t="s">
        <v>9016</v>
      </c>
      <c r="U839" s="3" t="str">
        <f t="shared" si="26"/>
        <v/>
      </c>
    </row>
    <row r="840" spans="1:21" x14ac:dyDescent="0.35">
      <c r="A840" s="126" t="s">
        <v>0</v>
      </c>
      <c r="B840" s="126" t="s">
        <v>867</v>
      </c>
      <c r="C840" s="126" t="s">
        <v>2</v>
      </c>
      <c r="D840" s="126" t="s">
        <v>3</v>
      </c>
      <c r="E840" s="126">
        <v>50.25</v>
      </c>
      <c r="F840" s="126" t="s">
        <v>88</v>
      </c>
      <c r="G840" s="108">
        <v>45391</v>
      </c>
      <c r="H840" s="126" t="s">
        <v>89</v>
      </c>
      <c r="I840" s="126" t="s">
        <v>7691</v>
      </c>
      <c r="J840" s="126"/>
      <c r="K840" s="126" t="s">
        <v>7672</v>
      </c>
      <c r="L840" s="126" t="s">
        <v>7692</v>
      </c>
      <c r="M840" s="126" t="s">
        <v>399</v>
      </c>
      <c r="N840" s="35"/>
      <c r="O840" s="35"/>
      <c r="Q840" s="3">
        <f t="shared" ref="Q840:Q903" si="27">ABS(E840)</f>
        <v>50.25</v>
      </c>
      <c r="S840" s="55" t="s">
        <v>9013</v>
      </c>
      <c r="U840" s="3" t="str">
        <f t="shared" ref="U840:U903" si="28">IF(T840="Y",E840,"")</f>
        <v/>
      </c>
    </row>
    <row r="841" spans="1:21" x14ac:dyDescent="0.35">
      <c r="A841" s="126" t="s">
        <v>0</v>
      </c>
      <c r="B841" s="126" t="s">
        <v>6400</v>
      </c>
      <c r="C841" s="126" t="s">
        <v>2</v>
      </c>
      <c r="D841" s="126" t="s">
        <v>3</v>
      </c>
      <c r="E841" s="126">
        <v>50.24</v>
      </c>
      <c r="F841" s="126" t="s">
        <v>88</v>
      </c>
      <c r="G841" s="108">
        <v>45517</v>
      </c>
      <c r="H841" s="126" t="s">
        <v>89</v>
      </c>
      <c r="I841" s="126" t="s">
        <v>8320</v>
      </c>
      <c r="J841" s="126"/>
      <c r="K841" s="126" t="s">
        <v>8321</v>
      </c>
      <c r="L841" s="126" t="s">
        <v>8322</v>
      </c>
      <c r="M841" s="126" t="s">
        <v>399</v>
      </c>
      <c r="Q841" s="3">
        <f t="shared" si="27"/>
        <v>50.24</v>
      </c>
      <c r="S841" s="55" t="s">
        <v>9013</v>
      </c>
      <c r="U841" s="3" t="str">
        <f t="shared" si="28"/>
        <v/>
      </c>
    </row>
    <row r="842" spans="1:21" x14ac:dyDescent="0.35">
      <c r="A842" s="126" t="s">
        <v>0</v>
      </c>
      <c r="B842" s="126" t="s">
        <v>867</v>
      </c>
      <c r="C842" s="126" t="s">
        <v>2</v>
      </c>
      <c r="D842" s="126" t="s">
        <v>3</v>
      </c>
      <c r="E842" s="126">
        <v>50.23</v>
      </c>
      <c r="F842" s="126" t="s">
        <v>88</v>
      </c>
      <c r="G842" s="108">
        <v>45432</v>
      </c>
      <c r="H842" s="126" t="s">
        <v>89</v>
      </c>
      <c r="I842" s="126" t="s">
        <v>7839</v>
      </c>
      <c r="J842" s="126"/>
      <c r="K842" s="126" t="s">
        <v>7840</v>
      </c>
      <c r="L842" s="126" t="s">
        <v>7841</v>
      </c>
      <c r="M842" s="126" t="s">
        <v>399</v>
      </c>
      <c r="N842" s="35"/>
      <c r="O842" s="35"/>
      <c r="Q842" s="3">
        <f t="shared" si="27"/>
        <v>50.23</v>
      </c>
      <c r="S842" s="55" t="s">
        <v>9013</v>
      </c>
      <c r="U842" s="3" t="str">
        <f t="shared" si="28"/>
        <v/>
      </c>
    </row>
    <row r="843" spans="1:21" x14ac:dyDescent="0.35">
      <c r="A843" s="126" t="s">
        <v>0</v>
      </c>
      <c r="B843" s="126" t="s">
        <v>867</v>
      </c>
      <c r="C843" s="126" t="s">
        <v>2</v>
      </c>
      <c r="D843" s="126" t="s">
        <v>3</v>
      </c>
      <c r="E843" s="126">
        <v>50.23</v>
      </c>
      <c r="F843" s="126" t="s">
        <v>88</v>
      </c>
      <c r="G843" s="108">
        <v>45454</v>
      </c>
      <c r="H843" s="126" t="s">
        <v>89</v>
      </c>
      <c r="I843" s="126" t="s">
        <v>7958</v>
      </c>
      <c r="J843" s="126"/>
      <c r="K843" s="126" t="s">
        <v>7959</v>
      </c>
      <c r="L843" s="126" t="s">
        <v>7960</v>
      </c>
      <c r="M843" s="126" t="s">
        <v>399</v>
      </c>
      <c r="Q843" s="3">
        <f t="shared" si="27"/>
        <v>50.23</v>
      </c>
      <c r="S843" s="55" t="s">
        <v>9013</v>
      </c>
      <c r="U843" s="3" t="str">
        <f t="shared" si="28"/>
        <v/>
      </c>
    </row>
    <row r="844" spans="1:21" x14ac:dyDescent="0.35">
      <c r="A844" s="126" t="s">
        <v>0</v>
      </c>
      <c r="B844" s="126" t="s">
        <v>867</v>
      </c>
      <c r="C844" s="126" t="s">
        <v>2</v>
      </c>
      <c r="D844" s="126" t="s">
        <v>3</v>
      </c>
      <c r="E844" s="126">
        <v>50.23</v>
      </c>
      <c r="F844" s="126" t="s">
        <v>88</v>
      </c>
      <c r="G844" s="108">
        <v>45485</v>
      </c>
      <c r="H844" s="126" t="s">
        <v>89</v>
      </c>
      <c r="I844" s="126" t="s">
        <v>8134</v>
      </c>
      <c r="J844" s="126"/>
      <c r="K844" s="126" t="s">
        <v>8135</v>
      </c>
      <c r="L844" s="126" t="s">
        <v>8136</v>
      </c>
      <c r="M844" s="126" t="s">
        <v>399</v>
      </c>
      <c r="Q844" s="3">
        <f t="shared" si="27"/>
        <v>50.23</v>
      </c>
      <c r="S844" s="55" t="s">
        <v>9013</v>
      </c>
      <c r="U844" s="3" t="str">
        <f t="shared" si="28"/>
        <v/>
      </c>
    </row>
    <row r="845" spans="1:21" x14ac:dyDescent="0.35">
      <c r="A845" s="126" t="s">
        <v>0</v>
      </c>
      <c r="B845" s="126" t="s">
        <v>867</v>
      </c>
      <c r="C845" s="126" t="s">
        <v>2</v>
      </c>
      <c r="D845" s="126" t="s">
        <v>3</v>
      </c>
      <c r="E845" s="126">
        <v>50.23</v>
      </c>
      <c r="F845" s="126" t="s">
        <v>88</v>
      </c>
      <c r="G845" s="108">
        <v>45517</v>
      </c>
      <c r="H845" s="126" t="s">
        <v>89</v>
      </c>
      <c r="I845" s="126" t="s">
        <v>8320</v>
      </c>
      <c r="J845" s="126"/>
      <c r="K845" s="126" t="s">
        <v>8321</v>
      </c>
      <c r="L845" s="126" t="s">
        <v>8322</v>
      </c>
      <c r="M845" s="126" t="s">
        <v>399</v>
      </c>
      <c r="Q845" s="3">
        <f t="shared" si="27"/>
        <v>50.23</v>
      </c>
      <c r="S845" s="55" t="s">
        <v>9013</v>
      </c>
      <c r="U845" s="3" t="str">
        <f t="shared" si="28"/>
        <v/>
      </c>
    </row>
    <row r="846" spans="1:21" x14ac:dyDescent="0.35">
      <c r="A846" s="126" t="s">
        <v>0</v>
      </c>
      <c r="B846" s="126" t="s">
        <v>867</v>
      </c>
      <c r="C846" s="126" t="s">
        <v>2</v>
      </c>
      <c r="D846" s="126" t="s">
        <v>3</v>
      </c>
      <c r="E846" s="126">
        <v>50.23</v>
      </c>
      <c r="F846" s="126" t="s">
        <v>88</v>
      </c>
      <c r="G846" s="108">
        <v>45551</v>
      </c>
      <c r="H846" s="126" t="s">
        <v>89</v>
      </c>
      <c r="I846" s="126" t="s">
        <v>8431</v>
      </c>
      <c r="J846" s="126"/>
      <c r="K846" s="126" t="s">
        <v>8432</v>
      </c>
      <c r="L846" s="126" t="s">
        <v>8433</v>
      </c>
      <c r="M846" s="126" t="s">
        <v>399</v>
      </c>
      <c r="Q846" s="3">
        <f t="shared" si="27"/>
        <v>50.23</v>
      </c>
      <c r="S846" s="55" t="s">
        <v>9013</v>
      </c>
      <c r="U846" s="3" t="str">
        <f t="shared" si="28"/>
        <v/>
      </c>
    </row>
    <row r="847" spans="1:21" x14ac:dyDescent="0.35">
      <c r="A847" s="126" t="s">
        <v>0</v>
      </c>
      <c r="B847" s="126" t="s">
        <v>867</v>
      </c>
      <c r="C847" s="126" t="s">
        <v>2</v>
      </c>
      <c r="D847" s="126" t="s">
        <v>3</v>
      </c>
      <c r="E847" s="126">
        <v>50.23</v>
      </c>
      <c r="F847" s="126" t="s">
        <v>88</v>
      </c>
      <c r="G847" s="108">
        <v>45569</v>
      </c>
      <c r="H847" s="126" t="s">
        <v>89</v>
      </c>
      <c r="I847" s="126" t="s">
        <v>8521</v>
      </c>
      <c r="J847" s="126"/>
      <c r="K847" s="126" t="s">
        <v>8522</v>
      </c>
      <c r="L847" s="126" t="s">
        <v>8523</v>
      </c>
      <c r="M847" s="126" t="s">
        <v>399</v>
      </c>
      <c r="Q847" s="3">
        <f t="shared" si="27"/>
        <v>50.23</v>
      </c>
      <c r="S847" s="55" t="s">
        <v>9013</v>
      </c>
      <c r="U847" s="3" t="str">
        <f t="shared" si="28"/>
        <v/>
      </c>
    </row>
    <row r="848" spans="1:21" x14ac:dyDescent="0.35">
      <c r="A848" s="126" t="s">
        <v>0</v>
      </c>
      <c r="B848" s="126" t="s">
        <v>867</v>
      </c>
      <c r="C848" s="126" t="s">
        <v>2</v>
      </c>
      <c r="D848" s="126" t="s">
        <v>3</v>
      </c>
      <c r="E848" s="126">
        <v>50.23</v>
      </c>
      <c r="F848" s="126" t="s">
        <v>88</v>
      </c>
      <c r="G848" s="108">
        <v>45611</v>
      </c>
      <c r="H848" s="126" t="s">
        <v>89</v>
      </c>
      <c r="I848" s="126" t="s">
        <v>8734</v>
      </c>
      <c r="J848" s="126"/>
      <c r="K848" s="126" t="s">
        <v>8735</v>
      </c>
      <c r="L848" s="126" t="s">
        <v>8736</v>
      </c>
      <c r="M848" s="126" t="s">
        <v>399</v>
      </c>
      <c r="N848" s="126"/>
      <c r="O848" s="126"/>
      <c r="Q848" s="3">
        <f t="shared" si="27"/>
        <v>50.23</v>
      </c>
      <c r="S848" s="55" t="s">
        <v>9013</v>
      </c>
      <c r="U848" s="3" t="str">
        <f t="shared" si="28"/>
        <v/>
      </c>
    </row>
    <row r="849" spans="1:21" x14ac:dyDescent="0.35">
      <c r="A849" s="126" t="s">
        <v>0</v>
      </c>
      <c r="B849" s="126" t="s">
        <v>867</v>
      </c>
      <c r="C849" s="126" t="s">
        <v>2</v>
      </c>
      <c r="D849" s="126" t="s">
        <v>3</v>
      </c>
      <c r="E849" s="126">
        <v>50.23</v>
      </c>
      <c r="F849" s="126" t="s">
        <v>88</v>
      </c>
      <c r="G849" s="108">
        <v>45635</v>
      </c>
      <c r="H849" s="126" t="s">
        <v>89</v>
      </c>
      <c r="I849" s="126" t="s">
        <v>8878</v>
      </c>
      <c r="J849" s="126"/>
      <c r="K849" s="126" t="s">
        <v>8879</v>
      </c>
      <c r="L849" s="126" t="s">
        <v>8880</v>
      </c>
      <c r="M849" s="126" t="s">
        <v>399</v>
      </c>
      <c r="Q849" s="3">
        <f t="shared" si="27"/>
        <v>50.23</v>
      </c>
      <c r="S849" s="55" t="s">
        <v>9013</v>
      </c>
      <c r="U849" s="3" t="str">
        <f t="shared" si="28"/>
        <v/>
      </c>
    </row>
    <row r="850" spans="1:21" x14ac:dyDescent="0.35">
      <c r="A850" s="126" t="s">
        <v>35</v>
      </c>
      <c r="B850" s="126" t="s">
        <v>698</v>
      </c>
      <c r="C850" s="126" t="s">
        <v>2</v>
      </c>
      <c r="D850" s="126" t="s">
        <v>3</v>
      </c>
      <c r="E850" s="126">
        <v>50.14</v>
      </c>
      <c r="F850" s="126" t="s">
        <v>88</v>
      </c>
      <c r="G850" s="108">
        <v>45442</v>
      </c>
      <c r="H850" s="126" t="s">
        <v>94</v>
      </c>
      <c r="I850" s="126" t="s">
        <v>7257</v>
      </c>
      <c r="J850" s="126" t="s">
        <v>7907</v>
      </c>
      <c r="K850" s="126"/>
      <c r="L850" s="126"/>
      <c r="M850" s="126"/>
      <c r="N850" s="126"/>
      <c r="O850" s="126" t="s">
        <v>7908</v>
      </c>
      <c r="Q850" s="3">
        <f t="shared" si="27"/>
        <v>50.14</v>
      </c>
      <c r="U850" s="3" t="str">
        <f t="shared" si="28"/>
        <v/>
      </c>
    </row>
    <row r="851" spans="1:21" x14ac:dyDescent="0.35">
      <c r="A851" s="126" t="s">
        <v>35</v>
      </c>
      <c r="B851" s="126" t="s">
        <v>2031</v>
      </c>
      <c r="C851" s="126" t="s">
        <v>2</v>
      </c>
      <c r="D851" s="126" t="s">
        <v>3</v>
      </c>
      <c r="E851" s="126">
        <v>50.05</v>
      </c>
      <c r="F851" s="126" t="s">
        <v>88</v>
      </c>
      <c r="G851" s="108">
        <v>45581</v>
      </c>
      <c r="H851" s="126" t="s">
        <v>94</v>
      </c>
      <c r="I851" s="126" t="s">
        <v>497</v>
      </c>
      <c r="J851" s="126" t="s">
        <v>8585</v>
      </c>
      <c r="K851" s="126"/>
      <c r="L851" s="126"/>
      <c r="M851" s="126"/>
      <c r="N851" s="126"/>
      <c r="O851" s="126" t="s">
        <v>4487</v>
      </c>
      <c r="Q851" s="3">
        <f t="shared" si="27"/>
        <v>50.05</v>
      </c>
      <c r="S851" s="55" t="s">
        <v>9016</v>
      </c>
      <c r="U851" s="3" t="str">
        <f t="shared" si="28"/>
        <v/>
      </c>
    </row>
    <row r="852" spans="1:21" x14ac:dyDescent="0.35">
      <c r="A852" s="126" t="s">
        <v>35</v>
      </c>
      <c r="B852" s="126" t="s">
        <v>2543</v>
      </c>
      <c r="C852" s="126" t="s">
        <v>2</v>
      </c>
      <c r="D852" s="126" t="s">
        <v>3</v>
      </c>
      <c r="E852" s="126">
        <v>50</v>
      </c>
      <c r="F852" s="126" t="s">
        <v>88</v>
      </c>
      <c r="G852" s="108">
        <v>45406</v>
      </c>
      <c r="H852" s="126" t="s">
        <v>94</v>
      </c>
      <c r="I852" s="126" t="s">
        <v>7770</v>
      </c>
      <c r="J852" s="126" t="s">
        <v>395</v>
      </c>
      <c r="K852" s="126"/>
      <c r="L852" s="126"/>
      <c r="M852" s="126"/>
      <c r="N852" s="126"/>
      <c r="O852" s="126" t="s">
        <v>542</v>
      </c>
      <c r="Q852" s="3">
        <f t="shared" si="27"/>
        <v>50</v>
      </c>
      <c r="S852" s="55" t="s">
        <v>586</v>
      </c>
      <c r="U852" s="3" t="str">
        <f t="shared" si="28"/>
        <v/>
      </c>
    </row>
    <row r="853" spans="1:21" x14ac:dyDescent="0.35">
      <c r="A853" s="126" t="s">
        <v>35</v>
      </c>
      <c r="B853" s="126" t="s">
        <v>4622</v>
      </c>
      <c r="C853" s="126" t="s">
        <v>2</v>
      </c>
      <c r="D853" s="126" t="s">
        <v>3</v>
      </c>
      <c r="E853" s="126">
        <v>50</v>
      </c>
      <c r="F853" s="126" t="s">
        <v>88</v>
      </c>
      <c r="G853" s="108">
        <v>45625</v>
      </c>
      <c r="H853" s="126" t="s">
        <v>94</v>
      </c>
      <c r="I853" s="126" t="s">
        <v>4612</v>
      </c>
      <c r="J853" s="126" t="s">
        <v>8817</v>
      </c>
      <c r="K853" s="126"/>
      <c r="L853" s="126"/>
      <c r="M853" s="126"/>
      <c r="N853" s="126"/>
      <c r="O853" s="126" t="s">
        <v>8818</v>
      </c>
      <c r="Q853" s="3">
        <f t="shared" si="27"/>
        <v>50</v>
      </c>
      <c r="U853" s="3" t="str">
        <f t="shared" si="28"/>
        <v/>
      </c>
    </row>
    <row r="854" spans="1:21" x14ac:dyDescent="0.35">
      <c r="A854" s="126" t="s">
        <v>0</v>
      </c>
      <c r="B854" s="126" t="s">
        <v>1995</v>
      </c>
      <c r="C854" s="126" t="s">
        <v>2</v>
      </c>
      <c r="D854" s="126" t="s">
        <v>3</v>
      </c>
      <c r="E854" s="126">
        <v>49.97</v>
      </c>
      <c r="F854" s="126" t="s">
        <v>88</v>
      </c>
      <c r="G854" s="108">
        <v>45390</v>
      </c>
      <c r="H854" s="126" t="s">
        <v>89</v>
      </c>
      <c r="I854" s="126" t="s">
        <v>7671</v>
      </c>
      <c r="J854" s="126"/>
      <c r="K854" s="126" t="s">
        <v>7672</v>
      </c>
      <c r="L854" s="126" t="s">
        <v>7673</v>
      </c>
      <c r="M854" s="126" t="s">
        <v>399</v>
      </c>
      <c r="N854" s="35"/>
      <c r="O854" s="35"/>
      <c r="Q854" s="3">
        <f t="shared" si="27"/>
        <v>49.97</v>
      </c>
      <c r="S854" s="55" t="s">
        <v>9013</v>
      </c>
      <c r="U854" s="3" t="str">
        <f t="shared" si="28"/>
        <v/>
      </c>
    </row>
    <row r="855" spans="1:21" x14ac:dyDescent="0.35">
      <c r="A855" s="126" t="s">
        <v>0</v>
      </c>
      <c r="B855" s="126" t="s">
        <v>1106</v>
      </c>
      <c r="C855" s="126" t="s">
        <v>2</v>
      </c>
      <c r="D855" s="126" t="s">
        <v>3</v>
      </c>
      <c r="E855" s="126">
        <v>49.95</v>
      </c>
      <c r="F855" s="126" t="s">
        <v>88</v>
      </c>
      <c r="G855" s="108">
        <v>45390</v>
      </c>
      <c r="H855" s="126" t="s">
        <v>89</v>
      </c>
      <c r="I855" s="126" t="s">
        <v>7671</v>
      </c>
      <c r="J855" s="126"/>
      <c r="K855" s="126" t="s">
        <v>7672</v>
      </c>
      <c r="L855" s="126" t="s">
        <v>7673</v>
      </c>
      <c r="M855" s="126" t="s">
        <v>399</v>
      </c>
      <c r="N855" s="35"/>
      <c r="O855" s="35"/>
      <c r="Q855" s="3">
        <f t="shared" si="27"/>
        <v>49.95</v>
      </c>
      <c r="S855" s="55" t="s">
        <v>9013</v>
      </c>
      <c r="U855" s="3" t="str">
        <f t="shared" si="28"/>
        <v/>
      </c>
    </row>
    <row r="856" spans="1:21" x14ac:dyDescent="0.35">
      <c r="A856" s="126" t="s">
        <v>0</v>
      </c>
      <c r="B856" s="126" t="s">
        <v>1106</v>
      </c>
      <c r="C856" s="126" t="s">
        <v>2</v>
      </c>
      <c r="D856" s="126" t="s">
        <v>3</v>
      </c>
      <c r="E856" s="126">
        <v>49.94</v>
      </c>
      <c r="F856" s="126" t="s">
        <v>88</v>
      </c>
      <c r="G856" s="108">
        <v>45454</v>
      </c>
      <c r="H856" s="126" t="s">
        <v>89</v>
      </c>
      <c r="I856" s="126" t="s">
        <v>7961</v>
      </c>
      <c r="J856" s="126"/>
      <c r="K856" s="126" t="s">
        <v>7959</v>
      </c>
      <c r="L856" s="126" t="s">
        <v>7962</v>
      </c>
      <c r="M856" s="126" t="s">
        <v>399</v>
      </c>
      <c r="Q856" s="3">
        <f t="shared" si="27"/>
        <v>49.94</v>
      </c>
      <c r="S856" s="55" t="s">
        <v>9013</v>
      </c>
      <c r="U856" s="3" t="str">
        <f t="shared" si="28"/>
        <v/>
      </c>
    </row>
    <row r="857" spans="1:21" x14ac:dyDescent="0.35">
      <c r="A857" s="126" t="s">
        <v>0</v>
      </c>
      <c r="B857" s="126" t="s">
        <v>1106</v>
      </c>
      <c r="C857" s="126" t="s">
        <v>2</v>
      </c>
      <c r="D857" s="126" t="s">
        <v>3</v>
      </c>
      <c r="E857" s="126">
        <v>49.94</v>
      </c>
      <c r="F857" s="126" t="s">
        <v>88</v>
      </c>
      <c r="G857" s="108">
        <v>45544</v>
      </c>
      <c r="H857" s="126" t="s">
        <v>89</v>
      </c>
      <c r="I857" s="126" t="s">
        <v>8400</v>
      </c>
      <c r="J857" s="126"/>
      <c r="K857" s="126" t="s">
        <v>8321</v>
      </c>
      <c r="L857" s="126" t="s">
        <v>8401</v>
      </c>
      <c r="M857" s="126" t="s">
        <v>399</v>
      </c>
      <c r="Q857" s="3">
        <f t="shared" si="27"/>
        <v>49.94</v>
      </c>
      <c r="S857" s="55" t="s">
        <v>9013</v>
      </c>
      <c r="U857" s="3" t="str">
        <f t="shared" si="28"/>
        <v/>
      </c>
    </row>
    <row r="858" spans="1:21" x14ac:dyDescent="0.35">
      <c r="A858" s="126" t="s">
        <v>0</v>
      </c>
      <c r="B858" s="126" t="s">
        <v>672</v>
      </c>
      <c r="C858" s="126" t="s">
        <v>2</v>
      </c>
      <c r="D858" s="126" t="s">
        <v>3</v>
      </c>
      <c r="E858" s="126">
        <v>49.9</v>
      </c>
      <c r="F858" s="126" t="s">
        <v>88</v>
      </c>
      <c r="G858" s="108">
        <v>45635</v>
      </c>
      <c r="H858" s="126" t="s">
        <v>89</v>
      </c>
      <c r="I858" s="126" t="s">
        <v>8881</v>
      </c>
      <c r="J858" s="126"/>
      <c r="K858" s="126" t="s">
        <v>8735</v>
      </c>
      <c r="L858" s="126" t="s">
        <v>8882</v>
      </c>
      <c r="M858" s="126" t="s">
        <v>399</v>
      </c>
      <c r="Q858" s="3">
        <f t="shared" si="27"/>
        <v>49.9</v>
      </c>
      <c r="S858" s="55" t="s">
        <v>9013</v>
      </c>
      <c r="U858" s="3" t="str">
        <f t="shared" si="28"/>
        <v/>
      </c>
    </row>
    <row r="859" spans="1:21" x14ac:dyDescent="0.35">
      <c r="A859" s="126" t="s">
        <v>35</v>
      </c>
      <c r="B859" s="126" t="s">
        <v>2543</v>
      </c>
      <c r="C859" s="126" t="s">
        <v>2</v>
      </c>
      <c r="D859" s="126" t="s">
        <v>3</v>
      </c>
      <c r="E859" s="126">
        <v>49.86</v>
      </c>
      <c r="F859" s="126" t="s">
        <v>88</v>
      </c>
      <c r="G859" s="108">
        <v>45495</v>
      </c>
      <c r="H859" s="126" t="s">
        <v>94</v>
      </c>
      <c r="I859" s="126" t="s">
        <v>8198</v>
      </c>
      <c r="J859" s="126" t="s">
        <v>8199</v>
      </c>
      <c r="K859" s="126"/>
      <c r="L859" s="126"/>
      <c r="M859" s="126"/>
      <c r="N859" s="126"/>
      <c r="O859" s="126" t="s">
        <v>8200</v>
      </c>
      <c r="Q859" s="3">
        <f t="shared" si="27"/>
        <v>49.86</v>
      </c>
      <c r="U859" s="3" t="str">
        <f t="shared" si="28"/>
        <v/>
      </c>
    </row>
    <row r="860" spans="1:21" x14ac:dyDescent="0.35">
      <c r="A860" s="126" t="s">
        <v>0</v>
      </c>
      <c r="B860" s="126" t="s">
        <v>1416</v>
      </c>
      <c r="C860" s="126" t="s">
        <v>2</v>
      </c>
      <c r="D860" s="126" t="s">
        <v>3</v>
      </c>
      <c r="E860" s="126">
        <v>49.84</v>
      </c>
      <c r="F860" s="126" t="s">
        <v>88</v>
      </c>
      <c r="G860" s="108">
        <v>45635</v>
      </c>
      <c r="H860" s="126" t="s">
        <v>89</v>
      </c>
      <c r="I860" s="126" t="s">
        <v>8881</v>
      </c>
      <c r="J860" s="126"/>
      <c r="K860" s="126" t="s">
        <v>8735</v>
      </c>
      <c r="L860" s="126" t="s">
        <v>8882</v>
      </c>
      <c r="M860" s="126" t="s">
        <v>399</v>
      </c>
      <c r="Q860" s="3">
        <f t="shared" si="27"/>
        <v>49.84</v>
      </c>
      <c r="S860" s="55" t="s">
        <v>9013</v>
      </c>
      <c r="U860" s="3" t="str">
        <f t="shared" si="28"/>
        <v/>
      </c>
    </row>
    <row r="861" spans="1:21" x14ac:dyDescent="0.35">
      <c r="A861" s="126" t="s">
        <v>0</v>
      </c>
      <c r="B861" s="126" t="s">
        <v>708</v>
      </c>
      <c r="C861" s="126" t="s">
        <v>2</v>
      </c>
      <c r="D861" s="126" t="s">
        <v>3</v>
      </c>
      <c r="E861" s="126">
        <v>49.74</v>
      </c>
      <c r="F861" s="126" t="s">
        <v>88</v>
      </c>
      <c r="G861" s="108">
        <v>45390</v>
      </c>
      <c r="H861" s="126" t="s">
        <v>89</v>
      </c>
      <c r="I861" s="126" t="s">
        <v>7671</v>
      </c>
      <c r="J861" s="126"/>
      <c r="K861" s="126" t="s">
        <v>7672</v>
      </c>
      <c r="L861" s="126" t="s">
        <v>7673</v>
      </c>
      <c r="M861" s="126" t="s">
        <v>399</v>
      </c>
      <c r="N861" s="35"/>
      <c r="O861" s="35"/>
      <c r="Q861" s="3">
        <f t="shared" si="27"/>
        <v>49.74</v>
      </c>
      <c r="S861" s="55" t="s">
        <v>9013</v>
      </c>
      <c r="U861" s="3" t="str">
        <f t="shared" si="28"/>
        <v/>
      </c>
    </row>
    <row r="862" spans="1:21" x14ac:dyDescent="0.35">
      <c r="A862" s="126" t="s">
        <v>0</v>
      </c>
      <c r="B862" s="126" t="s">
        <v>6057</v>
      </c>
      <c r="C862" s="126" t="s">
        <v>2</v>
      </c>
      <c r="D862" s="126" t="s">
        <v>3</v>
      </c>
      <c r="E862" s="126">
        <v>49.73</v>
      </c>
      <c r="F862" s="126" t="s">
        <v>88</v>
      </c>
      <c r="G862" s="108">
        <v>45454</v>
      </c>
      <c r="H862" s="126" t="s">
        <v>89</v>
      </c>
      <c r="I862" s="126" t="s">
        <v>7961</v>
      </c>
      <c r="J862" s="126"/>
      <c r="K862" s="126" t="s">
        <v>7959</v>
      </c>
      <c r="L862" s="126" t="s">
        <v>7962</v>
      </c>
      <c r="M862" s="126" t="s">
        <v>399</v>
      </c>
      <c r="Q862" s="3">
        <f t="shared" si="27"/>
        <v>49.73</v>
      </c>
      <c r="S862" s="55" t="s">
        <v>9013</v>
      </c>
      <c r="U862" s="3" t="str">
        <f t="shared" si="28"/>
        <v/>
      </c>
    </row>
    <row r="863" spans="1:21" x14ac:dyDescent="0.35">
      <c r="A863" s="126" t="s">
        <v>0</v>
      </c>
      <c r="B863" s="126" t="s">
        <v>6057</v>
      </c>
      <c r="C863" s="126" t="s">
        <v>2</v>
      </c>
      <c r="D863" s="126" t="s">
        <v>3</v>
      </c>
      <c r="E863" s="126">
        <v>49.73</v>
      </c>
      <c r="F863" s="126" t="s">
        <v>88</v>
      </c>
      <c r="G863" s="108">
        <v>45544</v>
      </c>
      <c r="H863" s="126" t="s">
        <v>89</v>
      </c>
      <c r="I863" s="126" t="s">
        <v>8400</v>
      </c>
      <c r="J863" s="126"/>
      <c r="K863" s="126" t="s">
        <v>8321</v>
      </c>
      <c r="L863" s="126" t="s">
        <v>8401</v>
      </c>
      <c r="M863" s="126" t="s">
        <v>399</v>
      </c>
      <c r="N863" s="126"/>
      <c r="O863" s="126"/>
      <c r="Q863" s="3">
        <f t="shared" si="27"/>
        <v>49.73</v>
      </c>
      <c r="S863" s="55" t="s">
        <v>9013</v>
      </c>
      <c r="U863" s="3" t="str">
        <f t="shared" si="28"/>
        <v/>
      </c>
    </row>
    <row r="864" spans="1:21" x14ac:dyDescent="0.35">
      <c r="A864" s="126" t="s">
        <v>0</v>
      </c>
      <c r="B864" s="126" t="s">
        <v>6057</v>
      </c>
      <c r="C864" s="126" t="s">
        <v>2</v>
      </c>
      <c r="D864" s="126" t="s">
        <v>3</v>
      </c>
      <c r="E864" s="126">
        <v>49.73</v>
      </c>
      <c r="F864" s="126" t="s">
        <v>88</v>
      </c>
      <c r="G864" s="108">
        <v>45635</v>
      </c>
      <c r="H864" s="126" t="s">
        <v>89</v>
      </c>
      <c r="I864" s="126" t="s">
        <v>8881</v>
      </c>
      <c r="J864" s="126"/>
      <c r="K864" s="126" t="s">
        <v>8735</v>
      </c>
      <c r="L864" s="126" t="s">
        <v>8882</v>
      </c>
      <c r="M864" s="126" t="s">
        <v>399</v>
      </c>
      <c r="Q864" s="3">
        <f t="shared" si="27"/>
        <v>49.73</v>
      </c>
      <c r="S864" s="55" t="s">
        <v>9013</v>
      </c>
      <c r="U864" s="3" t="str">
        <f t="shared" si="28"/>
        <v/>
      </c>
    </row>
    <row r="865" spans="1:21" x14ac:dyDescent="0.35">
      <c r="A865" s="126" t="s">
        <v>0</v>
      </c>
      <c r="B865" s="126" t="s">
        <v>6057</v>
      </c>
      <c r="C865" s="126" t="s">
        <v>2</v>
      </c>
      <c r="D865" s="126" t="s">
        <v>3</v>
      </c>
      <c r="E865" s="126">
        <v>49.72</v>
      </c>
      <c r="F865" s="126" t="s">
        <v>88</v>
      </c>
      <c r="G865" s="108">
        <v>45390</v>
      </c>
      <c r="H865" s="126" t="s">
        <v>89</v>
      </c>
      <c r="I865" s="126" t="s">
        <v>7671</v>
      </c>
      <c r="J865" s="126"/>
      <c r="K865" s="126" t="s">
        <v>7672</v>
      </c>
      <c r="L865" s="126" t="s">
        <v>7673</v>
      </c>
      <c r="M865" s="126" t="s">
        <v>399</v>
      </c>
      <c r="N865" s="126"/>
      <c r="O865" s="126"/>
      <c r="Q865" s="3">
        <f t="shared" si="27"/>
        <v>49.72</v>
      </c>
      <c r="S865" s="55" t="s">
        <v>9013</v>
      </c>
      <c r="U865" s="3" t="str">
        <f t="shared" si="28"/>
        <v/>
      </c>
    </row>
    <row r="866" spans="1:21" x14ac:dyDescent="0.35">
      <c r="A866" s="126" t="s">
        <v>0</v>
      </c>
      <c r="B866" s="126" t="s">
        <v>1533</v>
      </c>
      <c r="C866" s="126" t="s">
        <v>2</v>
      </c>
      <c r="D866" s="126" t="s">
        <v>3</v>
      </c>
      <c r="E866" s="126">
        <v>49.69</v>
      </c>
      <c r="F866" s="126" t="s">
        <v>88</v>
      </c>
      <c r="G866" s="108">
        <v>45635</v>
      </c>
      <c r="H866" s="126" t="s">
        <v>89</v>
      </c>
      <c r="I866" s="126" t="s">
        <v>8881</v>
      </c>
      <c r="J866" s="126"/>
      <c r="K866" s="126" t="s">
        <v>8735</v>
      </c>
      <c r="L866" s="126" t="s">
        <v>8882</v>
      </c>
      <c r="M866" s="126" t="s">
        <v>399</v>
      </c>
      <c r="Q866" s="3">
        <f t="shared" si="27"/>
        <v>49.69</v>
      </c>
      <c r="S866" s="55" t="s">
        <v>9013</v>
      </c>
      <c r="U866" s="3" t="str">
        <f t="shared" si="28"/>
        <v/>
      </c>
    </row>
    <row r="867" spans="1:21" x14ac:dyDescent="0.35">
      <c r="A867" s="126" t="s">
        <v>35</v>
      </c>
      <c r="B867" s="126" t="s">
        <v>915</v>
      </c>
      <c r="C867" s="126" t="s">
        <v>2</v>
      </c>
      <c r="D867" s="126" t="s">
        <v>3</v>
      </c>
      <c r="E867" s="126">
        <v>49.5</v>
      </c>
      <c r="F867" s="126" t="s">
        <v>88</v>
      </c>
      <c r="G867" s="108">
        <v>45512</v>
      </c>
      <c r="H867" s="126" t="s">
        <v>94</v>
      </c>
      <c r="I867" s="126" t="s">
        <v>4746</v>
      </c>
      <c r="J867" s="126" t="s">
        <v>8293</v>
      </c>
      <c r="K867" s="126"/>
      <c r="L867" s="126"/>
      <c r="M867" s="126"/>
      <c r="N867" s="126"/>
      <c r="O867" s="126" t="s">
        <v>8294</v>
      </c>
      <c r="Q867" s="3">
        <f t="shared" si="27"/>
        <v>49.5</v>
      </c>
      <c r="S867" s="55" t="s">
        <v>586</v>
      </c>
      <c r="U867" s="3" t="str">
        <f t="shared" si="28"/>
        <v/>
      </c>
    </row>
    <row r="868" spans="1:21" x14ac:dyDescent="0.35">
      <c r="A868" s="126" t="s">
        <v>0</v>
      </c>
      <c r="B868" s="126" t="s">
        <v>3466</v>
      </c>
      <c r="C868" s="126" t="s">
        <v>2</v>
      </c>
      <c r="D868" s="126" t="s">
        <v>3</v>
      </c>
      <c r="E868" s="126">
        <v>49.46</v>
      </c>
      <c r="F868" s="126" t="s">
        <v>88</v>
      </c>
      <c r="G868" s="108">
        <v>45566</v>
      </c>
      <c r="H868" s="126" t="s">
        <v>89</v>
      </c>
      <c r="I868" s="126" t="s">
        <v>8486</v>
      </c>
      <c r="J868" s="126"/>
      <c r="K868" s="126" t="s">
        <v>8239</v>
      </c>
      <c r="L868" s="126" t="s">
        <v>8487</v>
      </c>
      <c r="M868" s="126" t="s">
        <v>8241</v>
      </c>
      <c r="N868" s="126"/>
      <c r="O868" s="126"/>
      <c r="Q868" s="3">
        <f t="shared" si="27"/>
        <v>49.46</v>
      </c>
      <c r="S868" s="55" t="s">
        <v>9016</v>
      </c>
      <c r="U868" s="3" t="str">
        <f t="shared" si="28"/>
        <v/>
      </c>
    </row>
    <row r="869" spans="1:21" x14ac:dyDescent="0.35">
      <c r="A869" s="126" t="s">
        <v>35</v>
      </c>
      <c r="B869" s="126" t="s">
        <v>4583</v>
      </c>
      <c r="C869" s="126" t="s">
        <v>2</v>
      </c>
      <c r="D869" s="126" t="s">
        <v>3</v>
      </c>
      <c r="E869" s="126">
        <v>49.41</v>
      </c>
      <c r="F869" s="126" t="s">
        <v>88</v>
      </c>
      <c r="G869" s="108">
        <v>45414</v>
      </c>
      <c r="H869" s="126" t="s">
        <v>94</v>
      </c>
      <c r="I869" s="126" t="s">
        <v>501</v>
      </c>
      <c r="J869" s="126" t="s">
        <v>502</v>
      </c>
      <c r="K869" s="126"/>
      <c r="L869" s="126"/>
      <c r="M869" s="126"/>
      <c r="N869" s="126"/>
      <c r="O869" s="126" t="s">
        <v>574</v>
      </c>
      <c r="Q869" s="3">
        <f t="shared" si="27"/>
        <v>49.41</v>
      </c>
      <c r="S869" s="55" t="s">
        <v>9014</v>
      </c>
      <c r="U869" s="3" t="str">
        <f t="shared" si="28"/>
        <v/>
      </c>
    </row>
    <row r="870" spans="1:21" x14ac:dyDescent="0.35">
      <c r="A870" s="126" t="s">
        <v>35</v>
      </c>
      <c r="B870" s="126" t="s">
        <v>601</v>
      </c>
      <c r="C870" s="126" t="s">
        <v>2</v>
      </c>
      <c r="D870" s="126" t="s">
        <v>3</v>
      </c>
      <c r="E870" s="126">
        <v>49.4</v>
      </c>
      <c r="F870" s="126" t="s">
        <v>88</v>
      </c>
      <c r="G870" s="108">
        <v>45464</v>
      </c>
      <c r="H870" s="126" t="s">
        <v>94</v>
      </c>
      <c r="I870" s="126" t="s">
        <v>8032</v>
      </c>
      <c r="J870" s="126" t="s">
        <v>8040</v>
      </c>
      <c r="K870" s="126"/>
      <c r="L870" s="126"/>
      <c r="M870" s="126"/>
      <c r="N870" s="126"/>
      <c r="O870" s="126" t="s">
        <v>8041</v>
      </c>
      <c r="Q870" s="3">
        <f t="shared" si="27"/>
        <v>49.4</v>
      </c>
      <c r="U870" s="3" t="str">
        <f t="shared" si="28"/>
        <v/>
      </c>
    </row>
    <row r="871" spans="1:21" x14ac:dyDescent="0.35">
      <c r="A871" s="126" t="s">
        <v>0</v>
      </c>
      <c r="B871" s="126" t="s">
        <v>2226</v>
      </c>
      <c r="C871" s="126" t="s">
        <v>2</v>
      </c>
      <c r="D871" s="126" t="s">
        <v>3</v>
      </c>
      <c r="E871" s="126">
        <v>49.12</v>
      </c>
      <c r="F871" s="126" t="s">
        <v>88</v>
      </c>
      <c r="G871" s="108">
        <v>45457</v>
      </c>
      <c r="H871" s="126" t="s">
        <v>89</v>
      </c>
      <c r="I871" s="126" t="s">
        <v>7995</v>
      </c>
      <c r="J871" s="126"/>
      <c r="K871" s="126" t="s">
        <v>7996</v>
      </c>
      <c r="L871" s="126" t="s">
        <v>7997</v>
      </c>
      <c r="M871" s="126" t="s">
        <v>7998</v>
      </c>
      <c r="N871" s="126"/>
      <c r="O871" s="126"/>
      <c r="Q871" s="3">
        <f t="shared" si="27"/>
        <v>49.12</v>
      </c>
      <c r="S871" s="55" t="s">
        <v>9013</v>
      </c>
      <c r="U871" s="3" t="str">
        <f t="shared" si="28"/>
        <v/>
      </c>
    </row>
    <row r="872" spans="1:21" x14ac:dyDescent="0.35">
      <c r="A872" s="126" t="s">
        <v>35</v>
      </c>
      <c r="B872" s="126" t="s">
        <v>1423</v>
      </c>
      <c r="C872" s="126" t="s">
        <v>2</v>
      </c>
      <c r="D872" s="126" t="s">
        <v>3</v>
      </c>
      <c r="E872" s="126">
        <v>49.09</v>
      </c>
      <c r="F872" s="126" t="s">
        <v>88</v>
      </c>
      <c r="G872" s="108">
        <v>45581</v>
      </c>
      <c r="H872" s="126" t="s">
        <v>94</v>
      </c>
      <c r="I872" s="126" t="s">
        <v>7987</v>
      </c>
      <c r="J872" s="126" t="s">
        <v>8588</v>
      </c>
      <c r="K872" s="126"/>
      <c r="L872" s="126"/>
      <c r="M872" s="126"/>
      <c r="N872" s="126"/>
      <c r="O872" s="126" t="s">
        <v>522</v>
      </c>
      <c r="Q872" s="3">
        <f t="shared" si="27"/>
        <v>49.09</v>
      </c>
      <c r="U872" s="3" t="str">
        <f t="shared" si="28"/>
        <v/>
      </c>
    </row>
    <row r="873" spans="1:21" x14ac:dyDescent="0.35">
      <c r="A873" s="126" t="s">
        <v>35</v>
      </c>
      <c r="B873" s="126" t="s">
        <v>868</v>
      </c>
      <c r="C873" s="126" t="s">
        <v>2</v>
      </c>
      <c r="D873" s="126" t="s">
        <v>3</v>
      </c>
      <c r="E873" s="126">
        <v>49.05</v>
      </c>
      <c r="F873" s="126" t="s">
        <v>88</v>
      </c>
      <c r="G873" s="108">
        <v>45446</v>
      </c>
      <c r="H873" s="126" t="s">
        <v>94</v>
      </c>
      <c r="I873" s="126" t="s">
        <v>2920</v>
      </c>
      <c r="J873" s="126" t="s">
        <v>7923</v>
      </c>
      <c r="K873" s="126"/>
      <c r="L873" s="126"/>
      <c r="M873" s="126"/>
      <c r="N873" s="126"/>
      <c r="O873" s="126" t="s">
        <v>7924</v>
      </c>
      <c r="Q873" s="3">
        <f t="shared" si="27"/>
        <v>49.05</v>
      </c>
      <c r="S873" s="55" t="s">
        <v>9016</v>
      </c>
      <c r="U873" s="3" t="str">
        <f t="shared" si="28"/>
        <v/>
      </c>
    </row>
    <row r="874" spans="1:21" x14ac:dyDescent="0.35">
      <c r="A874" s="126" t="s">
        <v>0</v>
      </c>
      <c r="B874" s="126" t="s">
        <v>3422</v>
      </c>
      <c r="C874" s="126" t="s">
        <v>2</v>
      </c>
      <c r="D874" s="126" t="s">
        <v>3</v>
      </c>
      <c r="E874" s="126">
        <v>49.02</v>
      </c>
      <c r="F874" s="126" t="s">
        <v>88</v>
      </c>
      <c r="G874" s="108">
        <v>45454</v>
      </c>
      <c r="H874" s="126" t="s">
        <v>89</v>
      </c>
      <c r="I874" s="126" t="s">
        <v>7961</v>
      </c>
      <c r="J874" s="126"/>
      <c r="K874" s="126" t="s">
        <v>7959</v>
      </c>
      <c r="L874" s="126" t="s">
        <v>7962</v>
      </c>
      <c r="M874" s="126" t="s">
        <v>399</v>
      </c>
      <c r="Q874" s="3">
        <f t="shared" si="27"/>
        <v>49.02</v>
      </c>
      <c r="S874" s="55" t="s">
        <v>9013</v>
      </c>
      <c r="U874" s="3" t="str">
        <f t="shared" si="28"/>
        <v/>
      </c>
    </row>
    <row r="875" spans="1:21" x14ac:dyDescent="0.35">
      <c r="A875" s="126" t="s">
        <v>35</v>
      </c>
      <c r="B875" s="126" t="s">
        <v>852</v>
      </c>
      <c r="C875" s="126" t="s">
        <v>2</v>
      </c>
      <c r="D875" s="126" t="s">
        <v>3</v>
      </c>
      <c r="E875" s="126">
        <v>48.7</v>
      </c>
      <c r="F875" s="126" t="s">
        <v>88</v>
      </c>
      <c r="G875" s="108">
        <v>45587</v>
      </c>
      <c r="H875" s="126" t="s">
        <v>94</v>
      </c>
      <c r="I875" s="126" t="s">
        <v>6249</v>
      </c>
      <c r="J875" s="126" t="s">
        <v>7757</v>
      </c>
      <c r="K875" s="126"/>
      <c r="L875" s="126"/>
      <c r="M875" s="126"/>
      <c r="N875" s="126"/>
      <c r="O875" s="126" t="s">
        <v>348</v>
      </c>
      <c r="Q875" s="3">
        <f t="shared" si="27"/>
        <v>48.7</v>
      </c>
      <c r="S875" s="55" t="s">
        <v>9014</v>
      </c>
      <c r="U875" s="3" t="str">
        <f t="shared" si="28"/>
        <v/>
      </c>
    </row>
    <row r="876" spans="1:21" x14ac:dyDescent="0.35">
      <c r="A876" s="126" t="s">
        <v>0</v>
      </c>
      <c r="B876" s="126" t="s">
        <v>969</v>
      </c>
      <c r="C876" s="126" t="s">
        <v>2</v>
      </c>
      <c r="D876" s="126" t="s">
        <v>3</v>
      </c>
      <c r="E876" s="126">
        <v>48.64</v>
      </c>
      <c r="F876" s="126" t="s">
        <v>88</v>
      </c>
      <c r="G876" s="108">
        <v>45513</v>
      </c>
      <c r="H876" s="126" t="s">
        <v>89</v>
      </c>
      <c r="I876" s="126" t="s">
        <v>8299</v>
      </c>
      <c r="J876" s="126"/>
      <c r="K876" s="126" t="s">
        <v>7655</v>
      </c>
      <c r="L876" s="126" t="s">
        <v>8300</v>
      </c>
      <c r="M876" s="126" t="s">
        <v>420</v>
      </c>
      <c r="N876" s="126"/>
      <c r="O876" s="126"/>
      <c r="Q876" s="3">
        <f t="shared" si="27"/>
        <v>48.64</v>
      </c>
      <c r="U876" s="3" t="str">
        <f t="shared" si="28"/>
        <v/>
      </c>
    </row>
    <row r="877" spans="1:21" x14ac:dyDescent="0.35">
      <c r="A877" s="126" t="s">
        <v>0</v>
      </c>
      <c r="B877" s="126" t="s">
        <v>3466</v>
      </c>
      <c r="C877" s="126" t="s">
        <v>2</v>
      </c>
      <c r="D877" s="126" t="s">
        <v>3</v>
      </c>
      <c r="E877" s="126">
        <v>48.1</v>
      </c>
      <c r="F877" s="126" t="s">
        <v>88</v>
      </c>
      <c r="G877" s="108">
        <v>45555</v>
      </c>
      <c r="H877" s="126" t="s">
        <v>89</v>
      </c>
      <c r="I877" s="126" t="s">
        <v>8456</v>
      </c>
      <c r="J877" s="126"/>
      <c r="K877" s="126" t="s">
        <v>8239</v>
      </c>
      <c r="L877" s="126" t="s">
        <v>8457</v>
      </c>
      <c r="M877" s="126" t="s">
        <v>8241</v>
      </c>
      <c r="N877" s="126"/>
      <c r="O877" s="126"/>
      <c r="Q877" s="3">
        <f t="shared" si="27"/>
        <v>48.1</v>
      </c>
      <c r="S877" s="55" t="s">
        <v>9016</v>
      </c>
      <c r="U877" s="3" t="str">
        <f t="shared" si="28"/>
        <v/>
      </c>
    </row>
    <row r="878" spans="1:21" x14ac:dyDescent="0.35">
      <c r="A878" s="126" t="s">
        <v>35</v>
      </c>
      <c r="B878" s="126" t="s">
        <v>3466</v>
      </c>
      <c r="C878" s="126" t="s">
        <v>2</v>
      </c>
      <c r="D878" s="126" t="s">
        <v>3</v>
      </c>
      <c r="E878" s="126">
        <v>47.92</v>
      </c>
      <c r="F878" s="126" t="s">
        <v>88</v>
      </c>
      <c r="G878" s="108">
        <v>45386</v>
      </c>
      <c r="H878" s="126" t="s">
        <v>94</v>
      </c>
      <c r="I878" s="126" t="s">
        <v>5290</v>
      </c>
      <c r="J878" s="126" t="s">
        <v>7659</v>
      </c>
      <c r="K878" s="126"/>
      <c r="L878" s="126"/>
      <c r="M878" s="126"/>
      <c r="N878" s="126"/>
      <c r="O878" s="126" t="s">
        <v>569</v>
      </c>
      <c r="Q878" s="3">
        <f t="shared" si="27"/>
        <v>47.92</v>
      </c>
      <c r="S878" s="55" t="s">
        <v>586</v>
      </c>
      <c r="U878" s="3" t="str">
        <f t="shared" si="28"/>
        <v/>
      </c>
    </row>
    <row r="879" spans="1:21" x14ac:dyDescent="0.35">
      <c r="A879" s="126" t="s">
        <v>35</v>
      </c>
      <c r="B879" s="126" t="s">
        <v>2543</v>
      </c>
      <c r="C879" s="126" t="s">
        <v>2</v>
      </c>
      <c r="D879" s="126" t="s">
        <v>3</v>
      </c>
      <c r="E879" s="126">
        <v>47.82</v>
      </c>
      <c r="F879" s="126" t="s">
        <v>88</v>
      </c>
      <c r="G879" s="108">
        <v>45406</v>
      </c>
      <c r="H879" s="126" t="s">
        <v>94</v>
      </c>
      <c r="I879" s="126" t="s">
        <v>444</v>
      </c>
      <c r="J879" s="126" t="s">
        <v>445</v>
      </c>
      <c r="K879" s="126"/>
      <c r="L879" s="126"/>
      <c r="M879" s="126"/>
      <c r="N879" s="126"/>
      <c r="O879" s="126" t="s">
        <v>537</v>
      </c>
      <c r="Q879" s="3">
        <f t="shared" si="27"/>
        <v>47.82</v>
      </c>
      <c r="U879" s="3" t="str">
        <f t="shared" si="28"/>
        <v/>
      </c>
    </row>
    <row r="880" spans="1:21" x14ac:dyDescent="0.35">
      <c r="A880" s="126" t="s">
        <v>35</v>
      </c>
      <c r="B880" s="126" t="s">
        <v>615</v>
      </c>
      <c r="C880" s="126" t="s">
        <v>2</v>
      </c>
      <c r="D880" s="126" t="s">
        <v>3</v>
      </c>
      <c r="E880" s="126">
        <v>47.68</v>
      </c>
      <c r="F880" s="126" t="s">
        <v>88</v>
      </c>
      <c r="G880" s="108">
        <v>45614</v>
      </c>
      <c r="H880" s="126" t="s">
        <v>94</v>
      </c>
      <c r="I880" s="126" t="s">
        <v>421</v>
      </c>
      <c r="J880" s="126" t="s">
        <v>433</v>
      </c>
      <c r="K880" s="126"/>
      <c r="L880" s="126"/>
      <c r="M880" s="126"/>
      <c r="N880" s="126"/>
      <c r="O880" s="126" t="s">
        <v>539</v>
      </c>
      <c r="Q880" s="3">
        <f t="shared" si="27"/>
        <v>47.68</v>
      </c>
      <c r="S880" s="55" t="s">
        <v>9025</v>
      </c>
      <c r="U880" s="3" t="str">
        <f t="shared" si="28"/>
        <v/>
      </c>
    </row>
    <row r="881" spans="1:21" x14ac:dyDescent="0.35">
      <c r="A881" s="126" t="s">
        <v>0</v>
      </c>
      <c r="B881" s="126" t="s">
        <v>1995</v>
      </c>
      <c r="C881" s="126" t="s">
        <v>2</v>
      </c>
      <c r="D881" s="126" t="s">
        <v>3</v>
      </c>
      <c r="E881" s="126">
        <v>47.45</v>
      </c>
      <c r="F881" s="126" t="s">
        <v>88</v>
      </c>
      <c r="G881" s="108">
        <v>45432</v>
      </c>
      <c r="H881" s="126" t="s">
        <v>89</v>
      </c>
      <c r="I881" s="126" t="s">
        <v>7842</v>
      </c>
      <c r="J881" s="126"/>
      <c r="K881" s="126" t="s">
        <v>7840</v>
      </c>
      <c r="L881" s="126" t="s">
        <v>7843</v>
      </c>
      <c r="M881" s="126" t="s">
        <v>399</v>
      </c>
      <c r="Q881" s="3">
        <f t="shared" si="27"/>
        <v>47.45</v>
      </c>
      <c r="S881" s="55" t="s">
        <v>9013</v>
      </c>
      <c r="U881" s="3" t="str">
        <f t="shared" si="28"/>
        <v/>
      </c>
    </row>
    <row r="882" spans="1:21" x14ac:dyDescent="0.35">
      <c r="A882" s="126" t="s">
        <v>0</v>
      </c>
      <c r="B882" s="126" t="s">
        <v>1106</v>
      </c>
      <c r="C882" s="126" t="s">
        <v>2</v>
      </c>
      <c r="D882" s="126" t="s">
        <v>3</v>
      </c>
      <c r="E882" s="126">
        <v>47.4</v>
      </c>
      <c r="F882" s="126" t="s">
        <v>88</v>
      </c>
      <c r="G882" s="108">
        <v>45432</v>
      </c>
      <c r="H882" s="126" t="s">
        <v>89</v>
      </c>
      <c r="I882" s="126" t="s">
        <v>7842</v>
      </c>
      <c r="J882" s="126"/>
      <c r="K882" s="126" t="s">
        <v>7840</v>
      </c>
      <c r="L882" s="126" t="s">
        <v>7843</v>
      </c>
      <c r="M882" s="126" t="s">
        <v>399</v>
      </c>
      <c r="Q882" s="3">
        <f t="shared" si="27"/>
        <v>47.4</v>
      </c>
      <c r="S882" s="55" t="s">
        <v>9013</v>
      </c>
      <c r="U882" s="3" t="str">
        <f t="shared" si="28"/>
        <v/>
      </c>
    </row>
    <row r="883" spans="1:21" x14ac:dyDescent="0.35">
      <c r="A883" s="126" t="s">
        <v>0</v>
      </c>
      <c r="B883" s="126" t="s">
        <v>1106</v>
      </c>
      <c r="C883" s="126" t="s">
        <v>2</v>
      </c>
      <c r="D883" s="126" t="s">
        <v>3</v>
      </c>
      <c r="E883" s="126">
        <v>47.4</v>
      </c>
      <c r="F883" s="126" t="s">
        <v>88</v>
      </c>
      <c r="G883" s="108">
        <v>45505</v>
      </c>
      <c r="H883" s="126" t="s">
        <v>89</v>
      </c>
      <c r="I883" s="126" t="s">
        <v>8248</v>
      </c>
      <c r="J883" s="126"/>
      <c r="K883" s="126" t="s">
        <v>8135</v>
      </c>
      <c r="L883" s="126" t="s">
        <v>8249</v>
      </c>
      <c r="M883" s="126" t="s">
        <v>399</v>
      </c>
      <c r="Q883" s="3">
        <f t="shared" si="27"/>
        <v>47.4</v>
      </c>
      <c r="S883" s="55" t="s">
        <v>9013</v>
      </c>
      <c r="U883" s="3" t="str">
        <f t="shared" si="28"/>
        <v/>
      </c>
    </row>
    <row r="884" spans="1:21" x14ac:dyDescent="0.35">
      <c r="A884" s="126" t="s">
        <v>0</v>
      </c>
      <c r="B884" s="126" t="s">
        <v>1106</v>
      </c>
      <c r="C884" s="126" t="s">
        <v>2</v>
      </c>
      <c r="D884" s="126" t="s">
        <v>3</v>
      </c>
      <c r="E884" s="126">
        <v>47.4</v>
      </c>
      <c r="F884" s="126" t="s">
        <v>88</v>
      </c>
      <c r="G884" s="108">
        <v>45517</v>
      </c>
      <c r="H884" s="126" t="s">
        <v>89</v>
      </c>
      <c r="I884" s="126" t="s">
        <v>8323</v>
      </c>
      <c r="J884" s="126"/>
      <c r="K884" s="126" t="s">
        <v>8321</v>
      </c>
      <c r="L884" s="126" t="s">
        <v>8324</v>
      </c>
      <c r="M884" s="126" t="s">
        <v>399</v>
      </c>
      <c r="Q884" s="3">
        <f t="shared" si="27"/>
        <v>47.4</v>
      </c>
      <c r="S884" s="55" t="s">
        <v>9013</v>
      </c>
      <c r="U884" s="3" t="str">
        <f t="shared" si="28"/>
        <v/>
      </c>
    </row>
    <row r="885" spans="1:21" x14ac:dyDescent="0.35">
      <c r="A885" s="126" t="s">
        <v>0</v>
      </c>
      <c r="B885" s="126" t="s">
        <v>1487</v>
      </c>
      <c r="C885" s="126" t="s">
        <v>2</v>
      </c>
      <c r="D885" s="126" t="s">
        <v>3</v>
      </c>
      <c r="E885" s="126">
        <v>47.29</v>
      </c>
      <c r="F885" s="126" t="s">
        <v>88</v>
      </c>
      <c r="G885" s="108">
        <v>45569</v>
      </c>
      <c r="H885" s="126" t="s">
        <v>89</v>
      </c>
      <c r="I885" s="126" t="s">
        <v>8524</v>
      </c>
      <c r="J885" s="126"/>
      <c r="K885" s="126" t="s">
        <v>8525</v>
      </c>
      <c r="L885" s="126" t="s">
        <v>8526</v>
      </c>
      <c r="M885" s="126" t="s">
        <v>399</v>
      </c>
      <c r="N885" s="126"/>
      <c r="O885" s="126"/>
      <c r="Q885" s="3">
        <f t="shared" si="27"/>
        <v>47.29</v>
      </c>
      <c r="S885" s="55" t="s">
        <v>9013</v>
      </c>
      <c r="U885" s="3" t="str">
        <f t="shared" si="28"/>
        <v/>
      </c>
    </row>
    <row r="886" spans="1:21" x14ac:dyDescent="0.35">
      <c r="A886" s="126" t="s">
        <v>35</v>
      </c>
      <c r="B886" s="126" t="s">
        <v>3466</v>
      </c>
      <c r="C886" s="126" t="s">
        <v>2</v>
      </c>
      <c r="D886" s="126" t="s">
        <v>3</v>
      </c>
      <c r="E886" s="126">
        <v>47.27</v>
      </c>
      <c r="F886" s="126" t="s">
        <v>88</v>
      </c>
      <c r="G886" s="108">
        <v>45406</v>
      </c>
      <c r="H886" s="126" t="s">
        <v>94</v>
      </c>
      <c r="I886" s="126" t="s">
        <v>481</v>
      </c>
      <c r="J886" s="126" t="s">
        <v>482</v>
      </c>
      <c r="K886" s="126"/>
      <c r="L886" s="126"/>
      <c r="M886" s="126"/>
      <c r="N886" s="126"/>
      <c r="O886" s="126" t="s">
        <v>569</v>
      </c>
      <c r="Q886" s="3">
        <f t="shared" si="27"/>
        <v>47.27</v>
      </c>
      <c r="S886" s="55" t="s">
        <v>586</v>
      </c>
      <c r="U886" s="3" t="str">
        <f t="shared" si="28"/>
        <v/>
      </c>
    </row>
    <row r="887" spans="1:21" x14ac:dyDescent="0.35">
      <c r="A887" s="126" t="s">
        <v>35</v>
      </c>
      <c r="B887" s="126" t="s">
        <v>2543</v>
      </c>
      <c r="C887" s="126" t="s">
        <v>2</v>
      </c>
      <c r="D887" s="126" t="s">
        <v>3</v>
      </c>
      <c r="E887" s="126">
        <v>46.91</v>
      </c>
      <c r="F887" s="126" t="s">
        <v>88</v>
      </c>
      <c r="G887" s="108">
        <v>45456</v>
      </c>
      <c r="H887" s="126" t="s">
        <v>94</v>
      </c>
      <c r="I887" s="126" t="s">
        <v>444</v>
      </c>
      <c r="J887" s="126" t="s">
        <v>445</v>
      </c>
      <c r="K887" s="126"/>
      <c r="L887" s="126"/>
      <c r="M887" s="126"/>
      <c r="N887" s="126"/>
      <c r="O887" s="126" t="s">
        <v>577</v>
      </c>
      <c r="Q887" s="3">
        <f t="shared" si="27"/>
        <v>46.91</v>
      </c>
      <c r="U887" s="3" t="str">
        <f t="shared" si="28"/>
        <v/>
      </c>
    </row>
    <row r="888" spans="1:21" x14ac:dyDescent="0.35">
      <c r="A888" s="126" t="s">
        <v>0</v>
      </c>
      <c r="B888" s="126" t="s">
        <v>3466</v>
      </c>
      <c r="C888" s="126" t="s">
        <v>2</v>
      </c>
      <c r="D888" s="126" t="s">
        <v>3</v>
      </c>
      <c r="E888" s="126">
        <v>46.88</v>
      </c>
      <c r="F888" s="126" t="s">
        <v>88</v>
      </c>
      <c r="G888" s="108">
        <v>45604</v>
      </c>
      <c r="H888" s="126" t="s">
        <v>89</v>
      </c>
      <c r="I888" s="126" t="s">
        <v>8688</v>
      </c>
      <c r="J888" s="126"/>
      <c r="K888" s="126" t="s">
        <v>8239</v>
      </c>
      <c r="L888" s="126" t="s">
        <v>8689</v>
      </c>
      <c r="M888" s="126" t="s">
        <v>8241</v>
      </c>
      <c r="N888" s="126"/>
      <c r="O888" s="126"/>
      <c r="Q888" s="3">
        <f t="shared" si="27"/>
        <v>46.88</v>
      </c>
      <c r="S888" s="55" t="s">
        <v>9016</v>
      </c>
      <c r="U888" s="3" t="str">
        <f t="shared" si="28"/>
        <v/>
      </c>
    </row>
    <row r="889" spans="1:21" x14ac:dyDescent="0.35">
      <c r="A889" s="126" t="s">
        <v>0</v>
      </c>
      <c r="B889" s="126" t="s">
        <v>2328</v>
      </c>
      <c r="C889" s="126" t="s">
        <v>2</v>
      </c>
      <c r="D889" s="126" t="s">
        <v>3</v>
      </c>
      <c r="E889" s="126">
        <v>46.67</v>
      </c>
      <c r="F889" s="126" t="s">
        <v>88</v>
      </c>
      <c r="G889" s="108">
        <v>45391</v>
      </c>
      <c r="H889" s="126" t="s">
        <v>89</v>
      </c>
      <c r="I889" s="126" t="s">
        <v>7691</v>
      </c>
      <c r="J889" s="126"/>
      <c r="K889" s="126" t="s">
        <v>7672</v>
      </c>
      <c r="L889" s="126" t="s">
        <v>7692</v>
      </c>
      <c r="M889" s="126" t="s">
        <v>399</v>
      </c>
      <c r="N889" s="35"/>
      <c r="O889" s="35"/>
      <c r="Q889" s="3">
        <f t="shared" si="27"/>
        <v>46.67</v>
      </c>
      <c r="S889" s="55" t="s">
        <v>9013</v>
      </c>
      <c r="U889" s="3" t="str">
        <f t="shared" si="28"/>
        <v/>
      </c>
    </row>
    <row r="890" spans="1:21" x14ac:dyDescent="0.35">
      <c r="A890" s="126" t="s">
        <v>0</v>
      </c>
      <c r="B890" s="126" t="s">
        <v>2328</v>
      </c>
      <c r="C890" s="126" t="s">
        <v>2</v>
      </c>
      <c r="D890" s="126" t="s">
        <v>3</v>
      </c>
      <c r="E890" s="126">
        <v>46.67</v>
      </c>
      <c r="F890" s="126" t="s">
        <v>88</v>
      </c>
      <c r="G890" s="108">
        <v>45432</v>
      </c>
      <c r="H890" s="126" t="s">
        <v>89</v>
      </c>
      <c r="I890" s="126" t="s">
        <v>7839</v>
      </c>
      <c r="J890" s="126"/>
      <c r="K890" s="126" t="s">
        <v>7840</v>
      </c>
      <c r="L890" s="126" t="s">
        <v>7841</v>
      </c>
      <c r="M890" s="126" t="s">
        <v>399</v>
      </c>
      <c r="N890" s="35"/>
      <c r="O890" s="35"/>
      <c r="Q890" s="3">
        <f t="shared" si="27"/>
        <v>46.67</v>
      </c>
      <c r="S890" s="55" t="s">
        <v>9013</v>
      </c>
      <c r="U890" s="3" t="str">
        <f t="shared" si="28"/>
        <v/>
      </c>
    </row>
    <row r="891" spans="1:21" x14ac:dyDescent="0.35">
      <c r="A891" s="126" t="s">
        <v>0</v>
      </c>
      <c r="B891" s="126" t="s">
        <v>2328</v>
      </c>
      <c r="C891" s="126" t="s">
        <v>2</v>
      </c>
      <c r="D891" s="126" t="s">
        <v>3</v>
      </c>
      <c r="E891" s="126">
        <v>46.67</v>
      </c>
      <c r="F891" s="126" t="s">
        <v>88</v>
      </c>
      <c r="G891" s="108">
        <v>45454</v>
      </c>
      <c r="H891" s="126" t="s">
        <v>89</v>
      </c>
      <c r="I891" s="126" t="s">
        <v>7958</v>
      </c>
      <c r="J891" s="126"/>
      <c r="K891" s="126" t="s">
        <v>7959</v>
      </c>
      <c r="L891" s="126" t="s">
        <v>7960</v>
      </c>
      <c r="M891" s="126" t="s">
        <v>399</v>
      </c>
      <c r="Q891" s="3">
        <f t="shared" si="27"/>
        <v>46.67</v>
      </c>
      <c r="S891" s="55" t="s">
        <v>9013</v>
      </c>
      <c r="U891" s="3" t="str">
        <f t="shared" si="28"/>
        <v/>
      </c>
    </row>
    <row r="892" spans="1:21" x14ac:dyDescent="0.35">
      <c r="A892" s="126" t="s">
        <v>0</v>
      </c>
      <c r="B892" s="126" t="s">
        <v>2328</v>
      </c>
      <c r="C892" s="126" t="s">
        <v>2</v>
      </c>
      <c r="D892" s="126" t="s">
        <v>3</v>
      </c>
      <c r="E892" s="126">
        <v>46.67</v>
      </c>
      <c r="F892" s="126" t="s">
        <v>88</v>
      </c>
      <c r="G892" s="108">
        <v>45485</v>
      </c>
      <c r="H892" s="126" t="s">
        <v>89</v>
      </c>
      <c r="I892" s="126" t="s">
        <v>8134</v>
      </c>
      <c r="J892" s="126"/>
      <c r="K892" s="126" t="s">
        <v>8135</v>
      </c>
      <c r="L892" s="126" t="s">
        <v>8136</v>
      </c>
      <c r="M892" s="126" t="s">
        <v>399</v>
      </c>
      <c r="Q892" s="3">
        <f t="shared" si="27"/>
        <v>46.67</v>
      </c>
      <c r="S892" s="55" t="s">
        <v>9013</v>
      </c>
      <c r="U892" s="3" t="str">
        <f t="shared" si="28"/>
        <v/>
      </c>
    </row>
    <row r="893" spans="1:21" x14ac:dyDescent="0.35">
      <c r="A893" s="126" t="s">
        <v>0</v>
      </c>
      <c r="B893" s="126" t="s">
        <v>2328</v>
      </c>
      <c r="C893" s="126" t="s">
        <v>2</v>
      </c>
      <c r="D893" s="126" t="s">
        <v>3</v>
      </c>
      <c r="E893" s="126">
        <v>46.67</v>
      </c>
      <c r="F893" s="126" t="s">
        <v>88</v>
      </c>
      <c r="G893" s="108">
        <v>45517</v>
      </c>
      <c r="H893" s="126" t="s">
        <v>89</v>
      </c>
      <c r="I893" s="126" t="s">
        <v>8320</v>
      </c>
      <c r="J893" s="126"/>
      <c r="K893" s="126" t="s">
        <v>8321</v>
      </c>
      <c r="L893" s="126" t="s">
        <v>8322</v>
      </c>
      <c r="M893" s="126" t="s">
        <v>399</v>
      </c>
      <c r="Q893" s="3">
        <f t="shared" si="27"/>
        <v>46.67</v>
      </c>
      <c r="S893" s="55" t="s">
        <v>9013</v>
      </c>
      <c r="U893" s="3" t="str">
        <f t="shared" si="28"/>
        <v/>
      </c>
    </row>
    <row r="894" spans="1:21" x14ac:dyDescent="0.35">
      <c r="A894" s="126" t="s">
        <v>0</v>
      </c>
      <c r="B894" s="126" t="s">
        <v>2328</v>
      </c>
      <c r="C894" s="126" t="s">
        <v>2</v>
      </c>
      <c r="D894" s="126" t="s">
        <v>3</v>
      </c>
      <c r="E894" s="126">
        <v>46.67</v>
      </c>
      <c r="F894" s="126" t="s">
        <v>88</v>
      </c>
      <c r="G894" s="108">
        <v>45551</v>
      </c>
      <c r="H894" s="126" t="s">
        <v>89</v>
      </c>
      <c r="I894" s="126" t="s">
        <v>8431</v>
      </c>
      <c r="J894" s="126"/>
      <c r="K894" s="126" t="s">
        <v>8432</v>
      </c>
      <c r="L894" s="126" t="s">
        <v>8433</v>
      </c>
      <c r="M894" s="126" t="s">
        <v>399</v>
      </c>
      <c r="Q894" s="3">
        <f t="shared" si="27"/>
        <v>46.67</v>
      </c>
      <c r="S894" s="55" t="s">
        <v>9013</v>
      </c>
      <c r="U894" s="3" t="str">
        <f t="shared" si="28"/>
        <v/>
      </c>
    </row>
    <row r="895" spans="1:21" x14ac:dyDescent="0.35">
      <c r="A895" s="126" t="s">
        <v>0</v>
      </c>
      <c r="B895" s="126" t="s">
        <v>2328</v>
      </c>
      <c r="C895" s="126" t="s">
        <v>2</v>
      </c>
      <c r="D895" s="126" t="s">
        <v>3</v>
      </c>
      <c r="E895" s="126">
        <v>46.67</v>
      </c>
      <c r="F895" s="126" t="s">
        <v>88</v>
      </c>
      <c r="G895" s="108">
        <v>45569</v>
      </c>
      <c r="H895" s="126" t="s">
        <v>89</v>
      </c>
      <c r="I895" s="126" t="s">
        <v>8521</v>
      </c>
      <c r="J895" s="126"/>
      <c r="K895" s="126" t="s">
        <v>8522</v>
      </c>
      <c r="L895" s="126" t="s">
        <v>8523</v>
      </c>
      <c r="M895" s="126" t="s">
        <v>399</v>
      </c>
      <c r="Q895" s="3">
        <f t="shared" si="27"/>
        <v>46.67</v>
      </c>
      <c r="S895" s="55" t="s">
        <v>9013</v>
      </c>
      <c r="U895" s="3" t="str">
        <f t="shared" si="28"/>
        <v/>
      </c>
    </row>
    <row r="896" spans="1:21" x14ac:dyDescent="0.35">
      <c r="A896" s="126" t="s">
        <v>0</v>
      </c>
      <c r="B896" s="126" t="s">
        <v>2328</v>
      </c>
      <c r="C896" s="126" t="s">
        <v>2</v>
      </c>
      <c r="D896" s="126" t="s">
        <v>3</v>
      </c>
      <c r="E896" s="126">
        <v>46.67</v>
      </c>
      <c r="F896" s="126" t="s">
        <v>88</v>
      </c>
      <c r="G896" s="108">
        <v>45611</v>
      </c>
      <c r="H896" s="126" t="s">
        <v>89</v>
      </c>
      <c r="I896" s="126" t="s">
        <v>8734</v>
      </c>
      <c r="J896" s="126"/>
      <c r="K896" s="126" t="s">
        <v>8735</v>
      </c>
      <c r="L896" s="126" t="s">
        <v>8736</v>
      </c>
      <c r="M896" s="126" t="s">
        <v>399</v>
      </c>
      <c r="N896" s="126"/>
      <c r="O896" s="126"/>
      <c r="Q896" s="3">
        <f t="shared" si="27"/>
        <v>46.67</v>
      </c>
      <c r="S896" s="55" t="s">
        <v>9013</v>
      </c>
      <c r="U896" s="3" t="str">
        <f t="shared" si="28"/>
        <v/>
      </c>
    </row>
    <row r="897" spans="1:21" x14ac:dyDescent="0.35">
      <c r="A897" s="126" t="s">
        <v>0</v>
      </c>
      <c r="B897" s="126" t="s">
        <v>2328</v>
      </c>
      <c r="C897" s="126" t="s">
        <v>2</v>
      </c>
      <c r="D897" s="126" t="s">
        <v>3</v>
      </c>
      <c r="E897" s="126">
        <v>46.67</v>
      </c>
      <c r="F897" s="126" t="s">
        <v>88</v>
      </c>
      <c r="G897" s="108">
        <v>45635</v>
      </c>
      <c r="H897" s="126" t="s">
        <v>89</v>
      </c>
      <c r="I897" s="126" t="s">
        <v>8878</v>
      </c>
      <c r="J897" s="126"/>
      <c r="K897" s="126" t="s">
        <v>8879</v>
      </c>
      <c r="L897" s="126" t="s">
        <v>8880</v>
      </c>
      <c r="M897" s="126" t="s">
        <v>399</v>
      </c>
      <c r="Q897" s="3">
        <f t="shared" si="27"/>
        <v>46.67</v>
      </c>
      <c r="S897" s="55" t="s">
        <v>9013</v>
      </c>
      <c r="U897" s="3" t="str">
        <f t="shared" si="28"/>
        <v/>
      </c>
    </row>
    <row r="898" spans="1:21" x14ac:dyDescent="0.35">
      <c r="A898" s="126" t="s">
        <v>35</v>
      </c>
      <c r="B898" s="126" t="s">
        <v>3422</v>
      </c>
      <c r="C898" s="126" t="s">
        <v>2</v>
      </c>
      <c r="D898" s="126" t="s">
        <v>3</v>
      </c>
      <c r="E898" s="126">
        <v>46.3</v>
      </c>
      <c r="F898" s="126" t="s">
        <v>88</v>
      </c>
      <c r="G898" s="108">
        <v>45455</v>
      </c>
      <c r="H898" s="126" t="s">
        <v>94</v>
      </c>
      <c r="I898" s="126" t="s">
        <v>4435</v>
      </c>
      <c r="J898" s="126" t="s">
        <v>7661</v>
      </c>
      <c r="K898" s="126"/>
      <c r="L898" s="126"/>
      <c r="M898" s="126"/>
      <c r="N898" s="126"/>
      <c r="O898" s="126" t="s">
        <v>538</v>
      </c>
      <c r="Q898" s="3">
        <f t="shared" si="27"/>
        <v>46.3</v>
      </c>
      <c r="U898" s="3" t="str">
        <f t="shared" si="28"/>
        <v/>
      </c>
    </row>
    <row r="899" spans="1:21" x14ac:dyDescent="0.35">
      <c r="A899" s="126" t="s">
        <v>35</v>
      </c>
      <c r="B899" s="126" t="s">
        <v>4583</v>
      </c>
      <c r="C899" s="126" t="s">
        <v>2</v>
      </c>
      <c r="D899" s="126" t="s">
        <v>3</v>
      </c>
      <c r="E899" s="126">
        <v>46.14</v>
      </c>
      <c r="F899" s="126" t="s">
        <v>88</v>
      </c>
      <c r="G899" s="108">
        <v>45607</v>
      </c>
      <c r="H899" s="126" t="s">
        <v>94</v>
      </c>
      <c r="I899" s="126" t="s">
        <v>501</v>
      </c>
      <c r="J899" s="126" t="s">
        <v>8718</v>
      </c>
      <c r="K899" s="126"/>
      <c r="L899" s="126"/>
      <c r="M899" s="126"/>
      <c r="N899" s="126"/>
      <c r="O899" s="126" t="s">
        <v>8719</v>
      </c>
      <c r="Q899" s="3">
        <f t="shared" si="27"/>
        <v>46.14</v>
      </c>
      <c r="S899" s="55" t="s">
        <v>586</v>
      </c>
      <c r="U899" s="3" t="str">
        <f t="shared" si="28"/>
        <v/>
      </c>
    </row>
    <row r="900" spans="1:21" x14ac:dyDescent="0.35">
      <c r="A900" s="126" t="s">
        <v>35</v>
      </c>
      <c r="B900" s="126" t="s">
        <v>869</v>
      </c>
      <c r="C900" s="126" t="s">
        <v>2</v>
      </c>
      <c r="D900" s="126" t="s">
        <v>3</v>
      </c>
      <c r="E900" s="126">
        <v>46.09</v>
      </c>
      <c r="F900" s="126" t="s">
        <v>88</v>
      </c>
      <c r="G900" s="108">
        <v>45636</v>
      </c>
      <c r="H900" s="126" t="s">
        <v>94</v>
      </c>
      <c r="I900" s="126" t="s">
        <v>7987</v>
      </c>
      <c r="J900" s="126" t="s">
        <v>8369</v>
      </c>
      <c r="K900" s="126"/>
      <c r="L900" s="126"/>
      <c r="M900" s="126"/>
      <c r="N900" s="126"/>
      <c r="O900" s="126" t="s">
        <v>8914</v>
      </c>
      <c r="Q900" s="3">
        <f t="shared" si="27"/>
        <v>46.09</v>
      </c>
      <c r="U900" s="3" t="str">
        <f t="shared" si="28"/>
        <v/>
      </c>
    </row>
    <row r="901" spans="1:21" x14ac:dyDescent="0.35">
      <c r="A901" s="126" t="s">
        <v>35</v>
      </c>
      <c r="B901" s="126" t="s">
        <v>915</v>
      </c>
      <c r="C901" s="126" t="s">
        <v>2</v>
      </c>
      <c r="D901" s="126" t="s">
        <v>3</v>
      </c>
      <c r="E901" s="126">
        <v>46.04</v>
      </c>
      <c r="F901" s="126" t="s">
        <v>88</v>
      </c>
      <c r="G901" s="108">
        <v>45384</v>
      </c>
      <c r="H901" s="126" t="s">
        <v>94</v>
      </c>
      <c r="I901" s="126" t="s">
        <v>432</v>
      </c>
      <c r="J901" s="126" t="s">
        <v>7637</v>
      </c>
      <c r="K901" s="126"/>
      <c r="L901" s="126"/>
      <c r="M901" s="126"/>
      <c r="N901" s="126"/>
      <c r="O901" s="126" t="s">
        <v>528</v>
      </c>
      <c r="Q901" s="3">
        <f t="shared" si="27"/>
        <v>46.04</v>
      </c>
      <c r="U901" s="3" t="str">
        <f t="shared" si="28"/>
        <v/>
      </c>
    </row>
    <row r="902" spans="1:21" x14ac:dyDescent="0.35">
      <c r="A902" s="126" t="s">
        <v>0</v>
      </c>
      <c r="B902" s="126" t="s">
        <v>969</v>
      </c>
      <c r="C902" s="126" t="s">
        <v>2</v>
      </c>
      <c r="D902" s="126" t="s">
        <v>3</v>
      </c>
      <c r="E902" s="126">
        <v>45.47</v>
      </c>
      <c r="F902" s="126" t="s">
        <v>88</v>
      </c>
      <c r="G902" s="108">
        <v>45632</v>
      </c>
      <c r="H902" s="126" t="s">
        <v>89</v>
      </c>
      <c r="I902" s="126" t="s">
        <v>8863</v>
      </c>
      <c r="J902" s="126"/>
      <c r="K902" s="126" t="s">
        <v>8836</v>
      </c>
      <c r="L902" s="126" t="s">
        <v>8864</v>
      </c>
      <c r="M902" s="126" t="s">
        <v>420</v>
      </c>
      <c r="N902" s="126"/>
      <c r="O902" s="126"/>
      <c r="Q902" s="3">
        <f t="shared" si="27"/>
        <v>45.47</v>
      </c>
      <c r="U902" s="3" t="str">
        <f t="shared" si="28"/>
        <v/>
      </c>
    </row>
    <row r="903" spans="1:21" x14ac:dyDescent="0.35">
      <c r="A903" s="126" t="s">
        <v>35</v>
      </c>
      <c r="B903" s="126" t="s">
        <v>1069</v>
      </c>
      <c r="C903" s="126" t="s">
        <v>2</v>
      </c>
      <c r="D903" s="126" t="s">
        <v>3</v>
      </c>
      <c r="E903" s="126">
        <v>45.45</v>
      </c>
      <c r="F903" s="126" t="s">
        <v>88</v>
      </c>
      <c r="G903" s="108">
        <v>45415</v>
      </c>
      <c r="H903" s="126" t="s">
        <v>94</v>
      </c>
      <c r="I903" s="126" t="s">
        <v>1070</v>
      </c>
      <c r="J903" s="126" t="s">
        <v>7792</v>
      </c>
      <c r="K903" s="126"/>
      <c r="L903" s="126"/>
      <c r="M903" s="126"/>
      <c r="N903" s="126"/>
      <c r="O903" s="126" t="s">
        <v>7793</v>
      </c>
      <c r="Q903" s="3">
        <f t="shared" si="27"/>
        <v>45.45</v>
      </c>
      <c r="U903" s="3" t="str">
        <f t="shared" si="28"/>
        <v/>
      </c>
    </row>
    <row r="904" spans="1:21" x14ac:dyDescent="0.35">
      <c r="A904" s="126" t="s">
        <v>35</v>
      </c>
      <c r="B904" s="126" t="s">
        <v>756</v>
      </c>
      <c r="C904" s="126" t="s">
        <v>2</v>
      </c>
      <c r="D904" s="126" t="s">
        <v>3</v>
      </c>
      <c r="E904" s="126">
        <v>45.45</v>
      </c>
      <c r="F904" s="126" t="s">
        <v>88</v>
      </c>
      <c r="G904" s="108">
        <v>45461</v>
      </c>
      <c r="H904" s="126" t="s">
        <v>94</v>
      </c>
      <c r="I904" s="126" t="s">
        <v>8017</v>
      </c>
      <c r="J904" s="126" t="s">
        <v>8018</v>
      </c>
      <c r="K904" s="126"/>
      <c r="L904" s="126"/>
      <c r="M904" s="126"/>
      <c r="N904" s="126"/>
      <c r="O904" s="126" t="s">
        <v>8019</v>
      </c>
      <c r="Q904" s="3">
        <f t="shared" ref="Q904:Q967" si="29">ABS(E904)</f>
        <v>45.45</v>
      </c>
      <c r="S904" s="55" t="s">
        <v>9017</v>
      </c>
      <c r="T904" t="s">
        <v>64</v>
      </c>
      <c r="U904" s="3">
        <f t="shared" ref="U904:U967" si="30">IF(T904="Y",E904,"")</f>
        <v>45.45</v>
      </c>
    </row>
    <row r="905" spans="1:21" x14ac:dyDescent="0.35">
      <c r="A905" s="126" t="s">
        <v>35</v>
      </c>
      <c r="B905" s="126" t="s">
        <v>2031</v>
      </c>
      <c r="C905" s="126" t="s">
        <v>2</v>
      </c>
      <c r="D905" s="126" t="s">
        <v>3</v>
      </c>
      <c r="E905" s="126">
        <v>45.45</v>
      </c>
      <c r="F905" s="126" t="s">
        <v>88</v>
      </c>
      <c r="G905" s="108">
        <v>45496</v>
      </c>
      <c r="H905" s="126" t="s">
        <v>94</v>
      </c>
      <c r="I905" s="126" t="s">
        <v>2091</v>
      </c>
      <c r="J905" s="126" t="s">
        <v>8214</v>
      </c>
      <c r="K905" s="126"/>
      <c r="L905" s="126"/>
      <c r="M905" s="126"/>
      <c r="N905" s="126"/>
      <c r="O905" s="126" t="s">
        <v>4069</v>
      </c>
      <c r="Q905" s="3">
        <f t="shared" si="29"/>
        <v>45.45</v>
      </c>
      <c r="U905" s="3" t="str">
        <f t="shared" si="30"/>
        <v/>
      </c>
    </row>
    <row r="906" spans="1:21" x14ac:dyDescent="0.35">
      <c r="A906" s="126" t="s">
        <v>35</v>
      </c>
      <c r="B906" s="126" t="s">
        <v>3466</v>
      </c>
      <c r="C906" s="126" t="s">
        <v>2</v>
      </c>
      <c r="D906" s="126" t="s">
        <v>3</v>
      </c>
      <c r="E906" s="126">
        <v>45.45</v>
      </c>
      <c r="F906" s="126" t="s">
        <v>88</v>
      </c>
      <c r="G906" s="108">
        <v>45635</v>
      </c>
      <c r="H906" s="126" t="s">
        <v>94</v>
      </c>
      <c r="I906" s="126" t="s">
        <v>8715</v>
      </c>
      <c r="J906" s="126" t="s">
        <v>8898</v>
      </c>
      <c r="K906" s="126"/>
      <c r="L906" s="126"/>
      <c r="M906" s="126"/>
      <c r="N906" s="126"/>
      <c r="O906" s="126" t="s">
        <v>8899</v>
      </c>
      <c r="Q906" s="3">
        <f t="shared" si="29"/>
        <v>45.45</v>
      </c>
      <c r="U906" s="3" t="str">
        <f t="shared" si="30"/>
        <v/>
      </c>
    </row>
    <row r="907" spans="1:21" x14ac:dyDescent="0.35">
      <c r="A907" s="126" t="s">
        <v>35</v>
      </c>
      <c r="B907" s="126" t="s">
        <v>5426</v>
      </c>
      <c r="C907" s="126" t="s">
        <v>2</v>
      </c>
      <c r="D907" s="126" t="s">
        <v>3</v>
      </c>
      <c r="E907" s="126">
        <v>45.41</v>
      </c>
      <c r="F907" s="126" t="s">
        <v>88</v>
      </c>
      <c r="G907" s="108">
        <v>45405</v>
      </c>
      <c r="H907" s="126" t="s">
        <v>94</v>
      </c>
      <c r="I907" s="126" t="s">
        <v>476</v>
      </c>
      <c r="J907" s="126" t="s">
        <v>7764</v>
      </c>
      <c r="K907" s="126"/>
      <c r="L907" s="126"/>
      <c r="M907" s="126"/>
      <c r="N907" s="126"/>
      <c r="O907" s="126" t="s">
        <v>558</v>
      </c>
      <c r="Q907" s="3">
        <f t="shared" si="29"/>
        <v>45.41</v>
      </c>
      <c r="S907" s="55" t="s">
        <v>586</v>
      </c>
      <c r="U907" s="3" t="str">
        <f t="shared" si="30"/>
        <v/>
      </c>
    </row>
    <row r="908" spans="1:21" x14ac:dyDescent="0.35">
      <c r="A908" s="126" t="s">
        <v>35</v>
      </c>
      <c r="B908" s="126" t="s">
        <v>5426</v>
      </c>
      <c r="C908" s="126" t="s">
        <v>2</v>
      </c>
      <c r="D908" s="126" t="s">
        <v>3</v>
      </c>
      <c r="E908" s="126">
        <v>45.41</v>
      </c>
      <c r="F908" s="126" t="s">
        <v>88</v>
      </c>
      <c r="G908" s="108">
        <v>45456</v>
      </c>
      <c r="H908" s="126" t="s">
        <v>94</v>
      </c>
      <c r="I908" s="126" t="s">
        <v>476</v>
      </c>
      <c r="J908" s="126" t="s">
        <v>6232</v>
      </c>
      <c r="K908" s="126"/>
      <c r="L908" s="126"/>
      <c r="M908" s="126"/>
      <c r="N908" s="126"/>
      <c r="O908" s="126" t="s">
        <v>558</v>
      </c>
      <c r="Q908" s="3">
        <f t="shared" si="29"/>
        <v>45.41</v>
      </c>
      <c r="S908" s="55" t="s">
        <v>586</v>
      </c>
      <c r="U908" s="3" t="str">
        <f t="shared" si="30"/>
        <v/>
      </c>
    </row>
    <row r="909" spans="1:21" x14ac:dyDescent="0.35">
      <c r="A909" s="126" t="s">
        <v>35</v>
      </c>
      <c r="B909" s="126" t="s">
        <v>5426</v>
      </c>
      <c r="C909" s="126" t="s">
        <v>2</v>
      </c>
      <c r="D909" s="126" t="s">
        <v>3</v>
      </c>
      <c r="E909" s="126">
        <v>45.41</v>
      </c>
      <c r="F909" s="126" t="s">
        <v>88</v>
      </c>
      <c r="G909" s="108">
        <v>45504</v>
      </c>
      <c r="H909" s="126" t="s">
        <v>94</v>
      </c>
      <c r="I909" s="126" t="s">
        <v>476</v>
      </c>
      <c r="J909" s="126" t="s">
        <v>7764</v>
      </c>
      <c r="K909" s="126"/>
      <c r="L909" s="126"/>
      <c r="M909" s="126"/>
      <c r="N909" s="126"/>
      <c r="O909" s="126" t="s">
        <v>558</v>
      </c>
      <c r="Q909" s="3">
        <f t="shared" si="29"/>
        <v>45.41</v>
      </c>
      <c r="S909" s="55" t="s">
        <v>586</v>
      </c>
      <c r="U909" s="3" t="str">
        <f t="shared" si="30"/>
        <v/>
      </c>
    </row>
    <row r="910" spans="1:21" x14ac:dyDescent="0.35">
      <c r="A910" s="126" t="s">
        <v>35</v>
      </c>
      <c r="B910" s="126" t="s">
        <v>5426</v>
      </c>
      <c r="C910" s="126" t="s">
        <v>2</v>
      </c>
      <c r="D910" s="126" t="s">
        <v>3</v>
      </c>
      <c r="E910" s="126">
        <v>45.41</v>
      </c>
      <c r="F910" s="126" t="s">
        <v>88</v>
      </c>
      <c r="G910" s="108">
        <v>45567</v>
      </c>
      <c r="H910" s="126" t="s">
        <v>94</v>
      </c>
      <c r="I910" s="126" t="s">
        <v>476</v>
      </c>
      <c r="J910" s="126" t="s">
        <v>7764</v>
      </c>
      <c r="K910" s="126"/>
      <c r="L910" s="126"/>
      <c r="M910" s="126"/>
      <c r="N910" s="126"/>
      <c r="O910" s="126" t="s">
        <v>558</v>
      </c>
      <c r="Q910" s="3">
        <f t="shared" si="29"/>
        <v>45.41</v>
      </c>
      <c r="S910" s="55" t="s">
        <v>586</v>
      </c>
      <c r="U910" s="3" t="str">
        <f t="shared" si="30"/>
        <v/>
      </c>
    </row>
    <row r="911" spans="1:21" x14ac:dyDescent="0.35">
      <c r="A911" s="126" t="s">
        <v>35</v>
      </c>
      <c r="B911" s="126" t="s">
        <v>5426</v>
      </c>
      <c r="C911" s="126" t="s">
        <v>2</v>
      </c>
      <c r="D911" s="126" t="s">
        <v>3</v>
      </c>
      <c r="E911" s="126">
        <v>45.41</v>
      </c>
      <c r="F911" s="126" t="s">
        <v>88</v>
      </c>
      <c r="G911" s="108">
        <v>45617</v>
      </c>
      <c r="H911" s="126" t="s">
        <v>94</v>
      </c>
      <c r="I911" s="126" t="s">
        <v>476</v>
      </c>
      <c r="J911" s="126" t="s">
        <v>7764</v>
      </c>
      <c r="K911" s="126"/>
      <c r="L911" s="126"/>
      <c r="M911" s="126"/>
      <c r="N911" s="126"/>
      <c r="O911" s="126" t="s">
        <v>558</v>
      </c>
      <c r="Q911" s="3">
        <f t="shared" si="29"/>
        <v>45.41</v>
      </c>
      <c r="S911" s="55" t="s">
        <v>586</v>
      </c>
      <c r="U911" s="3" t="str">
        <f t="shared" si="30"/>
        <v/>
      </c>
    </row>
    <row r="912" spans="1:21" x14ac:dyDescent="0.35">
      <c r="A912" s="126" t="s">
        <v>35</v>
      </c>
      <c r="B912" s="126" t="s">
        <v>2031</v>
      </c>
      <c r="C912" s="126" t="s">
        <v>2</v>
      </c>
      <c r="D912" s="126" t="s">
        <v>3</v>
      </c>
      <c r="E912" s="126">
        <v>45.29</v>
      </c>
      <c r="F912" s="126" t="s">
        <v>88</v>
      </c>
      <c r="G912" s="108">
        <v>45639</v>
      </c>
      <c r="H912" s="126" t="s">
        <v>94</v>
      </c>
      <c r="I912" s="126" t="s">
        <v>8965</v>
      </c>
      <c r="J912" s="126" t="s">
        <v>8966</v>
      </c>
      <c r="K912" s="126"/>
      <c r="L912" s="126"/>
      <c r="M912" s="126"/>
      <c r="N912" s="126"/>
      <c r="O912" s="126" t="s">
        <v>8967</v>
      </c>
      <c r="Q912" s="3">
        <f t="shared" si="29"/>
        <v>45.29</v>
      </c>
      <c r="U912" s="3" t="str">
        <f t="shared" si="30"/>
        <v/>
      </c>
    </row>
    <row r="913" spans="1:21" x14ac:dyDescent="0.35">
      <c r="A913" s="126" t="s">
        <v>35</v>
      </c>
      <c r="B913" s="126" t="s">
        <v>1123</v>
      </c>
      <c r="C913" s="126" t="s">
        <v>2</v>
      </c>
      <c r="D913" s="126" t="s">
        <v>3</v>
      </c>
      <c r="E913" s="126">
        <v>45.28</v>
      </c>
      <c r="F913" s="126" t="s">
        <v>88</v>
      </c>
      <c r="G913" s="108">
        <v>45596</v>
      </c>
      <c r="H913" s="126" t="s">
        <v>94</v>
      </c>
      <c r="I913" s="126" t="s">
        <v>8617</v>
      </c>
      <c r="J913" s="126" t="s">
        <v>8618</v>
      </c>
      <c r="K913" s="126"/>
      <c r="L913" s="126"/>
      <c r="M913" s="126"/>
      <c r="N913" s="126"/>
      <c r="O913" s="126" t="s">
        <v>8619</v>
      </c>
      <c r="Q913" s="3">
        <f t="shared" si="29"/>
        <v>45.28</v>
      </c>
      <c r="S913" s="55" t="s">
        <v>586</v>
      </c>
      <c r="U913" s="3" t="str">
        <f t="shared" si="30"/>
        <v/>
      </c>
    </row>
    <row r="914" spans="1:21" x14ac:dyDescent="0.35">
      <c r="A914" s="126" t="s">
        <v>35</v>
      </c>
      <c r="B914" s="126" t="s">
        <v>915</v>
      </c>
      <c r="C914" s="126" t="s">
        <v>2</v>
      </c>
      <c r="D914" s="126" t="s">
        <v>3</v>
      </c>
      <c r="E914" s="126">
        <v>45</v>
      </c>
      <c r="F914" s="126" t="s">
        <v>88</v>
      </c>
      <c r="G914" s="108">
        <v>45435</v>
      </c>
      <c r="H914" s="126" t="s">
        <v>94</v>
      </c>
      <c r="I914" s="126" t="s">
        <v>216</v>
      </c>
      <c r="J914" s="126" t="s">
        <v>515</v>
      </c>
      <c r="K914" s="126"/>
      <c r="L914" s="126"/>
      <c r="M914" s="126"/>
      <c r="N914" s="126"/>
      <c r="O914" s="126" t="s">
        <v>7888</v>
      </c>
      <c r="Q914" s="3">
        <f t="shared" si="29"/>
        <v>45</v>
      </c>
      <c r="U914" s="3" t="str">
        <f t="shared" si="30"/>
        <v/>
      </c>
    </row>
    <row r="915" spans="1:21" x14ac:dyDescent="0.35">
      <c r="A915" s="126" t="s">
        <v>35</v>
      </c>
      <c r="B915" s="126" t="s">
        <v>915</v>
      </c>
      <c r="C915" s="126" t="s">
        <v>2</v>
      </c>
      <c r="D915" s="126" t="s">
        <v>3</v>
      </c>
      <c r="E915" s="126">
        <v>45</v>
      </c>
      <c r="F915" s="126" t="s">
        <v>88</v>
      </c>
      <c r="G915" s="108">
        <v>45587</v>
      </c>
      <c r="H915" s="126" t="s">
        <v>94</v>
      </c>
      <c r="I915" s="126" t="s">
        <v>216</v>
      </c>
      <c r="J915" s="126" t="s">
        <v>8603</v>
      </c>
      <c r="K915" s="126"/>
      <c r="L915" s="126"/>
      <c r="M915" s="126"/>
      <c r="N915" s="126"/>
      <c r="O915" s="126" t="s">
        <v>8294</v>
      </c>
      <c r="Q915" s="3">
        <f t="shared" si="29"/>
        <v>45</v>
      </c>
      <c r="S915" s="55" t="s">
        <v>586</v>
      </c>
      <c r="U915" s="3" t="str">
        <f t="shared" si="30"/>
        <v/>
      </c>
    </row>
    <row r="916" spans="1:21" x14ac:dyDescent="0.35">
      <c r="A916" s="126" t="s">
        <v>35</v>
      </c>
      <c r="B916" s="126" t="s">
        <v>915</v>
      </c>
      <c r="C916" s="126" t="s">
        <v>2</v>
      </c>
      <c r="D916" s="126" t="s">
        <v>3</v>
      </c>
      <c r="E916" s="126">
        <v>45</v>
      </c>
      <c r="F916" s="126" t="s">
        <v>88</v>
      </c>
      <c r="G916" s="108">
        <v>45625</v>
      </c>
      <c r="H916" s="126" t="s">
        <v>94</v>
      </c>
      <c r="I916" s="126" t="s">
        <v>4746</v>
      </c>
      <c r="J916" s="126" t="s">
        <v>8814</v>
      </c>
      <c r="K916" s="126"/>
      <c r="L916" s="126"/>
      <c r="M916" s="126"/>
      <c r="N916" s="126"/>
      <c r="O916" s="126" t="s">
        <v>7888</v>
      </c>
      <c r="Q916" s="3">
        <f t="shared" si="29"/>
        <v>45</v>
      </c>
      <c r="S916" s="55" t="s">
        <v>586</v>
      </c>
      <c r="U916" s="3" t="str">
        <f t="shared" si="30"/>
        <v/>
      </c>
    </row>
    <row r="917" spans="1:21" x14ac:dyDescent="0.35">
      <c r="A917" s="126" t="s">
        <v>35</v>
      </c>
      <c r="B917" s="126" t="s">
        <v>3422</v>
      </c>
      <c r="C917" s="126" t="s">
        <v>2</v>
      </c>
      <c r="D917" s="126" t="s">
        <v>3</v>
      </c>
      <c r="E917" s="126">
        <v>44.82</v>
      </c>
      <c r="F917" s="126" t="s">
        <v>88</v>
      </c>
      <c r="G917" s="108">
        <v>45478</v>
      </c>
      <c r="H917" s="126" t="s">
        <v>94</v>
      </c>
      <c r="I917" s="126" t="s">
        <v>4435</v>
      </c>
      <c r="J917" s="126" t="s">
        <v>7661</v>
      </c>
      <c r="K917" s="126"/>
      <c r="L917" s="126"/>
      <c r="M917" s="126"/>
      <c r="N917" s="126"/>
      <c r="O917" s="126" t="s">
        <v>538</v>
      </c>
      <c r="Q917" s="3">
        <f t="shared" si="29"/>
        <v>44.82</v>
      </c>
      <c r="U917" s="3" t="str">
        <f t="shared" si="30"/>
        <v/>
      </c>
    </row>
    <row r="918" spans="1:21" x14ac:dyDescent="0.35">
      <c r="A918" s="126" t="s">
        <v>0</v>
      </c>
      <c r="B918" s="126" t="s">
        <v>3466</v>
      </c>
      <c r="C918" s="126" t="s">
        <v>2</v>
      </c>
      <c r="D918" s="126" t="s">
        <v>3</v>
      </c>
      <c r="E918" s="126">
        <v>44.75</v>
      </c>
      <c r="F918" s="126" t="s">
        <v>88</v>
      </c>
      <c r="G918" s="108">
        <v>45566</v>
      </c>
      <c r="H918" s="126" t="s">
        <v>89</v>
      </c>
      <c r="I918" s="126" t="s">
        <v>8488</v>
      </c>
      <c r="J918" s="126"/>
      <c r="K918" s="126" t="s">
        <v>8239</v>
      </c>
      <c r="L918" s="126" t="s">
        <v>8489</v>
      </c>
      <c r="M918" s="126" t="s">
        <v>8241</v>
      </c>
      <c r="N918" s="126"/>
      <c r="O918" s="126"/>
      <c r="Q918" s="3">
        <f t="shared" si="29"/>
        <v>44.75</v>
      </c>
      <c r="S918" s="55" t="s">
        <v>9016</v>
      </c>
      <c r="U918" s="3" t="str">
        <f t="shared" si="30"/>
        <v/>
      </c>
    </row>
    <row r="919" spans="1:21" x14ac:dyDescent="0.35">
      <c r="A919" s="126" t="s">
        <v>0</v>
      </c>
      <c r="B919" s="126" t="s">
        <v>969</v>
      </c>
      <c r="C919" s="126" t="s">
        <v>2</v>
      </c>
      <c r="D919" s="126" t="s">
        <v>3</v>
      </c>
      <c r="E919" s="126">
        <v>44.68</v>
      </c>
      <c r="F919" s="126" t="s">
        <v>88</v>
      </c>
      <c r="G919" s="108">
        <v>45519</v>
      </c>
      <c r="H919" s="126" t="s">
        <v>89</v>
      </c>
      <c r="I919" s="126" t="s">
        <v>8334</v>
      </c>
      <c r="J919" s="126"/>
      <c r="K919" s="126" t="s">
        <v>7655</v>
      </c>
      <c r="L919" s="126" t="s">
        <v>8335</v>
      </c>
      <c r="M919" s="126" t="s">
        <v>420</v>
      </c>
      <c r="N919" s="126"/>
      <c r="O919" s="126"/>
      <c r="Q919" s="3">
        <f t="shared" si="29"/>
        <v>44.68</v>
      </c>
      <c r="U919" s="3" t="str">
        <f t="shared" si="30"/>
        <v/>
      </c>
    </row>
    <row r="920" spans="1:21" x14ac:dyDescent="0.35">
      <c r="A920" s="126" t="s">
        <v>35</v>
      </c>
      <c r="B920" s="126" t="s">
        <v>1480</v>
      </c>
      <c r="C920" s="126" t="s">
        <v>2</v>
      </c>
      <c r="D920" s="126" t="s">
        <v>3</v>
      </c>
      <c r="E920" s="126">
        <v>44.55</v>
      </c>
      <c r="F920" s="126" t="s">
        <v>88</v>
      </c>
      <c r="G920" s="108">
        <v>45428</v>
      </c>
      <c r="H920" s="126" t="s">
        <v>94</v>
      </c>
      <c r="I920" s="126" t="s">
        <v>326</v>
      </c>
      <c r="J920" s="126" t="s">
        <v>327</v>
      </c>
      <c r="K920" s="126"/>
      <c r="L920" s="126"/>
      <c r="M920" s="126"/>
      <c r="N920" s="126"/>
      <c r="O920" s="126" t="s">
        <v>7834</v>
      </c>
      <c r="Q920" s="3">
        <f t="shared" si="29"/>
        <v>44.55</v>
      </c>
      <c r="U920" s="3" t="str">
        <f t="shared" si="30"/>
        <v/>
      </c>
    </row>
    <row r="921" spans="1:21" x14ac:dyDescent="0.35">
      <c r="A921" s="126" t="s">
        <v>35</v>
      </c>
      <c r="B921" s="126" t="s">
        <v>868</v>
      </c>
      <c r="C921" s="126" t="s">
        <v>2</v>
      </c>
      <c r="D921" s="126" t="s">
        <v>3</v>
      </c>
      <c r="E921" s="126">
        <v>44.55</v>
      </c>
      <c r="F921" s="126" t="s">
        <v>88</v>
      </c>
      <c r="G921" s="108">
        <v>45446</v>
      </c>
      <c r="H921" s="126" t="s">
        <v>94</v>
      </c>
      <c r="I921" s="126" t="s">
        <v>7644</v>
      </c>
      <c r="J921" s="126" t="s">
        <v>395</v>
      </c>
      <c r="K921" s="126"/>
      <c r="L921" s="126"/>
      <c r="M921" s="126"/>
      <c r="N921" s="126"/>
      <c r="O921" s="126" t="s">
        <v>7922</v>
      </c>
      <c r="Q921" s="3">
        <f t="shared" si="29"/>
        <v>44.55</v>
      </c>
      <c r="S921" s="55" t="s">
        <v>586</v>
      </c>
      <c r="U921" s="3" t="str">
        <f t="shared" si="30"/>
        <v/>
      </c>
    </row>
    <row r="922" spans="1:21" x14ac:dyDescent="0.35">
      <c r="A922" s="126" t="s">
        <v>35</v>
      </c>
      <c r="B922" s="126" t="s">
        <v>1480</v>
      </c>
      <c r="C922" s="126" t="s">
        <v>2</v>
      </c>
      <c r="D922" s="126" t="s">
        <v>3</v>
      </c>
      <c r="E922" s="126">
        <v>44.55</v>
      </c>
      <c r="F922" s="126" t="s">
        <v>88</v>
      </c>
      <c r="G922" s="108">
        <v>45562</v>
      </c>
      <c r="H922" s="126" t="s">
        <v>94</v>
      </c>
      <c r="I922" s="126" t="s">
        <v>326</v>
      </c>
      <c r="J922" s="126" t="s">
        <v>327</v>
      </c>
      <c r="K922" s="126"/>
      <c r="L922" s="126"/>
      <c r="M922" s="126"/>
      <c r="N922" s="126"/>
      <c r="O922" s="126" t="s">
        <v>7834</v>
      </c>
      <c r="Q922" s="3">
        <f t="shared" si="29"/>
        <v>44.55</v>
      </c>
      <c r="U922" s="3" t="str">
        <f t="shared" si="30"/>
        <v/>
      </c>
    </row>
    <row r="923" spans="1:21" x14ac:dyDescent="0.35">
      <c r="A923" s="126" t="s">
        <v>35</v>
      </c>
      <c r="B923" s="126" t="s">
        <v>1487</v>
      </c>
      <c r="C923" s="126" t="s">
        <v>2</v>
      </c>
      <c r="D923" s="126" t="s">
        <v>3</v>
      </c>
      <c r="E923" s="126">
        <v>44.55</v>
      </c>
      <c r="F923" s="126" t="s">
        <v>88</v>
      </c>
      <c r="G923" s="108">
        <v>45631</v>
      </c>
      <c r="H923" s="126" t="s">
        <v>94</v>
      </c>
      <c r="I923" s="126" t="s">
        <v>355</v>
      </c>
      <c r="J923" s="126" t="s">
        <v>8861</v>
      </c>
      <c r="K923" s="126"/>
      <c r="L923" s="126"/>
      <c r="M923" s="126"/>
      <c r="N923" s="126"/>
      <c r="O923" s="126" t="s">
        <v>8862</v>
      </c>
      <c r="Q923" s="3">
        <f t="shared" si="29"/>
        <v>44.55</v>
      </c>
      <c r="U923" s="3" t="str">
        <f t="shared" si="30"/>
        <v/>
      </c>
    </row>
    <row r="924" spans="1:21" x14ac:dyDescent="0.35">
      <c r="A924" s="126" t="s">
        <v>35</v>
      </c>
      <c r="B924" s="126" t="s">
        <v>1075</v>
      </c>
      <c r="C924" s="126" t="s">
        <v>2</v>
      </c>
      <c r="D924" s="126" t="s">
        <v>3</v>
      </c>
      <c r="E924" s="126">
        <v>44.46</v>
      </c>
      <c r="F924" s="126" t="s">
        <v>88</v>
      </c>
      <c r="G924" s="108">
        <v>45631</v>
      </c>
      <c r="H924" s="126" t="s">
        <v>89</v>
      </c>
      <c r="I924" s="126" t="s">
        <v>8853</v>
      </c>
      <c r="J924" s="126"/>
      <c r="K924" s="126" t="s">
        <v>7880</v>
      </c>
      <c r="L924" s="126" t="s">
        <v>8854</v>
      </c>
      <c r="M924" s="126" t="s">
        <v>396</v>
      </c>
      <c r="N924" s="126"/>
      <c r="O924" s="126"/>
      <c r="Q924" s="3">
        <f t="shared" si="29"/>
        <v>44.46</v>
      </c>
      <c r="S924" s="55" t="s">
        <v>9016</v>
      </c>
      <c r="U924" s="3" t="str">
        <f t="shared" si="30"/>
        <v/>
      </c>
    </row>
    <row r="925" spans="1:21" x14ac:dyDescent="0.35">
      <c r="A925" s="126" t="s">
        <v>0</v>
      </c>
      <c r="B925" s="126" t="s">
        <v>3422</v>
      </c>
      <c r="C925" s="126" t="s">
        <v>2</v>
      </c>
      <c r="D925" s="126" t="s">
        <v>3</v>
      </c>
      <c r="E925" s="126">
        <v>43.96</v>
      </c>
      <c r="F925" s="126" t="s">
        <v>88</v>
      </c>
      <c r="G925" s="108">
        <v>45432</v>
      </c>
      <c r="H925" s="126" t="s">
        <v>89</v>
      </c>
      <c r="I925" s="126" t="s">
        <v>7842</v>
      </c>
      <c r="J925" s="126"/>
      <c r="K925" s="126" t="s">
        <v>7840</v>
      </c>
      <c r="L925" s="126" t="s">
        <v>7843</v>
      </c>
      <c r="M925" s="126" t="s">
        <v>399</v>
      </c>
      <c r="Q925" s="3">
        <f t="shared" si="29"/>
        <v>43.96</v>
      </c>
      <c r="S925" s="55" t="s">
        <v>9013</v>
      </c>
      <c r="U925" s="3" t="str">
        <f t="shared" si="30"/>
        <v/>
      </c>
    </row>
    <row r="926" spans="1:21" x14ac:dyDescent="0.35">
      <c r="A926" s="126" t="s">
        <v>0</v>
      </c>
      <c r="B926" s="126" t="s">
        <v>3422</v>
      </c>
      <c r="C926" s="126" t="s">
        <v>2</v>
      </c>
      <c r="D926" s="126" t="s">
        <v>3</v>
      </c>
      <c r="E926" s="126">
        <v>43.96</v>
      </c>
      <c r="F926" s="126" t="s">
        <v>88</v>
      </c>
      <c r="G926" s="108">
        <v>45517</v>
      </c>
      <c r="H926" s="126" t="s">
        <v>89</v>
      </c>
      <c r="I926" s="126" t="s">
        <v>8323</v>
      </c>
      <c r="J926" s="126"/>
      <c r="K926" s="126" t="s">
        <v>8321</v>
      </c>
      <c r="L926" s="126" t="s">
        <v>8324</v>
      </c>
      <c r="M926" s="126" t="s">
        <v>399</v>
      </c>
      <c r="N926" s="126"/>
      <c r="O926" s="126"/>
      <c r="Q926" s="3">
        <f t="shared" si="29"/>
        <v>43.96</v>
      </c>
      <c r="S926" s="55" t="s">
        <v>9013</v>
      </c>
      <c r="U926" s="3" t="str">
        <f t="shared" si="30"/>
        <v/>
      </c>
    </row>
    <row r="927" spans="1:21" x14ac:dyDescent="0.35">
      <c r="A927" s="126" t="s">
        <v>0</v>
      </c>
      <c r="B927" s="126" t="s">
        <v>3422</v>
      </c>
      <c r="C927" s="126" t="s">
        <v>2</v>
      </c>
      <c r="D927" s="126" t="s">
        <v>3</v>
      </c>
      <c r="E927" s="126">
        <v>43.96</v>
      </c>
      <c r="F927" s="126" t="s">
        <v>88</v>
      </c>
      <c r="G927" s="108">
        <v>45611</v>
      </c>
      <c r="H927" s="126" t="s">
        <v>89</v>
      </c>
      <c r="I927" s="126" t="s">
        <v>8737</v>
      </c>
      <c r="J927" s="126"/>
      <c r="K927" s="126" t="s">
        <v>8522</v>
      </c>
      <c r="L927" s="126" t="s">
        <v>8738</v>
      </c>
      <c r="M927" s="126" t="s">
        <v>399</v>
      </c>
      <c r="Q927" s="3">
        <f t="shared" si="29"/>
        <v>43.96</v>
      </c>
      <c r="S927" s="55" t="s">
        <v>9013</v>
      </c>
      <c r="U927" s="3" t="str">
        <f t="shared" si="30"/>
        <v/>
      </c>
    </row>
    <row r="928" spans="1:21" x14ac:dyDescent="0.35">
      <c r="A928" s="126" t="s">
        <v>35</v>
      </c>
      <c r="B928" s="126" t="s">
        <v>893</v>
      </c>
      <c r="C928" s="126" t="s">
        <v>2</v>
      </c>
      <c r="D928" s="126" t="s">
        <v>3</v>
      </c>
      <c r="E928" s="126">
        <v>43.64</v>
      </c>
      <c r="F928" s="126" t="s">
        <v>88</v>
      </c>
      <c r="G928" s="108">
        <v>45546</v>
      </c>
      <c r="H928" s="126" t="s">
        <v>94</v>
      </c>
      <c r="I928" s="126" t="s">
        <v>4458</v>
      </c>
      <c r="J928" s="126" t="s">
        <v>327</v>
      </c>
      <c r="K928" s="126"/>
      <c r="L928" s="126"/>
      <c r="M928" s="126"/>
      <c r="N928" s="126"/>
      <c r="O928" s="126" t="s">
        <v>571</v>
      </c>
      <c r="Q928" s="3">
        <f t="shared" si="29"/>
        <v>43.64</v>
      </c>
      <c r="U928" s="3" t="str">
        <f t="shared" si="30"/>
        <v/>
      </c>
    </row>
    <row r="929" spans="1:21" x14ac:dyDescent="0.35">
      <c r="A929" s="126" t="s">
        <v>35</v>
      </c>
      <c r="B929" s="126" t="s">
        <v>756</v>
      </c>
      <c r="C929" s="126" t="s">
        <v>2</v>
      </c>
      <c r="D929" s="126" t="s">
        <v>3</v>
      </c>
      <c r="E929" s="126">
        <v>43.64</v>
      </c>
      <c r="F929" s="126" t="s">
        <v>88</v>
      </c>
      <c r="G929" s="108">
        <v>45645</v>
      </c>
      <c r="H929" s="126" t="s">
        <v>94</v>
      </c>
      <c r="I929" s="126" t="s">
        <v>8805</v>
      </c>
      <c r="J929" s="126" t="s">
        <v>8994</v>
      </c>
      <c r="K929" s="126"/>
      <c r="L929" s="126"/>
      <c r="M929" s="126"/>
      <c r="N929" s="126"/>
      <c r="O929" s="126" t="s">
        <v>4553</v>
      </c>
      <c r="Q929" s="3">
        <f t="shared" si="29"/>
        <v>43.64</v>
      </c>
      <c r="U929" s="3" t="str">
        <f t="shared" si="30"/>
        <v/>
      </c>
    </row>
    <row r="930" spans="1:21" x14ac:dyDescent="0.35">
      <c r="A930" s="126" t="s">
        <v>35</v>
      </c>
      <c r="B930" s="126" t="s">
        <v>1480</v>
      </c>
      <c r="C930" s="126" t="s">
        <v>2</v>
      </c>
      <c r="D930" s="126" t="s">
        <v>3</v>
      </c>
      <c r="E930" s="126">
        <v>43.03</v>
      </c>
      <c r="F930" s="126" t="s">
        <v>88</v>
      </c>
      <c r="G930" s="108">
        <v>45630</v>
      </c>
      <c r="H930" s="126" t="s">
        <v>94</v>
      </c>
      <c r="I930" s="126" t="s">
        <v>326</v>
      </c>
      <c r="J930" s="126" t="s">
        <v>327</v>
      </c>
      <c r="K930" s="126"/>
      <c r="L930" s="126"/>
      <c r="M930" s="126"/>
      <c r="N930" s="126"/>
      <c r="O930" s="126" t="s">
        <v>550</v>
      </c>
      <c r="Q930" s="3">
        <f t="shared" si="29"/>
        <v>43.03</v>
      </c>
      <c r="U930" s="3" t="str">
        <f t="shared" si="30"/>
        <v/>
      </c>
    </row>
    <row r="931" spans="1:21" x14ac:dyDescent="0.35">
      <c r="A931" s="126" t="s">
        <v>35</v>
      </c>
      <c r="B931" s="126" t="s">
        <v>3466</v>
      </c>
      <c r="C931" s="126" t="s">
        <v>2</v>
      </c>
      <c r="D931" s="126" t="s">
        <v>3</v>
      </c>
      <c r="E931" s="126">
        <v>43.010000000000005</v>
      </c>
      <c r="F931" s="126" t="s">
        <v>88</v>
      </c>
      <c r="G931" s="108">
        <v>45558</v>
      </c>
      <c r="H931" s="126" t="s">
        <v>94</v>
      </c>
      <c r="I931" s="126" t="s">
        <v>8221</v>
      </c>
      <c r="J931" s="126" t="s">
        <v>8472</v>
      </c>
      <c r="K931" s="126"/>
      <c r="L931" s="126"/>
      <c r="M931" s="126"/>
      <c r="N931" s="126"/>
      <c r="O931" s="126" t="s">
        <v>553</v>
      </c>
      <c r="Q931" s="3">
        <f t="shared" si="29"/>
        <v>43.010000000000005</v>
      </c>
      <c r="S931" s="55" t="s">
        <v>9014</v>
      </c>
      <c r="U931" s="3" t="str">
        <f t="shared" si="30"/>
        <v/>
      </c>
    </row>
    <row r="932" spans="1:21" x14ac:dyDescent="0.35">
      <c r="A932" s="126" t="s">
        <v>35</v>
      </c>
      <c r="B932" s="126" t="s">
        <v>633</v>
      </c>
      <c r="C932" s="126" t="s">
        <v>2</v>
      </c>
      <c r="D932" s="126" t="s">
        <v>3</v>
      </c>
      <c r="E932" s="126">
        <v>42.78</v>
      </c>
      <c r="F932" s="126" t="s">
        <v>88</v>
      </c>
      <c r="G932" s="108">
        <v>45637</v>
      </c>
      <c r="H932" s="126" t="s">
        <v>94</v>
      </c>
      <c r="I932" s="126" t="s">
        <v>8949</v>
      </c>
      <c r="J932" s="126" t="s">
        <v>8950</v>
      </c>
      <c r="K932" s="126"/>
      <c r="L932" s="126"/>
      <c r="M932" s="126"/>
      <c r="N932" s="126"/>
      <c r="O932" s="126" t="s">
        <v>8951</v>
      </c>
      <c r="Q932" s="3">
        <f t="shared" si="29"/>
        <v>42.78</v>
      </c>
      <c r="U932" s="3" t="str">
        <f t="shared" si="30"/>
        <v/>
      </c>
    </row>
    <row r="933" spans="1:21" x14ac:dyDescent="0.35">
      <c r="A933" s="126" t="s">
        <v>35</v>
      </c>
      <c r="B933" s="126" t="s">
        <v>633</v>
      </c>
      <c r="C933" s="126" t="s">
        <v>2</v>
      </c>
      <c r="D933" s="126" t="s">
        <v>3</v>
      </c>
      <c r="E933" s="126">
        <v>42.73</v>
      </c>
      <c r="F933" s="126" t="s">
        <v>88</v>
      </c>
      <c r="G933" s="108">
        <v>45639</v>
      </c>
      <c r="H933" s="126" t="s">
        <v>94</v>
      </c>
      <c r="I933" s="126" t="s">
        <v>495</v>
      </c>
      <c r="J933" s="126" t="s">
        <v>8950</v>
      </c>
      <c r="K933" s="126"/>
      <c r="L933" s="126"/>
      <c r="M933" s="126"/>
      <c r="N933" s="126"/>
      <c r="O933" s="126" t="s">
        <v>8972</v>
      </c>
      <c r="Q933" s="3">
        <f t="shared" si="29"/>
        <v>42.73</v>
      </c>
      <c r="U933" s="3" t="str">
        <f t="shared" si="30"/>
        <v/>
      </c>
    </row>
    <row r="934" spans="1:21" x14ac:dyDescent="0.35">
      <c r="A934" s="126" t="s">
        <v>0</v>
      </c>
      <c r="B934" s="126" t="s">
        <v>969</v>
      </c>
      <c r="C934" s="126" t="s">
        <v>2</v>
      </c>
      <c r="D934" s="126" t="s">
        <v>3</v>
      </c>
      <c r="E934" s="126">
        <v>42.69</v>
      </c>
      <c r="F934" s="126" t="s">
        <v>88</v>
      </c>
      <c r="G934" s="108">
        <v>45632</v>
      </c>
      <c r="H934" s="126" t="s">
        <v>89</v>
      </c>
      <c r="I934" s="126" t="s">
        <v>8865</v>
      </c>
      <c r="J934" s="126"/>
      <c r="K934" s="126" t="s">
        <v>8836</v>
      </c>
      <c r="L934" s="126" t="s">
        <v>8866</v>
      </c>
      <c r="M934" s="126" t="s">
        <v>420</v>
      </c>
      <c r="N934" s="126"/>
      <c r="O934" s="126"/>
      <c r="Q934" s="3">
        <f t="shared" si="29"/>
        <v>42.69</v>
      </c>
      <c r="U934" s="3" t="str">
        <f t="shared" si="30"/>
        <v/>
      </c>
    </row>
    <row r="935" spans="1:21" x14ac:dyDescent="0.35">
      <c r="A935" s="126" t="s">
        <v>35</v>
      </c>
      <c r="B935" s="126" t="s">
        <v>3422</v>
      </c>
      <c r="C935" s="126" t="s">
        <v>2</v>
      </c>
      <c r="D935" s="126" t="s">
        <v>3</v>
      </c>
      <c r="E935" s="126">
        <v>42.55</v>
      </c>
      <c r="F935" s="126" t="s">
        <v>88</v>
      </c>
      <c r="G935" s="108">
        <v>45573</v>
      </c>
      <c r="H935" s="126" t="s">
        <v>94</v>
      </c>
      <c r="I935" s="126" t="s">
        <v>4435</v>
      </c>
      <c r="J935" s="126" t="s">
        <v>7661</v>
      </c>
      <c r="K935" s="126"/>
      <c r="L935" s="126"/>
      <c r="M935" s="126"/>
      <c r="N935" s="126"/>
      <c r="O935" s="126" t="s">
        <v>538</v>
      </c>
      <c r="Q935" s="3">
        <f t="shared" si="29"/>
        <v>42.55</v>
      </c>
      <c r="U935" s="3" t="str">
        <f t="shared" si="30"/>
        <v/>
      </c>
    </row>
    <row r="936" spans="1:21" x14ac:dyDescent="0.35">
      <c r="A936" s="126" t="s">
        <v>35</v>
      </c>
      <c r="B936" s="126" t="s">
        <v>768</v>
      </c>
      <c r="C936" s="126" t="s">
        <v>2</v>
      </c>
      <c r="D936" s="126" t="s">
        <v>3</v>
      </c>
      <c r="E936" s="126">
        <v>42.46</v>
      </c>
      <c r="F936" s="126" t="s">
        <v>88</v>
      </c>
      <c r="G936" s="108">
        <v>45575</v>
      </c>
      <c r="H936" s="126" t="s">
        <v>94</v>
      </c>
      <c r="I936" s="126" t="s">
        <v>406</v>
      </c>
      <c r="J936" s="126" t="s">
        <v>407</v>
      </c>
      <c r="K936" s="126"/>
      <c r="L936" s="126"/>
      <c r="M936" s="126"/>
      <c r="N936" s="126"/>
      <c r="O936" s="126" t="s">
        <v>517</v>
      </c>
      <c r="Q936" s="3">
        <f t="shared" si="29"/>
        <v>42.46</v>
      </c>
      <c r="U936" s="3" t="str">
        <f t="shared" si="30"/>
        <v/>
      </c>
    </row>
    <row r="937" spans="1:21" x14ac:dyDescent="0.35">
      <c r="A937" s="126" t="s">
        <v>0</v>
      </c>
      <c r="B937" s="126" t="s">
        <v>893</v>
      </c>
      <c r="C937" s="126" t="s">
        <v>2</v>
      </c>
      <c r="D937" s="126" t="s">
        <v>3</v>
      </c>
      <c r="E937" s="126">
        <v>42.31</v>
      </c>
      <c r="F937" s="126" t="s">
        <v>88</v>
      </c>
      <c r="G937" s="108">
        <v>45391</v>
      </c>
      <c r="H937" s="126" t="s">
        <v>89</v>
      </c>
      <c r="I937" s="126" t="s">
        <v>7691</v>
      </c>
      <c r="J937" s="126"/>
      <c r="K937" s="126" t="s">
        <v>7672</v>
      </c>
      <c r="L937" s="126" t="s">
        <v>7692</v>
      </c>
      <c r="M937" s="126" t="s">
        <v>399</v>
      </c>
      <c r="N937" s="35"/>
      <c r="O937" s="35"/>
      <c r="Q937" s="3">
        <f t="shared" si="29"/>
        <v>42.31</v>
      </c>
      <c r="S937" s="55" t="s">
        <v>9013</v>
      </c>
      <c r="U937" s="3" t="str">
        <f t="shared" si="30"/>
        <v/>
      </c>
    </row>
    <row r="938" spans="1:21" x14ac:dyDescent="0.35">
      <c r="A938" s="126" t="s">
        <v>0</v>
      </c>
      <c r="B938" s="126" t="s">
        <v>893</v>
      </c>
      <c r="C938" s="126" t="s">
        <v>2</v>
      </c>
      <c r="D938" s="126" t="s">
        <v>3</v>
      </c>
      <c r="E938" s="126">
        <v>42.31</v>
      </c>
      <c r="F938" s="126" t="s">
        <v>88</v>
      </c>
      <c r="G938" s="108">
        <v>45432</v>
      </c>
      <c r="H938" s="126" t="s">
        <v>89</v>
      </c>
      <c r="I938" s="126" t="s">
        <v>7839</v>
      </c>
      <c r="J938" s="126"/>
      <c r="K938" s="126" t="s">
        <v>7840</v>
      </c>
      <c r="L938" s="126" t="s">
        <v>7841</v>
      </c>
      <c r="M938" s="126" t="s">
        <v>399</v>
      </c>
      <c r="N938" s="35"/>
      <c r="O938" s="35"/>
      <c r="Q938" s="3">
        <f t="shared" si="29"/>
        <v>42.31</v>
      </c>
      <c r="S938" s="55" t="s">
        <v>9013</v>
      </c>
      <c r="U938" s="3" t="str">
        <f t="shared" si="30"/>
        <v/>
      </c>
    </row>
    <row r="939" spans="1:21" x14ac:dyDescent="0.35">
      <c r="A939" s="126" t="s">
        <v>0</v>
      </c>
      <c r="B939" s="126" t="s">
        <v>893</v>
      </c>
      <c r="C939" s="126" t="s">
        <v>2</v>
      </c>
      <c r="D939" s="126" t="s">
        <v>3</v>
      </c>
      <c r="E939" s="126">
        <v>42.31</v>
      </c>
      <c r="F939" s="126" t="s">
        <v>88</v>
      </c>
      <c r="G939" s="108">
        <v>45454</v>
      </c>
      <c r="H939" s="126" t="s">
        <v>89</v>
      </c>
      <c r="I939" s="126" t="s">
        <v>7958</v>
      </c>
      <c r="J939" s="126"/>
      <c r="K939" s="126" t="s">
        <v>7959</v>
      </c>
      <c r="L939" s="126" t="s">
        <v>7960</v>
      </c>
      <c r="M939" s="126" t="s">
        <v>399</v>
      </c>
      <c r="Q939" s="3">
        <f t="shared" si="29"/>
        <v>42.31</v>
      </c>
      <c r="S939" s="55" t="s">
        <v>9013</v>
      </c>
      <c r="U939" s="3" t="str">
        <f t="shared" si="30"/>
        <v/>
      </c>
    </row>
    <row r="940" spans="1:21" x14ac:dyDescent="0.35">
      <c r="A940" s="126" t="s">
        <v>0</v>
      </c>
      <c r="B940" s="126" t="s">
        <v>893</v>
      </c>
      <c r="C940" s="126" t="s">
        <v>2</v>
      </c>
      <c r="D940" s="126" t="s">
        <v>3</v>
      </c>
      <c r="E940" s="126">
        <v>42.31</v>
      </c>
      <c r="F940" s="126" t="s">
        <v>88</v>
      </c>
      <c r="G940" s="108">
        <v>45485</v>
      </c>
      <c r="H940" s="126" t="s">
        <v>89</v>
      </c>
      <c r="I940" s="126" t="s">
        <v>8134</v>
      </c>
      <c r="J940" s="126"/>
      <c r="K940" s="126" t="s">
        <v>8135</v>
      </c>
      <c r="L940" s="126" t="s">
        <v>8136</v>
      </c>
      <c r="M940" s="126" t="s">
        <v>399</v>
      </c>
      <c r="Q940" s="3">
        <f t="shared" si="29"/>
        <v>42.31</v>
      </c>
      <c r="S940" s="55" t="s">
        <v>9013</v>
      </c>
      <c r="U940" s="3" t="str">
        <f t="shared" si="30"/>
        <v/>
      </c>
    </row>
    <row r="941" spans="1:21" x14ac:dyDescent="0.35">
      <c r="A941" s="126" t="s">
        <v>0</v>
      </c>
      <c r="B941" s="126" t="s">
        <v>893</v>
      </c>
      <c r="C941" s="126" t="s">
        <v>2</v>
      </c>
      <c r="D941" s="126" t="s">
        <v>3</v>
      </c>
      <c r="E941" s="126">
        <v>42.31</v>
      </c>
      <c r="F941" s="126" t="s">
        <v>88</v>
      </c>
      <c r="G941" s="108">
        <v>45517</v>
      </c>
      <c r="H941" s="126" t="s">
        <v>89</v>
      </c>
      <c r="I941" s="126" t="s">
        <v>8320</v>
      </c>
      <c r="J941" s="126"/>
      <c r="K941" s="126" t="s">
        <v>8321</v>
      </c>
      <c r="L941" s="126" t="s">
        <v>8322</v>
      </c>
      <c r="M941" s="126" t="s">
        <v>399</v>
      </c>
      <c r="Q941" s="3">
        <f t="shared" si="29"/>
        <v>42.31</v>
      </c>
      <c r="S941" s="55" t="s">
        <v>9013</v>
      </c>
      <c r="U941" s="3" t="str">
        <f t="shared" si="30"/>
        <v/>
      </c>
    </row>
    <row r="942" spans="1:21" x14ac:dyDescent="0.35">
      <c r="A942" s="126" t="s">
        <v>0</v>
      </c>
      <c r="B942" s="126" t="s">
        <v>893</v>
      </c>
      <c r="C942" s="126" t="s">
        <v>2</v>
      </c>
      <c r="D942" s="126" t="s">
        <v>3</v>
      </c>
      <c r="E942" s="126">
        <v>42.31</v>
      </c>
      <c r="F942" s="126" t="s">
        <v>88</v>
      </c>
      <c r="G942" s="108">
        <v>45551</v>
      </c>
      <c r="H942" s="126" t="s">
        <v>89</v>
      </c>
      <c r="I942" s="126" t="s">
        <v>8431</v>
      </c>
      <c r="J942" s="126"/>
      <c r="K942" s="126" t="s">
        <v>8432</v>
      </c>
      <c r="L942" s="126" t="s">
        <v>8433</v>
      </c>
      <c r="M942" s="126" t="s">
        <v>399</v>
      </c>
      <c r="Q942" s="3">
        <f t="shared" si="29"/>
        <v>42.31</v>
      </c>
      <c r="S942" s="55" t="s">
        <v>9013</v>
      </c>
      <c r="U942" s="3" t="str">
        <f t="shared" si="30"/>
        <v/>
      </c>
    </row>
    <row r="943" spans="1:21" x14ac:dyDescent="0.35">
      <c r="A943" s="126" t="s">
        <v>0</v>
      </c>
      <c r="B943" s="126" t="s">
        <v>893</v>
      </c>
      <c r="C943" s="126" t="s">
        <v>2</v>
      </c>
      <c r="D943" s="126" t="s">
        <v>3</v>
      </c>
      <c r="E943" s="126">
        <v>42.31</v>
      </c>
      <c r="F943" s="126" t="s">
        <v>88</v>
      </c>
      <c r="G943" s="108">
        <v>45569</v>
      </c>
      <c r="H943" s="126" t="s">
        <v>89</v>
      </c>
      <c r="I943" s="126" t="s">
        <v>8521</v>
      </c>
      <c r="J943" s="126"/>
      <c r="K943" s="126" t="s">
        <v>8522</v>
      </c>
      <c r="L943" s="126" t="s">
        <v>8523</v>
      </c>
      <c r="M943" s="126" t="s">
        <v>399</v>
      </c>
      <c r="Q943" s="3">
        <f t="shared" si="29"/>
        <v>42.31</v>
      </c>
      <c r="S943" s="55" t="s">
        <v>9013</v>
      </c>
      <c r="U943" s="3" t="str">
        <f t="shared" si="30"/>
        <v/>
      </c>
    </row>
    <row r="944" spans="1:21" x14ac:dyDescent="0.35">
      <c r="A944" s="126" t="s">
        <v>0</v>
      </c>
      <c r="B944" s="126" t="s">
        <v>893</v>
      </c>
      <c r="C944" s="126" t="s">
        <v>2</v>
      </c>
      <c r="D944" s="126" t="s">
        <v>3</v>
      </c>
      <c r="E944" s="126">
        <v>42.31</v>
      </c>
      <c r="F944" s="126" t="s">
        <v>88</v>
      </c>
      <c r="G944" s="108">
        <v>45611</v>
      </c>
      <c r="H944" s="126" t="s">
        <v>89</v>
      </c>
      <c r="I944" s="126" t="s">
        <v>8734</v>
      </c>
      <c r="J944" s="126"/>
      <c r="K944" s="126" t="s">
        <v>8522</v>
      </c>
      <c r="L944" s="126" t="s">
        <v>8736</v>
      </c>
      <c r="M944" s="126" t="s">
        <v>399</v>
      </c>
      <c r="Q944" s="3">
        <f t="shared" si="29"/>
        <v>42.31</v>
      </c>
      <c r="S944" s="55" t="s">
        <v>9013</v>
      </c>
      <c r="U944" s="3" t="str">
        <f t="shared" si="30"/>
        <v/>
      </c>
    </row>
    <row r="945" spans="1:21" x14ac:dyDescent="0.35">
      <c r="A945" s="126" t="s">
        <v>0</v>
      </c>
      <c r="B945" s="126" t="s">
        <v>893</v>
      </c>
      <c r="C945" s="126" t="s">
        <v>2</v>
      </c>
      <c r="D945" s="126" t="s">
        <v>3</v>
      </c>
      <c r="E945" s="126">
        <v>42.31</v>
      </c>
      <c r="F945" s="126" t="s">
        <v>88</v>
      </c>
      <c r="G945" s="108">
        <v>45635</v>
      </c>
      <c r="H945" s="126" t="s">
        <v>89</v>
      </c>
      <c r="I945" s="126" t="s">
        <v>8878</v>
      </c>
      <c r="J945" s="126"/>
      <c r="K945" s="126" t="s">
        <v>8879</v>
      </c>
      <c r="L945" s="126" t="s">
        <v>8880</v>
      </c>
      <c r="M945" s="126" t="s">
        <v>399</v>
      </c>
      <c r="Q945" s="3">
        <f t="shared" si="29"/>
        <v>42.31</v>
      </c>
      <c r="S945" s="55" t="s">
        <v>9013</v>
      </c>
      <c r="U945" s="3" t="str">
        <f t="shared" si="30"/>
        <v/>
      </c>
    </row>
    <row r="946" spans="1:21" x14ac:dyDescent="0.35">
      <c r="A946" s="126" t="s">
        <v>35</v>
      </c>
      <c r="B946" s="126" t="s">
        <v>3422</v>
      </c>
      <c r="C946" s="126" t="s">
        <v>2</v>
      </c>
      <c r="D946" s="126" t="s">
        <v>3</v>
      </c>
      <c r="E946" s="126">
        <v>42.27</v>
      </c>
      <c r="F946" s="126" t="s">
        <v>88</v>
      </c>
      <c r="G946" s="108">
        <v>45488</v>
      </c>
      <c r="H946" s="126" t="s">
        <v>94</v>
      </c>
      <c r="I946" s="126" t="s">
        <v>4435</v>
      </c>
      <c r="J946" s="126" t="s">
        <v>7661</v>
      </c>
      <c r="K946" s="126"/>
      <c r="L946" s="126"/>
      <c r="M946" s="126"/>
      <c r="N946" s="126"/>
      <c r="O946" s="126" t="s">
        <v>538</v>
      </c>
      <c r="Q946" s="3">
        <f t="shared" si="29"/>
        <v>42.27</v>
      </c>
      <c r="U946" s="3" t="str">
        <f t="shared" si="30"/>
        <v/>
      </c>
    </row>
    <row r="947" spans="1:21" x14ac:dyDescent="0.35">
      <c r="A947" s="126" t="s">
        <v>35</v>
      </c>
      <c r="B947" s="126" t="s">
        <v>3422</v>
      </c>
      <c r="C947" s="126" t="s">
        <v>2</v>
      </c>
      <c r="D947" s="126" t="s">
        <v>3</v>
      </c>
      <c r="E947" s="126">
        <v>42.27</v>
      </c>
      <c r="F947" s="126" t="s">
        <v>88</v>
      </c>
      <c r="G947" s="108">
        <v>45551</v>
      </c>
      <c r="H947" s="126" t="s">
        <v>94</v>
      </c>
      <c r="I947" s="126" t="s">
        <v>4435</v>
      </c>
      <c r="J947" s="126" t="s">
        <v>7661</v>
      </c>
      <c r="K947" s="126"/>
      <c r="L947" s="126"/>
      <c r="M947" s="126"/>
      <c r="N947" s="126"/>
      <c r="O947" s="126" t="s">
        <v>538</v>
      </c>
      <c r="Q947" s="3">
        <f t="shared" si="29"/>
        <v>42.27</v>
      </c>
      <c r="U947" s="3" t="str">
        <f t="shared" si="30"/>
        <v/>
      </c>
    </row>
    <row r="948" spans="1:21" x14ac:dyDescent="0.35">
      <c r="A948" s="126" t="s">
        <v>0</v>
      </c>
      <c r="B948" s="126" t="s">
        <v>1416</v>
      </c>
      <c r="C948" s="126" t="s">
        <v>2</v>
      </c>
      <c r="D948" s="126" t="s">
        <v>3</v>
      </c>
      <c r="E948" s="126">
        <v>42.25</v>
      </c>
      <c r="F948" s="126" t="s">
        <v>88</v>
      </c>
      <c r="G948" s="108">
        <v>45611</v>
      </c>
      <c r="H948" s="126" t="s">
        <v>89</v>
      </c>
      <c r="I948" s="126" t="s">
        <v>8737</v>
      </c>
      <c r="J948" s="126"/>
      <c r="K948" s="126" t="s">
        <v>8522</v>
      </c>
      <c r="L948" s="126" t="s">
        <v>8738</v>
      </c>
      <c r="M948" s="126" t="s">
        <v>399</v>
      </c>
      <c r="Q948" s="3">
        <f t="shared" si="29"/>
        <v>42.25</v>
      </c>
      <c r="S948" s="55" t="s">
        <v>9013</v>
      </c>
      <c r="U948" s="3" t="str">
        <f t="shared" si="30"/>
        <v/>
      </c>
    </row>
    <row r="949" spans="1:21" x14ac:dyDescent="0.35">
      <c r="A949" s="126" t="s">
        <v>35</v>
      </c>
      <c r="B949" s="126" t="s">
        <v>1411</v>
      </c>
      <c r="C949" s="126" t="s">
        <v>2</v>
      </c>
      <c r="D949" s="126" t="s">
        <v>3</v>
      </c>
      <c r="E949" s="126">
        <v>42.18</v>
      </c>
      <c r="F949" s="126" t="s">
        <v>88</v>
      </c>
      <c r="G949" s="108">
        <v>45568</v>
      </c>
      <c r="H949" s="126" t="s">
        <v>94</v>
      </c>
      <c r="I949" s="126" t="s">
        <v>459</v>
      </c>
      <c r="J949" s="126" t="s">
        <v>8520</v>
      </c>
      <c r="K949" s="126"/>
      <c r="L949" s="126"/>
      <c r="M949" s="126"/>
      <c r="N949" s="126"/>
      <c r="O949" s="126" t="s">
        <v>538</v>
      </c>
      <c r="Q949" s="3">
        <f t="shared" si="29"/>
        <v>42.18</v>
      </c>
      <c r="S949" s="55" t="s">
        <v>9014</v>
      </c>
      <c r="U949" s="3" t="str">
        <f t="shared" si="30"/>
        <v/>
      </c>
    </row>
    <row r="950" spans="1:21" x14ac:dyDescent="0.35">
      <c r="A950" s="126" t="s">
        <v>0</v>
      </c>
      <c r="B950" s="126" t="s">
        <v>6057</v>
      </c>
      <c r="C950" s="126" t="s">
        <v>2</v>
      </c>
      <c r="D950" s="126" t="s">
        <v>3</v>
      </c>
      <c r="E950" s="126">
        <v>42.16</v>
      </c>
      <c r="F950" s="126" t="s">
        <v>88</v>
      </c>
      <c r="G950" s="108">
        <v>45505</v>
      </c>
      <c r="H950" s="126" t="s">
        <v>89</v>
      </c>
      <c r="I950" s="126" t="s">
        <v>8248</v>
      </c>
      <c r="J950" s="126"/>
      <c r="K950" s="126" t="s">
        <v>8135</v>
      </c>
      <c r="L950" s="126" t="s">
        <v>8249</v>
      </c>
      <c r="M950" s="126" t="s">
        <v>399</v>
      </c>
      <c r="Q950" s="3">
        <f t="shared" si="29"/>
        <v>42.16</v>
      </c>
      <c r="S950" s="55" t="s">
        <v>9013</v>
      </c>
      <c r="U950" s="3" t="str">
        <f t="shared" si="30"/>
        <v/>
      </c>
    </row>
    <row r="951" spans="1:21" x14ac:dyDescent="0.35">
      <c r="A951" s="126" t="s">
        <v>0</v>
      </c>
      <c r="B951" s="126" t="s">
        <v>6057</v>
      </c>
      <c r="C951" s="126" t="s">
        <v>2</v>
      </c>
      <c r="D951" s="126" t="s">
        <v>3</v>
      </c>
      <c r="E951" s="126">
        <v>42.16</v>
      </c>
      <c r="F951" s="126" t="s">
        <v>88</v>
      </c>
      <c r="G951" s="108">
        <v>45517</v>
      </c>
      <c r="H951" s="126" t="s">
        <v>89</v>
      </c>
      <c r="I951" s="126" t="s">
        <v>8323</v>
      </c>
      <c r="J951" s="126"/>
      <c r="K951" s="126" t="s">
        <v>8321</v>
      </c>
      <c r="L951" s="126" t="s">
        <v>8324</v>
      </c>
      <c r="M951" s="126" t="s">
        <v>399</v>
      </c>
      <c r="Q951" s="3">
        <f t="shared" si="29"/>
        <v>42.16</v>
      </c>
      <c r="S951" s="55" t="s">
        <v>9013</v>
      </c>
      <c r="U951" s="3" t="str">
        <f t="shared" si="30"/>
        <v/>
      </c>
    </row>
    <row r="952" spans="1:21" x14ac:dyDescent="0.35">
      <c r="A952" s="126" t="s">
        <v>0</v>
      </c>
      <c r="B952" s="126" t="s">
        <v>6057</v>
      </c>
      <c r="C952" s="126" t="s">
        <v>2</v>
      </c>
      <c r="D952" s="126" t="s">
        <v>3</v>
      </c>
      <c r="E952" s="126">
        <v>42.16</v>
      </c>
      <c r="F952" s="126" t="s">
        <v>88</v>
      </c>
      <c r="G952" s="108">
        <v>45569</v>
      </c>
      <c r="H952" s="126" t="s">
        <v>89</v>
      </c>
      <c r="I952" s="126" t="s">
        <v>8524</v>
      </c>
      <c r="J952" s="126"/>
      <c r="K952" s="126" t="s">
        <v>8525</v>
      </c>
      <c r="L952" s="126" t="s">
        <v>8526</v>
      </c>
      <c r="M952" s="126" t="s">
        <v>399</v>
      </c>
      <c r="Q952" s="3">
        <f t="shared" si="29"/>
        <v>42.16</v>
      </c>
      <c r="S952" s="55" t="s">
        <v>9013</v>
      </c>
      <c r="U952" s="3" t="str">
        <f t="shared" si="30"/>
        <v/>
      </c>
    </row>
    <row r="953" spans="1:21" x14ac:dyDescent="0.35">
      <c r="A953" s="126" t="s">
        <v>0</v>
      </c>
      <c r="B953" s="126" t="s">
        <v>6057</v>
      </c>
      <c r="C953" s="126" t="s">
        <v>2</v>
      </c>
      <c r="D953" s="126" t="s">
        <v>3</v>
      </c>
      <c r="E953" s="126">
        <v>42.16</v>
      </c>
      <c r="F953" s="126" t="s">
        <v>88</v>
      </c>
      <c r="G953" s="108">
        <v>45611</v>
      </c>
      <c r="H953" s="126" t="s">
        <v>89</v>
      </c>
      <c r="I953" s="126" t="s">
        <v>8737</v>
      </c>
      <c r="J953" s="126"/>
      <c r="K953" s="126" t="s">
        <v>8522</v>
      </c>
      <c r="L953" s="126" t="s">
        <v>8738</v>
      </c>
      <c r="M953" s="126" t="s">
        <v>399</v>
      </c>
      <c r="Q953" s="3">
        <f t="shared" si="29"/>
        <v>42.16</v>
      </c>
      <c r="S953" s="55" t="s">
        <v>9013</v>
      </c>
      <c r="U953" s="3" t="str">
        <f t="shared" si="30"/>
        <v/>
      </c>
    </row>
    <row r="954" spans="1:21" x14ac:dyDescent="0.35">
      <c r="A954" s="126" t="s">
        <v>0</v>
      </c>
      <c r="B954" s="126" t="s">
        <v>3466</v>
      </c>
      <c r="C954" s="126" t="s">
        <v>2</v>
      </c>
      <c r="D954" s="126" t="s">
        <v>3</v>
      </c>
      <c r="E954" s="126">
        <v>42.12</v>
      </c>
      <c r="F954" s="126" t="s">
        <v>88</v>
      </c>
      <c r="G954" s="108">
        <v>45538</v>
      </c>
      <c r="H954" s="126" t="s">
        <v>89</v>
      </c>
      <c r="I954" s="126" t="s">
        <v>8388</v>
      </c>
      <c r="J954" s="126"/>
      <c r="K954" s="126" t="s">
        <v>8239</v>
      </c>
      <c r="L954" s="126" t="s">
        <v>8389</v>
      </c>
      <c r="M954" s="126" t="s">
        <v>8241</v>
      </c>
      <c r="N954" s="126"/>
      <c r="O954" s="126"/>
      <c r="Q954" s="3">
        <f t="shared" si="29"/>
        <v>42.12</v>
      </c>
      <c r="S954" s="55" t="s">
        <v>9016</v>
      </c>
      <c r="U954" s="3" t="str">
        <f t="shared" si="30"/>
        <v/>
      </c>
    </row>
    <row r="955" spans="1:21" x14ac:dyDescent="0.35">
      <c r="A955" s="126" t="s">
        <v>0</v>
      </c>
      <c r="B955" s="126" t="s">
        <v>1533</v>
      </c>
      <c r="C955" s="126" t="s">
        <v>2</v>
      </c>
      <c r="D955" s="126" t="s">
        <v>3</v>
      </c>
      <c r="E955" s="126">
        <v>42.12</v>
      </c>
      <c r="F955" s="126" t="s">
        <v>88</v>
      </c>
      <c r="G955" s="108">
        <v>45611</v>
      </c>
      <c r="H955" s="126" t="s">
        <v>89</v>
      </c>
      <c r="I955" s="126" t="s">
        <v>8737</v>
      </c>
      <c r="J955" s="126"/>
      <c r="K955" s="126" t="s">
        <v>8522</v>
      </c>
      <c r="L955" s="126" t="s">
        <v>8738</v>
      </c>
      <c r="M955" s="126" t="s">
        <v>399</v>
      </c>
      <c r="Q955" s="3">
        <f t="shared" si="29"/>
        <v>42.12</v>
      </c>
      <c r="S955" s="55" t="s">
        <v>9013</v>
      </c>
      <c r="U955" s="3" t="str">
        <f t="shared" si="30"/>
        <v/>
      </c>
    </row>
    <row r="956" spans="1:21" x14ac:dyDescent="0.35">
      <c r="A956" s="126" t="s">
        <v>0</v>
      </c>
      <c r="B956" s="126" t="s">
        <v>969</v>
      </c>
      <c r="C956" s="126" t="s">
        <v>2</v>
      </c>
      <c r="D956" s="126" t="s">
        <v>3</v>
      </c>
      <c r="E956" s="126">
        <v>42.01</v>
      </c>
      <c r="F956" s="126" t="s">
        <v>88</v>
      </c>
      <c r="G956" s="108">
        <v>45447</v>
      </c>
      <c r="H956" s="126" t="s">
        <v>89</v>
      </c>
      <c r="I956" s="126" t="s">
        <v>7929</v>
      </c>
      <c r="J956" s="126"/>
      <c r="K956" s="126" t="s">
        <v>7655</v>
      </c>
      <c r="L956" s="126" t="s">
        <v>7930</v>
      </c>
      <c r="M956" s="126" t="s">
        <v>420</v>
      </c>
      <c r="N956" s="126"/>
      <c r="O956" s="126"/>
      <c r="Q956" s="3">
        <f t="shared" si="29"/>
        <v>42.01</v>
      </c>
      <c r="U956" s="3" t="str">
        <f t="shared" si="30"/>
        <v/>
      </c>
    </row>
    <row r="957" spans="1:21" x14ac:dyDescent="0.35">
      <c r="A957" s="126" t="s">
        <v>0</v>
      </c>
      <c r="B957" s="126" t="s">
        <v>969</v>
      </c>
      <c r="C957" s="126" t="s">
        <v>2</v>
      </c>
      <c r="D957" s="126" t="s">
        <v>3</v>
      </c>
      <c r="E957" s="126">
        <v>41.98</v>
      </c>
      <c r="F957" s="126" t="s">
        <v>88</v>
      </c>
      <c r="G957" s="108">
        <v>45637</v>
      </c>
      <c r="H957" s="126" t="s">
        <v>89</v>
      </c>
      <c r="I957" s="126" t="s">
        <v>8940</v>
      </c>
      <c r="J957" s="126"/>
      <c r="K957" s="126" t="s">
        <v>8836</v>
      </c>
      <c r="L957" s="126" t="s">
        <v>8941</v>
      </c>
      <c r="M957" s="126" t="s">
        <v>420</v>
      </c>
      <c r="N957" s="126"/>
      <c r="O957" s="126"/>
      <c r="Q957" s="3">
        <f t="shared" si="29"/>
        <v>41.98</v>
      </c>
      <c r="U957" s="3" t="str">
        <f t="shared" si="30"/>
        <v/>
      </c>
    </row>
    <row r="958" spans="1:21" x14ac:dyDescent="0.35">
      <c r="A958" s="126" t="s">
        <v>35</v>
      </c>
      <c r="B958" s="126" t="s">
        <v>3422</v>
      </c>
      <c r="C958" s="126" t="s">
        <v>2</v>
      </c>
      <c r="D958" s="126" t="s">
        <v>3</v>
      </c>
      <c r="E958" s="126">
        <v>41.9</v>
      </c>
      <c r="F958" s="126" t="s">
        <v>88</v>
      </c>
      <c r="G958" s="108">
        <v>45393</v>
      </c>
      <c r="H958" s="126" t="s">
        <v>94</v>
      </c>
      <c r="I958" s="126" t="s">
        <v>4435</v>
      </c>
      <c r="J958" s="126" t="s">
        <v>7661</v>
      </c>
      <c r="K958" s="126"/>
      <c r="L958" s="126"/>
      <c r="M958" s="126"/>
      <c r="N958" s="126"/>
      <c r="O958" s="126" t="s">
        <v>538</v>
      </c>
      <c r="Q958" s="3">
        <f t="shared" si="29"/>
        <v>41.9</v>
      </c>
      <c r="U958" s="3" t="str">
        <f t="shared" si="30"/>
        <v/>
      </c>
    </row>
    <row r="959" spans="1:21" x14ac:dyDescent="0.35">
      <c r="A959" s="126" t="s">
        <v>35</v>
      </c>
      <c r="B959" s="126" t="s">
        <v>825</v>
      </c>
      <c r="C959" s="126" t="s">
        <v>2</v>
      </c>
      <c r="D959" s="126" t="s">
        <v>3</v>
      </c>
      <c r="E959" s="126">
        <v>41.82</v>
      </c>
      <c r="F959" s="126" t="s">
        <v>88</v>
      </c>
      <c r="G959" s="108">
        <v>45551</v>
      </c>
      <c r="H959" s="126" t="s">
        <v>94</v>
      </c>
      <c r="I959" s="126" t="s">
        <v>490</v>
      </c>
      <c r="J959" s="126" t="s">
        <v>332</v>
      </c>
      <c r="K959" s="126"/>
      <c r="L959" s="126"/>
      <c r="M959" s="126"/>
      <c r="N959" s="126"/>
      <c r="O959" s="126" t="s">
        <v>564</v>
      </c>
      <c r="Q959" s="3">
        <f t="shared" si="29"/>
        <v>41.82</v>
      </c>
      <c r="U959" s="3" t="str">
        <f t="shared" si="30"/>
        <v/>
      </c>
    </row>
    <row r="960" spans="1:21" x14ac:dyDescent="0.35">
      <c r="A960" s="126" t="s">
        <v>35</v>
      </c>
      <c r="B960" s="126" t="s">
        <v>615</v>
      </c>
      <c r="C960" s="126" t="s">
        <v>2</v>
      </c>
      <c r="D960" s="126" t="s">
        <v>3</v>
      </c>
      <c r="E960" s="126">
        <v>41.81</v>
      </c>
      <c r="F960" s="126" t="s">
        <v>88</v>
      </c>
      <c r="G960" s="108">
        <v>45534</v>
      </c>
      <c r="H960" s="126" t="s">
        <v>94</v>
      </c>
      <c r="I960" s="126" t="s">
        <v>2865</v>
      </c>
      <c r="J960" s="126" t="s">
        <v>8371</v>
      </c>
      <c r="K960" s="126"/>
      <c r="L960" s="126"/>
      <c r="M960" s="126"/>
      <c r="N960" s="126"/>
      <c r="O960" s="126" t="s">
        <v>581</v>
      </c>
      <c r="Q960" s="3">
        <f t="shared" si="29"/>
        <v>41.81</v>
      </c>
      <c r="U960" s="3" t="str">
        <f t="shared" si="30"/>
        <v/>
      </c>
    </row>
    <row r="961" spans="1:21" x14ac:dyDescent="0.35">
      <c r="A961" s="126" t="s">
        <v>0</v>
      </c>
      <c r="B961" s="126" t="s">
        <v>969</v>
      </c>
      <c r="C961" s="126" t="s">
        <v>2</v>
      </c>
      <c r="D961" s="126" t="s">
        <v>3</v>
      </c>
      <c r="E961" s="126">
        <v>41.69</v>
      </c>
      <c r="F961" s="126" t="s">
        <v>88</v>
      </c>
      <c r="G961" s="108">
        <v>45467</v>
      </c>
      <c r="H961" s="126" t="s">
        <v>89</v>
      </c>
      <c r="I961" s="126" t="s">
        <v>8045</v>
      </c>
      <c r="J961" s="126"/>
      <c r="K961" s="126" t="s">
        <v>7655</v>
      </c>
      <c r="L961" s="126" t="s">
        <v>8046</v>
      </c>
      <c r="M961" s="126" t="s">
        <v>420</v>
      </c>
      <c r="N961" s="126"/>
      <c r="O961" s="126"/>
      <c r="Q961" s="3">
        <f t="shared" si="29"/>
        <v>41.69</v>
      </c>
      <c r="U961" s="3" t="str">
        <f t="shared" si="30"/>
        <v/>
      </c>
    </row>
    <row r="962" spans="1:21" x14ac:dyDescent="0.35">
      <c r="A962" s="126" t="s">
        <v>35</v>
      </c>
      <c r="B962" s="126" t="s">
        <v>825</v>
      </c>
      <c r="C962" s="126" t="s">
        <v>2</v>
      </c>
      <c r="D962" s="126" t="s">
        <v>3</v>
      </c>
      <c r="E962" s="126">
        <v>41.68</v>
      </c>
      <c r="F962" s="126" t="s">
        <v>88</v>
      </c>
      <c r="G962" s="108">
        <v>45569</v>
      </c>
      <c r="H962" s="126" t="s">
        <v>94</v>
      </c>
      <c r="I962" s="126" t="s">
        <v>8533</v>
      </c>
      <c r="J962" s="126" t="s">
        <v>8534</v>
      </c>
      <c r="K962" s="126"/>
      <c r="L962" s="126"/>
      <c r="M962" s="126"/>
      <c r="N962" s="126"/>
      <c r="O962" s="126" t="s">
        <v>8535</v>
      </c>
      <c r="Q962" s="3">
        <f t="shared" si="29"/>
        <v>41.68</v>
      </c>
      <c r="U962" s="3" t="str">
        <f t="shared" si="30"/>
        <v/>
      </c>
    </row>
    <row r="963" spans="1:21" x14ac:dyDescent="0.35">
      <c r="A963" s="126" t="s">
        <v>35</v>
      </c>
      <c r="B963" s="126" t="s">
        <v>915</v>
      </c>
      <c r="C963" s="126" t="s">
        <v>2</v>
      </c>
      <c r="D963" s="126" t="s">
        <v>3</v>
      </c>
      <c r="E963" s="126">
        <v>41.59</v>
      </c>
      <c r="F963" s="126" t="s">
        <v>88</v>
      </c>
      <c r="G963" s="108">
        <v>45625</v>
      </c>
      <c r="H963" s="126" t="s">
        <v>94</v>
      </c>
      <c r="I963" s="126" t="s">
        <v>3552</v>
      </c>
      <c r="J963" s="126" t="s">
        <v>8815</v>
      </c>
      <c r="K963" s="126"/>
      <c r="L963" s="126"/>
      <c r="M963" s="126"/>
      <c r="N963" s="126"/>
      <c r="O963" s="126" t="s">
        <v>8816</v>
      </c>
      <c r="Q963" s="3">
        <f t="shared" si="29"/>
        <v>41.59</v>
      </c>
      <c r="U963" s="3" t="str">
        <f t="shared" si="30"/>
        <v/>
      </c>
    </row>
    <row r="964" spans="1:21" x14ac:dyDescent="0.35">
      <c r="A964" s="126" t="s">
        <v>0</v>
      </c>
      <c r="B964" s="126" t="s">
        <v>969</v>
      </c>
      <c r="C964" s="126" t="s">
        <v>2</v>
      </c>
      <c r="D964" s="126" t="s">
        <v>3</v>
      </c>
      <c r="E964" s="126">
        <v>41.51</v>
      </c>
      <c r="F964" s="126" t="s">
        <v>88</v>
      </c>
      <c r="G964" s="108">
        <v>45491</v>
      </c>
      <c r="H964" s="126" t="s">
        <v>89</v>
      </c>
      <c r="I964" s="126" t="s">
        <v>8179</v>
      </c>
      <c r="J964" s="126"/>
      <c r="K964" s="126" t="s">
        <v>7655</v>
      </c>
      <c r="L964" s="126" t="s">
        <v>8180</v>
      </c>
      <c r="M964" s="126" t="s">
        <v>420</v>
      </c>
      <c r="N964" s="126"/>
      <c r="O964" s="126"/>
      <c r="Q964" s="3">
        <f t="shared" si="29"/>
        <v>41.51</v>
      </c>
      <c r="U964" s="3" t="str">
        <f t="shared" si="30"/>
        <v/>
      </c>
    </row>
    <row r="965" spans="1:21" x14ac:dyDescent="0.35">
      <c r="A965" s="126" t="s">
        <v>35</v>
      </c>
      <c r="B965" s="126" t="s">
        <v>861</v>
      </c>
      <c r="C965" s="126" t="s">
        <v>2</v>
      </c>
      <c r="D965" s="126" t="s">
        <v>3</v>
      </c>
      <c r="E965" s="126">
        <v>40.909999999999997</v>
      </c>
      <c r="F965" s="126" t="s">
        <v>88</v>
      </c>
      <c r="G965" s="108">
        <v>45384</v>
      </c>
      <c r="H965" s="126" t="s">
        <v>94</v>
      </c>
      <c r="I965" s="126" t="s">
        <v>862</v>
      </c>
      <c r="J965" s="126" t="s">
        <v>7635</v>
      </c>
      <c r="K965" s="126"/>
      <c r="L965" s="126"/>
      <c r="M965" s="126"/>
      <c r="N965" s="126"/>
      <c r="O965" s="126" t="s">
        <v>7636</v>
      </c>
      <c r="Q965" s="3">
        <f t="shared" si="29"/>
        <v>40.909999999999997</v>
      </c>
      <c r="U965" s="3" t="str">
        <f t="shared" si="30"/>
        <v/>
      </c>
    </row>
    <row r="966" spans="1:21" x14ac:dyDescent="0.35">
      <c r="A966" s="126" t="s">
        <v>0</v>
      </c>
      <c r="B966" s="126" t="s">
        <v>3466</v>
      </c>
      <c r="C966" s="126" t="s">
        <v>2</v>
      </c>
      <c r="D966" s="126" t="s">
        <v>3</v>
      </c>
      <c r="E966" s="126">
        <v>40.58</v>
      </c>
      <c r="F966" s="126" t="s">
        <v>88</v>
      </c>
      <c r="G966" s="108">
        <v>45512</v>
      </c>
      <c r="H966" s="126" t="s">
        <v>89</v>
      </c>
      <c r="I966" s="126" t="s">
        <v>8288</v>
      </c>
      <c r="J966" s="126"/>
      <c r="K966" s="126" t="s">
        <v>8239</v>
      </c>
      <c r="L966" s="126" t="s">
        <v>8289</v>
      </c>
      <c r="M966" s="126" t="s">
        <v>8241</v>
      </c>
      <c r="N966" s="126"/>
      <c r="O966" s="126"/>
      <c r="Q966" s="3">
        <f t="shared" si="29"/>
        <v>40.58</v>
      </c>
      <c r="S966" s="55" t="s">
        <v>9016</v>
      </c>
      <c r="U966" s="3" t="str">
        <f t="shared" si="30"/>
        <v/>
      </c>
    </row>
    <row r="967" spans="1:21" x14ac:dyDescent="0.35">
      <c r="A967" s="126" t="s">
        <v>0</v>
      </c>
      <c r="B967" s="126" t="s">
        <v>3466</v>
      </c>
      <c r="C967" s="126" t="s">
        <v>2</v>
      </c>
      <c r="D967" s="126" t="s">
        <v>3</v>
      </c>
      <c r="E967" s="126">
        <v>40.57</v>
      </c>
      <c r="F967" s="126" t="s">
        <v>88</v>
      </c>
      <c r="G967" s="108">
        <v>45581</v>
      </c>
      <c r="H967" s="126" t="s">
        <v>89</v>
      </c>
      <c r="I967" s="126" t="s">
        <v>8576</v>
      </c>
      <c r="J967" s="126"/>
      <c r="K967" s="126" t="s">
        <v>8239</v>
      </c>
      <c r="L967" s="126" t="s">
        <v>8577</v>
      </c>
      <c r="M967" s="126" t="s">
        <v>8241</v>
      </c>
      <c r="N967" s="126"/>
      <c r="O967" s="126"/>
      <c r="Q967" s="3">
        <f t="shared" si="29"/>
        <v>40.57</v>
      </c>
      <c r="S967" s="55" t="s">
        <v>9016</v>
      </c>
      <c r="U967" s="3" t="str">
        <f t="shared" si="30"/>
        <v/>
      </c>
    </row>
    <row r="968" spans="1:21" x14ac:dyDescent="0.35">
      <c r="A968" s="126" t="s">
        <v>35</v>
      </c>
      <c r="B968" s="126" t="s">
        <v>4583</v>
      </c>
      <c r="C968" s="126" t="s">
        <v>2</v>
      </c>
      <c r="D968" s="126" t="s">
        <v>3</v>
      </c>
      <c r="E968" s="126">
        <v>40.549999999999997</v>
      </c>
      <c r="F968" s="126" t="s">
        <v>88</v>
      </c>
      <c r="G968" s="108">
        <v>45509</v>
      </c>
      <c r="H968" s="126" t="s">
        <v>94</v>
      </c>
      <c r="I968" s="126" t="s">
        <v>8277</v>
      </c>
      <c r="J968" s="126" t="s">
        <v>8278</v>
      </c>
      <c r="K968" s="126"/>
      <c r="L968" s="126"/>
      <c r="M968" s="126"/>
      <c r="N968" s="126"/>
      <c r="O968" s="126" t="s">
        <v>8279</v>
      </c>
      <c r="Q968" s="3">
        <f t="shared" ref="Q968:Q1031" si="31">ABS(E968)</f>
        <v>40.549999999999997</v>
      </c>
      <c r="U968" s="3" t="str">
        <f t="shared" ref="U968:U1031" si="32">IF(T968="Y",E968,"")</f>
        <v/>
      </c>
    </row>
    <row r="969" spans="1:21" x14ac:dyDescent="0.35">
      <c r="A969" s="126" t="s">
        <v>35</v>
      </c>
      <c r="B969" s="126" t="s">
        <v>6044</v>
      </c>
      <c r="C969" s="126" t="s">
        <v>2</v>
      </c>
      <c r="D969" s="126" t="s">
        <v>3</v>
      </c>
      <c r="E969" s="126">
        <v>40.450000000000003</v>
      </c>
      <c r="F969" s="126" t="s">
        <v>88</v>
      </c>
      <c r="G969" s="108">
        <v>45454</v>
      </c>
      <c r="H969" s="126" t="s">
        <v>94</v>
      </c>
      <c r="I969" s="126" t="s">
        <v>7976</v>
      </c>
      <c r="J969" s="126" t="s">
        <v>507</v>
      </c>
      <c r="K969" s="126"/>
      <c r="L969" s="126"/>
      <c r="M969" s="126"/>
      <c r="N969" s="126"/>
      <c r="O969" s="126" t="s">
        <v>4748</v>
      </c>
      <c r="Q969" s="3">
        <f t="shared" si="31"/>
        <v>40.450000000000003</v>
      </c>
      <c r="S969" s="55" t="s">
        <v>586</v>
      </c>
      <c r="U969" s="3" t="str">
        <f t="shared" si="32"/>
        <v/>
      </c>
    </row>
    <row r="970" spans="1:21" x14ac:dyDescent="0.35">
      <c r="A970" s="126" t="s">
        <v>35</v>
      </c>
      <c r="B970" s="126" t="s">
        <v>4622</v>
      </c>
      <c r="C970" s="126" t="s">
        <v>2</v>
      </c>
      <c r="D970" s="126" t="s">
        <v>3</v>
      </c>
      <c r="E970" s="126">
        <v>40.450000000000003</v>
      </c>
      <c r="F970" s="126" t="s">
        <v>88</v>
      </c>
      <c r="G970" s="108">
        <v>45625</v>
      </c>
      <c r="H970" s="126" t="s">
        <v>94</v>
      </c>
      <c r="I970" s="126" t="s">
        <v>4435</v>
      </c>
      <c r="J970" s="126" t="s">
        <v>8821</v>
      </c>
      <c r="K970" s="126"/>
      <c r="L970" s="126"/>
      <c r="M970" s="126"/>
      <c r="N970" s="126"/>
      <c r="O970" s="126" t="s">
        <v>8822</v>
      </c>
      <c r="Q970" s="3">
        <f t="shared" si="31"/>
        <v>40.450000000000003</v>
      </c>
      <c r="U970" s="3" t="str">
        <f t="shared" si="32"/>
        <v/>
      </c>
    </row>
    <row r="971" spans="1:21" x14ac:dyDescent="0.35">
      <c r="A971" s="126" t="s">
        <v>0</v>
      </c>
      <c r="B971" s="126" t="s">
        <v>969</v>
      </c>
      <c r="C971" s="126" t="s">
        <v>2</v>
      </c>
      <c r="D971" s="126" t="s">
        <v>3</v>
      </c>
      <c r="E971" s="126">
        <v>40.430000000000007</v>
      </c>
      <c r="F971" s="126" t="s">
        <v>88</v>
      </c>
      <c r="G971" s="108">
        <v>45393</v>
      </c>
      <c r="H971" s="126" t="s">
        <v>89</v>
      </c>
      <c r="I971" s="126" t="s">
        <v>7704</v>
      </c>
      <c r="J971" s="126"/>
      <c r="K971" s="126" t="s">
        <v>7655</v>
      </c>
      <c r="L971" s="126" t="s">
        <v>7705</v>
      </c>
      <c r="M971" s="126" t="s">
        <v>420</v>
      </c>
      <c r="N971" s="126"/>
      <c r="O971" s="126"/>
      <c r="Q971" s="3">
        <f t="shared" si="31"/>
        <v>40.430000000000007</v>
      </c>
      <c r="U971" s="3" t="str">
        <f t="shared" si="32"/>
        <v/>
      </c>
    </row>
    <row r="972" spans="1:21" x14ac:dyDescent="0.35">
      <c r="A972" s="126" t="s">
        <v>35</v>
      </c>
      <c r="B972" s="126" t="s">
        <v>3422</v>
      </c>
      <c r="C972" s="126" t="s">
        <v>2</v>
      </c>
      <c r="D972" s="126" t="s">
        <v>3</v>
      </c>
      <c r="E972" s="126">
        <v>40.36</v>
      </c>
      <c r="F972" s="126" t="s">
        <v>88</v>
      </c>
      <c r="G972" s="108">
        <v>45530</v>
      </c>
      <c r="H972" s="126" t="s">
        <v>94</v>
      </c>
      <c r="I972" s="126" t="s">
        <v>459</v>
      </c>
      <c r="J972" s="126" t="s">
        <v>499</v>
      </c>
      <c r="K972" s="126"/>
      <c r="L972" s="126"/>
      <c r="M972" s="126"/>
      <c r="N972" s="126"/>
      <c r="O972" s="126" t="s">
        <v>538</v>
      </c>
      <c r="Q972" s="3">
        <f t="shared" si="31"/>
        <v>40.36</v>
      </c>
      <c r="U972" s="3" t="str">
        <f t="shared" si="32"/>
        <v/>
      </c>
    </row>
    <row r="973" spans="1:21" x14ac:dyDescent="0.35">
      <c r="A973" s="126" t="s">
        <v>0</v>
      </c>
      <c r="B973" s="126" t="s">
        <v>6044</v>
      </c>
      <c r="C973" s="126" t="s">
        <v>2</v>
      </c>
      <c r="D973" s="126" t="s">
        <v>3</v>
      </c>
      <c r="E973" s="126">
        <v>40.21</v>
      </c>
      <c r="F973" s="126" t="s">
        <v>88</v>
      </c>
      <c r="G973" s="108">
        <v>45432</v>
      </c>
      <c r="H973" s="126" t="s">
        <v>89</v>
      </c>
      <c r="I973" s="126" t="s">
        <v>7839</v>
      </c>
      <c r="J973" s="126"/>
      <c r="K973" s="126" t="s">
        <v>7840</v>
      </c>
      <c r="L973" s="126" t="s">
        <v>7841</v>
      </c>
      <c r="M973" s="126" t="s">
        <v>399</v>
      </c>
      <c r="N973" s="35"/>
      <c r="O973" s="35"/>
      <c r="Q973" s="3">
        <f t="shared" si="31"/>
        <v>40.21</v>
      </c>
      <c r="S973" s="55" t="s">
        <v>9013</v>
      </c>
      <c r="U973" s="3" t="str">
        <f t="shared" si="32"/>
        <v/>
      </c>
    </row>
    <row r="974" spans="1:21" x14ac:dyDescent="0.35">
      <c r="A974" s="126" t="s">
        <v>0</v>
      </c>
      <c r="B974" s="126" t="s">
        <v>6044</v>
      </c>
      <c r="C974" s="126" t="s">
        <v>2</v>
      </c>
      <c r="D974" s="126" t="s">
        <v>3</v>
      </c>
      <c r="E974" s="126">
        <v>40.21</v>
      </c>
      <c r="F974" s="126" t="s">
        <v>88</v>
      </c>
      <c r="G974" s="108">
        <v>45454</v>
      </c>
      <c r="H974" s="126" t="s">
        <v>89</v>
      </c>
      <c r="I974" s="126" t="s">
        <v>7958</v>
      </c>
      <c r="J974" s="126"/>
      <c r="K974" s="126" t="s">
        <v>7959</v>
      </c>
      <c r="L974" s="126" t="s">
        <v>7960</v>
      </c>
      <c r="M974" s="126" t="s">
        <v>399</v>
      </c>
      <c r="Q974" s="3">
        <f t="shared" si="31"/>
        <v>40.21</v>
      </c>
      <c r="S974" s="55" t="s">
        <v>9013</v>
      </c>
      <c r="U974" s="3" t="str">
        <f t="shared" si="32"/>
        <v/>
      </c>
    </row>
    <row r="975" spans="1:21" x14ac:dyDescent="0.35">
      <c r="A975" s="126" t="s">
        <v>0</v>
      </c>
      <c r="B975" s="126" t="s">
        <v>6044</v>
      </c>
      <c r="C975" s="126" t="s">
        <v>2</v>
      </c>
      <c r="D975" s="126" t="s">
        <v>3</v>
      </c>
      <c r="E975" s="126">
        <v>40.21</v>
      </c>
      <c r="F975" s="126" t="s">
        <v>88</v>
      </c>
      <c r="G975" s="108">
        <v>45485</v>
      </c>
      <c r="H975" s="126" t="s">
        <v>89</v>
      </c>
      <c r="I975" s="126" t="s">
        <v>8134</v>
      </c>
      <c r="J975" s="126"/>
      <c r="K975" s="126" t="s">
        <v>8135</v>
      </c>
      <c r="L975" s="126" t="s">
        <v>8136</v>
      </c>
      <c r="M975" s="126" t="s">
        <v>399</v>
      </c>
      <c r="Q975" s="3">
        <f t="shared" si="31"/>
        <v>40.21</v>
      </c>
      <c r="S975" s="55" t="s">
        <v>9013</v>
      </c>
      <c r="U975" s="3" t="str">
        <f t="shared" si="32"/>
        <v/>
      </c>
    </row>
    <row r="976" spans="1:21" x14ac:dyDescent="0.35">
      <c r="A976" s="126" t="s">
        <v>0</v>
      </c>
      <c r="B976" s="126" t="s">
        <v>6044</v>
      </c>
      <c r="C976" s="126" t="s">
        <v>2</v>
      </c>
      <c r="D976" s="126" t="s">
        <v>3</v>
      </c>
      <c r="E976" s="126">
        <v>40.21</v>
      </c>
      <c r="F976" s="126" t="s">
        <v>88</v>
      </c>
      <c r="G976" s="108">
        <v>45517</v>
      </c>
      <c r="H976" s="126" t="s">
        <v>89</v>
      </c>
      <c r="I976" s="126" t="s">
        <v>8320</v>
      </c>
      <c r="J976" s="126"/>
      <c r="K976" s="126" t="s">
        <v>8321</v>
      </c>
      <c r="L976" s="126" t="s">
        <v>8322</v>
      </c>
      <c r="M976" s="126" t="s">
        <v>399</v>
      </c>
      <c r="Q976" s="3">
        <f t="shared" si="31"/>
        <v>40.21</v>
      </c>
      <c r="S976" s="55" t="s">
        <v>9013</v>
      </c>
      <c r="U976" s="3" t="str">
        <f t="shared" si="32"/>
        <v/>
      </c>
    </row>
    <row r="977" spans="1:21" x14ac:dyDescent="0.35">
      <c r="A977" s="126" t="s">
        <v>0</v>
      </c>
      <c r="B977" s="126" t="s">
        <v>6044</v>
      </c>
      <c r="C977" s="126" t="s">
        <v>2</v>
      </c>
      <c r="D977" s="126" t="s">
        <v>3</v>
      </c>
      <c r="E977" s="126">
        <v>40.21</v>
      </c>
      <c r="F977" s="126" t="s">
        <v>88</v>
      </c>
      <c r="G977" s="108">
        <v>45551</v>
      </c>
      <c r="H977" s="126" t="s">
        <v>89</v>
      </c>
      <c r="I977" s="126" t="s">
        <v>8431</v>
      </c>
      <c r="J977" s="126"/>
      <c r="K977" s="126" t="s">
        <v>8432</v>
      </c>
      <c r="L977" s="126" t="s">
        <v>8433</v>
      </c>
      <c r="M977" s="126" t="s">
        <v>399</v>
      </c>
      <c r="Q977" s="3">
        <f t="shared" si="31"/>
        <v>40.21</v>
      </c>
      <c r="S977" s="55" t="s">
        <v>9013</v>
      </c>
      <c r="U977" s="3" t="str">
        <f t="shared" si="32"/>
        <v/>
      </c>
    </row>
    <row r="978" spans="1:21" x14ac:dyDescent="0.35">
      <c r="A978" s="126" t="s">
        <v>0</v>
      </c>
      <c r="B978" s="126" t="s">
        <v>6044</v>
      </c>
      <c r="C978" s="126" t="s">
        <v>2</v>
      </c>
      <c r="D978" s="126" t="s">
        <v>3</v>
      </c>
      <c r="E978" s="126">
        <v>40.21</v>
      </c>
      <c r="F978" s="126" t="s">
        <v>88</v>
      </c>
      <c r="G978" s="108">
        <v>45569</v>
      </c>
      <c r="H978" s="126" t="s">
        <v>89</v>
      </c>
      <c r="I978" s="126" t="s">
        <v>8521</v>
      </c>
      <c r="J978" s="126"/>
      <c r="K978" s="126" t="s">
        <v>8522</v>
      </c>
      <c r="L978" s="126" t="s">
        <v>8523</v>
      </c>
      <c r="M978" s="126" t="s">
        <v>399</v>
      </c>
      <c r="Q978" s="3">
        <f t="shared" si="31"/>
        <v>40.21</v>
      </c>
      <c r="S978" s="55" t="s">
        <v>9013</v>
      </c>
      <c r="U978" s="3" t="str">
        <f t="shared" si="32"/>
        <v/>
      </c>
    </row>
    <row r="979" spans="1:21" x14ac:dyDescent="0.35">
      <c r="A979" s="126" t="s">
        <v>0</v>
      </c>
      <c r="B979" s="126" t="s">
        <v>6044</v>
      </c>
      <c r="C979" s="126" t="s">
        <v>2</v>
      </c>
      <c r="D979" s="126" t="s">
        <v>3</v>
      </c>
      <c r="E979" s="126">
        <v>40.21</v>
      </c>
      <c r="F979" s="126" t="s">
        <v>88</v>
      </c>
      <c r="G979" s="108">
        <v>45611</v>
      </c>
      <c r="H979" s="126" t="s">
        <v>89</v>
      </c>
      <c r="I979" s="126" t="s">
        <v>8734</v>
      </c>
      <c r="J979" s="126"/>
      <c r="K979" s="126" t="s">
        <v>8735</v>
      </c>
      <c r="L979" s="126" t="s">
        <v>8736</v>
      </c>
      <c r="M979" s="126" t="s">
        <v>399</v>
      </c>
      <c r="N979" s="126"/>
      <c r="O979" s="126"/>
      <c r="Q979" s="3">
        <f t="shared" si="31"/>
        <v>40.21</v>
      </c>
      <c r="S979" s="55" t="s">
        <v>9013</v>
      </c>
      <c r="U979" s="3" t="str">
        <f t="shared" si="32"/>
        <v/>
      </c>
    </row>
    <row r="980" spans="1:21" x14ac:dyDescent="0.35">
      <c r="A980" s="126" t="s">
        <v>0</v>
      </c>
      <c r="B980" s="126" t="s">
        <v>6044</v>
      </c>
      <c r="C980" s="126" t="s">
        <v>2</v>
      </c>
      <c r="D980" s="126" t="s">
        <v>3</v>
      </c>
      <c r="E980" s="126">
        <v>40.21</v>
      </c>
      <c r="F980" s="126" t="s">
        <v>88</v>
      </c>
      <c r="G980" s="108">
        <v>45635</v>
      </c>
      <c r="H980" s="126" t="s">
        <v>89</v>
      </c>
      <c r="I980" s="126" t="s">
        <v>8878</v>
      </c>
      <c r="J980" s="126"/>
      <c r="K980" s="126" t="s">
        <v>8879</v>
      </c>
      <c r="L980" s="126" t="s">
        <v>8880</v>
      </c>
      <c r="M980" s="126" t="s">
        <v>399</v>
      </c>
      <c r="Q980" s="3">
        <f t="shared" si="31"/>
        <v>40.21</v>
      </c>
      <c r="S980" s="55" t="s">
        <v>9013</v>
      </c>
      <c r="U980" s="3" t="str">
        <f t="shared" si="32"/>
        <v/>
      </c>
    </row>
    <row r="981" spans="1:21" x14ac:dyDescent="0.35">
      <c r="A981" s="126" t="s">
        <v>0</v>
      </c>
      <c r="B981" s="126" t="s">
        <v>6044</v>
      </c>
      <c r="C981" s="126" t="s">
        <v>2</v>
      </c>
      <c r="D981" s="126" t="s">
        <v>3</v>
      </c>
      <c r="E981" s="126">
        <v>40.19</v>
      </c>
      <c r="F981" s="126" t="s">
        <v>88</v>
      </c>
      <c r="G981" s="108">
        <v>45391</v>
      </c>
      <c r="H981" s="126" t="s">
        <v>89</v>
      </c>
      <c r="I981" s="126" t="s">
        <v>7691</v>
      </c>
      <c r="J981" s="126"/>
      <c r="K981" s="126" t="s">
        <v>7672</v>
      </c>
      <c r="L981" s="126" t="s">
        <v>7692</v>
      </c>
      <c r="M981" s="126" t="s">
        <v>399</v>
      </c>
      <c r="N981" s="35"/>
      <c r="O981" s="35"/>
      <c r="Q981" s="3">
        <f t="shared" si="31"/>
        <v>40.19</v>
      </c>
      <c r="S981" s="55" t="s">
        <v>9013</v>
      </c>
      <c r="U981" s="3" t="str">
        <f t="shared" si="32"/>
        <v/>
      </c>
    </row>
    <row r="982" spans="1:21" x14ac:dyDescent="0.35">
      <c r="A982" s="126" t="s">
        <v>35</v>
      </c>
      <c r="B982" s="126" t="s">
        <v>868</v>
      </c>
      <c r="C982" s="126" t="s">
        <v>2</v>
      </c>
      <c r="D982" s="126" t="s">
        <v>3</v>
      </c>
      <c r="E982" s="126">
        <v>40</v>
      </c>
      <c r="F982" s="126" t="s">
        <v>88</v>
      </c>
      <c r="G982" s="108">
        <v>45544</v>
      </c>
      <c r="H982" s="126" t="s">
        <v>94</v>
      </c>
      <c r="I982" s="126" t="s">
        <v>7644</v>
      </c>
      <c r="J982" s="126" t="s">
        <v>395</v>
      </c>
      <c r="K982" s="126"/>
      <c r="L982" s="126"/>
      <c r="M982" s="126"/>
      <c r="N982" s="126"/>
      <c r="O982" s="126" t="s">
        <v>7922</v>
      </c>
      <c r="Q982" s="3">
        <f t="shared" si="31"/>
        <v>40</v>
      </c>
      <c r="S982" s="55" t="s">
        <v>586</v>
      </c>
      <c r="U982" s="3" t="str">
        <f t="shared" si="32"/>
        <v/>
      </c>
    </row>
    <row r="983" spans="1:21" x14ac:dyDescent="0.35">
      <c r="A983" s="126" t="s">
        <v>35</v>
      </c>
      <c r="B983" s="126" t="s">
        <v>3422</v>
      </c>
      <c r="C983" s="126" t="s">
        <v>2</v>
      </c>
      <c r="D983" s="126" t="s">
        <v>3</v>
      </c>
      <c r="E983" s="126">
        <v>40</v>
      </c>
      <c r="F983" s="126" t="s">
        <v>88</v>
      </c>
      <c r="G983" s="108">
        <v>45621</v>
      </c>
      <c r="H983" s="126" t="s">
        <v>94</v>
      </c>
      <c r="I983" s="126" t="s">
        <v>459</v>
      </c>
      <c r="J983" s="126" t="s">
        <v>499</v>
      </c>
      <c r="K983" s="126"/>
      <c r="L983" s="126"/>
      <c r="M983" s="126"/>
      <c r="N983" s="126"/>
      <c r="O983" s="126" t="s">
        <v>538</v>
      </c>
      <c r="Q983" s="3">
        <f t="shared" si="31"/>
        <v>40</v>
      </c>
      <c r="U983" s="3" t="str">
        <f t="shared" si="32"/>
        <v/>
      </c>
    </row>
    <row r="984" spans="1:21" x14ac:dyDescent="0.35">
      <c r="A984" s="126" t="s">
        <v>35</v>
      </c>
      <c r="B984" s="126" t="s">
        <v>868</v>
      </c>
      <c r="C984" s="126" t="s">
        <v>2</v>
      </c>
      <c r="D984" s="126" t="s">
        <v>3</v>
      </c>
      <c r="E984" s="126">
        <v>40</v>
      </c>
      <c r="F984" s="126" t="s">
        <v>88</v>
      </c>
      <c r="G984" s="108">
        <v>45635</v>
      </c>
      <c r="H984" s="126" t="s">
        <v>94</v>
      </c>
      <c r="I984" s="126" t="s">
        <v>2920</v>
      </c>
      <c r="J984" s="126" t="s">
        <v>8896</v>
      </c>
      <c r="K984" s="126"/>
      <c r="L984" s="126"/>
      <c r="M984" s="126"/>
      <c r="N984" s="126"/>
      <c r="O984" s="126" t="s">
        <v>8897</v>
      </c>
      <c r="Q984" s="3">
        <f t="shared" si="31"/>
        <v>40</v>
      </c>
      <c r="U984" s="3" t="str">
        <f t="shared" si="32"/>
        <v/>
      </c>
    </row>
    <row r="985" spans="1:21" x14ac:dyDescent="0.35">
      <c r="A985" s="126" t="s">
        <v>35</v>
      </c>
      <c r="B985" s="126" t="s">
        <v>3422</v>
      </c>
      <c r="C985" s="126" t="s">
        <v>2</v>
      </c>
      <c r="D985" s="126" t="s">
        <v>3</v>
      </c>
      <c r="E985" s="126">
        <v>39.909999999999997</v>
      </c>
      <c r="F985" s="126" t="s">
        <v>88</v>
      </c>
      <c r="G985" s="108">
        <v>45586</v>
      </c>
      <c r="H985" s="126" t="s">
        <v>94</v>
      </c>
      <c r="I985" s="126" t="s">
        <v>4435</v>
      </c>
      <c r="J985" s="126" t="s">
        <v>7661</v>
      </c>
      <c r="K985" s="126"/>
      <c r="L985" s="126"/>
      <c r="M985" s="126"/>
      <c r="N985" s="126"/>
      <c r="O985" s="126" t="s">
        <v>538</v>
      </c>
      <c r="Q985" s="3">
        <f t="shared" si="31"/>
        <v>39.909999999999997</v>
      </c>
      <c r="U985" s="3" t="str">
        <f t="shared" si="32"/>
        <v/>
      </c>
    </row>
    <row r="986" spans="1:21" x14ac:dyDescent="0.35">
      <c r="A986" s="126" t="s">
        <v>0</v>
      </c>
      <c r="B986" s="126" t="s">
        <v>969</v>
      </c>
      <c r="C986" s="126" t="s">
        <v>2</v>
      </c>
      <c r="D986" s="126" t="s">
        <v>3</v>
      </c>
      <c r="E986" s="126">
        <v>39.67</v>
      </c>
      <c r="F986" s="126" t="s">
        <v>88</v>
      </c>
      <c r="G986" s="108">
        <v>45467</v>
      </c>
      <c r="H986" s="126" t="s">
        <v>89</v>
      </c>
      <c r="I986" s="126" t="s">
        <v>8047</v>
      </c>
      <c r="J986" s="126"/>
      <c r="K986" s="126" t="s">
        <v>7655</v>
      </c>
      <c r="L986" s="126" t="s">
        <v>8048</v>
      </c>
      <c r="M986" s="126" t="s">
        <v>420</v>
      </c>
      <c r="N986" s="126"/>
      <c r="O986" s="126"/>
      <c r="Q986" s="3">
        <f t="shared" si="31"/>
        <v>39.67</v>
      </c>
      <c r="U986" s="3" t="str">
        <f t="shared" si="32"/>
        <v/>
      </c>
    </row>
    <row r="987" spans="1:21" x14ac:dyDescent="0.35">
      <c r="A987" s="126" t="s">
        <v>35</v>
      </c>
      <c r="B987" s="126" t="s">
        <v>4583</v>
      </c>
      <c r="C987" s="126" t="s">
        <v>2</v>
      </c>
      <c r="D987" s="126" t="s">
        <v>3</v>
      </c>
      <c r="E987" s="126">
        <v>39.54</v>
      </c>
      <c r="F987" s="126" t="s">
        <v>88</v>
      </c>
      <c r="G987" s="108">
        <v>45470</v>
      </c>
      <c r="H987" s="126" t="s">
        <v>94</v>
      </c>
      <c r="I987" s="126" t="s">
        <v>8065</v>
      </c>
      <c r="J987" s="126" t="s">
        <v>8066</v>
      </c>
      <c r="K987" s="126"/>
      <c r="L987" s="126"/>
      <c r="M987" s="126"/>
      <c r="N987" s="126"/>
      <c r="O987" s="126" t="s">
        <v>8067</v>
      </c>
      <c r="Q987" s="3">
        <f t="shared" si="31"/>
        <v>39.54</v>
      </c>
      <c r="U987" s="3" t="str">
        <f t="shared" si="32"/>
        <v/>
      </c>
    </row>
    <row r="988" spans="1:21" x14ac:dyDescent="0.35">
      <c r="A988" s="126" t="s">
        <v>35</v>
      </c>
      <c r="B988" s="126" t="s">
        <v>1411</v>
      </c>
      <c r="C988" s="126" t="s">
        <v>2</v>
      </c>
      <c r="D988" s="126" t="s">
        <v>3</v>
      </c>
      <c r="E988" s="126">
        <v>39.49</v>
      </c>
      <c r="F988" s="126" t="s">
        <v>88</v>
      </c>
      <c r="G988" s="108">
        <v>45629</v>
      </c>
      <c r="H988" s="126" t="s">
        <v>94</v>
      </c>
      <c r="I988" s="126" t="s">
        <v>1158</v>
      </c>
      <c r="J988" s="126" t="s">
        <v>8842</v>
      </c>
      <c r="K988" s="126"/>
      <c r="L988" s="126"/>
      <c r="M988" s="126"/>
      <c r="N988" s="126"/>
      <c r="O988" s="126" t="s">
        <v>536</v>
      </c>
      <c r="Q988" s="3">
        <f t="shared" si="31"/>
        <v>39.49</v>
      </c>
      <c r="S988" s="55" t="s">
        <v>9014</v>
      </c>
      <c r="U988" s="3" t="str">
        <f t="shared" si="32"/>
        <v/>
      </c>
    </row>
    <row r="989" spans="1:21" x14ac:dyDescent="0.35">
      <c r="A989" s="126" t="s">
        <v>35</v>
      </c>
      <c r="B989" s="126" t="s">
        <v>2543</v>
      </c>
      <c r="C989" s="126" t="s">
        <v>2</v>
      </c>
      <c r="D989" s="126" t="s">
        <v>3</v>
      </c>
      <c r="E989" s="126">
        <v>39.32</v>
      </c>
      <c r="F989" s="126" t="s">
        <v>88</v>
      </c>
      <c r="G989" s="108">
        <v>45414</v>
      </c>
      <c r="H989" s="126" t="s">
        <v>94</v>
      </c>
      <c r="I989" s="126" t="s">
        <v>7771</v>
      </c>
      <c r="J989" s="126" t="s">
        <v>395</v>
      </c>
      <c r="K989" s="126"/>
      <c r="L989" s="126"/>
      <c r="M989" s="126"/>
      <c r="N989" s="126"/>
      <c r="O989" s="126" t="s">
        <v>7787</v>
      </c>
      <c r="Q989" s="3">
        <f t="shared" si="31"/>
        <v>39.32</v>
      </c>
      <c r="S989" s="55" t="s">
        <v>586</v>
      </c>
      <c r="U989" s="3" t="str">
        <f t="shared" si="32"/>
        <v/>
      </c>
    </row>
    <row r="990" spans="1:21" x14ac:dyDescent="0.35">
      <c r="A990" s="126" t="s">
        <v>35</v>
      </c>
      <c r="B990" s="126" t="s">
        <v>1280</v>
      </c>
      <c r="C990" s="126" t="s">
        <v>2</v>
      </c>
      <c r="D990" s="126" t="s">
        <v>3</v>
      </c>
      <c r="E990" s="126">
        <v>39.07</v>
      </c>
      <c r="F990" s="126" t="s">
        <v>88</v>
      </c>
      <c r="G990" s="108">
        <v>45604</v>
      </c>
      <c r="H990" s="126" t="s">
        <v>94</v>
      </c>
      <c r="I990" s="126" t="s">
        <v>8694</v>
      </c>
      <c r="J990" s="126" t="s">
        <v>391</v>
      </c>
      <c r="K990" s="126"/>
      <c r="L990" s="126"/>
      <c r="M990" s="126"/>
      <c r="N990" s="126"/>
      <c r="O990" s="126" t="s">
        <v>8695</v>
      </c>
      <c r="Q990" s="3">
        <f t="shared" si="31"/>
        <v>39.07</v>
      </c>
      <c r="U990" s="3" t="str">
        <f t="shared" si="32"/>
        <v/>
      </c>
    </row>
    <row r="991" spans="1:21" x14ac:dyDescent="0.35">
      <c r="A991" s="126" t="s">
        <v>0</v>
      </c>
      <c r="B991" s="126" t="s">
        <v>2328</v>
      </c>
      <c r="C991" s="126" t="s">
        <v>2</v>
      </c>
      <c r="D991" s="126" t="s">
        <v>3</v>
      </c>
      <c r="E991" s="126">
        <v>38.64</v>
      </c>
      <c r="F991" s="126" t="s">
        <v>88</v>
      </c>
      <c r="G991" s="108">
        <v>45457</v>
      </c>
      <c r="H991" s="126" t="s">
        <v>89</v>
      </c>
      <c r="I991" s="126" t="s">
        <v>7995</v>
      </c>
      <c r="J991" s="126"/>
      <c r="K991" s="126" t="s">
        <v>7996</v>
      </c>
      <c r="L991" s="126" t="s">
        <v>7997</v>
      </c>
      <c r="M991" s="126" t="s">
        <v>7998</v>
      </c>
      <c r="N991" s="126"/>
      <c r="O991" s="126"/>
      <c r="Q991" s="3">
        <f t="shared" si="31"/>
        <v>38.64</v>
      </c>
      <c r="S991" s="55" t="s">
        <v>9013</v>
      </c>
      <c r="U991" s="3" t="str">
        <f t="shared" si="32"/>
        <v/>
      </c>
    </row>
    <row r="992" spans="1:21" x14ac:dyDescent="0.35">
      <c r="A992" s="126" t="s">
        <v>35</v>
      </c>
      <c r="B992" s="126" t="s">
        <v>615</v>
      </c>
      <c r="C992" s="126" t="s">
        <v>2</v>
      </c>
      <c r="D992" s="126" t="s">
        <v>3</v>
      </c>
      <c r="E992" s="126">
        <v>38.590000000000003</v>
      </c>
      <c r="F992" s="126" t="s">
        <v>88</v>
      </c>
      <c r="G992" s="108">
        <v>45645</v>
      </c>
      <c r="H992" s="126" t="s">
        <v>94</v>
      </c>
      <c r="I992" s="126" t="s">
        <v>447</v>
      </c>
      <c r="J992" s="126" t="s">
        <v>8996</v>
      </c>
      <c r="K992" s="126"/>
      <c r="L992" s="126"/>
      <c r="M992" s="126"/>
      <c r="N992" s="126"/>
      <c r="O992" s="126" t="s">
        <v>539</v>
      </c>
      <c r="Q992" s="3">
        <f t="shared" si="31"/>
        <v>38.590000000000003</v>
      </c>
      <c r="U992" s="3" t="str">
        <f t="shared" si="32"/>
        <v/>
      </c>
    </row>
    <row r="993" spans="1:21" x14ac:dyDescent="0.35">
      <c r="A993" s="126" t="s">
        <v>0</v>
      </c>
      <c r="B993" s="126" t="s">
        <v>708</v>
      </c>
      <c r="C993" s="126" t="s">
        <v>2</v>
      </c>
      <c r="D993" s="126" t="s">
        <v>3</v>
      </c>
      <c r="E993" s="126">
        <v>38.54</v>
      </c>
      <c r="F993" s="126" t="s">
        <v>88</v>
      </c>
      <c r="G993" s="108">
        <v>45457</v>
      </c>
      <c r="H993" s="126" t="s">
        <v>89</v>
      </c>
      <c r="I993" s="126" t="s">
        <v>7995</v>
      </c>
      <c r="J993" s="126"/>
      <c r="K993" s="126" t="s">
        <v>7996</v>
      </c>
      <c r="L993" s="126" t="s">
        <v>7997</v>
      </c>
      <c r="M993" s="126" t="s">
        <v>7998</v>
      </c>
      <c r="N993" s="126"/>
      <c r="O993" s="126"/>
      <c r="Q993" s="3">
        <f t="shared" si="31"/>
        <v>38.54</v>
      </c>
      <c r="S993" s="55" t="s">
        <v>9013</v>
      </c>
      <c r="U993" s="3" t="str">
        <f t="shared" si="32"/>
        <v/>
      </c>
    </row>
    <row r="994" spans="1:21" x14ac:dyDescent="0.35">
      <c r="A994" s="126" t="s">
        <v>0</v>
      </c>
      <c r="B994" s="126" t="s">
        <v>969</v>
      </c>
      <c r="C994" s="126" t="s">
        <v>2</v>
      </c>
      <c r="D994" s="126" t="s">
        <v>3</v>
      </c>
      <c r="E994" s="126">
        <v>38.200000000000003</v>
      </c>
      <c r="F994" s="126" t="s">
        <v>88</v>
      </c>
      <c r="G994" s="108">
        <v>45553</v>
      </c>
      <c r="H994" s="126" t="s">
        <v>89</v>
      </c>
      <c r="I994" s="126" t="s">
        <v>8448</v>
      </c>
      <c r="J994" s="126"/>
      <c r="K994" s="126" t="s">
        <v>7655</v>
      </c>
      <c r="L994" s="126" t="s">
        <v>8449</v>
      </c>
      <c r="M994" s="126" t="s">
        <v>420</v>
      </c>
      <c r="N994" s="126"/>
      <c r="O994" s="126"/>
      <c r="Q994" s="3">
        <f t="shared" si="31"/>
        <v>38.200000000000003</v>
      </c>
      <c r="U994" s="3" t="str">
        <f t="shared" si="32"/>
        <v/>
      </c>
    </row>
    <row r="995" spans="1:21" x14ac:dyDescent="0.35">
      <c r="A995" s="126" t="s">
        <v>35</v>
      </c>
      <c r="B995" s="126" t="s">
        <v>852</v>
      </c>
      <c r="C995" s="126" t="s">
        <v>2</v>
      </c>
      <c r="D995" s="126" t="s">
        <v>3</v>
      </c>
      <c r="E995" s="126">
        <v>38.18</v>
      </c>
      <c r="F995" s="126" t="s">
        <v>88</v>
      </c>
      <c r="G995" s="108">
        <v>45446</v>
      </c>
      <c r="H995" s="126" t="s">
        <v>94</v>
      </c>
      <c r="I995" s="126" t="s">
        <v>428</v>
      </c>
      <c r="J995" s="126" t="s">
        <v>429</v>
      </c>
      <c r="K995" s="126"/>
      <c r="L995" s="126"/>
      <c r="M995" s="126"/>
      <c r="N995" s="126"/>
      <c r="O995" s="126" t="s">
        <v>525</v>
      </c>
      <c r="Q995" s="3">
        <f t="shared" si="31"/>
        <v>38.18</v>
      </c>
      <c r="S995" s="55" t="s">
        <v>586</v>
      </c>
      <c r="U995" s="3" t="str">
        <f t="shared" si="32"/>
        <v/>
      </c>
    </row>
    <row r="996" spans="1:21" x14ac:dyDescent="0.35">
      <c r="A996" s="126" t="s">
        <v>35</v>
      </c>
      <c r="B996" s="126" t="s">
        <v>852</v>
      </c>
      <c r="C996" s="126" t="s">
        <v>2</v>
      </c>
      <c r="D996" s="126" t="s">
        <v>3</v>
      </c>
      <c r="E996" s="126">
        <v>38.18</v>
      </c>
      <c r="F996" s="126" t="s">
        <v>88</v>
      </c>
      <c r="G996" s="108">
        <v>45476</v>
      </c>
      <c r="H996" s="126" t="s">
        <v>94</v>
      </c>
      <c r="I996" s="126" t="s">
        <v>428</v>
      </c>
      <c r="J996" s="126" t="s">
        <v>429</v>
      </c>
      <c r="K996" s="126"/>
      <c r="L996" s="126"/>
      <c r="M996" s="126"/>
      <c r="N996" s="126"/>
      <c r="O996" s="126" t="s">
        <v>525</v>
      </c>
      <c r="Q996" s="3">
        <f t="shared" si="31"/>
        <v>38.18</v>
      </c>
      <c r="S996" s="55" t="s">
        <v>586</v>
      </c>
      <c r="U996" s="3" t="str">
        <f t="shared" si="32"/>
        <v/>
      </c>
    </row>
    <row r="997" spans="1:21" x14ac:dyDescent="0.35">
      <c r="A997" s="126" t="s">
        <v>0</v>
      </c>
      <c r="B997" s="126" t="s">
        <v>953</v>
      </c>
      <c r="C997" s="126" t="s">
        <v>2</v>
      </c>
      <c r="D997" s="126" t="s">
        <v>3</v>
      </c>
      <c r="E997" s="126">
        <v>-38.07</v>
      </c>
      <c r="F997" s="126" t="s">
        <v>88</v>
      </c>
      <c r="G997" s="108">
        <v>45495</v>
      </c>
      <c r="H997" s="126" t="s">
        <v>89</v>
      </c>
      <c r="I997" s="126" t="s">
        <v>8185</v>
      </c>
      <c r="J997" s="126"/>
      <c r="K997" s="126" t="s">
        <v>8186</v>
      </c>
      <c r="L997" s="126" t="s">
        <v>8187</v>
      </c>
      <c r="M997" s="126" t="s">
        <v>399</v>
      </c>
      <c r="N997" s="126"/>
      <c r="O997" s="126"/>
      <c r="Q997" s="3">
        <f t="shared" si="31"/>
        <v>38.07</v>
      </c>
      <c r="S997" s="55" t="s">
        <v>9013</v>
      </c>
      <c r="U997" s="3" t="str">
        <f t="shared" si="32"/>
        <v/>
      </c>
    </row>
    <row r="998" spans="1:21" x14ac:dyDescent="0.35">
      <c r="A998" s="126" t="s">
        <v>0</v>
      </c>
      <c r="B998" s="126" t="s">
        <v>953</v>
      </c>
      <c r="C998" s="126" t="s">
        <v>2</v>
      </c>
      <c r="D998" s="126" t="s">
        <v>3</v>
      </c>
      <c r="E998" s="126">
        <v>38.07</v>
      </c>
      <c r="F998" s="126" t="s">
        <v>88</v>
      </c>
      <c r="G998" s="108">
        <v>45502</v>
      </c>
      <c r="H998" s="126" t="s">
        <v>89</v>
      </c>
      <c r="I998" s="126" t="s">
        <v>8185</v>
      </c>
      <c r="J998" s="126"/>
      <c r="K998" s="126" t="s">
        <v>8186</v>
      </c>
      <c r="L998" s="126" t="s">
        <v>8187</v>
      </c>
      <c r="M998" s="126" t="s">
        <v>399</v>
      </c>
      <c r="N998" s="126"/>
      <c r="O998" s="126"/>
      <c r="Q998" s="3">
        <f t="shared" si="31"/>
        <v>38.07</v>
      </c>
      <c r="S998" s="55" t="s">
        <v>9013</v>
      </c>
      <c r="U998" s="3" t="str">
        <f t="shared" si="32"/>
        <v/>
      </c>
    </row>
    <row r="999" spans="1:21" x14ac:dyDescent="0.35">
      <c r="A999" s="126" t="s">
        <v>0</v>
      </c>
      <c r="B999" s="126" t="s">
        <v>953</v>
      </c>
      <c r="C999" s="126" t="s">
        <v>2</v>
      </c>
      <c r="D999" s="126" t="s">
        <v>3</v>
      </c>
      <c r="E999" s="126">
        <v>-38.07</v>
      </c>
      <c r="F999" s="126" t="s">
        <v>88</v>
      </c>
      <c r="G999" s="108">
        <v>45505</v>
      </c>
      <c r="H999" s="126" t="s">
        <v>89</v>
      </c>
      <c r="I999" s="126" t="s">
        <v>8185</v>
      </c>
      <c r="J999" s="126"/>
      <c r="K999" s="126" t="s">
        <v>8186</v>
      </c>
      <c r="L999" s="126" t="s">
        <v>8187</v>
      </c>
      <c r="M999" s="126" t="s">
        <v>399</v>
      </c>
      <c r="Q999" s="3">
        <f t="shared" si="31"/>
        <v>38.07</v>
      </c>
      <c r="S999" s="55" t="s">
        <v>9013</v>
      </c>
      <c r="U999" s="3" t="str">
        <f t="shared" si="32"/>
        <v/>
      </c>
    </row>
    <row r="1000" spans="1:21" x14ac:dyDescent="0.35">
      <c r="A1000" s="126" t="s">
        <v>35</v>
      </c>
      <c r="B1000" s="126" t="s">
        <v>615</v>
      </c>
      <c r="C1000" s="126" t="s">
        <v>2</v>
      </c>
      <c r="D1000" s="126" t="s">
        <v>3</v>
      </c>
      <c r="E1000" s="126">
        <v>38</v>
      </c>
      <c r="F1000" s="126" t="s">
        <v>88</v>
      </c>
      <c r="G1000" s="108">
        <v>45482</v>
      </c>
      <c r="H1000" s="126" t="s">
        <v>94</v>
      </c>
      <c r="I1000" s="126" t="s">
        <v>2643</v>
      </c>
      <c r="J1000" s="126" t="s">
        <v>465</v>
      </c>
      <c r="K1000" s="126"/>
      <c r="L1000" s="126"/>
      <c r="M1000" s="126"/>
      <c r="N1000" s="126"/>
      <c r="O1000" s="126" t="s">
        <v>539</v>
      </c>
      <c r="Q1000" s="3">
        <f t="shared" si="31"/>
        <v>38</v>
      </c>
      <c r="S1000" s="55" t="s">
        <v>9014</v>
      </c>
      <c r="U1000" s="3" t="str">
        <f t="shared" si="32"/>
        <v/>
      </c>
    </row>
    <row r="1001" spans="1:21" x14ac:dyDescent="0.35">
      <c r="A1001" s="126" t="s">
        <v>35</v>
      </c>
      <c r="B1001" s="126" t="s">
        <v>1423</v>
      </c>
      <c r="C1001" s="126" t="s">
        <v>2</v>
      </c>
      <c r="D1001" s="126" t="s">
        <v>3</v>
      </c>
      <c r="E1001" s="126">
        <v>38</v>
      </c>
      <c r="F1001" s="126" t="s">
        <v>88</v>
      </c>
      <c r="G1001" s="108">
        <v>45621</v>
      </c>
      <c r="H1001" s="126" t="s">
        <v>94</v>
      </c>
      <c r="I1001" s="126" t="s">
        <v>375</v>
      </c>
      <c r="J1001" s="126" t="s">
        <v>8799</v>
      </c>
      <c r="K1001" s="126"/>
      <c r="L1001" s="126"/>
      <c r="M1001" s="126"/>
      <c r="N1001" s="126"/>
      <c r="O1001" s="126" t="s">
        <v>3574</v>
      </c>
      <c r="Q1001" s="3">
        <f t="shared" si="31"/>
        <v>38</v>
      </c>
      <c r="U1001" s="3" t="str">
        <f t="shared" si="32"/>
        <v/>
      </c>
    </row>
    <row r="1002" spans="1:21" x14ac:dyDescent="0.35">
      <c r="A1002" s="126" t="s">
        <v>35</v>
      </c>
      <c r="B1002" s="126" t="s">
        <v>740</v>
      </c>
      <c r="C1002" s="126" t="s">
        <v>2</v>
      </c>
      <c r="D1002" s="126" t="s">
        <v>3</v>
      </c>
      <c r="E1002" s="126">
        <v>37.68</v>
      </c>
      <c r="F1002" s="126" t="s">
        <v>88</v>
      </c>
      <c r="G1002" s="108">
        <v>45460</v>
      </c>
      <c r="H1002" s="126" t="s">
        <v>94</v>
      </c>
      <c r="I1002" s="126" t="s">
        <v>5930</v>
      </c>
      <c r="J1002" s="126" t="s">
        <v>309</v>
      </c>
      <c r="K1002" s="126"/>
      <c r="L1002" s="126"/>
      <c r="M1002" s="126"/>
      <c r="N1002" s="126"/>
      <c r="O1002" s="126" t="s">
        <v>575</v>
      </c>
      <c r="Q1002" s="3">
        <f t="shared" si="31"/>
        <v>37.68</v>
      </c>
      <c r="S1002" s="55" t="s">
        <v>9014</v>
      </c>
      <c r="U1002" s="3" t="str">
        <f t="shared" si="32"/>
        <v/>
      </c>
    </row>
    <row r="1003" spans="1:21" x14ac:dyDescent="0.35">
      <c r="A1003" s="126" t="s">
        <v>0</v>
      </c>
      <c r="B1003" s="126" t="s">
        <v>3466</v>
      </c>
      <c r="C1003" s="126" t="s">
        <v>2</v>
      </c>
      <c r="D1003" s="126" t="s">
        <v>3</v>
      </c>
      <c r="E1003" s="126">
        <v>37.549999999999997</v>
      </c>
      <c r="F1003" s="126" t="s">
        <v>88</v>
      </c>
      <c r="G1003" s="108">
        <v>45586</v>
      </c>
      <c r="H1003" s="126" t="s">
        <v>89</v>
      </c>
      <c r="I1003" s="126" t="s">
        <v>8589</v>
      </c>
      <c r="J1003" s="126"/>
      <c r="K1003" s="126" t="s">
        <v>8239</v>
      </c>
      <c r="L1003" s="126" t="s">
        <v>8590</v>
      </c>
      <c r="M1003" s="126" t="s">
        <v>8241</v>
      </c>
      <c r="N1003" s="126"/>
      <c r="O1003" s="126"/>
      <c r="Q1003" s="3">
        <f t="shared" si="31"/>
        <v>37.549999999999997</v>
      </c>
      <c r="S1003" s="55" t="s">
        <v>9016</v>
      </c>
      <c r="U1003" s="3" t="str">
        <f t="shared" si="32"/>
        <v/>
      </c>
    </row>
    <row r="1004" spans="1:21" x14ac:dyDescent="0.35">
      <c r="A1004" s="126" t="s">
        <v>35</v>
      </c>
      <c r="B1004" s="126" t="s">
        <v>788</v>
      </c>
      <c r="C1004" s="126" t="s">
        <v>2</v>
      </c>
      <c r="D1004" s="126" t="s">
        <v>3</v>
      </c>
      <c r="E1004" s="126">
        <v>37.270000000000003</v>
      </c>
      <c r="F1004" s="126" t="s">
        <v>88</v>
      </c>
      <c r="G1004" s="108">
        <v>45643</v>
      </c>
      <c r="H1004" s="126" t="s">
        <v>94</v>
      </c>
      <c r="I1004" s="126" t="s">
        <v>438</v>
      </c>
      <c r="J1004" s="126" t="s">
        <v>8981</v>
      </c>
      <c r="K1004" s="126"/>
      <c r="L1004" s="126"/>
      <c r="M1004" s="126"/>
      <c r="N1004" s="126"/>
      <c r="O1004" s="126" t="s">
        <v>533</v>
      </c>
      <c r="Q1004" s="3">
        <f t="shared" si="31"/>
        <v>37.270000000000003</v>
      </c>
      <c r="S1004" s="55" t="s">
        <v>9014</v>
      </c>
      <c r="U1004" s="3" t="str">
        <f t="shared" si="32"/>
        <v/>
      </c>
    </row>
    <row r="1005" spans="1:21" x14ac:dyDescent="0.35">
      <c r="A1005" s="126" t="s">
        <v>0</v>
      </c>
      <c r="B1005" s="126" t="s">
        <v>3466</v>
      </c>
      <c r="C1005" s="126" t="s">
        <v>2</v>
      </c>
      <c r="D1005" s="126" t="s">
        <v>3</v>
      </c>
      <c r="E1005" s="126">
        <v>37.25</v>
      </c>
      <c r="F1005" s="126" t="s">
        <v>88</v>
      </c>
      <c r="G1005" s="108">
        <v>45432</v>
      </c>
      <c r="H1005" s="126" t="s">
        <v>89</v>
      </c>
      <c r="I1005" s="126" t="s">
        <v>7839</v>
      </c>
      <c r="J1005" s="126"/>
      <c r="K1005" s="126" t="s">
        <v>7840</v>
      </c>
      <c r="L1005" s="126" t="s">
        <v>7841</v>
      </c>
      <c r="M1005" s="126" t="s">
        <v>399</v>
      </c>
      <c r="N1005" s="35"/>
      <c r="O1005" s="35"/>
      <c r="Q1005" s="3">
        <f t="shared" si="31"/>
        <v>37.25</v>
      </c>
      <c r="S1005" s="55" t="s">
        <v>9013</v>
      </c>
      <c r="U1005" s="3" t="str">
        <f t="shared" si="32"/>
        <v/>
      </c>
    </row>
    <row r="1006" spans="1:21" x14ac:dyDescent="0.35">
      <c r="A1006" s="126" t="s">
        <v>0</v>
      </c>
      <c r="B1006" s="126" t="s">
        <v>3466</v>
      </c>
      <c r="C1006" s="126" t="s">
        <v>2</v>
      </c>
      <c r="D1006" s="126" t="s">
        <v>3</v>
      </c>
      <c r="E1006" s="126">
        <v>37.25</v>
      </c>
      <c r="F1006" s="126" t="s">
        <v>88</v>
      </c>
      <c r="G1006" s="108">
        <v>45454</v>
      </c>
      <c r="H1006" s="126" t="s">
        <v>89</v>
      </c>
      <c r="I1006" s="126" t="s">
        <v>7958</v>
      </c>
      <c r="J1006" s="126"/>
      <c r="K1006" s="126" t="s">
        <v>7959</v>
      </c>
      <c r="L1006" s="126" t="s">
        <v>7960</v>
      </c>
      <c r="M1006" s="126" t="s">
        <v>399</v>
      </c>
      <c r="Q1006" s="3">
        <f t="shared" si="31"/>
        <v>37.25</v>
      </c>
      <c r="S1006" s="55" t="s">
        <v>9013</v>
      </c>
      <c r="U1006" s="3" t="str">
        <f t="shared" si="32"/>
        <v/>
      </c>
    </row>
    <row r="1007" spans="1:21" x14ac:dyDescent="0.35">
      <c r="A1007" s="126" t="s">
        <v>0</v>
      </c>
      <c r="B1007" s="126" t="s">
        <v>3466</v>
      </c>
      <c r="C1007" s="126" t="s">
        <v>2</v>
      </c>
      <c r="D1007" s="126" t="s">
        <v>3</v>
      </c>
      <c r="E1007" s="126">
        <v>37.25</v>
      </c>
      <c r="F1007" s="126" t="s">
        <v>88</v>
      </c>
      <c r="G1007" s="108">
        <v>45485</v>
      </c>
      <c r="H1007" s="126" t="s">
        <v>89</v>
      </c>
      <c r="I1007" s="126" t="s">
        <v>8134</v>
      </c>
      <c r="J1007" s="126"/>
      <c r="K1007" s="126" t="s">
        <v>8135</v>
      </c>
      <c r="L1007" s="126" t="s">
        <v>8136</v>
      </c>
      <c r="M1007" s="126" t="s">
        <v>399</v>
      </c>
      <c r="Q1007" s="3">
        <f t="shared" si="31"/>
        <v>37.25</v>
      </c>
      <c r="S1007" s="55" t="s">
        <v>9013</v>
      </c>
      <c r="U1007" s="3" t="str">
        <f t="shared" si="32"/>
        <v/>
      </c>
    </row>
    <row r="1008" spans="1:21" x14ac:dyDescent="0.35">
      <c r="A1008" s="126" t="s">
        <v>0</v>
      </c>
      <c r="B1008" s="126" t="s">
        <v>3466</v>
      </c>
      <c r="C1008" s="126" t="s">
        <v>2</v>
      </c>
      <c r="D1008" s="126" t="s">
        <v>3</v>
      </c>
      <c r="E1008" s="126">
        <v>37.25</v>
      </c>
      <c r="F1008" s="126" t="s">
        <v>88</v>
      </c>
      <c r="G1008" s="108">
        <v>45517</v>
      </c>
      <c r="H1008" s="126" t="s">
        <v>89</v>
      </c>
      <c r="I1008" s="126" t="s">
        <v>8320</v>
      </c>
      <c r="J1008" s="126"/>
      <c r="K1008" s="126" t="s">
        <v>8321</v>
      </c>
      <c r="L1008" s="126" t="s">
        <v>8322</v>
      </c>
      <c r="M1008" s="126" t="s">
        <v>399</v>
      </c>
      <c r="Q1008" s="3">
        <f t="shared" si="31"/>
        <v>37.25</v>
      </c>
      <c r="S1008" s="55" t="s">
        <v>9013</v>
      </c>
      <c r="U1008" s="3" t="str">
        <f t="shared" si="32"/>
        <v/>
      </c>
    </row>
    <row r="1009" spans="1:21" x14ac:dyDescent="0.35">
      <c r="A1009" s="126" t="s">
        <v>0</v>
      </c>
      <c r="B1009" s="126" t="s">
        <v>3466</v>
      </c>
      <c r="C1009" s="126" t="s">
        <v>2</v>
      </c>
      <c r="D1009" s="126" t="s">
        <v>3</v>
      </c>
      <c r="E1009" s="126">
        <v>37.25</v>
      </c>
      <c r="F1009" s="126" t="s">
        <v>88</v>
      </c>
      <c r="G1009" s="108">
        <v>45544</v>
      </c>
      <c r="H1009" s="126" t="s">
        <v>89</v>
      </c>
      <c r="I1009" s="126" t="s">
        <v>8398</v>
      </c>
      <c r="J1009" s="126"/>
      <c r="K1009" s="126" t="s">
        <v>8239</v>
      </c>
      <c r="L1009" s="126" t="s">
        <v>8399</v>
      </c>
      <c r="M1009" s="126" t="s">
        <v>8241</v>
      </c>
      <c r="N1009" s="126"/>
      <c r="O1009" s="126"/>
      <c r="Q1009" s="3">
        <f t="shared" si="31"/>
        <v>37.25</v>
      </c>
      <c r="S1009" s="55" t="s">
        <v>9016</v>
      </c>
      <c r="U1009" s="3" t="str">
        <f t="shared" si="32"/>
        <v/>
      </c>
    </row>
    <row r="1010" spans="1:21" x14ac:dyDescent="0.35">
      <c r="A1010" s="126" t="s">
        <v>0</v>
      </c>
      <c r="B1010" s="126" t="s">
        <v>3466</v>
      </c>
      <c r="C1010" s="126" t="s">
        <v>2</v>
      </c>
      <c r="D1010" s="126" t="s">
        <v>3</v>
      </c>
      <c r="E1010" s="126">
        <v>37.25</v>
      </c>
      <c r="F1010" s="126" t="s">
        <v>88</v>
      </c>
      <c r="G1010" s="108">
        <v>45551</v>
      </c>
      <c r="H1010" s="126" t="s">
        <v>89</v>
      </c>
      <c r="I1010" s="126" t="s">
        <v>8431</v>
      </c>
      <c r="J1010" s="126"/>
      <c r="K1010" s="126" t="s">
        <v>8432</v>
      </c>
      <c r="L1010" s="126" t="s">
        <v>8433</v>
      </c>
      <c r="M1010" s="126" t="s">
        <v>399</v>
      </c>
      <c r="N1010" s="126"/>
      <c r="O1010" s="126"/>
      <c r="Q1010" s="3">
        <f t="shared" si="31"/>
        <v>37.25</v>
      </c>
      <c r="S1010" s="55" t="s">
        <v>9013</v>
      </c>
      <c r="U1010" s="3" t="str">
        <f t="shared" si="32"/>
        <v/>
      </c>
    </row>
    <row r="1011" spans="1:21" x14ac:dyDescent="0.35">
      <c r="A1011" s="126" t="s">
        <v>0</v>
      </c>
      <c r="B1011" s="126" t="s">
        <v>3466</v>
      </c>
      <c r="C1011" s="126" t="s">
        <v>2</v>
      </c>
      <c r="D1011" s="126" t="s">
        <v>3</v>
      </c>
      <c r="E1011" s="126">
        <v>37.25</v>
      </c>
      <c r="F1011" s="126" t="s">
        <v>88</v>
      </c>
      <c r="G1011" s="108">
        <v>45569</v>
      </c>
      <c r="H1011" s="126" t="s">
        <v>89</v>
      </c>
      <c r="I1011" s="126" t="s">
        <v>8521</v>
      </c>
      <c r="J1011" s="126"/>
      <c r="K1011" s="126" t="s">
        <v>8522</v>
      </c>
      <c r="L1011" s="126" t="s">
        <v>8523</v>
      </c>
      <c r="M1011" s="126" t="s">
        <v>399</v>
      </c>
      <c r="Q1011" s="3">
        <f t="shared" si="31"/>
        <v>37.25</v>
      </c>
      <c r="S1011" s="55" t="s">
        <v>9013</v>
      </c>
      <c r="U1011" s="3" t="str">
        <f t="shared" si="32"/>
        <v/>
      </c>
    </row>
    <row r="1012" spans="1:21" x14ac:dyDescent="0.35">
      <c r="A1012" s="126" t="s">
        <v>0</v>
      </c>
      <c r="B1012" s="126" t="s">
        <v>3466</v>
      </c>
      <c r="C1012" s="126" t="s">
        <v>2</v>
      </c>
      <c r="D1012" s="126" t="s">
        <v>3</v>
      </c>
      <c r="E1012" s="126">
        <v>37.25</v>
      </c>
      <c r="F1012" s="126" t="s">
        <v>88</v>
      </c>
      <c r="G1012" s="108">
        <v>45611</v>
      </c>
      <c r="H1012" s="126" t="s">
        <v>89</v>
      </c>
      <c r="I1012" s="126" t="s">
        <v>8734</v>
      </c>
      <c r="J1012" s="126"/>
      <c r="K1012" s="126" t="s">
        <v>8522</v>
      </c>
      <c r="L1012" s="126" t="s">
        <v>8736</v>
      </c>
      <c r="M1012" s="126" t="s">
        <v>399</v>
      </c>
      <c r="Q1012" s="3">
        <f t="shared" si="31"/>
        <v>37.25</v>
      </c>
      <c r="S1012" s="55" t="s">
        <v>9013</v>
      </c>
      <c r="U1012" s="3" t="str">
        <f t="shared" si="32"/>
        <v/>
      </c>
    </row>
    <row r="1013" spans="1:21" x14ac:dyDescent="0.35">
      <c r="A1013" s="126" t="s">
        <v>0</v>
      </c>
      <c r="B1013" s="126" t="s">
        <v>3466</v>
      </c>
      <c r="C1013" s="126" t="s">
        <v>2</v>
      </c>
      <c r="D1013" s="126" t="s">
        <v>3</v>
      </c>
      <c r="E1013" s="126">
        <v>37.25</v>
      </c>
      <c r="F1013" s="126" t="s">
        <v>88</v>
      </c>
      <c r="G1013" s="108">
        <v>45635</v>
      </c>
      <c r="H1013" s="126" t="s">
        <v>89</v>
      </c>
      <c r="I1013" s="126" t="s">
        <v>8878</v>
      </c>
      <c r="J1013" s="126"/>
      <c r="K1013" s="126" t="s">
        <v>8879</v>
      </c>
      <c r="L1013" s="126" t="s">
        <v>8880</v>
      </c>
      <c r="M1013" s="126" t="s">
        <v>399</v>
      </c>
      <c r="Q1013" s="3">
        <f t="shared" si="31"/>
        <v>37.25</v>
      </c>
      <c r="S1013" s="55" t="s">
        <v>9013</v>
      </c>
      <c r="U1013" s="3" t="str">
        <f t="shared" si="32"/>
        <v/>
      </c>
    </row>
    <row r="1014" spans="1:21" x14ac:dyDescent="0.35">
      <c r="A1014" s="126" t="s">
        <v>0</v>
      </c>
      <c r="B1014" s="126" t="s">
        <v>3466</v>
      </c>
      <c r="C1014" s="126" t="s">
        <v>2</v>
      </c>
      <c r="D1014" s="126" t="s">
        <v>3</v>
      </c>
      <c r="E1014" s="126">
        <v>37.24</v>
      </c>
      <c r="F1014" s="126" t="s">
        <v>88</v>
      </c>
      <c r="G1014" s="108">
        <v>45391</v>
      </c>
      <c r="H1014" s="126" t="s">
        <v>89</v>
      </c>
      <c r="I1014" s="126" t="s">
        <v>7691</v>
      </c>
      <c r="J1014" s="126"/>
      <c r="K1014" s="126" t="s">
        <v>7672</v>
      </c>
      <c r="L1014" s="126" t="s">
        <v>7692</v>
      </c>
      <c r="M1014" s="126" t="s">
        <v>399</v>
      </c>
      <c r="N1014" s="35"/>
      <c r="O1014" s="35"/>
      <c r="Q1014" s="3">
        <f t="shared" si="31"/>
        <v>37.24</v>
      </c>
      <c r="S1014" s="55" t="s">
        <v>9013</v>
      </c>
      <c r="U1014" s="3" t="str">
        <f t="shared" si="32"/>
        <v/>
      </c>
    </row>
    <row r="1015" spans="1:21" x14ac:dyDescent="0.35">
      <c r="A1015" s="126" t="s">
        <v>0</v>
      </c>
      <c r="B1015" s="126" t="s">
        <v>1423</v>
      </c>
      <c r="C1015" s="126" t="s">
        <v>2</v>
      </c>
      <c r="D1015" s="126" t="s">
        <v>3</v>
      </c>
      <c r="E1015" s="126">
        <v>37.17</v>
      </c>
      <c r="F1015" s="126" t="s">
        <v>88</v>
      </c>
      <c r="G1015" s="108">
        <v>45544</v>
      </c>
      <c r="H1015" s="126" t="s">
        <v>89</v>
      </c>
      <c r="I1015" s="126" t="s">
        <v>8400</v>
      </c>
      <c r="J1015" s="126"/>
      <c r="K1015" s="126" t="s">
        <v>8321</v>
      </c>
      <c r="L1015" s="126" t="s">
        <v>8401</v>
      </c>
      <c r="M1015" s="126" t="s">
        <v>399</v>
      </c>
      <c r="Q1015" s="3">
        <f t="shared" si="31"/>
        <v>37.17</v>
      </c>
      <c r="S1015" s="55" t="s">
        <v>9013</v>
      </c>
      <c r="U1015" s="3" t="str">
        <f t="shared" si="32"/>
        <v/>
      </c>
    </row>
    <row r="1016" spans="1:21" x14ac:dyDescent="0.35">
      <c r="A1016" s="126" t="s">
        <v>35</v>
      </c>
      <c r="B1016" s="126" t="s">
        <v>909</v>
      </c>
      <c r="C1016" s="126" t="s">
        <v>2</v>
      </c>
      <c r="D1016" s="126" t="s">
        <v>3</v>
      </c>
      <c r="E1016" s="126">
        <v>37.14</v>
      </c>
      <c r="F1016" s="126" t="s">
        <v>88</v>
      </c>
      <c r="G1016" s="108">
        <v>45555</v>
      </c>
      <c r="H1016" s="126" t="s">
        <v>94</v>
      </c>
      <c r="I1016" s="126" t="s">
        <v>469</v>
      </c>
      <c r="J1016" s="126" t="s">
        <v>8462</v>
      </c>
      <c r="K1016" s="126"/>
      <c r="L1016" s="126"/>
      <c r="M1016" s="126"/>
      <c r="N1016" s="126"/>
      <c r="O1016" s="126" t="s">
        <v>552</v>
      </c>
      <c r="Q1016" s="3">
        <f t="shared" si="31"/>
        <v>37.14</v>
      </c>
      <c r="S1016" s="55" t="s">
        <v>586</v>
      </c>
      <c r="U1016" s="3" t="str">
        <f t="shared" si="32"/>
        <v/>
      </c>
    </row>
    <row r="1017" spans="1:21" x14ac:dyDescent="0.35">
      <c r="A1017" s="126" t="s">
        <v>35</v>
      </c>
      <c r="B1017" s="126" t="s">
        <v>909</v>
      </c>
      <c r="C1017" s="126" t="s">
        <v>2</v>
      </c>
      <c r="D1017" s="126" t="s">
        <v>3</v>
      </c>
      <c r="E1017" s="126">
        <v>37.14</v>
      </c>
      <c r="F1017" s="126" t="s">
        <v>88</v>
      </c>
      <c r="G1017" s="108">
        <v>45579</v>
      </c>
      <c r="H1017" s="126" t="s">
        <v>94</v>
      </c>
      <c r="I1017" s="126" t="s">
        <v>469</v>
      </c>
      <c r="J1017" s="126" t="s">
        <v>8562</v>
      </c>
      <c r="K1017" s="126"/>
      <c r="L1017" s="126"/>
      <c r="M1017" s="126"/>
      <c r="N1017" s="126"/>
      <c r="O1017" s="126" t="s">
        <v>552</v>
      </c>
      <c r="Q1017" s="3">
        <f t="shared" si="31"/>
        <v>37.14</v>
      </c>
      <c r="S1017" s="55" t="s">
        <v>9014</v>
      </c>
      <c r="U1017" s="3" t="str">
        <f t="shared" si="32"/>
        <v/>
      </c>
    </row>
    <row r="1018" spans="1:21" x14ac:dyDescent="0.35">
      <c r="A1018" s="126" t="s">
        <v>0</v>
      </c>
      <c r="B1018" s="126" t="s">
        <v>3466</v>
      </c>
      <c r="C1018" s="126" t="s">
        <v>2</v>
      </c>
      <c r="D1018" s="126" t="s">
        <v>3</v>
      </c>
      <c r="E1018" s="126">
        <v>37</v>
      </c>
      <c r="F1018" s="126" t="s">
        <v>88</v>
      </c>
      <c r="G1018" s="108">
        <v>45597</v>
      </c>
      <c r="H1018" s="126" t="s">
        <v>89</v>
      </c>
      <c r="I1018" s="126" t="s">
        <v>8620</v>
      </c>
      <c r="J1018" s="126"/>
      <c r="K1018" s="126" t="s">
        <v>8239</v>
      </c>
      <c r="L1018" s="126" t="s">
        <v>8621</v>
      </c>
      <c r="M1018" s="126" t="s">
        <v>8241</v>
      </c>
      <c r="N1018" s="126"/>
      <c r="O1018" s="126"/>
      <c r="Q1018" s="3">
        <f t="shared" si="31"/>
        <v>37</v>
      </c>
      <c r="S1018" s="55" t="s">
        <v>9016</v>
      </c>
      <c r="U1018" s="3" t="str">
        <f t="shared" si="32"/>
        <v/>
      </c>
    </row>
    <row r="1019" spans="1:21" x14ac:dyDescent="0.35">
      <c r="A1019" s="126" t="s">
        <v>0</v>
      </c>
      <c r="B1019" s="126" t="s">
        <v>953</v>
      </c>
      <c r="C1019" s="126" t="s">
        <v>2</v>
      </c>
      <c r="D1019" s="126" t="s">
        <v>3</v>
      </c>
      <c r="E1019" s="126">
        <v>36.4</v>
      </c>
      <c r="F1019" s="126" t="s">
        <v>88</v>
      </c>
      <c r="G1019" s="108">
        <v>45597</v>
      </c>
      <c r="H1019" s="126" t="s">
        <v>89</v>
      </c>
      <c r="I1019" s="126" t="s">
        <v>8626</v>
      </c>
      <c r="J1019" s="126"/>
      <c r="K1019" s="126" t="s">
        <v>8627</v>
      </c>
      <c r="L1019" s="126" t="s">
        <v>8628</v>
      </c>
      <c r="M1019" s="126" t="s">
        <v>322</v>
      </c>
      <c r="N1019" s="126"/>
      <c r="O1019" s="126"/>
      <c r="Q1019" s="3">
        <f t="shared" si="31"/>
        <v>36.4</v>
      </c>
      <c r="U1019" s="3" t="str">
        <f t="shared" si="32"/>
        <v/>
      </c>
    </row>
    <row r="1020" spans="1:21" x14ac:dyDescent="0.35">
      <c r="A1020" s="126" t="s">
        <v>0</v>
      </c>
      <c r="B1020" s="126" t="s">
        <v>953</v>
      </c>
      <c r="C1020" s="126" t="s">
        <v>2</v>
      </c>
      <c r="D1020" s="126" t="s">
        <v>3</v>
      </c>
      <c r="E1020" s="126">
        <v>36.4</v>
      </c>
      <c r="F1020" s="126" t="s">
        <v>88</v>
      </c>
      <c r="G1020" s="108">
        <v>45615</v>
      </c>
      <c r="H1020" s="126" t="s">
        <v>89</v>
      </c>
      <c r="I1020" s="126" t="s">
        <v>8759</v>
      </c>
      <c r="J1020" s="126"/>
      <c r="K1020" s="126" t="s">
        <v>405</v>
      </c>
      <c r="L1020" s="126" t="s">
        <v>8760</v>
      </c>
      <c r="M1020" s="126" t="s">
        <v>322</v>
      </c>
      <c r="N1020" s="126"/>
      <c r="O1020" s="126"/>
      <c r="Q1020" s="3">
        <f t="shared" si="31"/>
        <v>36.4</v>
      </c>
      <c r="U1020" s="3" t="str">
        <f t="shared" si="32"/>
        <v/>
      </c>
    </row>
    <row r="1021" spans="1:21" x14ac:dyDescent="0.35">
      <c r="A1021" s="126" t="s">
        <v>35</v>
      </c>
      <c r="B1021" s="126" t="s">
        <v>1533</v>
      </c>
      <c r="C1021" s="126" t="s">
        <v>2</v>
      </c>
      <c r="D1021" s="126" t="s">
        <v>3</v>
      </c>
      <c r="E1021" s="126">
        <v>36.36</v>
      </c>
      <c r="F1021" s="126" t="s">
        <v>88</v>
      </c>
      <c r="G1021" s="108">
        <v>45428</v>
      </c>
      <c r="H1021" s="126" t="s">
        <v>94</v>
      </c>
      <c r="I1021" s="126" t="s">
        <v>424</v>
      </c>
      <c r="J1021" s="126" t="s">
        <v>7833</v>
      </c>
      <c r="K1021" s="126"/>
      <c r="L1021" s="126"/>
      <c r="M1021" s="126"/>
      <c r="N1021" s="126"/>
      <c r="O1021" s="126" t="s">
        <v>524</v>
      </c>
      <c r="Q1021" s="3">
        <f t="shared" si="31"/>
        <v>36.36</v>
      </c>
      <c r="S1021" s="55" t="s">
        <v>586</v>
      </c>
      <c r="U1021" s="3" t="str">
        <f t="shared" si="32"/>
        <v/>
      </c>
    </row>
    <row r="1022" spans="1:21" x14ac:dyDescent="0.35">
      <c r="A1022" s="126" t="s">
        <v>35</v>
      </c>
      <c r="B1022" s="126" t="s">
        <v>740</v>
      </c>
      <c r="C1022" s="126" t="s">
        <v>2</v>
      </c>
      <c r="D1022" s="126" t="s">
        <v>3</v>
      </c>
      <c r="E1022" s="126">
        <v>36.36</v>
      </c>
      <c r="F1022" s="126" t="s">
        <v>88</v>
      </c>
      <c r="G1022" s="108">
        <v>45602</v>
      </c>
      <c r="H1022" s="126" t="s">
        <v>94</v>
      </c>
      <c r="I1022" s="126" t="s">
        <v>425</v>
      </c>
      <c r="J1022" s="126" t="s">
        <v>8672</v>
      </c>
      <c r="K1022" s="126"/>
      <c r="L1022" s="126"/>
      <c r="M1022" s="126"/>
      <c r="N1022" s="126"/>
      <c r="O1022" s="126" t="s">
        <v>8674</v>
      </c>
      <c r="Q1022" s="3">
        <f t="shared" si="31"/>
        <v>36.36</v>
      </c>
      <c r="U1022" s="3" t="str">
        <f t="shared" si="32"/>
        <v/>
      </c>
    </row>
    <row r="1023" spans="1:21" x14ac:dyDescent="0.35">
      <c r="A1023" s="126" t="s">
        <v>35</v>
      </c>
      <c r="B1023" s="126" t="s">
        <v>664</v>
      </c>
      <c r="C1023" s="126" t="s">
        <v>2</v>
      </c>
      <c r="D1023" s="126" t="s">
        <v>3</v>
      </c>
      <c r="E1023" s="126">
        <v>36.32</v>
      </c>
      <c r="F1023" s="126" t="s">
        <v>88</v>
      </c>
      <c r="G1023" s="108">
        <v>45474</v>
      </c>
      <c r="H1023" s="126" t="s">
        <v>94</v>
      </c>
      <c r="I1023" s="126" t="s">
        <v>8080</v>
      </c>
      <c r="J1023" s="126" t="s">
        <v>8081</v>
      </c>
      <c r="K1023" s="126"/>
      <c r="L1023" s="126"/>
      <c r="M1023" s="126"/>
      <c r="N1023" s="126"/>
      <c r="O1023" s="126" t="s">
        <v>8082</v>
      </c>
      <c r="Q1023" s="3">
        <f t="shared" si="31"/>
        <v>36.32</v>
      </c>
      <c r="U1023" s="3" t="str">
        <f t="shared" si="32"/>
        <v/>
      </c>
    </row>
    <row r="1024" spans="1:21" x14ac:dyDescent="0.35">
      <c r="A1024" s="126" t="s">
        <v>35</v>
      </c>
      <c r="B1024" s="126" t="s">
        <v>3422</v>
      </c>
      <c r="C1024" s="126" t="s">
        <v>2</v>
      </c>
      <c r="D1024" s="126" t="s">
        <v>3</v>
      </c>
      <c r="E1024" s="126">
        <v>36.270000000000003</v>
      </c>
      <c r="F1024" s="126" t="s">
        <v>88</v>
      </c>
      <c r="G1024" s="108">
        <v>45422</v>
      </c>
      <c r="H1024" s="126" t="s">
        <v>94</v>
      </c>
      <c r="I1024" s="126" t="s">
        <v>4435</v>
      </c>
      <c r="J1024" s="126" t="s">
        <v>7661</v>
      </c>
      <c r="K1024" s="126"/>
      <c r="L1024" s="126"/>
      <c r="M1024" s="126"/>
      <c r="N1024" s="126"/>
      <c r="O1024" s="126" t="s">
        <v>538</v>
      </c>
      <c r="Q1024" s="3">
        <f t="shared" si="31"/>
        <v>36.270000000000003</v>
      </c>
      <c r="U1024" s="3" t="str">
        <f t="shared" si="32"/>
        <v/>
      </c>
    </row>
    <row r="1025" spans="1:21" x14ac:dyDescent="0.35">
      <c r="A1025" s="126" t="s">
        <v>0</v>
      </c>
      <c r="B1025" s="126" t="s">
        <v>969</v>
      </c>
      <c r="C1025" s="126" t="s">
        <v>2</v>
      </c>
      <c r="D1025" s="126" t="s">
        <v>3</v>
      </c>
      <c r="E1025" s="126">
        <v>36.200000000000003</v>
      </c>
      <c r="F1025" s="126" t="s">
        <v>88</v>
      </c>
      <c r="G1025" s="108">
        <v>45553</v>
      </c>
      <c r="H1025" s="126" t="s">
        <v>89</v>
      </c>
      <c r="I1025" s="126" t="s">
        <v>8444</v>
      </c>
      <c r="J1025" s="126"/>
      <c r="K1025" s="126" t="s">
        <v>7655</v>
      </c>
      <c r="L1025" s="126" t="s">
        <v>8445</v>
      </c>
      <c r="M1025" s="126" t="s">
        <v>420</v>
      </c>
      <c r="N1025" s="126"/>
      <c r="O1025" s="126"/>
      <c r="Q1025" s="3">
        <f t="shared" si="31"/>
        <v>36.200000000000003</v>
      </c>
      <c r="U1025" s="3" t="str">
        <f t="shared" si="32"/>
        <v/>
      </c>
    </row>
    <row r="1026" spans="1:21" x14ac:dyDescent="0.35">
      <c r="A1026" s="126" t="s">
        <v>35</v>
      </c>
      <c r="B1026" s="126" t="s">
        <v>2543</v>
      </c>
      <c r="C1026" s="126" t="s">
        <v>2</v>
      </c>
      <c r="D1026" s="126" t="s">
        <v>3</v>
      </c>
      <c r="E1026" s="126">
        <v>36.19</v>
      </c>
      <c r="F1026" s="126" t="s">
        <v>88</v>
      </c>
      <c r="G1026" s="108">
        <v>45516</v>
      </c>
      <c r="H1026" s="126" t="s">
        <v>94</v>
      </c>
      <c r="I1026" s="126" t="s">
        <v>453</v>
      </c>
      <c r="J1026" s="126" t="s">
        <v>395</v>
      </c>
      <c r="K1026" s="126"/>
      <c r="L1026" s="126"/>
      <c r="M1026" s="126"/>
      <c r="N1026" s="126"/>
      <c r="O1026" s="126" t="s">
        <v>537</v>
      </c>
      <c r="Q1026" s="3">
        <f t="shared" si="31"/>
        <v>36.19</v>
      </c>
      <c r="S1026" s="55" t="s">
        <v>586</v>
      </c>
      <c r="U1026" s="3" t="str">
        <f t="shared" si="32"/>
        <v/>
      </c>
    </row>
    <row r="1027" spans="1:21" x14ac:dyDescent="0.35">
      <c r="A1027" s="126" t="s">
        <v>0</v>
      </c>
      <c r="B1027" s="126" t="s">
        <v>3466</v>
      </c>
      <c r="C1027" s="126" t="s">
        <v>2</v>
      </c>
      <c r="D1027" s="126" t="s">
        <v>3</v>
      </c>
      <c r="E1027" s="126">
        <v>36</v>
      </c>
      <c r="F1027" s="126" t="s">
        <v>88</v>
      </c>
      <c r="G1027" s="108">
        <v>45617</v>
      </c>
      <c r="H1027" s="126" t="s">
        <v>89</v>
      </c>
      <c r="I1027" s="126" t="s">
        <v>8766</v>
      </c>
      <c r="J1027" s="126"/>
      <c r="K1027" s="126" t="s">
        <v>8239</v>
      </c>
      <c r="L1027" s="126" t="s">
        <v>8767</v>
      </c>
      <c r="M1027" s="126" t="s">
        <v>8241</v>
      </c>
      <c r="N1027" s="126"/>
      <c r="O1027" s="126"/>
      <c r="Q1027" s="3">
        <f t="shared" si="31"/>
        <v>36</v>
      </c>
      <c r="S1027" s="55" t="s">
        <v>9016</v>
      </c>
      <c r="U1027" s="3" t="str">
        <f t="shared" si="32"/>
        <v/>
      </c>
    </row>
    <row r="1028" spans="1:21" x14ac:dyDescent="0.35">
      <c r="A1028" s="126" t="s">
        <v>35</v>
      </c>
      <c r="B1028" s="126" t="s">
        <v>740</v>
      </c>
      <c r="C1028" s="126" t="s">
        <v>2</v>
      </c>
      <c r="D1028" s="126" t="s">
        <v>3</v>
      </c>
      <c r="E1028" s="126">
        <v>35.56</v>
      </c>
      <c r="F1028" s="126" t="s">
        <v>88</v>
      </c>
      <c r="G1028" s="108">
        <v>45454</v>
      </c>
      <c r="H1028" s="126" t="s">
        <v>89</v>
      </c>
      <c r="I1028" s="126" t="s">
        <v>7963</v>
      </c>
      <c r="J1028" s="126"/>
      <c r="K1028" s="126" t="s">
        <v>7964</v>
      </c>
      <c r="L1028" s="126" t="s">
        <v>7965</v>
      </c>
      <c r="M1028" s="126" t="s">
        <v>7966</v>
      </c>
      <c r="N1028" s="126"/>
      <c r="O1028" s="126"/>
      <c r="Q1028" s="3">
        <f t="shared" si="31"/>
        <v>35.56</v>
      </c>
      <c r="U1028" s="3" t="str">
        <f t="shared" si="32"/>
        <v/>
      </c>
    </row>
    <row r="1029" spans="1:21" x14ac:dyDescent="0.35">
      <c r="A1029" s="126" t="s">
        <v>35</v>
      </c>
      <c r="B1029" s="126" t="s">
        <v>615</v>
      </c>
      <c r="C1029" s="126" t="s">
        <v>2</v>
      </c>
      <c r="D1029" s="126" t="s">
        <v>3</v>
      </c>
      <c r="E1029" s="126">
        <v>35.450000000000003</v>
      </c>
      <c r="F1029" s="126" t="s">
        <v>88</v>
      </c>
      <c r="G1029" s="108">
        <v>45432</v>
      </c>
      <c r="H1029" s="126" t="s">
        <v>94</v>
      </c>
      <c r="I1029" s="126" t="s">
        <v>421</v>
      </c>
      <c r="J1029" s="126" t="s">
        <v>7854</v>
      </c>
      <c r="K1029" s="126"/>
      <c r="L1029" s="126"/>
      <c r="M1029" s="126"/>
      <c r="N1029" s="126"/>
      <c r="O1029" s="126" t="s">
        <v>521</v>
      </c>
      <c r="Q1029" s="3">
        <f t="shared" si="31"/>
        <v>35.450000000000003</v>
      </c>
      <c r="S1029" s="55" t="s">
        <v>586</v>
      </c>
      <c r="U1029" s="3" t="str">
        <f t="shared" si="32"/>
        <v/>
      </c>
    </row>
    <row r="1030" spans="1:21" x14ac:dyDescent="0.35">
      <c r="A1030" s="126" t="s">
        <v>35</v>
      </c>
      <c r="B1030" s="126" t="s">
        <v>2031</v>
      </c>
      <c r="C1030" s="126" t="s">
        <v>2</v>
      </c>
      <c r="D1030" s="126" t="s">
        <v>3</v>
      </c>
      <c r="E1030" s="126">
        <v>35.450000000000003</v>
      </c>
      <c r="F1030" s="126" t="s">
        <v>88</v>
      </c>
      <c r="G1030" s="108">
        <v>45632</v>
      </c>
      <c r="H1030" s="126" t="s">
        <v>94</v>
      </c>
      <c r="I1030" s="126" t="s">
        <v>215</v>
      </c>
      <c r="J1030" s="126" t="s">
        <v>332</v>
      </c>
      <c r="K1030" s="126"/>
      <c r="L1030" s="126"/>
      <c r="M1030" s="126"/>
      <c r="N1030" s="126"/>
      <c r="O1030" s="126" t="s">
        <v>8869</v>
      </c>
      <c r="Q1030" s="3">
        <f t="shared" si="31"/>
        <v>35.450000000000003</v>
      </c>
      <c r="U1030" s="3" t="str">
        <f t="shared" si="32"/>
        <v/>
      </c>
    </row>
    <row r="1031" spans="1:21" x14ac:dyDescent="0.35">
      <c r="A1031" s="126" t="s">
        <v>0</v>
      </c>
      <c r="B1031" s="126" t="s">
        <v>3466</v>
      </c>
      <c r="C1031" s="126" t="s">
        <v>2</v>
      </c>
      <c r="D1031" s="126" t="s">
        <v>3</v>
      </c>
      <c r="E1031" s="126">
        <v>35.020000000000003</v>
      </c>
      <c r="F1031" s="126" t="s">
        <v>88</v>
      </c>
      <c r="G1031" s="108">
        <v>45610</v>
      </c>
      <c r="H1031" s="126" t="s">
        <v>89</v>
      </c>
      <c r="I1031" s="126" t="s">
        <v>8732</v>
      </c>
      <c r="J1031" s="126"/>
      <c r="K1031" s="126" t="s">
        <v>8239</v>
      </c>
      <c r="L1031" s="126" t="s">
        <v>8733</v>
      </c>
      <c r="M1031" s="126" t="s">
        <v>8241</v>
      </c>
      <c r="N1031" s="126"/>
      <c r="O1031" s="126"/>
      <c r="Q1031" s="3">
        <f t="shared" si="31"/>
        <v>35.020000000000003</v>
      </c>
      <c r="S1031" s="55" t="s">
        <v>9016</v>
      </c>
      <c r="U1031" s="3" t="str">
        <f t="shared" si="32"/>
        <v/>
      </c>
    </row>
    <row r="1032" spans="1:21" x14ac:dyDescent="0.35">
      <c r="A1032" s="126" t="s">
        <v>0</v>
      </c>
      <c r="B1032" s="126" t="s">
        <v>756</v>
      </c>
      <c r="C1032" s="126" t="s">
        <v>2</v>
      </c>
      <c r="D1032" s="126" t="s">
        <v>3</v>
      </c>
      <c r="E1032" s="126">
        <v>34.99</v>
      </c>
      <c r="F1032" s="126" t="s">
        <v>88</v>
      </c>
      <c r="G1032" s="108">
        <v>45457</v>
      </c>
      <c r="H1032" s="126" t="s">
        <v>89</v>
      </c>
      <c r="I1032" s="126" t="s">
        <v>7995</v>
      </c>
      <c r="J1032" s="126"/>
      <c r="K1032" s="126" t="s">
        <v>7996</v>
      </c>
      <c r="L1032" s="126" t="s">
        <v>7997</v>
      </c>
      <c r="M1032" s="126" t="s">
        <v>7998</v>
      </c>
      <c r="N1032" s="126"/>
      <c r="O1032" s="126"/>
      <c r="Q1032" s="3">
        <f t="shared" ref="Q1032:Q1095" si="33">ABS(E1032)</f>
        <v>34.99</v>
      </c>
      <c r="S1032" s="55" t="s">
        <v>9013</v>
      </c>
      <c r="U1032" s="3" t="str">
        <f t="shared" ref="U1032:U1095" si="34">IF(T1032="Y",E1032,"")</f>
        <v/>
      </c>
    </row>
    <row r="1033" spans="1:21" x14ac:dyDescent="0.35">
      <c r="A1033" s="126" t="s">
        <v>35</v>
      </c>
      <c r="B1033" s="126" t="s">
        <v>6044</v>
      </c>
      <c r="C1033" s="126" t="s">
        <v>2</v>
      </c>
      <c r="D1033" s="126" t="s">
        <v>3</v>
      </c>
      <c r="E1033" s="126">
        <v>34.92</v>
      </c>
      <c r="F1033" s="126" t="s">
        <v>88</v>
      </c>
      <c r="G1033" s="108">
        <v>45512</v>
      </c>
      <c r="H1033" s="126" t="s">
        <v>94</v>
      </c>
      <c r="I1033" s="126" t="s">
        <v>489</v>
      </c>
      <c r="J1033" s="126" t="s">
        <v>395</v>
      </c>
      <c r="K1033" s="126"/>
      <c r="L1033" s="126"/>
      <c r="M1033" s="126"/>
      <c r="N1033" s="126"/>
      <c r="O1033" s="126" t="s">
        <v>563</v>
      </c>
      <c r="Q1033" s="3">
        <f t="shared" si="33"/>
        <v>34.92</v>
      </c>
      <c r="S1033" s="55" t="s">
        <v>586</v>
      </c>
      <c r="U1033" s="3" t="str">
        <f t="shared" si="34"/>
        <v/>
      </c>
    </row>
    <row r="1034" spans="1:21" x14ac:dyDescent="0.35">
      <c r="A1034" s="126" t="s">
        <v>35</v>
      </c>
      <c r="B1034" s="126" t="s">
        <v>1480</v>
      </c>
      <c r="C1034" s="126" t="s">
        <v>2</v>
      </c>
      <c r="D1034" s="126" t="s">
        <v>3</v>
      </c>
      <c r="E1034" s="126">
        <v>34.76</v>
      </c>
      <c r="F1034" s="126" t="s">
        <v>88</v>
      </c>
      <c r="G1034" s="108">
        <v>45635</v>
      </c>
      <c r="H1034" s="126" t="s">
        <v>94</v>
      </c>
      <c r="I1034" s="126" t="s">
        <v>326</v>
      </c>
      <c r="J1034" s="126" t="s">
        <v>327</v>
      </c>
      <c r="K1034" s="126"/>
      <c r="L1034" s="126"/>
      <c r="M1034" s="126"/>
      <c r="N1034" s="126"/>
      <c r="O1034" s="126" t="s">
        <v>550</v>
      </c>
      <c r="Q1034" s="3">
        <f t="shared" si="33"/>
        <v>34.76</v>
      </c>
      <c r="U1034" s="3" t="str">
        <f t="shared" si="34"/>
        <v/>
      </c>
    </row>
    <row r="1035" spans="1:21" x14ac:dyDescent="0.35">
      <c r="A1035" s="126" t="s">
        <v>35</v>
      </c>
      <c r="B1035" s="126" t="s">
        <v>893</v>
      </c>
      <c r="C1035" s="126" t="s">
        <v>2</v>
      </c>
      <c r="D1035" s="126" t="s">
        <v>3</v>
      </c>
      <c r="E1035" s="126">
        <v>34.270000000000003</v>
      </c>
      <c r="F1035" s="126" t="s">
        <v>88</v>
      </c>
      <c r="G1035" s="108">
        <v>45544</v>
      </c>
      <c r="H1035" s="126" t="s">
        <v>94</v>
      </c>
      <c r="I1035" s="126" t="s">
        <v>457</v>
      </c>
      <c r="J1035" s="126" t="s">
        <v>8416</v>
      </c>
      <c r="K1035" s="126"/>
      <c r="L1035" s="126"/>
      <c r="M1035" s="126"/>
      <c r="N1035" s="126"/>
      <c r="O1035" s="126" t="s">
        <v>571</v>
      </c>
      <c r="Q1035" s="3">
        <f t="shared" si="33"/>
        <v>34.270000000000003</v>
      </c>
      <c r="S1035" s="55" t="s">
        <v>586</v>
      </c>
      <c r="U1035" s="3" t="str">
        <f t="shared" si="34"/>
        <v/>
      </c>
    </row>
    <row r="1036" spans="1:21" x14ac:dyDescent="0.35">
      <c r="A1036" s="126" t="s">
        <v>0</v>
      </c>
      <c r="B1036" s="126" t="s">
        <v>2208</v>
      </c>
      <c r="C1036" s="126" t="s">
        <v>2</v>
      </c>
      <c r="D1036" s="126" t="s">
        <v>3</v>
      </c>
      <c r="E1036" s="126">
        <v>34.25</v>
      </c>
      <c r="F1036" s="126" t="s">
        <v>88</v>
      </c>
      <c r="G1036" s="108">
        <v>45432</v>
      </c>
      <c r="H1036" s="126" t="s">
        <v>89</v>
      </c>
      <c r="I1036" s="126" t="s">
        <v>7839</v>
      </c>
      <c r="J1036" s="126"/>
      <c r="K1036" s="126" t="s">
        <v>7840</v>
      </c>
      <c r="L1036" s="126" t="s">
        <v>7841</v>
      </c>
      <c r="M1036" s="126" t="s">
        <v>399</v>
      </c>
      <c r="N1036" s="35"/>
      <c r="O1036" s="35"/>
      <c r="Q1036" s="3">
        <f t="shared" si="33"/>
        <v>34.25</v>
      </c>
      <c r="S1036" s="55" t="s">
        <v>9013</v>
      </c>
      <c r="U1036" s="3" t="str">
        <f t="shared" si="34"/>
        <v/>
      </c>
    </row>
    <row r="1037" spans="1:21" x14ac:dyDescent="0.35">
      <c r="A1037" s="126" t="s">
        <v>0</v>
      </c>
      <c r="B1037" s="126" t="s">
        <v>2208</v>
      </c>
      <c r="C1037" s="126" t="s">
        <v>2</v>
      </c>
      <c r="D1037" s="126" t="s">
        <v>3</v>
      </c>
      <c r="E1037" s="126">
        <v>34.25</v>
      </c>
      <c r="F1037" s="126" t="s">
        <v>88</v>
      </c>
      <c r="G1037" s="108">
        <v>45454</v>
      </c>
      <c r="H1037" s="126" t="s">
        <v>89</v>
      </c>
      <c r="I1037" s="126" t="s">
        <v>7958</v>
      </c>
      <c r="J1037" s="126"/>
      <c r="K1037" s="126" t="s">
        <v>7959</v>
      </c>
      <c r="L1037" s="126" t="s">
        <v>7960</v>
      </c>
      <c r="M1037" s="126" t="s">
        <v>399</v>
      </c>
      <c r="Q1037" s="3">
        <f t="shared" si="33"/>
        <v>34.25</v>
      </c>
      <c r="S1037" s="55" t="s">
        <v>9013</v>
      </c>
      <c r="U1037" s="3" t="str">
        <f t="shared" si="34"/>
        <v/>
      </c>
    </row>
    <row r="1038" spans="1:21" x14ac:dyDescent="0.35">
      <c r="A1038" s="126" t="s">
        <v>0</v>
      </c>
      <c r="B1038" s="126" t="s">
        <v>2208</v>
      </c>
      <c r="C1038" s="126" t="s">
        <v>2</v>
      </c>
      <c r="D1038" s="126" t="s">
        <v>3</v>
      </c>
      <c r="E1038" s="126">
        <v>34.25</v>
      </c>
      <c r="F1038" s="126" t="s">
        <v>88</v>
      </c>
      <c r="G1038" s="108">
        <v>45485</v>
      </c>
      <c r="H1038" s="126" t="s">
        <v>89</v>
      </c>
      <c r="I1038" s="126" t="s">
        <v>8134</v>
      </c>
      <c r="J1038" s="126"/>
      <c r="K1038" s="126" t="s">
        <v>8135</v>
      </c>
      <c r="L1038" s="126" t="s">
        <v>8136</v>
      </c>
      <c r="M1038" s="126" t="s">
        <v>399</v>
      </c>
      <c r="Q1038" s="3">
        <f t="shared" si="33"/>
        <v>34.25</v>
      </c>
      <c r="S1038" s="55" t="s">
        <v>9013</v>
      </c>
      <c r="U1038" s="3" t="str">
        <f t="shared" si="34"/>
        <v/>
      </c>
    </row>
    <row r="1039" spans="1:21" x14ac:dyDescent="0.35">
      <c r="A1039" s="126" t="s">
        <v>0</v>
      </c>
      <c r="B1039" s="126" t="s">
        <v>2208</v>
      </c>
      <c r="C1039" s="126" t="s">
        <v>2</v>
      </c>
      <c r="D1039" s="126" t="s">
        <v>3</v>
      </c>
      <c r="E1039" s="126">
        <v>34.25</v>
      </c>
      <c r="F1039" s="126" t="s">
        <v>88</v>
      </c>
      <c r="G1039" s="108">
        <v>45517</v>
      </c>
      <c r="H1039" s="126" t="s">
        <v>89</v>
      </c>
      <c r="I1039" s="126" t="s">
        <v>8320</v>
      </c>
      <c r="J1039" s="126"/>
      <c r="K1039" s="126" t="s">
        <v>8321</v>
      </c>
      <c r="L1039" s="126" t="s">
        <v>8322</v>
      </c>
      <c r="M1039" s="126" t="s">
        <v>399</v>
      </c>
      <c r="Q1039" s="3">
        <f t="shared" si="33"/>
        <v>34.25</v>
      </c>
      <c r="S1039" s="55" t="s">
        <v>9013</v>
      </c>
      <c r="U1039" s="3" t="str">
        <f t="shared" si="34"/>
        <v/>
      </c>
    </row>
    <row r="1040" spans="1:21" x14ac:dyDescent="0.35">
      <c r="A1040" s="126" t="s">
        <v>0</v>
      </c>
      <c r="B1040" s="126" t="s">
        <v>2208</v>
      </c>
      <c r="C1040" s="126" t="s">
        <v>2</v>
      </c>
      <c r="D1040" s="126" t="s">
        <v>3</v>
      </c>
      <c r="E1040" s="126">
        <v>34.25</v>
      </c>
      <c r="F1040" s="126" t="s">
        <v>88</v>
      </c>
      <c r="G1040" s="108">
        <v>45551</v>
      </c>
      <c r="H1040" s="126" t="s">
        <v>89</v>
      </c>
      <c r="I1040" s="126" t="s">
        <v>8431</v>
      </c>
      <c r="J1040" s="126"/>
      <c r="K1040" s="126" t="s">
        <v>8432</v>
      </c>
      <c r="L1040" s="126" t="s">
        <v>8433</v>
      </c>
      <c r="M1040" s="126" t="s">
        <v>399</v>
      </c>
      <c r="Q1040" s="3">
        <f t="shared" si="33"/>
        <v>34.25</v>
      </c>
      <c r="S1040" s="55" t="s">
        <v>9013</v>
      </c>
      <c r="U1040" s="3" t="str">
        <f t="shared" si="34"/>
        <v/>
      </c>
    </row>
    <row r="1041" spans="1:21" x14ac:dyDescent="0.35">
      <c r="A1041" s="126" t="s">
        <v>0</v>
      </c>
      <c r="B1041" s="126" t="s">
        <v>2208</v>
      </c>
      <c r="C1041" s="126" t="s">
        <v>2</v>
      </c>
      <c r="D1041" s="126" t="s">
        <v>3</v>
      </c>
      <c r="E1041" s="126">
        <v>34.25</v>
      </c>
      <c r="F1041" s="126" t="s">
        <v>88</v>
      </c>
      <c r="G1041" s="108">
        <v>45569</v>
      </c>
      <c r="H1041" s="126" t="s">
        <v>89</v>
      </c>
      <c r="I1041" s="126" t="s">
        <v>8521</v>
      </c>
      <c r="J1041" s="126"/>
      <c r="K1041" s="126" t="s">
        <v>8522</v>
      </c>
      <c r="L1041" s="126" t="s">
        <v>8523</v>
      </c>
      <c r="M1041" s="126" t="s">
        <v>399</v>
      </c>
      <c r="Q1041" s="3">
        <f t="shared" si="33"/>
        <v>34.25</v>
      </c>
      <c r="S1041" s="55" t="s">
        <v>9013</v>
      </c>
      <c r="U1041" s="3" t="str">
        <f t="shared" si="34"/>
        <v/>
      </c>
    </row>
    <row r="1042" spans="1:21" x14ac:dyDescent="0.35">
      <c r="A1042" s="126" t="s">
        <v>0</v>
      </c>
      <c r="B1042" s="126" t="s">
        <v>2208</v>
      </c>
      <c r="C1042" s="126" t="s">
        <v>2</v>
      </c>
      <c r="D1042" s="126" t="s">
        <v>3</v>
      </c>
      <c r="E1042" s="126">
        <v>34.25</v>
      </c>
      <c r="F1042" s="126" t="s">
        <v>88</v>
      </c>
      <c r="G1042" s="108">
        <v>45611</v>
      </c>
      <c r="H1042" s="126" t="s">
        <v>89</v>
      </c>
      <c r="I1042" s="126" t="s">
        <v>8734</v>
      </c>
      <c r="J1042" s="126"/>
      <c r="K1042" s="126" t="s">
        <v>8735</v>
      </c>
      <c r="L1042" s="126" t="s">
        <v>8736</v>
      </c>
      <c r="M1042" s="126" t="s">
        <v>399</v>
      </c>
      <c r="N1042" s="126"/>
      <c r="O1042" s="126"/>
      <c r="Q1042" s="3">
        <f t="shared" si="33"/>
        <v>34.25</v>
      </c>
      <c r="S1042" s="55" t="s">
        <v>9013</v>
      </c>
      <c r="U1042" s="3" t="str">
        <f t="shared" si="34"/>
        <v/>
      </c>
    </row>
    <row r="1043" spans="1:21" x14ac:dyDescent="0.35">
      <c r="A1043" s="126" t="s">
        <v>0</v>
      </c>
      <c r="B1043" s="126" t="s">
        <v>2208</v>
      </c>
      <c r="C1043" s="126" t="s">
        <v>2</v>
      </c>
      <c r="D1043" s="126" t="s">
        <v>3</v>
      </c>
      <c r="E1043" s="126">
        <v>34.25</v>
      </c>
      <c r="F1043" s="126" t="s">
        <v>88</v>
      </c>
      <c r="G1043" s="108">
        <v>45635</v>
      </c>
      <c r="H1043" s="126" t="s">
        <v>89</v>
      </c>
      <c r="I1043" s="126" t="s">
        <v>8878</v>
      </c>
      <c r="J1043" s="126"/>
      <c r="K1043" s="126" t="s">
        <v>8879</v>
      </c>
      <c r="L1043" s="126" t="s">
        <v>8880</v>
      </c>
      <c r="M1043" s="126" t="s">
        <v>399</v>
      </c>
      <c r="Q1043" s="3">
        <f t="shared" si="33"/>
        <v>34.25</v>
      </c>
      <c r="S1043" s="55" t="s">
        <v>9013</v>
      </c>
      <c r="U1043" s="3" t="str">
        <f t="shared" si="34"/>
        <v/>
      </c>
    </row>
    <row r="1044" spans="1:21" x14ac:dyDescent="0.35">
      <c r="A1044" s="126" t="s">
        <v>0</v>
      </c>
      <c r="B1044" s="126" t="s">
        <v>2208</v>
      </c>
      <c r="C1044" s="126" t="s">
        <v>2</v>
      </c>
      <c r="D1044" s="126" t="s">
        <v>3</v>
      </c>
      <c r="E1044" s="126">
        <v>34.24</v>
      </c>
      <c r="F1044" s="126" t="s">
        <v>88</v>
      </c>
      <c r="G1044" s="108">
        <v>45391</v>
      </c>
      <c r="H1044" s="126" t="s">
        <v>89</v>
      </c>
      <c r="I1044" s="126" t="s">
        <v>7691</v>
      </c>
      <c r="J1044" s="126"/>
      <c r="K1044" s="126" t="s">
        <v>7672</v>
      </c>
      <c r="L1044" s="126" t="s">
        <v>7692</v>
      </c>
      <c r="M1044" s="126" t="s">
        <v>399</v>
      </c>
      <c r="N1044" s="35"/>
      <c r="O1044" s="35"/>
      <c r="Q1044" s="3">
        <f t="shared" si="33"/>
        <v>34.24</v>
      </c>
      <c r="S1044" s="55" t="s">
        <v>9013</v>
      </c>
      <c r="U1044" s="3" t="str">
        <f t="shared" si="34"/>
        <v/>
      </c>
    </row>
    <row r="1045" spans="1:21" x14ac:dyDescent="0.35">
      <c r="A1045" s="126" t="s">
        <v>35</v>
      </c>
      <c r="B1045" s="126" t="s">
        <v>3422</v>
      </c>
      <c r="C1045" s="126" t="s">
        <v>2</v>
      </c>
      <c r="D1045" s="126" t="s">
        <v>3</v>
      </c>
      <c r="E1045" s="126">
        <v>33.909999999999997</v>
      </c>
      <c r="F1045" s="126" t="s">
        <v>88</v>
      </c>
      <c r="G1045" s="108">
        <v>45614</v>
      </c>
      <c r="H1045" s="126" t="s">
        <v>94</v>
      </c>
      <c r="I1045" s="126" t="s">
        <v>4435</v>
      </c>
      <c r="J1045" s="126" t="s">
        <v>7661</v>
      </c>
      <c r="K1045" s="126"/>
      <c r="L1045" s="126"/>
      <c r="M1045" s="126"/>
      <c r="N1045" s="126"/>
      <c r="O1045" s="126" t="s">
        <v>538</v>
      </c>
      <c r="Q1045" s="3">
        <f t="shared" si="33"/>
        <v>33.909999999999997</v>
      </c>
      <c r="U1045" s="3" t="str">
        <f t="shared" si="34"/>
        <v/>
      </c>
    </row>
    <row r="1046" spans="1:21" x14ac:dyDescent="0.35">
      <c r="A1046" s="126" t="s">
        <v>35</v>
      </c>
      <c r="B1046" s="126" t="s">
        <v>852</v>
      </c>
      <c r="C1046" s="126" t="s">
        <v>2</v>
      </c>
      <c r="D1046" s="126" t="s">
        <v>3</v>
      </c>
      <c r="E1046" s="126">
        <v>33.64</v>
      </c>
      <c r="F1046" s="126" t="s">
        <v>88</v>
      </c>
      <c r="G1046" s="108">
        <v>45643</v>
      </c>
      <c r="H1046" s="126" t="s">
        <v>94</v>
      </c>
      <c r="I1046" s="126" t="s">
        <v>6249</v>
      </c>
      <c r="J1046" s="126" t="s">
        <v>8979</v>
      </c>
      <c r="K1046" s="126"/>
      <c r="L1046" s="126"/>
      <c r="M1046" s="126"/>
      <c r="N1046" s="126"/>
      <c r="O1046" s="126" t="s">
        <v>3057</v>
      </c>
      <c r="Q1046" s="3">
        <f t="shared" si="33"/>
        <v>33.64</v>
      </c>
      <c r="S1046" s="55" t="s">
        <v>9041</v>
      </c>
      <c r="U1046" s="3" t="str">
        <f t="shared" si="34"/>
        <v/>
      </c>
    </row>
    <row r="1047" spans="1:21" x14ac:dyDescent="0.35">
      <c r="A1047" s="126" t="s">
        <v>0</v>
      </c>
      <c r="B1047" s="126" t="s">
        <v>677</v>
      </c>
      <c r="C1047" s="126" t="s">
        <v>2</v>
      </c>
      <c r="D1047" s="126" t="s">
        <v>3</v>
      </c>
      <c r="E1047" s="126">
        <v>33.58</v>
      </c>
      <c r="F1047" s="126" t="s">
        <v>88</v>
      </c>
      <c r="G1047" s="108">
        <v>45457</v>
      </c>
      <c r="H1047" s="126" t="s">
        <v>89</v>
      </c>
      <c r="I1047" s="126" t="s">
        <v>7995</v>
      </c>
      <c r="J1047" s="126"/>
      <c r="K1047" s="126" t="s">
        <v>7996</v>
      </c>
      <c r="L1047" s="126" t="s">
        <v>7997</v>
      </c>
      <c r="M1047" s="126" t="s">
        <v>7998</v>
      </c>
      <c r="N1047" s="126"/>
      <c r="O1047" s="126"/>
      <c r="Q1047" s="3">
        <f t="shared" si="33"/>
        <v>33.58</v>
      </c>
      <c r="S1047" s="55" t="s">
        <v>9013</v>
      </c>
      <c r="U1047" s="3" t="str">
        <f t="shared" si="34"/>
        <v/>
      </c>
    </row>
    <row r="1048" spans="1:21" x14ac:dyDescent="0.35">
      <c r="A1048" s="126" t="s">
        <v>35</v>
      </c>
      <c r="B1048" s="126" t="s">
        <v>3422</v>
      </c>
      <c r="C1048" s="126" t="s">
        <v>2</v>
      </c>
      <c r="D1048" s="126" t="s">
        <v>3</v>
      </c>
      <c r="E1048" s="126">
        <v>33.200000000000003</v>
      </c>
      <c r="F1048" s="126" t="s">
        <v>88</v>
      </c>
      <c r="G1048" s="108">
        <v>45555</v>
      </c>
      <c r="H1048" s="126" t="s">
        <v>94</v>
      </c>
      <c r="I1048" s="126" t="s">
        <v>237</v>
      </c>
      <c r="J1048" s="126" t="s">
        <v>8465</v>
      </c>
      <c r="K1048" s="126"/>
      <c r="L1048" s="126"/>
      <c r="M1048" s="126"/>
      <c r="N1048" s="126"/>
      <c r="O1048" s="126" t="s">
        <v>8466</v>
      </c>
      <c r="Q1048" s="3">
        <f t="shared" si="33"/>
        <v>33.200000000000003</v>
      </c>
      <c r="U1048" s="3" t="str">
        <f t="shared" si="34"/>
        <v/>
      </c>
    </row>
    <row r="1049" spans="1:21" x14ac:dyDescent="0.35">
      <c r="A1049" s="126" t="s">
        <v>0</v>
      </c>
      <c r="B1049" s="126" t="s">
        <v>5980</v>
      </c>
      <c r="C1049" s="126" t="s">
        <v>2</v>
      </c>
      <c r="D1049" s="126" t="s">
        <v>3</v>
      </c>
      <c r="E1049" s="126">
        <v>33.18</v>
      </c>
      <c r="F1049" s="126" t="s">
        <v>88</v>
      </c>
      <c r="G1049" s="108">
        <v>45517</v>
      </c>
      <c r="H1049" s="126" t="s">
        <v>89</v>
      </c>
      <c r="I1049" s="126" t="s">
        <v>8320</v>
      </c>
      <c r="J1049" s="126"/>
      <c r="K1049" s="126" t="s">
        <v>8321</v>
      </c>
      <c r="L1049" s="126" t="s">
        <v>8322</v>
      </c>
      <c r="M1049" s="126" t="s">
        <v>399</v>
      </c>
      <c r="Q1049" s="3">
        <f t="shared" si="33"/>
        <v>33.18</v>
      </c>
      <c r="S1049" s="55" t="s">
        <v>9013</v>
      </c>
      <c r="U1049" s="3" t="str">
        <f t="shared" si="34"/>
        <v/>
      </c>
    </row>
    <row r="1050" spans="1:21" x14ac:dyDescent="0.35">
      <c r="A1050" s="126" t="s">
        <v>0</v>
      </c>
      <c r="B1050" s="126" t="s">
        <v>969</v>
      </c>
      <c r="C1050" s="126" t="s">
        <v>2</v>
      </c>
      <c r="D1050" s="126" t="s">
        <v>3</v>
      </c>
      <c r="E1050" s="126">
        <v>33.18</v>
      </c>
      <c r="F1050" s="126" t="s">
        <v>88</v>
      </c>
      <c r="G1050" s="108">
        <v>45553</v>
      </c>
      <c r="H1050" s="126" t="s">
        <v>89</v>
      </c>
      <c r="I1050" s="126" t="s">
        <v>8442</v>
      </c>
      <c r="J1050" s="126"/>
      <c r="K1050" s="126" t="s">
        <v>7655</v>
      </c>
      <c r="L1050" s="126" t="s">
        <v>8443</v>
      </c>
      <c r="M1050" s="126" t="s">
        <v>420</v>
      </c>
      <c r="N1050" s="126"/>
      <c r="O1050" s="126"/>
      <c r="Q1050" s="3">
        <f t="shared" si="33"/>
        <v>33.18</v>
      </c>
      <c r="U1050" s="3" t="str">
        <f t="shared" si="34"/>
        <v/>
      </c>
    </row>
    <row r="1051" spans="1:21" x14ac:dyDescent="0.35">
      <c r="A1051" s="126" t="s">
        <v>35</v>
      </c>
      <c r="B1051" s="126" t="s">
        <v>3422</v>
      </c>
      <c r="C1051" s="126" t="s">
        <v>2</v>
      </c>
      <c r="D1051" s="126" t="s">
        <v>3</v>
      </c>
      <c r="E1051" s="126">
        <v>33.090000000000003</v>
      </c>
      <c r="F1051" s="126" t="s">
        <v>88</v>
      </c>
      <c r="G1051" s="108">
        <v>45608</v>
      </c>
      <c r="H1051" s="126" t="s">
        <v>94</v>
      </c>
      <c r="I1051" s="126" t="s">
        <v>459</v>
      </c>
      <c r="J1051" s="126" t="s">
        <v>8606</v>
      </c>
      <c r="K1051" s="126"/>
      <c r="L1051" s="126"/>
      <c r="M1051" s="126"/>
      <c r="N1051" s="126"/>
      <c r="O1051" s="126" t="s">
        <v>538</v>
      </c>
      <c r="Q1051" s="3">
        <f t="shared" si="33"/>
        <v>33.090000000000003</v>
      </c>
      <c r="U1051" s="3" t="str">
        <f t="shared" si="34"/>
        <v/>
      </c>
    </row>
    <row r="1052" spans="1:21" x14ac:dyDescent="0.35">
      <c r="A1052" s="126" t="s">
        <v>35</v>
      </c>
      <c r="B1052" s="126" t="s">
        <v>2226</v>
      </c>
      <c r="C1052" s="126" t="s">
        <v>2</v>
      </c>
      <c r="D1052" s="126" t="s">
        <v>3</v>
      </c>
      <c r="E1052" s="126">
        <v>32.950000000000003</v>
      </c>
      <c r="F1052" s="126" t="s">
        <v>88</v>
      </c>
      <c r="G1052" s="108">
        <v>45510</v>
      </c>
      <c r="H1052" s="126" t="s">
        <v>94</v>
      </c>
      <c r="I1052" s="126" t="s">
        <v>335</v>
      </c>
      <c r="J1052" s="126" t="s">
        <v>336</v>
      </c>
      <c r="K1052" s="126"/>
      <c r="L1052" s="126"/>
      <c r="M1052" s="126"/>
      <c r="N1052" s="126"/>
      <c r="O1052" s="126" t="s">
        <v>532</v>
      </c>
      <c r="Q1052" s="3">
        <f t="shared" si="33"/>
        <v>32.950000000000003</v>
      </c>
      <c r="U1052" s="3" t="str">
        <f t="shared" si="34"/>
        <v/>
      </c>
    </row>
    <row r="1053" spans="1:21" x14ac:dyDescent="0.35">
      <c r="A1053" s="126" t="s">
        <v>35</v>
      </c>
      <c r="B1053" s="126" t="s">
        <v>852</v>
      </c>
      <c r="C1053" s="126" t="s">
        <v>2</v>
      </c>
      <c r="D1053" s="126" t="s">
        <v>3</v>
      </c>
      <c r="E1053" s="126">
        <v>32.79</v>
      </c>
      <c r="F1053" s="126" t="s">
        <v>88</v>
      </c>
      <c r="G1053" s="108">
        <v>45632</v>
      </c>
      <c r="H1053" s="126" t="s">
        <v>94</v>
      </c>
      <c r="I1053" s="126" t="s">
        <v>6249</v>
      </c>
      <c r="J1053" s="126" t="s">
        <v>7757</v>
      </c>
      <c r="K1053" s="126"/>
      <c r="L1053" s="126"/>
      <c r="M1053" s="126"/>
      <c r="N1053" s="126"/>
      <c r="O1053" s="126" t="s">
        <v>348</v>
      </c>
      <c r="Q1053" s="3">
        <f t="shared" si="33"/>
        <v>32.79</v>
      </c>
      <c r="S1053" s="55" t="s">
        <v>9014</v>
      </c>
      <c r="U1053" s="3" t="str">
        <f t="shared" si="34"/>
        <v/>
      </c>
    </row>
    <row r="1054" spans="1:21" x14ac:dyDescent="0.35">
      <c r="A1054" s="126" t="s">
        <v>35</v>
      </c>
      <c r="B1054" s="126" t="s">
        <v>893</v>
      </c>
      <c r="C1054" s="126" t="s">
        <v>2</v>
      </c>
      <c r="D1054" s="126" t="s">
        <v>3</v>
      </c>
      <c r="E1054" s="126">
        <v>32.74</v>
      </c>
      <c r="F1054" s="126" t="s">
        <v>88</v>
      </c>
      <c r="G1054" s="108">
        <v>45475</v>
      </c>
      <c r="H1054" s="126" t="s">
        <v>94</v>
      </c>
      <c r="I1054" s="126" t="s">
        <v>457</v>
      </c>
      <c r="J1054" s="126" t="s">
        <v>8110</v>
      </c>
      <c r="K1054" s="126"/>
      <c r="L1054" s="126"/>
      <c r="M1054" s="126"/>
      <c r="N1054" s="126"/>
      <c r="O1054" s="126" t="s">
        <v>571</v>
      </c>
      <c r="Q1054" s="3">
        <f t="shared" si="33"/>
        <v>32.74</v>
      </c>
      <c r="S1054" s="55" t="s">
        <v>586</v>
      </c>
      <c r="U1054" s="3" t="str">
        <f t="shared" si="34"/>
        <v/>
      </c>
    </row>
    <row r="1055" spans="1:21" x14ac:dyDescent="0.35">
      <c r="A1055" s="126" t="s">
        <v>35</v>
      </c>
      <c r="B1055" s="126" t="s">
        <v>672</v>
      </c>
      <c r="C1055" s="126" t="s">
        <v>2</v>
      </c>
      <c r="D1055" s="126" t="s">
        <v>3</v>
      </c>
      <c r="E1055" s="126">
        <v>32.729999999999997</v>
      </c>
      <c r="F1055" s="126" t="s">
        <v>88</v>
      </c>
      <c r="G1055" s="108">
        <v>45436</v>
      </c>
      <c r="H1055" s="126" t="s">
        <v>94</v>
      </c>
      <c r="I1055" s="126" t="s">
        <v>7093</v>
      </c>
      <c r="J1055" s="126" t="s">
        <v>7893</v>
      </c>
      <c r="K1055" s="126"/>
      <c r="L1055" s="126"/>
      <c r="M1055" s="126"/>
      <c r="N1055" s="126"/>
      <c r="O1055" s="126" t="s">
        <v>3531</v>
      </c>
      <c r="Q1055" s="3">
        <f t="shared" si="33"/>
        <v>32.729999999999997</v>
      </c>
      <c r="U1055" s="3" t="str">
        <f t="shared" si="34"/>
        <v/>
      </c>
    </row>
    <row r="1056" spans="1:21" x14ac:dyDescent="0.35">
      <c r="A1056" s="126" t="s">
        <v>35</v>
      </c>
      <c r="B1056" s="126" t="s">
        <v>615</v>
      </c>
      <c r="C1056" s="126" t="s">
        <v>2</v>
      </c>
      <c r="D1056" s="126" t="s">
        <v>3</v>
      </c>
      <c r="E1056" s="126">
        <v>32.729999999999997</v>
      </c>
      <c r="F1056" s="126" t="s">
        <v>88</v>
      </c>
      <c r="G1056" s="108">
        <v>45504</v>
      </c>
      <c r="H1056" s="126" t="s">
        <v>94</v>
      </c>
      <c r="I1056" s="126" t="s">
        <v>7987</v>
      </c>
      <c r="J1056" s="126" t="s">
        <v>8232</v>
      </c>
      <c r="K1056" s="126"/>
      <c r="L1056" s="126"/>
      <c r="M1056" s="126"/>
      <c r="N1056" s="126"/>
      <c r="O1056" s="126" t="s">
        <v>8233</v>
      </c>
      <c r="Q1056" s="3">
        <f t="shared" si="33"/>
        <v>32.729999999999997</v>
      </c>
      <c r="U1056" s="3" t="str">
        <f t="shared" si="34"/>
        <v/>
      </c>
    </row>
    <row r="1057" spans="1:21" x14ac:dyDescent="0.35">
      <c r="A1057" s="126" t="s">
        <v>35</v>
      </c>
      <c r="B1057" s="126" t="s">
        <v>677</v>
      </c>
      <c r="C1057" s="126" t="s">
        <v>2</v>
      </c>
      <c r="D1057" s="126" t="s">
        <v>3</v>
      </c>
      <c r="E1057" s="126">
        <v>32.729999999999997</v>
      </c>
      <c r="F1057" s="126" t="s">
        <v>88</v>
      </c>
      <c r="G1057" s="108">
        <v>45644</v>
      </c>
      <c r="H1057" s="126" t="s">
        <v>94</v>
      </c>
      <c r="I1057" s="126" t="s">
        <v>8988</v>
      </c>
      <c r="J1057" s="126" t="s">
        <v>8989</v>
      </c>
      <c r="K1057" s="126"/>
      <c r="L1057" s="126"/>
      <c r="M1057" s="126"/>
      <c r="N1057" s="126"/>
      <c r="O1057" s="126" t="s">
        <v>8990</v>
      </c>
      <c r="Q1057" s="3">
        <f t="shared" si="33"/>
        <v>32.729999999999997</v>
      </c>
      <c r="U1057" s="3" t="str">
        <f t="shared" si="34"/>
        <v/>
      </c>
    </row>
    <row r="1058" spans="1:21" x14ac:dyDescent="0.35">
      <c r="A1058" s="126" t="s">
        <v>35</v>
      </c>
      <c r="B1058" s="126" t="s">
        <v>5426</v>
      </c>
      <c r="C1058" s="126" t="s">
        <v>2</v>
      </c>
      <c r="D1058" s="126" t="s">
        <v>3</v>
      </c>
      <c r="E1058" s="126">
        <v>32.72</v>
      </c>
      <c r="F1058" s="126" t="s">
        <v>88</v>
      </c>
      <c r="G1058" s="108">
        <v>45580</v>
      </c>
      <c r="H1058" s="126" t="s">
        <v>94</v>
      </c>
      <c r="I1058" s="126" t="s">
        <v>8566</v>
      </c>
      <c r="J1058" s="126" t="s">
        <v>8567</v>
      </c>
      <c r="K1058" s="126"/>
      <c r="L1058" s="126"/>
      <c r="M1058" s="126"/>
      <c r="N1058" s="126"/>
      <c r="O1058" s="126" t="s">
        <v>8568</v>
      </c>
      <c r="Q1058" s="3">
        <f t="shared" si="33"/>
        <v>32.72</v>
      </c>
      <c r="U1058" s="3" t="str">
        <f t="shared" si="34"/>
        <v/>
      </c>
    </row>
    <row r="1059" spans="1:21" x14ac:dyDescent="0.35">
      <c r="A1059" s="126" t="s">
        <v>35</v>
      </c>
      <c r="B1059" s="126" t="s">
        <v>601</v>
      </c>
      <c r="C1059" s="126" t="s">
        <v>2</v>
      </c>
      <c r="D1059" s="126" t="s">
        <v>3</v>
      </c>
      <c r="E1059" s="126">
        <v>32.700000000000003</v>
      </c>
      <c r="F1059" s="126" t="s">
        <v>88</v>
      </c>
      <c r="G1059" s="108">
        <v>45446</v>
      </c>
      <c r="H1059" s="126" t="s">
        <v>94</v>
      </c>
      <c r="I1059" s="126" t="s">
        <v>2935</v>
      </c>
      <c r="J1059" s="126" t="s">
        <v>7928</v>
      </c>
      <c r="K1059" s="126"/>
      <c r="L1059" s="126"/>
      <c r="M1059" s="126"/>
      <c r="N1059" s="126"/>
      <c r="O1059" s="126" t="s">
        <v>2937</v>
      </c>
      <c r="Q1059" s="3">
        <f t="shared" si="33"/>
        <v>32.700000000000003</v>
      </c>
      <c r="U1059" s="3" t="str">
        <f t="shared" si="34"/>
        <v/>
      </c>
    </row>
    <row r="1060" spans="1:21" x14ac:dyDescent="0.35">
      <c r="A1060" s="126" t="s">
        <v>35</v>
      </c>
      <c r="B1060" s="126" t="s">
        <v>677</v>
      </c>
      <c r="C1060" s="126" t="s">
        <v>2</v>
      </c>
      <c r="D1060" s="126" t="s">
        <v>3</v>
      </c>
      <c r="E1060" s="126">
        <v>32.69</v>
      </c>
      <c r="F1060" s="126" t="s">
        <v>88</v>
      </c>
      <c r="G1060" s="108">
        <v>45384</v>
      </c>
      <c r="H1060" s="126" t="s">
        <v>94</v>
      </c>
      <c r="I1060" s="126" t="s">
        <v>436</v>
      </c>
      <c r="J1060" s="126" t="s">
        <v>464</v>
      </c>
      <c r="K1060" s="126"/>
      <c r="L1060" s="126"/>
      <c r="M1060" s="126"/>
      <c r="N1060" s="126"/>
      <c r="O1060" s="126" t="s">
        <v>531</v>
      </c>
      <c r="Q1060" s="3">
        <f t="shared" si="33"/>
        <v>32.69</v>
      </c>
      <c r="U1060" s="3" t="str">
        <f t="shared" si="34"/>
        <v/>
      </c>
    </row>
    <row r="1061" spans="1:21" x14ac:dyDescent="0.35">
      <c r="A1061" s="126" t="s">
        <v>35</v>
      </c>
      <c r="B1061" s="126" t="s">
        <v>788</v>
      </c>
      <c r="C1061" s="126" t="s">
        <v>2</v>
      </c>
      <c r="D1061" s="126" t="s">
        <v>3</v>
      </c>
      <c r="E1061" s="126">
        <v>32.450000000000003</v>
      </c>
      <c r="F1061" s="126" t="s">
        <v>88</v>
      </c>
      <c r="G1061" s="108">
        <v>45509</v>
      </c>
      <c r="H1061" s="126" t="s">
        <v>94</v>
      </c>
      <c r="I1061" s="126" t="s">
        <v>438</v>
      </c>
      <c r="J1061" s="126" t="s">
        <v>8275</v>
      </c>
      <c r="K1061" s="126"/>
      <c r="L1061" s="126"/>
      <c r="M1061" s="126"/>
      <c r="N1061" s="126"/>
      <c r="O1061" s="126" t="s">
        <v>583</v>
      </c>
      <c r="Q1061" s="3">
        <f t="shared" si="33"/>
        <v>32.450000000000003</v>
      </c>
      <c r="S1061" s="55" t="s">
        <v>9014</v>
      </c>
      <c r="U1061" s="3" t="str">
        <f t="shared" si="34"/>
        <v/>
      </c>
    </row>
    <row r="1062" spans="1:21" x14ac:dyDescent="0.35">
      <c r="A1062" s="126" t="s">
        <v>35</v>
      </c>
      <c r="B1062" s="126" t="s">
        <v>2226</v>
      </c>
      <c r="C1062" s="126" t="s">
        <v>2</v>
      </c>
      <c r="D1062" s="126" t="s">
        <v>3</v>
      </c>
      <c r="E1062" s="126">
        <v>32.39</v>
      </c>
      <c r="F1062" s="126" t="s">
        <v>88</v>
      </c>
      <c r="G1062" s="108">
        <v>45558</v>
      </c>
      <c r="H1062" s="126" t="s">
        <v>94</v>
      </c>
      <c r="I1062" s="126" t="s">
        <v>335</v>
      </c>
      <c r="J1062" s="126" t="s">
        <v>336</v>
      </c>
      <c r="K1062" s="126"/>
      <c r="L1062" s="126"/>
      <c r="M1062" s="126"/>
      <c r="N1062" s="126"/>
      <c r="O1062" s="126" t="s">
        <v>532</v>
      </c>
      <c r="Q1062" s="3">
        <f t="shared" si="33"/>
        <v>32.39</v>
      </c>
      <c r="U1062" s="3" t="str">
        <f t="shared" si="34"/>
        <v/>
      </c>
    </row>
    <row r="1063" spans="1:21" x14ac:dyDescent="0.35">
      <c r="A1063" s="126" t="s">
        <v>35</v>
      </c>
      <c r="B1063" s="126" t="s">
        <v>788</v>
      </c>
      <c r="C1063" s="126" t="s">
        <v>2</v>
      </c>
      <c r="D1063" s="126" t="s">
        <v>3</v>
      </c>
      <c r="E1063" s="126">
        <v>32.33</v>
      </c>
      <c r="F1063" s="126" t="s">
        <v>88</v>
      </c>
      <c r="G1063" s="108">
        <v>45464</v>
      </c>
      <c r="H1063" s="126" t="s">
        <v>94</v>
      </c>
      <c r="I1063" s="126" t="s">
        <v>438</v>
      </c>
      <c r="J1063" s="126" t="s">
        <v>8039</v>
      </c>
      <c r="K1063" s="126"/>
      <c r="L1063" s="126"/>
      <c r="M1063" s="126"/>
      <c r="N1063" s="126"/>
      <c r="O1063" s="126" t="s">
        <v>533</v>
      </c>
      <c r="Q1063" s="3">
        <f t="shared" si="33"/>
        <v>32.33</v>
      </c>
      <c r="S1063" s="55" t="s">
        <v>9014</v>
      </c>
      <c r="U1063" s="3" t="str">
        <f t="shared" si="34"/>
        <v/>
      </c>
    </row>
    <row r="1064" spans="1:21" x14ac:dyDescent="0.35">
      <c r="A1064" s="126" t="s">
        <v>35</v>
      </c>
      <c r="B1064" s="126" t="s">
        <v>5426</v>
      </c>
      <c r="C1064" s="126" t="s">
        <v>2</v>
      </c>
      <c r="D1064" s="126" t="s">
        <v>3</v>
      </c>
      <c r="E1064" s="126">
        <v>32.24</v>
      </c>
      <c r="F1064" s="126" t="s">
        <v>88</v>
      </c>
      <c r="G1064" s="108">
        <v>45617</v>
      </c>
      <c r="H1064" s="126" t="s">
        <v>94</v>
      </c>
      <c r="I1064" s="126" t="s">
        <v>8772</v>
      </c>
      <c r="J1064" s="126" t="s">
        <v>8773</v>
      </c>
      <c r="K1064" s="126"/>
      <c r="L1064" s="126"/>
      <c r="M1064" s="126"/>
      <c r="N1064" s="126"/>
      <c r="O1064" s="126" t="s">
        <v>8774</v>
      </c>
      <c r="Q1064" s="3">
        <f t="shared" si="33"/>
        <v>32.24</v>
      </c>
      <c r="U1064" s="3" t="str">
        <f t="shared" si="34"/>
        <v/>
      </c>
    </row>
    <row r="1065" spans="1:21" x14ac:dyDescent="0.35">
      <c r="A1065" s="126" t="s">
        <v>35</v>
      </c>
      <c r="B1065" s="126" t="s">
        <v>2226</v>
      </c>
      <c r="C1065" s="126" t="s">
        <v>2</v>
      </c>
      <c r="D1065" s="126" t="s">
        <v>3</v>
      </c>
      <c r="E1065" s="126">
        <v>32.14</v>
      </c>
      <c r="F1065" s="126" t="s">
        <v>88</v>
      </c>
      <c r="G1065" s="108">
        <v>45630</v>
      </c>
      <c r="H1065" s="126" t="s">
        <v>94</v>
      </c>
      <c r="I1065" s="126" t="s">
        <v>335</v>
      </c>
      <c r="J1065" s="126" t="s">
        <v>336</v>
      </c>
      <c r="K1065" s="126"/>
      <c r="L1065" s="126"/>
      <c r="M1065" s="126"/>
      <c r="N1065" s="126"/>
      <c r="O1065" s="126" t="s">
        <v>7825</v>
      </c>
      <c r="Q1065" s="3">
        <f t="shared" si="33"/>
        <v>32.14</v>
      </c>
      <c r="U1065" s="3" t="str">
        <f t="shared" si="34"/>
        <v/>
      </c>
    </row>
    <row r="1066" spans="1:21" x14ac:dyDescent="0.35">
      <c r="A1066" s="126" t="s">
        <v>0</v>
      </c>
      <c r="B1066" s="126" t="s">
        <v>1423</v>
      </c>
      <c r="C1066" s="126" t="s">
        <v>2</v>
      </c>
      <c r="D1066" s="126" t="s">
        <v>3</v>
      </c>
      <c r="E1066" s="126">
        <v>32.11</v>
      </c>
      <c r="F1066" s="126" t="s">
        <v>88</v>
      </c>
      <c r="G1066" s="108">
        <v>45517</v>
      </c>
      <c r="H1066" s="126" t="s">
        <v>89</v>
      </c>
      <c r="I1066" s="126" t="s">
        <v>8323</v>
      </c>
      <c r="J1066" s="126"/>
      <c r="K1066" s="126" t="s">
        <v>8321</v>
      </c>
      <c r="L1066" s="126" t="s">
        <v>8324</v>
      </c>
      <c r="M1066" s="126" t="s">
        <v>399</v>
      </c>
      <c r="Q1066" s="3">
        <f t="shared" si="33"/>
        <v>32.11</v>
      </c>
      <c r="S1066" s="55" t="s">
        <v>9013</v>
      </c>
      <c r="U1066" s="3" t="str">
        <f t="shared" si="34"/>
        <v/>
      </c>
    </row>
    <row r="1067" spans="1:21" x14ac:dyDescent="0.35">
      <c r="A1067" s="126" t="s">
        <v>0</v>
      </c>
      <c r="B1067" s="126" t="s">
        <v>601</v>
      </c>
      <c r="C1067" s="126" t="s">
        <v>2</v>
      </c>
      <c r="D1067" s="126" t="s">
        <v>3</v>
      </c>
      <c r="E1067" s="126">
        <v>32.08</v>
      </c>
      <c r="F1067" s="126" t="s">
        <v>88</v>
      </c>
      <c r="G1067" s="108">
        <v>45611</v>
      </c>
      <c r="H1067" s="126" t="s">
        <v>89</v>
      </c>
      <c r="I1067" s="126" t="s">
        <v>8737</v>
      </c>
      <c r="J1067" s="126"/>
      <c r="K1067" s="126" t="s">
        <v>8522</v>
      </c>
      <c r="L1067" s="126" t="s">
        <v>8738</v>
      </c>
      <c r="M1067" s="126" t="s">
        <v>399</v>
      </c>
      <c r="Q1067" s="3">
        <f t="shared" si="33"/>
        <v>32.08</v>
      </c>
      <c r="S1067" s="55" t="s">
        <v>9013</v>
      </c>
      <c r="U1067" s="3" t="str">
        <f t="shared" si="34"/>
        <v/>
      </c>
    </row>
    <row r="1068" spans="1:21" x14ac:dyDescent="0.35">
      <c r="A1068" s="126" t="s">
        <v>0</v>
      </c>
      <c r="B1068" s="126" t="s">
        <v>5426</v>
      </c>
      <c r="C1068" s="126" t="s">
        <v>2</v>
      </c>
      <c r="D1068" s="126" t="s">
        <v>3</v>
      </c>
      <c r="E1068" s="126">
        <v>32.03</v>
      </c>
      <c r="F1068" s="126" t="s">
        <v>88</v>
      </c>
      <c r="G1068" s="108">
        <v>45454</v>
      </c>
      <c r="H1068" s="126" t="s">
        <v>89</v>
      </c>
      <c r="I1068" s="126" t="s">
        <v>7956</v>
      </c>
      <c r="J1068" s="126"/>
      <c r="K1068" s="126" t="s">
        <v>101</v>
      </c>
      <c r="L1068" s="126" t="s">
        <v>7957</v>
      </c>
      <c r="M1068" s="126" t="s">
        <v>399</v>
      </c>
      <c r="N1068" s="126"/>
      <c r="O1068" s="126"/>
      <c r="Q1068" s="3">
        <f t="shared" si="33"/>
        <v>32.03</v>
      </c>
      <c r="S1068" s="55" t="s">
        <v>9013</v>
      </c>
      <c r="U1068" s="3" t="str">
        <f t="shared" si="34"/>
        <v/>
      </c>
    </row>
    <row r="1069" spans="1:21" x14ac:dyDescent="0.35">
      <c r="A1069" s="126" t="s">
        <v>0</v>
      </c>
      <c r="B1069" s="126" t="s">
        <v>969</v>
      </c>
      <c r="C1069" s="126" t="s">
        <v>2</v>
      </c>
      <c r="D1069" s="126" t="s">
        <v>3</v>
      </c>
      <c r="E1069" s="126">
        <v>31.949999999999996</v>
      </c>
      <c r="F1069" s="126" t="s">
        <v>88</v>
      </c>
      <c r="G1069" s="108">
        <v>45553</v>
      </c>
      <c r="H1069" s="126" t="s">
        <v>89</v>
      </c>
      <c r="I1069" s="126" t="s">
        <v>8446</v>
      </c>
      <c r="J1069" s="126"/>
      <c r="K1069" s="126" t="s">
        <v>7655</v>
      </c>
      <c r="L1069" s="126" t="s">
        <v>8447</v>
      </c>
      <c r="M1069" s="126" t="s">
        <v>420</v>
      </c>
      <c r="N1069" s="126"/>
      <c r="O1069" s="126"/>
      <c r="Q1069" s="3">
        <f t="shared" si="33"/>
        <v>31.949999999999996</v>
      </c>
      <c r="U1069" s="3" t="str">
        <f t="shared" si="34"/>
        <v/>
      </c>
    </row>
    <row r="1070" spans="1:21" x14ac:dyDescent="0.35">
      <c r="A1070" s="126" t="s">
        <v>35</v>
      </c>
      <c r="B1070" s="126" t="s">
        <v>1416</v>
      </c>
      <c r="C1070" s="126" t="s">
        <v>2</v>
      </c>
      <c r="D1070" s="126" t="s">
        <v>3</v>
      </c>
      <c r="E1070" s="126">
        <v>31.82</v>
      </c>
      <c r="F1070" s="126" t="s">
        <v>88</v>
      </c>
      <c r="G1070" s="108">
        <v>45504</v>
      </c>
      <c r="H1070" s="126" t="s">
        <v>94</v>
      </c>
      <c r="I1070" s="126" t="s">
        <v>3544</v>
      </c>
      <c r="J1070" s="126" t="s">
        <v>8234</v>
      </c>
      <c r="K1070" s="126"/>
      <c r="L1070" s="126"/>
      <c r="M1070" s="126"/>
      <c r="N1070" s="126"/>
      <c r="O1070" s="126" t="s">
        <v>8235</v>
      </c>
      <c r="Q1070" s="3">
        <f t="shared" si="33"/>
        <v>31.82</v>
      </c>
      <c r="U1070" s="3" t="str">
        <f t="shared" si="34"/>
        <v/>
      </c>
    </row>
    <row r="1071" spans="1:21" x14ac:dyDescent="0.35">
      <c r="A1071" s="126" t="s">
        <v>0</v>
      </c>
      <c r="B1071" s="126" t="s">
        <v>969</v>
      </c>
      <c r="C1071" s="126" t="s">
        <v>2</v>
      </c>
      <c r="D1071" s="126" t="s">
        <v>3</v>
      </c>
      <c r="E1071" s="126">
        <v>31.63</v>
      </c>
      <c r="F1071" s="126" t="s">
        <v>88</v>
      </c>
      <c r="G1071" s="108">
        <v>45457</v>
      </c>
      <c r="H1071" s="126" t="s">
        <v>89</v>
      </c>
      <c r="I1071" s="126" t="s">
        <v>7995</v>
      </c>
      <c r="J1071" s="126"/>
      <c r="K1071" s="126" t="s">
        <v>7996</v>
      </c>
      <c r="L1071" s="126" t="s">
        <v>7997</v>
      </c>
      <c r="M1071" s="126" t="s">
        <v>7998</v>
      </c>
      <c r="N1071" s="126"/>
      <c r="O1071" s="126"/>
      <c r="Q1071" s="3">
        <f t="shared" si="33"/>
        <v>31.63</v>
      </c>
      <c r="S1071" s="55" t="s">
        <v>9013</v>
      </c>
      <c r="U1071" s="3" t="str">
        <f t="shared" si="34"/>
        <v/>
      </c>
    </row>
    <row r="1072" spans="1:21" x14ac:dyDescent="0.35">
      <c r="A1072" s="126" t="s">
        <v>0</v>
      </c>
      <c r="B1072" s="126" t="s">
        <v>788</v>
      </c>
      <c r="C1072" s="126" t="s">
        <v>2</v>
      </c>
      <c r="D1072" s="126" t="s">
        <v>3</v>
      </c>
      <c r="E1072" s="126">
        <v>31.63</v>
      </c>
      <c r="F1072" s="126" t="s">
        <v>88</v>
      </c>
      <c r="G1072" s="108">
        <v>45457</v>
      </c>
      <c r="H1072" s="126" t="s">
        <v>89</v>
      </c>
      <c r="I1072" s="126" t="s">
        <v>7995</v>
      </c>
      <c r="J1072" s="126"/>
      <c r="K1072" s="126" t="s">
        <v>7996</v>
      </c>
      <c r="L1072" s="126" t="s">
        <v>7997</v>
      </c>
      <c r="M1072" s="126" t="s">
        <v>7998</v>
      </c>
      <c r="N1072" s="126"/>
      <c r="O1072" s="126"/>
      <c r="Q1072" s="3">
        <f t="shared" si="33"/>
        <v>31.63</v>
      </c>
      <c r="S1072" s="55" t="s">
        <v>9013</v>
      </c>
      <c r="U1072" s="3" t="str">
        <f t="shared" si="34"/>
        <v/>
      </c>
    </row>
    <row r="1073" spans="1:21" x14ac:dyDescent="0.35">
      <c r="A1073" s="126" t="s">
        <v>0</v>
      </c>
      <c r="B1073" s="126" t="s">
        <v>1423</v>
      </c>
      <c r="C1073" s="126" t="s">
        <v>2</v>
      </c>
      <c r="D1073" s="126" t="s">
        <v>3</v>
      </c>
      <c r="E1073" s="126">
        <v>31.58</v>
      </c>
      <c r="F1073" s="126" t="s">
        <v>88</v>
      </c>
      <c r="G1073" s="108">
        <v>45457</v>
      </c>
      <c r="H1073" s="126" t="s">
        <v>89</v>
      </c>
      <c r="I1073" s="126" t="s">
        <v>7995</v>
      </c>
      <c r="J1073" s="126"/>
      <c r="K1073" s="126" t="s">
        <v>7996</v>
      </c>
      <c r="L1073" s="126" t="s">
        <v>7997</v>
      </c>
      <c r="M1073" s="126" t="s">
        <v>7998</v>
      </c>
      <c r="N1073" s="126"/>
      <c r="O1073" s="126"/>
      <c r="Q1073" s="3">
        <f t="shared" si="33"/>
        <v>31.58</v>
      </c>
      <c r="S1073" s="55" t="s">
        <v>9013</v>
      </c>
      <c r="U1073" s="3" t="str">
        <f t="shared" si="34"/>
        <v/>
      </c>
    </row>
    <row r="1074" spans="1:21" x14ac:dyDescent="0.35">
      <c r="A1074" s="126" t="s">
        <v>0</v>
      </c>
      <c r="B1074" s="126" t="s">
        <v>861</v>
      </c>
      <c r="C1074" s="126" t="s">
        <v>2</v>
      </c>
      <c r="D1074" s="126" t="s">
        <v>3</v>
      </c>
      <c r="E1074" s="126">
        <v>31.56</v>
      </c>
      <c r="F1074" s="126" t="s">
        <v>88</v>
      </c>
      <c r="G1074" s="108">
        <v>45457</v>
      </c>
      <c r="H1074" s="126" t="s">
        <v>89</v>
      </c>
      <c r="I1074" s="126" t="s">
        <v>7995</v>
      </c>
      <c r="J1074" s="126"/>
      <c r="K1074" s="126" t="s">
        <v>7996</v>
      </c>
      <c r="L1074" s="126" t="s">
        <v>7997</v>
      </c>
      <c r="M1074" s="126" t="s">
        <v>7998</v>
      </c>
      <c r="N1074" s="126"/>
      <c r="O1074" s="126"/>
      <c r="Q1074" s="3">
        <f t="shared" si="33"/>
        <v>31.56</v>
      </c>
      <c r="S1074" s="55" t="s">
        <v>9013</v>
      </c>
      <c r="U1074" s="3" t="str">
        <f t="shared" si="34"/>
        <v/>
      </c>
    </row>
    <row r="1075" spans="1:21" x14ac:dyDescent="0.35">
      <c r="A1075" s="126" t="s">
        <v>0</v>
      </c>
      <c r="B1075" s="126" t="s">
        <v>1480</v>
      </c>
      <c r="C1075" s="126" t="s">
        <v>2</v>
      </c>
      <c r="D1075" s="126" t="s">
        <v>3</v>
      </c>
      <c r="E1075" s="126">
        <v>31.56</v>
      </c>
      <c r="F1075" s="126" t="s">
        <v>88</v>
      </c>
      <c r="G1075" s="108">
        <v>45457</v>
      </c>
      <c r="H1075" s="126" t="s">
        <v>89</v>
      </c>
      <c r="I1075" s="126" t="s">
        <v>7995</v>
      </c>
      <c r="J1075" s="126"/>
      <c r="K1075" s="126" t="s">
        <v>7996</v>
      </c>
      <c r="L1075" s="126" t="s">
        <v>7997</v>
      </c>
      <c r="M1075" s="126" t="s">
        <v>7998</v>
      </c>
      <c r="N1075" s="126"/>
      <c r="O1075" s="126"/>
      <c r="Q1075" s="3">
        <f t="shared" si="33"/>
        <v>31.56</v>
      </c>
      <c r="S1075" s="55" t="s">
        <v>9013</v>
      </c>
      <c r="U1075" s="3" t="str">
        <f t="shared" si="34"/>
        <v/>
      </c>
    </row>
    <row r="1076" spans="1:21" x14ac:dyDescent="0.35">
      <c r="A1076" s="126" t="s">
        <v>35</v>
      </c>
      <c r="B1076" s="126" t="s">
        <v>3422</v>
      </c>
      <c r="C1076" s="126" t="s">
        <v>2</v>
      </c>
      <c r="D1076" s="126" t="s">
        <v>3</v>
      </c>
      <c r="E1076" s="126">
        <v>31.55</v>
      </c>
      <c r="F1076" s="126" t="s">
        <v>88</v>
      </c>
      <c r="G1076" s="108">
        <v>45495</v>
      </c>
      <c r="H1076" s="126" t="s">
        <v>94</v>
      </c>
      <c r="I1076" s="126" t="s">
        <v>459</v>
      </c>
      <c r="J1076" s="126" t="s">
        <v>8205</v>
      </c>
      <c r="K1076" s="126"/>
      <c r="L1076" s="126"/>
      <c r="M1076" s="126"/>
      <c r="N1076" s="126"/>
      <c r="O1076" s="126" t="s">
        <v>538</v>
      </c>
      <c r="Q1076" s="3">
        <f t="shared" si="33"/>
        <v>31.55</v>
      </c>
      <c r="S1076" s="55" t="s">
        <v>9014</v>
      </c>
      <c r="U1076" s="3" t="str">
        <f t="shared" si="34"/>
        <v/>
      </c>
    </row>
    <row r="1077" spans="1:21" x14ac:dyDescent="0.35">
      <c r="A1077" s="126" t="s">
        <v>0</v>
      </c>
      <c r="B1077" s="126" t="s">
        <v>909</v>
      </c>
      <c r="C1077" s="126" t="s">
        <v>2</v>
      </c>
      <c r="D1077" s="126" t="s">
        <v>3</v>
      </c>
      <c r="E1077" s="126">
        <v>31.54</v>
      </c>
      <c r="F1077" s="126" t="s">
        <v>88</v>
      </c>
      <c r="G1077" s="108">
        <v>45457</v>
      </c>
      <c r="H1077" s="126" t="s">
        <v>89</v>
      </c>
      <c r="I1077" s="126" t="s">
        <v>7995</v>
      </c>
      <c r="J1077" s="126"/>
      <c r="K1077" s="126" t="s">
        <v>7996</v>
      </c>
      <c r="L1077" s="126" t="s">
        <v>7997</v>
      </c>
      <c r="M1077" s="126" t="s">
        <v>7998</v>
      </c>
      <c r="N1077" s="126"/>
      <c r="O1077" s="126"/>
      <c r="Q1077" s="3">
        <f t="shared" si="33"/>
        <v>31.54</v>
      </c>
      <c r="S1077" s="55" t="s">
        <v>9013</v>
      </c>
      <c r="U1077" s="3" t="str">
        <f t="shared" si="34"/>
        <v/>
      </c>
    </row>
    <row r="1078" spans="1:21" x14ac:dyDescent="0.35">
      <c r="A1078" s="126" t="s">
        <v>35</v>
      </c>
      <c r="B1078" s="126" t="s">
        <v>788</v>
      </c>
      <c r="C1078" s="126" t="s">
        <v>2</v>
      </c>
      <c r="D1078" s="126" t="s">
        <v>3</v>
      </c>
      <c r="E1078" s="126">
        <v>31.15</v>
      </c>
      <c r="F1078" s="126" t="s">
        <v>88</v>
      </c>
      <c r="G1078" s="108">
        <v>45572</v>
      </c>
      <c r="H1078" s="126" t="s">
        <v>94</v>
      </c>
      <c r="I1078" s="126" t="s">
        <v>438</v>
      </c>
      <c r="J1078" s="126" t="s">
        <v>8537</v>
      </c>
      <c r="K1078" s="126"/>
      <c r="L1078" s="126"/>
      <c r="M1078" s="126"/>
      <c r="N1078" s="126"/>
      <c r="O1078" s="126" t="s">
        <v>567</v>
      </c>
      <c r="Q1078" s="3">
        <f t="shared" si="33"/>
        <v>31.15</v>
      </c>
      <c r="S1078" s="55" t="s">
        <v>9014</v>
      </c>
      <c r="U1078" s="3" t="str">
        <f t="shared" si="34"/>
        <v/>
      </c>
    </row>
    <row r="1079" spans="1:21" x14ac:dyDescent="0.35">
      <c r="A1079" s="126" t="s">
        <v>35</v>
      </c>
      <c r="B1079" s="126" t="s">
        <v>1533</v>
      </c>
      <c r="C1079" s="126" t="s">
        <v>2</v>
      </c>
      <c r="D1079" s="126" t="s">
        <v>3</v>
      </c>
      <c r="E1079" s="126">
        <v>30.87</v>
      </c>
      <c r="F1079" s="126" t="s">
        <v>88</v>
      </c>
      <c r="G1079" s="108">
        <v>45384</v>
      </c>
      <c r="H1079" s="126" t="s">
        <v>94</v>
      </c>
      <c r="I1079" s="126" t="s">
        <v>424</v>
      </c>
      <c r="J1079" s="126" t="s">
        <v>395</v>
      </c>
      <c r="K1079" s="126"/>
      <c r="L1079" s="126"/>
      <c r="M1079" s="126"/>
      <c r="N1079" s="126"/>
      <c r="O1079" s="126" t="s">
        <v>523</v>
      </c>
      <c r="Q1079" s="3">
        <f t="shared" si="33"/>
        <v>30.87</v>
      </c>
      <c r="S1079" s="55" t="s">
        <v>586</v>
      </c>
      <c r="U1079" s="3" t="str">
        <f t="shared" si="34"/>
        <v/>
      </c>
    </row>
    <row r="1080" spans="1:21" x14ac:dyDescent="0.35">
      <c r="A1080" s="126" t="s">
        <v>35</v>
      </c>
      <c r="B1080" s="126" t="s">
        <v>768</v>
      </c>
      <c r="C1080" s="126" t="s">
        <v>2</v>
      </c>
      <c r="D1080" s="126" t="s">
        <v>3</v>
      </c>
      <c r="E1080" s="126">
        <v>30.68</v>
      </c>
      <c r="F1080" s="126" t="s">
        <v>88</v>
      </c>
      <c r="G1080" s="108">
        <v>45449</v>
      </c>
      <c r="H1080" s="126" t="s">
        <v>94</v>
      </c>
      <c r="I1080" s="126" t="s">
        <v>406</v>
      </c>
      <c r="J1080" s="126" t="s">
        <v>407</v>
      </c>
      <c r="K1080" s="126"/>
      <c r="L1080" s="126"/>
      <c r="M1080" s="126"/>
      <c r="N1080" s="126"/>
      <c r="O1080" s="126" t="s">
        <v>7946</v>
      </c>
      <c r="Q1080" s="3">
        <f t="shared" si="33"/>
        <v>30.68</v>
      </c>
      <c r="U1080" s="3" t="str">
        <f t="shared" si="34"/>
        <v/>
      </c>
    </row>
    <row r="1081" spans="1:21" x14ac:dyDescent="0.35">
      <c r="A1081" s="126" t="s">
        <v>35</v>
      </c>
      <c r="B1081" s="126" t="s">
        <v>5426</v>
      </c>
      <c r="C1081" s="126" t="s">
        <v>2</v>
      </c>
      <c r="D1081" s="126" t="s">
        <v>3</v>
      </c>
      <c r="E1081" s="126">
        <v>30.47</v>
      </c>
      <c r="F1081" s="126" t="s">
        <v>88</v>
      </c>
      <c r="G1081" s="108">
        <v>45391</v>
      </c>
      <c r="H1081" s="126" t="s">
        <v>94</v>
      </c>
      <c r="I1081" s="126" t="s">
        <v>475</v>
      </c>
      <c r="J1081" s="126" t="s">
        <v>409</v>
      </c>
      <c r="K1081" s="126"/>
      <c r="L1081" s="126"/>
      <c r="M1081" s="126"/>
      <c r="N1081" s="126"/>
      <c r="O1081" s="126" t="s">
        <v>518</v>
      </c>
      <c r="Q1081" s="3">
        <f t="shared" si="33"/>
        <v>30.47</v>
      </c>
      <c r="S1081" s="55" t="s">
        <v>586</v>
      </c>
      <c r="U1081" s="3" t="str">
        <f t="shared" si="34"/>
        <v/>
      </c>
    </row>
    <row r="1082" spans="1:21" x14ac:dyDescent="0.35">
      <c r="A1082" s="126" t="s">
        <v>35</v>
      </c>
      <c r="B1082" s="126" t="s">
        <v>2226</v>
      </c>
      <c r="C1082" s="126" t="s">
        <v>2</v>
      </c>
      <c r="D1082" s="126" t="s">
        <v>3</v>
      </c>
      <c r="E1082" s="126">
        <v>30.45</v>
      </c>
      <c r="F1082" s="126" t="s">
        <v>88</v>
      </c>
      <c r="G1082" s="108">
        <v>45600</v>
      </c>
      <c r="H1082" s="126" t="s">
        <v>94</v>
      </c>
      <c r="I1082" s="126" t="s">
        <v>8647</v>
      </c>
      <c r="J1082" s="126" t="s">
        <v>336</v>
      </c>
      <c r="K1082" s="126"/>
      <c r="L1082" s="126"/>
      <c r="M1082" s="126"/>
      <c r="N1082" s="126"/>
      <c r="O1082" s="126" t="s">
        <v>8648</v>
      </c>
      <c r="Q1082" s="3">
        <f t="shared" si="33"/>
        <v>30.45</v>
      </c>
      <c r="U1082" s="3" t="str">
        <f t="shared" si="34"/>
        <v/>
      </c>
    </row>
    <row r="1083" spans="1:21" x14ac:dyDescent="0.35">
      <c r="A1083" s="126" t="s">
        <v>35</v>
      </c>
      <c r="B1083" s="126" t="s">
        <v>4583</v>
      </c>
      <c r="C1083" s="126" t="s">
        <v>2</v>
      </c>
      <c r="D1083" s="126" t="s">
        <v>3</v>
      </c>
      <c r="E1083" s="126">
        <v>30.42</v>
      </c>
      <c r="F1083" s="126" t="s">
        <v>88</v>
      </c>
      <c r="G1083" s="108">
        <v>45517</v>
      </c>
      <c r="H1083" s="126" t="s">
        <v>94</v>
      </c>
      <c r="I1083" s="126" t="s">
        <v>501</v>
      </c>
      <c r="J1083" s="126" t="s">
        <v>502</v>
      </c>
      <c r="K1083" s="126"/>
      <c r="L1083" s="126"/>
      <c r="M1083" s="126"/>
      <c r="N1083" s="126"/>
      <c r="O1083" s="126" t="s">
        <v>574</v>
      </c>
      <c r="Q1083" s="3">
        <f t="shared" si="33"/>
        <v>30.42</v>
      </c>
      <c r="S1083" s="55" t="s">
        <v>9014</v>
      </c>
      <c r="U1083" s="3" t="str">
        <f t="shared" si="34"/>
        <v/>
      </c>
    </row>
    <row r="1084" spans="1:21" x14ac:dyDescent="0.35">
      <c r="A1084" s="126" t="s">
        <v>0</v>
      </c>
      <c r="B1084" s="126" t="s">
        <v>969</v>
      </c>
      <c r="C1084" s="126" t="s">
        <v>2</v>
      </c>
      <c r="D1084" s="126" t="s">
        <v>3</v>
      </c>
      <c r="E1084" s="126">
        <v>30.28</v>
      </c>
      <c r="F1084" s="126" t="s">
        <v>88</v>
      </c>
      <c r="G1084" s="108">
        <v>45632</v>
      </c>
      <c r="H1084" s="126" t="s">
        <v>89</v>
      </c>
      <c r="I1084" s="126" t="s">
        <v>8867</v>
      </c>
      <c r="J1084" s="126"/>
      <c r="K1084" s="126" t="s">
        <v>8836</v>
      </c>
      <c r="L1084" s="126" t="s">
        <v>8868</v>
      </c>
      <c r="M1084" s="126" t="s">
        <v>420</v>
      </c>
      <c r="N1084" s="126"/>
      <c r="O1084" s="126"/>
      <c r="Q1084" s="3">
        <f t="shared" si="33"/>
        <v>30.28</v>
      </c>
      <c r="U1084" s="3" t="str">
        <f t="shared" si="34"/>
        <v/>
      </c>
    </row>
    <row r="1085" spans="1:21" x14ac:dyDescent="0.35">
      <c r="A1085" s="126" t="s">
        <v>35</v>
      </c>
      <c r="B1085" s="126" t="s">
        <v>825</v>
      </c>
      <c r="C1085" s="126" t="s">
        <v>2</v>
      </c>
      <c r="D1085" s="126" t="s">
        <v>3</v>
      </c>
      <c r="E1085" s="126">
        <v>30.14</v>
      </c>
      <c r="F1085" s="126" t="s">
        <v>88</v>
      </c>
      <c r="G1085" s="108">
        <v>45574</v>
      </c>
      <c r="H1085" s="126" t="s">
        <v>94</v>
      </c>
      <c r="I1085" s="126" t="s">
        <v>448</v>
      </c>
      <c r="J1085" s="126" t="s">
        <v>235</v>
      </c>
      <c r="K1085" s="126"/>
      <c r="L1085" s="126"/>
      <c r="M1085" s="126"/>
      <c r="N1085" s="126"/>
      <c r="O1085" s="126" t="s">
        <v>564</v>
      </c>
      <c r="Q1085" s="3">
        <f t="shared" si="33"/>
        <v>30.14</v>
      </c>
      <c r="U1085" s="3" t="str">
        <f t="shared" si="34"/>
        <v/>
      </c>
    </row>
    <row r="1086" spans="1:21" x14ac:dyDescent="0.35">
      <c r="A1086" s="126" t="s">
        <v>35</v>
      </c>
      <c r="B1086" s="126" t="s">
        <v>3466</v>
      </c>
      <c r="C1086" s="126" t="s">
        <v>2</v>
      </c>
      <c r="D1086" s="126" t="s">
        <v>3</v>
      </c>
      <c r="E1086" s="126">
        <v>30.11</v>
      </c>
      <c r="F1086" s="126" t="s">
        <v>88</v>
      </c>
      <c r="G1086" s="108">
        <v>45580</v>
      </c>
      <c r="H1086" s="126" t="s">
        <v>94</v>
      </c>
      <c r="I1086" s="126" t="s">
        <v>8221</v>
      </c>
      <c r="J1086" s="126" t="s">
        <v>8565</v>
      </c>
      <c r="K1086" s="126"/>
      <c r="L1086" s="126"/>
      <c r="M1086" s="126"/>
      <c r="N1086" s="126"/>
      <c r="O1086" s="126" t="s">
        <v>553</v>
      </c>
      <c r="Q1086" s="3">
        <f t="shared" si="33"/>
        <v>30.11</v>
      </c>
      <c r="S1086" s="55" t="s">
        <v>9014</v>
      </c>
      <c r="U1086" s="3" t="str">
        <f t="shared" si="34"/>
        <v/>
      </c>
    </row>
    <row r="1087" spans="1:21" x14ac:dyDescent="0.35">
      <c r="A1087" s="126" t="s">
        <v>35</v>
      </c>
      <c r="B1087" s="126" t="s">
        <v>601</v>
      </c>
      <c r="C1087" s="126" t="s">
        <v>2</v>
      </c>
      <c r="D1087" s="126" t="s">
        <v>3</v>
      </c>
      <c r="E1087" s="126">
        <v>29.91</v>
      </c>
      <c r="F1087" s="126" t="s">
        <v>88</v>
      </c>
      <c r="G1087" s="108">
        <v>45565</v>
      </c>
      <c r="H1087" s="126" t="s">
        <v>94</v>
      </c>
      <c r="I1087" s="126" t="s">
        <v>2935</v>
      </c>
      <c r="J1087" s="126" t="s">
        <v>511</v>
      </c>
      <c r="K1087" s="126"/>
      <c r="L1087" s="126"/>
      <c r="M1087" s="126"/>
      <c r="N1087" s="126"/>
      <c r="O1087" s="126" t="s">
        <v>556</v>
      </c>
      <c r="Q1087" s="3">
        <f t="shared" si="33"/>
        <v>29.91</v>
      </c>
      <c r="S1087" s="55" t="s">
        <v>586</v>
      </c>
      <c r="U1087" s="3" t="str">
        <f t="shared" si="34"/>
        <v/>
      </c>
    </row>
    <row r="1088" spans="1:21" x14ac:dyDescent="0.35">
      <c r="A1088" s="126" t="s">
        <v>35</v>
      </c>
      <c r="B1088" s="126" t="s">
        <v>893</v>
      </c>
      <c r="C1088" s="126" t="s">
        <v>2</v>
      </c>
      <c r="D1088" s="126" t="s">
        <v>3</v>
      </c>
      <c r="E1088" s="126">
        <v>29.73</v>
      </c>
      <c r="F1088" s="126" t="s">
        <v>88</v>
      </c>
      <c r="G1088" s="108">
        <v>45602</v>
      </c>
      <c r="H1088" s="126" t="s">
        <v>94</v>
      </c>
      <c r="I1088" s="126" t="s">
        <v>4458</v>
      </c>
      <c r="J1088" s="126" t="s">
        <v>327</v>
      </c>
      <c r="K1088" s="126"/>
      <c r="L1088" s="126"/>
      <c r="M1088" s="126"/>
      <c r="N1088" s="126"/>
      <c r="O1088" s="126" t="s">
        <v>571</v>
      </c>
      <c r="Q1088" s="3">
        <f t="shared" si="33"/>
        <v>29.73</v>
      </c>
      <c r="U1088" s="3" t="str">
        <f t="shared" si="34"/>
        <v/>
      </c>
    </row>
    <row r="1089" spans="1:21" x14ac:dyDescent="0.35">
      <c r="A1089" s="126" t="s">
        <v>0</v>
      </c>
      <c r="B1089" s="126" t="s">
        <v>969</v>
      </c>
      <c r="C1089" s="126" t="s">
        <v>2</v>
      </c>
      <c r="D1089" s="126" t="s">
        <v>3</v>
      </c>
      <c r="E1089" s="126">
        <v>29.32</v>
      </c>
      <c r="F1089" s="126" t="s">
        <v>88</v>
      </c>
      <c r="G1089" s="108">
        <v>45629</v>
      </c>
      <c r="H1089" s="126" t="s">
        <v>89</v>
      </c>
      <c r="I1089" s="126" t="s">
        <v>8835</v>
      </c>
      <c r="J1089" s="126"/>
      <c r="K1089" s="126" t="s">
        <v>8836</v>
      </c>
      <c r="L1089" s="126" t="s">
        <v>8837</v>
      </c>
      <c r="M1089" s="126" t="s">
        <v>420</v>
      </c>
      <c r="N1089" s="126"/>
      <c r="O1089" s="126"/>
      <c r="Q1089" s="3">
        <f t="shared" si="33"/>
        <v>29.32</v>
      </c>
      <c r="U1089" s="3" t="str">
        <f t="shared" si="34"/>
        <v/>
      </c>
    </row>
    <row r="1090" spans="1:21" x14ac:dyDescent="0.35">
      <c r="A1090" s="126" t="s">
        <v>35</v>
      </c>
      <c r="B1090" s="126" t="s">
        <v>4583</v>
      </c>
      <c r="C1090" s="126" t="s">
        <v>2</v>
      </c>
      <c r="D1090" s="126" t="s">
        <v>3</v>
      </c>
      <c r="E1090" s="126">
        <v>29.16</v>
      </c>
      <c r="F1090" s="126" t="s">
        <v>88</v>
      </c>
      <c r="G1090" s="108">
        <v>45537</v>
      </c>
      <c r="H1090" s="126" t="s">
        <v>94</v>
      </c>
      <c r="I1090" s="126" t="s">
        <v>501</v>
      </c>
      <c r="J1090" s="126" t="s">
        <v>502</v>
      </c>
      <c r="K1090" s="126"/>
      <c r="L1090" s="126"/>
      <c r="M1090" s="126"/>
      <c r="N1090" s="126"/>
      <c r="O1090" s="126" t="s">
        <v>574</v>
      </c>
      <c r="Q1090" s="3">
        <f t="shared" si="33"/>
        <v>29.16</v>
      </c>
      <c r="S1090" s="55" t="s">
        <v>9014</v>
      </c>
      <c r="U1090" s="3" t="str">
        <f t="shared" si="34"/>
        <v/>
      </c>
    </row>
    <row r="1091" spans="1:21" x14ac:dyDescent="0.35">
      <c r="A1091" s="126" t="s">
        <v>35</v>
      </c>
      <c r="B1091" s="126" t="s">
        <v>915</v>
      </c>
      <c r="C1091" s="126" t="s">
        <v>2</v>
      </c>
      <c r="D1091" s="126" t="s">
        <v>3</v>
      </c>
      <c r="E1091" s="126">
        <v>29</v>
      </c>
      <c r="F1091" s="126" t="s">
        <v>88</v>
      </c>
      <c r="G1091" s="108">
        <v>45524</v>
      </c>
      <c r="H1091" s="126" t="s">
        <v>94</v>
      </c>
      <c r="I1091" s="126" t="s">
        <v>4746</v>
      </c>
      <c r="J1091" s="126" t="s">
        <v>8293</v>
      </c>
      <c r="K1091" s="126"/>
      <c r="L1091" s="126"/>
      <c r="M1091" s="126"/>
      <c r="N1091" s="126"/>
      <c r="O1091" s="126" t="s">
        <v>7888</v>
      </c>
      <c r="Q1091" s="3">
        <f t="shared" si="33"/>
        <v>29</v>
      </c>
      <c r="S1091" s="55" t="s">
        <v>586</v>
      </c>
      <c r="U1091" s="3" t="str">
        <f t="shared" si="34"/>
        <v/>
      </c>
    </row>
    <row r="1092" spans="1:21" x14ac:dyDescent="0.35">
      <c r="A1092" s="126" t="s">
        <v>35</v>
      </c>
      <c r="B1092" s="126" t="s">
        <v>1533</v>
      </c>
      <c r="C1092" s="126" t="s">
        <v>2</v>
      </c>
      <c r="D1092" s="126" t="s">
        <v>3</v>
      </c>
      <c r="E1092" s="126">
        <v>28.9</v>
      </c>
      <c r="F1092" s="126" t="s">
        <v>88</v>
      </c>
      <c r="G1092" s="108">
        <v>45428</v>
      </c>
      <c r="H1092" s="126" t="s">
        <v>94</v>
      </c>
      <c r="I1092" s="126" t="s">
        <v>7831</v>
      </c>
      <c r="J1092" s="126" t="s">
        <v>7832</v>
      </c>
      <c r="K1092" s="126"/>
      <c r="L1092" s="126"/>
      <c r="M1092" s="126"/>
      <c r="N1092" s="126"/>
      <c r="O1092" s="126" t="s">
        <v>534</v>
      </c>
      <c r="Q1092" s="3">
        <f t="shared" si="33"/>
        <v>28.9</v>
      </c>
      <c r="U1092" s="3" t="str">
        <f t="shared" si="34"/>
        <v/>
      </c>
    </row>
    <row r="1093" spans="1:21" x14ac:dyDescent="0.35">
      <c r="A1093" s="126" t="s">
        <v>35</v>
      </c>
      <c r="B1093" s="126" t="s">
        <v>1533</v>
      </c>
      <c r="C1093" s="126" t="s">
        <v>2</v>
      </c>
      <c r="D1093" s="126" t="s">
        <v>3</v>
      </c>
      <c r="E1093" s="126">
        <v>28.9</v>
      </c>
      <c r="F1093" s="126" t="s">
        <v>88</v>
      </c>
      <c r="G1093" s="108">
        <v>45439</v>
      </c>
      <c r="H1093" s="126" t="s">
        <v>94</v>
      </c>
      <c r="I1093" s="126" t="s">
        <v>7831</v>
      </c>
      <c r="J1093" s="126" t="s">
        <v>7832</v>
      </c>
      <c r="K1093" s="126"/>
      <c r="L1093" s="126"/>
      <c r="M1093" s="126"/>
      <c r="N1093" s="126"/>
      <c r="O1093" s="126" t="s">
        <v>534</v>
      </c>
      <c r="Q1093" s="3">
        <f t="shared" si="33"/>
        <v>28.9</v>
      </c>
      <c r="U1093" s="3" t="str">
        <f t="shared" si="34"/>
        <v/>
      </c>
    </row>
    <row r="1094" spans="1:21" x14ac:dyDescent="0.35">
      <c r="A1094" s="126" t="s">
        <v>0</v>
      </c>
      <c r="B1094" s="126" t="s">
        <v>868</v>
      </c>
      <c r="C1094" s="126" t="s">
        <v>2</v>
      </c>
      <c r="D1094" s="126" t="s">
        <v>3</v>
      </c>
      <c r="E1094" s="126">
        <v>28.68</v>
      </c>
      <c r="F1094" s="126" t="s">
        <v>88</v>
      </c>
      <c r="G1094" s="108">
        <v>45454</v>
      </c>
      <c r="H1094" s="126" t="s">
        <v>89</v>
      </c>
      <c r="I1094" s="126" t="s">
        <v>7961</v>
      </c>
      <c r="J1094" s="126"/>
      <c r="K1094" s="126" t="s">
        <v>7959</v>
      </c>
      <c r="L1094" s="126" t="s">
        <v>7962</v>
      </c>
      <c r="M1094" s="126" t="s">
        <v>399</v>
      </c>
      <c r="Q1094" s="3">
        <f t="shared" si="33"/>
        <v>28.68</v>
      </c>
      <c r="S1094" s="55" t="s">
        <v>9013</v>
      </c>
      <c r="U1094" s="3" t="str">
        <f t="shared" si="34"/>
        <v/>
      </c>
    </row>
    <row r="1095" spans="1:21" x14ac:dyDescent="0.35">
      <c r="A1095" s="126" t="s">
        <v>0</v>
      </c>
      <c r="B1095" s="126" t="s">
        <v>868</v>
      </c>
      <c r="C1095" s="126" t="s">
        <v>2</v>
      </c>
      <c r="D1095" s="126" t="s">
        <v>3</v>
      </c>
      <c r="E1095" s="126">
        <v>28.68</v>
      </c>
      <c r="F1095" s="126" t="s">
        <v>88</v>
      </c>
      <c r="G1095" s="108">
        <v>45544</v>
      </c>
      <c r="H1095" s="126" t="s">
        <v>89</v>
      </c>
      <c r="I1095" s="126" t="s">
        <v>8400</v>
      </c>
      <c r="J1095" s="126"/>
      <c r="K1095" s="126" t="s">
        <v>8321</v>
      </c>
      <c r="L1095" s="126" t="s">
        <v>8401</v>
      </c>
      <c r="M1095" s="126" t="s">
        <v>399</v>
      </c>
      <c r="Q1095" s="3">
        <f t="shared" si="33"/>
        <v>28.68</v>
      </c>
      <c r="S1095" s="55" t="s">
        <v>9013</v>
      </c>
      <c r="U1095" s="3" t="str">
        <f t="shared" si="34"/>
        <v/>
      </c>
    </row>
    <row r="1096" spans="1:21" x14ac:dyDescent="0.35">
      <c r="A1096" s="126" t="s">
        <v>0</v>
      </c>
      <c r="B1096" s="126" t="s">
        <v>868</v>
      </c>
      <c r="C1096" s="126" t="s">
        <v>2</v>
      </c>
      <c r="D1096" s="126" t="s">
        <v>3</v>
      </c>
      <c r="E1096" s="126">
        <v>28.68</v>
      </c>
      <c r="F1096" s="126" t="s">
        <v>88</v>
      </c>
      <c r="G1096" s="108">
        <v>45635</v>
      </c>
      <c r="H1096" s="126" t="s">
        <v>89</v>
      </c>
      <c r="I1096" s="126" t="s">
        <v>8881</v>
      </c>
      <c r="J1096" s="126"/>
      <c r="K1096" s="126" t="s">
        <v>8735</v>
      </c>
      <c r="L1096" s="126" t="s">
        <v>8882</v>
      </c>
      <c r="M1096" s="126" t="s">
        <v>399</v>
      </c>
      <c r="Q1096" s="3">
        <f t="shared" ref="Q1096:Q1159" si="35">ABS(E1096)</f>
        <v>28.68</v>
      </c>
      <c r="S1096" s="55" t="s">
        <v>9013</v>
      </c>
      <c r="U1096" s="3" t="str">
        <f t="shared" ref="U1096:U1159" si="36">IF(T1096="Y",E1096,"")</f>
        <v/>
      </c>
    </row>
    <row r="1097" spans="1:21" x14ac:dyDescent="0.35">
      <c r="A1097" s="126" t="s">
        <v>35</v>
      </c>
      <c r="B1097" s="126" t="s">
        <v>1411</v>
      </c>
      <c r="C1097" s="126" t="s">
        <v>2</v>
      </c>
      <c r="D1097" s="126" t="s">
        <v>3</v>
      </c>
      <c r="E1097" s="126">
        <v>28.25</v>
      </c>
      <c r="F1097" s="126" t="s">
        <v>88</v>
      </c>
      <c r="G1097" s="108">
        <v>45495</v>
      </c>
      <c r="H1097" s="126" t="s">
        <v>94</v>
      </c>
      <c r="I1097" s="126" t="s">
        <v>7912</v>
      </c>
      <c r="J1097" s="126" t="s">
        <v>7913</v>
      </c>
      <c r="K1097" s="126"/>
      <c r="L1097" s="126"/>
      <c r="M1097" s="126"/>
      <c r="N1097" s="126"/>
      <c r="O1097" s="126" t="s">
        <v>7779</v>
      </c>
      <c r="Q1097" s="3">
        <f t="shared" si="35"/>
        <v>28.25</v>
      </c>
      <c r="U1097" s="3" t="str">
        <f t="shared" si="36"/>
        <v/>
      </c>
    </row>
    <row r="1098" spans="1:21" x14ac:dyDescent="0.35">
      <c r="A1098" s="126" t="s">
        <v>35</v>
      </c>
      <c r="B1098" s="126" t="s">
        <v>915</v>
      </c>
      <c r="C1098" s="126" t="s">
        <v>2</v>
      </c>
      <c r="D1098" s="126" t="s">
        <v>3</v>
      </c>
      <c r="E1098" s="126">
        <v>28.18</v>
      </c>
      <c r="F1098" s="126" t="s">
        <v>88</v>
      </c>
      <c r="G1098" s="108">
        <v>45656</v>
      </c>
      <c r="H1098" s="126" t="s">
        <v>94</v>
      </c>
      <c r="I1098" s="126" t="s">
        <v>7766</v>
      </c>
      <c r="J1098" s="126" t="s">
        <v>9002</v>
      </c>
      <c r="K1098" s="126"/>
      <c r="L1098" s="126"/>
      <c r="M1098" s="126"/>
      <c r="N1098" s="126"/>
      <c r="O1098" s="126" t="s">
        <v>7078</v>
      </c>
      <c r="Q1098" s="3">
        <f t="shared" si="35"/>
        <v>28.18</v>
      </c>
      <c r="U1098" s="3" t="str">
        <f t="shared" si="36"/>
        <v/>
      </c>
    </row>
    <row r="1099" spans="1:21" x14ac:dyDescent="0.35">
      <c r="A1099" s="126" t="s">
        <v>35</v>
      </c>
      <c r="B1099" s="126" t="s">
        <v>1106</v>
      </c>
      <c r="C1099" s="126" t="s">
        <v>2</v>
      </c>
      <c r="D1099" s="126" t="s">
        <v>3</v>
      </c>
      <c r="E1099" s="126">
        <v>27.98</v>
      </c>
      <c r="F1099" s="126" t="s">
        <v>88</v>
      </c>
      <c r="G1099" s="108">
        <v>45452</v>
      </c>
      <c r="H1099" s="126" t="s">
        <v>89</v>
      </c>
      <c r="I1099" s="126" t="s">
        <v>7950</v>
      </c>
      <c r="J1099" s="126"/>
      <c r="K1099" s="126" t="s">
        <v>101</v>
      </c>
      <c r="L1099" s="126" t="s">
        <v>7951</v>
      </c>
      <c r="M1099" s="126" t="s">
        <v>441</v>
      </c>
      <c r="N1099" s="126"/>
      <c r="O1099" s="126"/>
      <c r="Q1099" s="3">
        <f t="shared" si="35"/>
        <v>27.98</v>
      </c>
      <c r="U1099" s="3" t="str">
        <f t="shared" si="36"/>
        <v/>
      </c>
    </row>
    <row r="1100" spans="1:21" x14ac:dyDescent="0.35">
      <c r="A1100" s="126" t="s">
        <v>35</v>
      </c>
      <c r="B1100" s="126" t="s">
        <v>1106</v>
      </c>
      <c r="C1100" s="126" t="s">
        <v>2</v>
      </c>
      <c r="D1100" s="126" t="s">
        <v>3</v>
      </c>
      <c r="E1100" s="126">
        <v>27.98</v>
      </c>
      <c r="F1100" s="126" t="s">
        <v>88</v>
      </c>
      <c r="G1100" s="108">
        <v>45516</v>
      </c>
      <c r="H1100" s="126" t="s">
        <v>89</v>
      </c>
      <c r="I1100" s="126" t="s">
        <v>8310</v>
      </c>
      <c r="J1100" s="126"/>
      <c r="K1100" s="126" t="s">
        <v>8311</v>
      </c>
      <c r="L1100" s="126" t="s">
        <v>8312</v>
      </c>
      <c r="M1100" s="126" t="s">
        <v>441</v>
      </c>
      <c r="N1100" s="126"/>
      <c r="O1100" s="126"/>
      <c r="Q1100" s="3">
        <f t="shared" si="35"/>
        <v>27.98</v>
      </c>
      <c r="U1100" s="3" t="str">
        <f t="shared" si="36"/>
        <v/>
      </c>
    </row>
    <row r="1101" spans="1:21" x14ac:dyDescent="0.35">
      <c r="A1101" s="126" t="s">
        <v>0</v>
      </c>
      <c r="B1101" s="126" t="s">
        <v>7694</v>
      </c>
      <c r="C1101" s="126" t="s">
        <v>2</v>
      </c>
      <c r="D1101" s="126" t="s">
        <v>3</v>
      </c>
      <c r="E1101" s="126">
        <v>27.96</v>
      </c>
      <c r="F1101" s="126" t="s">
        <v>88</v>
      </c>
      <c r="G1101" s="108">
        <v>45391</v>
      </c>
      <c r="H1101" s="126" t="s">
        <v>89</v>
      </c>
      <c r="I1101" s="126" t="s">
        <v>7691</v>
      </c>
      <c r="J1101" s="126"/>
      <c r="K1101" s="126" t="s">
        <v>7672</v>
      </c>
      <c r="L1101" s="126" t="s">
        <v>7692</v>
      </c>
      <c r="M1101" s="126" t="s">
        <v>399</v>
      </c>
      <c r="N1101" s="35"/>
      <c r="O1101" s="35"/>
      <c r="Q1101" s="3">
        <f t="shared" si="35"/>
        <v>27.96</v>
      </c>
      <c r="S1101" s="55" t="s">
        <v>9013</v>
      </c>
      <c r="U1101" s="3" t="str">
        <f t="shared" si="36"/>
        <v/>
      </c>
    </row>
    <row r="1102" spans="1:21" x14ac:dyDescent="0.35">
      <c r="A1102" s="126" t="s">
        <v>0</v>
      </c>
      <c r="B1102" s="126" t="s">
        <v>7694</v>
      </c>
      <c r="C1102" s="126" t="s">
        <v>2</v>
      </c>
      <c r="D1102" s="126" t="s">
        <v>3</v>
      </c>
      <c r="E1102" s="126">
        <v>27.96</v>
      </c>
      <c r="F1102" s="126" t="s">
        <v>88</v>
      </c>
      <c r="G1102" s="108">
        <v>45432</v>
      </c>
      <c r="H1102" s="126" t="s">
        <v>89</v>
      </c>
      <c r="I1102" s="126" t="s">
        <v>7839</v>
      </c>
      <c r="J1102" s="126"/>
      <c r="K1102" s="126" t="s">
        <v>7840</v>
      </c>
      <c r="L1102" s="126" t="s">
        <v>7841</v>
      </c>
      <c r="M1102" s="126" t="s">
        <v>399</v>
      </c>
      <c r="N1102" s="35"/>
      <c r="O1102" s="35"/>
      <c r="Q1102" s="3">
        <f t="shared" si="35"/>
        <v>27.96</v>
      </c>
      <c r="S1102" s="55" t="s">
        <v>9013</v>
      </c>
      <c r="U1102" s="3" t="str">
        <f t="shared" si="36"/>
        <v/>
      </c>
    </row>
    <row r="1103" spans="1:21" x14ac:dyDescent="0.35">
      <c r="A1103" s="126" t="s">
        <v>0</v>
      </c>
      <c r="B1103" s="126" t="s">
        <v>7694</v>
      </c>
      <c r="C1103" s="126" t="s">
        <v>2</v>
      </c>
      <c r="D1103" s="126" t="s">
        <v>3</v>
      </c>
      <c r="E1103" s="126">
        <v>27.96</v>
      </c>
      <c r="F1103" s="126" t="s">
        <v>88</v>
      </c>
      <c r="G1103" s="108">
        <v>45454</v>
      </c>
      <c r="H1103" s="126" t="s">
        <v>89</v>
      </c>
      <c r="I1103" s="126" t="s">
        <v>7958</v>
      </c>
      <c r="J1103" s="126"/>
      <c r="K1103" s="126" t="s">
        <v>7959</v>
      </c>
      <c r="L1103" s="126" t="s">
        <v>7960</v>
      </c>
      <c r="M1103" s="126" t="s">
        <v>399</v>
      </c>
      <c r="Q1103" s="3">
        <f t="shared" si="35"/>
        <v>27.96</v>
      </c>
      <c r="S1103" s="55" t="s">
        <v>9013</v>
      </c>
      <c r="U1103" s="3" t="str">
        <f t="shared" si="36"/>
        <v/>
      </c>
    </row>
    <row r="1104" spans="1:21" x14ac:dyDescent="0.35">
      <c r="A1104" s="126" t="s">
        <v>0</v>
      </c>
      <c r="B1104" s="126" t="s">
        <v>7694</v>
      </c>
      <c r="C1104" s="126" t="s">
        <v>2</v>
      </c>
      <c r="D1104" s="126" t="s">
        <v>3</v>
      </c>
      <c r="E1104" s="126">
        <v>27.96</v>
      </c>
      <c r="F1104" s="126" t="s">
        <v>88</v>
      </c>
      <c r="G1104" s="108">
        <v>45485</v>
      </c>
      <c r="H1104" s="126" t="s">
        <v>89</v>
      </c>
      <c r="I1104" s="126" t="s">
        <v>8134</v>
      </c>
      <c r="J1104" s="126"/>
      <c r="K1104" s="126" t="s">
        <v>8135</v>
      </c>
      <c r="L1104" s="126" t="s">
        <v>8136</v>
      </c>
      <c r="M1104" s="126" t="s">
        <v>399</v>
      </c>
      <c r="Q1104" s="3">
        <f t="shared" si="35"/>
        <v>27.96</v>
      </c>
      <c r="S1104" s="55" t="s">
        <v>9013</v>
      </c>
      <c r="U1104" s="3" t="str">
        <f t="shared" si="36"/>
        <v/>
      </c>
    </row>
    <row r="1105" spans="1:21" x14ac:dyDescent="0.35">
      <c r="A1105" s="126" t="s">
        <v>0</v>
      </c>
      <c r="B1105" s="126" t="s">
        <v>7694</v>
      </c>
      <c r="C1105" s="126" t="s">
        <v>2</v>
      </c>
      <c r="D1105" s="126" t="s">
        <v>3</v>
      </c>
      <c r="E1105" s="126">
        <v>27.96</v>
      </c>
      <c r="F1105" s="126" t="s">
        <v>88</v>
      </c>
      <c r="G1105" s="108">
        <v>45517</v>
      </c>
      <c r="H1105" s="126" t="s">
        <v>89</v>
      </c>
      <c r="I1105" s="126" t="s">
        <v>8320</v>
      </c>
      <c r="J1105" s="126"/>
      <c r="K1105" s="126" t="s">
        <v>8321</v>
      </c>
      <c r="L1105" s="126" t="s">
        <v>8322</v>
      </c>
      <c r="M1105" s="126" t="s">
        <v>399</v>
      </c>
      <c r="Q1105" s="3">
        <f t="shared" si="35"/>
        <v>27.96</v>
      </c>
      <c r="S1105" s="55" t="s">
        <v>9013</v>
      </c>
      <c r="U1105" s="3" t="str">
        <f t="shared" si="36"/>
        <v/>
      </c>
    </row>
    <row r="1106" spans="1:21" x14ac:dyDescent="0.35">
      <c r="A1106" s="126" t="s">
        <v>0</v>
      </c>
      <c r="B1106" s="126" t="s">
        <v>7694</v>
      </c>
      <c r="C1106" s="126" t="s">
        <v>2</v>
      </c>
      <c r="D1106" s="126" t="s">
        <v>3</v>
      </c>
      <c r="E1106" s="126">
        <v>27.96</v>
      </c>
      <c r="F1106" s="126" t="s">
        <v>88</v>
      </c>
      <c r="G1106" s="108">
        <v>45551</v>
      </c>
      <c r="H1106" s="126" t="s">
        <v>89</v>
      </c>
      <c r="I1106" s="126" t="s">
        <v>8431</v>
      </c>
      <c r="J1106" s="126"/>
      <c r="K1106" s="126" t="s">
        <v>8432</v>
      </c>
      <c r="L1106" s="126" t="s">
        <v>8433</v>
      </c>
      <c r="M1106" s="126" t="s">
        <v>399</v>
      </c>
      <c r="Q1106" s="3">
        <f t="shared" si="35"/>
        <v>27.96</v>
      </c>
      <c r="S1106" s="55" t="s">
        <v>9013</v>
      </c>
      <c r="U1106" s="3" t="str">
        <f t="shared" si="36"/>
        <v/>
      </c>
    </row>
    <row r="1107" spans="1:21" x14ac:dyDescent="0.35">
      <c r="A1107" s="126" t="s">
        <v>0</v>
      </c>
      <c r="B1107" s="126" t="s">
        <v>7694</v>
      </c>
      <c r="C1107" s="126" t="s">
        <v>2</v>
      </c>
      <c r="D1107" s="126" t="s">
        <v>3</v>
      </c>
      <c r="E1107" s="126">
        <v>27.96</v>
      </c>
      <c r="F1107" s="126" t="s">
        <v>88</v>
      </c>
      <c r="G1107" s="108">
        <v>45569</v>
      </c>
      <c r="H1107" s="126" t="s">
        <v>89</v>
      </c>
      <c r="I1107" s="126" t="s">
        <v>8521</v>
      </c>
      <c r="J1107" s="126"/>
      <c r="K1107" s="126" t="s">
        <v>8522</v>
      </c>
      <c r="L1107" s="126" t="s">
        <v>8523</v>
      </c>
      <c r="M1107" s="126" t="s">
        <v>399</v>
      </c>
      <c r="Q1107" s="3">
        <f t="shared" si="35"/>
        <v>27.96</v>
      </c>
      <c r="S1107" s="55" t="s">
        <v>9013</v>
      </c>
      <c r="U1107" s="3" t="str">
        <f t="shared" si="36"/>
        <v/>
      </c>
    </row>
    <row r="1108" spans="1:21" x14ac:dyDescent="0.35">
      <c r="A1108" s="126" t="s">
        <v>0</v>
      </c>
      <c r="B1108" s="126" t="s">
        <v>7694</v>
      </c>
      <c r="C1108" s="126" t="s">
        <v>2</v>
      </c>
      <c r="D1108" s="126" t="s">
        <v>3</v>
      </c>
      <c r="E1108" s="126">
        <v>27.96</v>
      </c>
      <c r="F1108" s="126" t="s">
        <v>88</v>
      </c>
      <c r="G1108" s="108">
        <v>45611</v>
      </c>
      <c r="H1108" s="126" t="s">
        <v>89</v>
      </c>
      <c r="I1108" s="126" t="s">
        <v>8734</v>
      </c>
      <c r="J1108" s="126"/>
      <c r="K1108" s="126" t="s">
        <v>8735</v>
      </c>
      <c r="L1108" s="126" t="s">
        <v>8736</v>
      </c>
      <c r="M1108" s="126" t="s">
        <v>399</v>
      </c>
      <c r="N1108" s="126"/>
      <c r="O1108" s="126"/>
      <c r="Q1108" s="3">
        <f t="shared" si="35"/>
        <v>27.96</v>
      </c>
      <c r="S1108" s="55" t="s">
        <v>9013</v>
      </c>
      <c r="U1108" s="3" t="str">
        <f t="shared" si="36"/>
        <v/>
      </c>
    </row>
    <row r="1109" spans="1:21" x14ac:dyDescent="0.35">
      <c r="A1109" s="126" t="s">
        <v>0</v>
      </c>
      <c r="B1109" s="126" t="s">
        <v>7694</v>
      </c>
      <c r="C1109" s="126" t="s">
        <v>2</v>
      </c>
      <c r="D1109" s="126" t="s">
        <v>3</v>
      </c>
      <c r="E1109" s="126">
        <v>27.96</v>
      </c>
      <c r="F1109" s="126" t="s">
        <v>88</v>
      </c>
      <c r="G1109" s="108">
        <v>45635</v>
      </c>
      <c r="H1109" s="126" t="s">
        <v>89</v>
      </c>
      <c r="I1109" s="126" t="s">
        <v>8878</v>
      </c>
      <c r="J1109" s="126"/>
      <c r="K1109" s="126" t="s">
        <v>8879</v>
      </c>
      <c r="L1109" s="126" t="s">
        <v>8880</v>
      </c>
      <c r="M1109" s="126" t="s">
        <v>399</v>
      </c>
      <c r="Q1109" s="3">
        <f t="shared" si="35"/>
        <v>27.96</v>
      </c>
      <c r="S1109" s="55" t="s">
        <v>9013</v>
      </c>
      <c r="U1109" s="3" t="str">
        <f t="shared" si="36"/>
        <v/>
      </c>
    </row>
    <row r="1110" spans="1:21" x14ac:dyDescent="0.35">
      <c r="A1110" s="126" t="s">
        <v>35</v>
      </c>
      <c r="B1110" s="126" t="s">
        <v>1123</v>
      </c>
      <c r="C1110" s="126" t="s">
        <v>2</v>
      </c>
      <c r="D1110" s="126" t="s">
        <v>3</v>
      </c>
      <c r="E1110" s="126">
        <v>27.41</v>
      </c>
      <c r="F1110" s="126" t="s">
        <v>88</v>
      </c>
      <c r="G1110" s="108">
        <v>45645</v>
      </c>
      <c r="H1110" s="126" t="s">
        <v>94</v>
      </c>
      <c r="I1110" s="126" t="s">
        <v>1124</v>
      </c>
      <c r="J1110" s="126" t="s">
        <v>8998</v>
      </c>
      <c r="K1110" s="126"/>
      <c r="L1110" s="126"/>
      <c r="M1110" s="126"/>
      <c r="N1110" s="126"/>
      <c r="O1110" s="126" t="s">
        <v>8999</v>
      </c>
      <c r="Q1110" s="3">
        <f t="shared" si="35"/>
        <v>27.41</v>
      </c>
      <c r="U1110" s="3" t="str">
        <f t="shared" si="36"/>
        <v/>
      </c>
    </row>
    <row r="1111" spans="1:21" x14ac:dyDescent="0.35">
      <c r="A1111" s="126" t="s">
        <v>35</v>
      </c>
      <c r="B1111" s="126" t="s">
        <v>4583</v>
      </c>
      <c r="C1111" s="126" t="s">
        <v>2</v>
      </c>
      <c r="D1111" s="126" t="s">
        <v>3</v>
      </c>
      <c r="E1111" s="126">
        <v>27.27</v>
      </c>
      <c r="F1111" s="126" t="s">
        <v>88</v>
      </c>
      <c r="G1111" s="108">
        <v>45455</v>
      </c>
      <c r="H1111" s="126" t="s">
        <v>94</v>
      </c>
      <c r="I1111" s="126" t="s">
        <v>7992</v>
      </c>
      <c r="J1111" s="126" t="s">
        <v>7993</v>
      </c>
      <c r="K1111" s="126"/>
      <c r="L1111" s="126"/>
      <c r="M1111" s="126"/>
      <c r="N1111" s="126"/>
      <c r="O1111" s="126" t="s">
        <v>7994</v>
      </c>
      <c r="Q1111" s="3">
        <f t="shared" si="35"/>
        <v>27.27</v>
      </c>
      <c r="U1111" s="3" t="str">
        <f t="shared" si="36"/>
        <v/>
      </c>
    </row>
    <row r="1112" spans="1:21" x14ac:dyDescent="0.35">
      <c r="A1112" s="126" t="s">
        <v>35</v>
      </c>
      <c r="B1112" s="126" t="s">
        <v>934</v>
      </c>
      <c r="C1112" s="126" t="s">
        <v>2</v>
      </c>
      <c r="D1112" s="126" t="s">
        <v>3</v>
      </c>
      <c r="E1112" s="126">
        <v>27.27</v>
      </c>
      <c r="F1112" s="126" t="s">
        <v>88</v>
      </c>
      <c r="G1112" s="108">
        <v>45547</v>
      </c>
      <c r="H1112" s="126" t="s">
        <v>94</v>
      </c>
      <c r="I1112" s="126" t="s">
        <v>8425</v>
      </c>
      <c r="J1112" s="126" t="s">
        <v>8428</v>
      </c>
      <c r="K1112" s="126"/>
      <c r="L1112" s="126"/>
      <c r="M1112" s="126"/>
      <c r="N1112" s="126"/>
      <c r="O1112" s="126" t="s">
        <v>8427</v>
      </c>
      <c r="Q1112" s="3">
        <f t="shared" si="35"/>
        <v>27.27</v>
      </c>
      <c r="U1112" s="3" t="str">
        <f t="shared" si="36"/>
        <v/>
      </c>
    </row>
    <row r="1113" spans="1:21" x14ac:dyDescent="0.35">
      <c r="A1113" s="126" t="s">
        <v>35</v>
      </c>
      <c r="B1113" s="126" t="s">
        <v>1533</v>
      </c>
      <c r="C1113" s="126" t="s">
        <v>2</v>
      </c>
      <c r="D1113" s="126" t="s">
        <v>3</v>
      </c>
      <c r="E1113" s="126">
        <v>27.27</v>
      </c>
      <c r="F1113" s="126" t="s">
        <v>88</v>
      </c>
      <c r="G1113" s="108">
        <v>45656</v>
      </c>
      <c r="H1113" s="126" t="s">
        <v>94</v>
      </c>
      <c r="I1113" s="126" t="s">
        <v>424</v>
      </c>
      <c r="J1113" s="126" t="s">
        <v>9007</v>
      </c>
      <c r="K1113" s="126"/>
      <c r="L1113" s="126"/>
      <c r="M1113" s="126"/>
      <c r="N1113" s="126"/>
      <c r="O1113" s="126" t="s">
        <v>524</v>
      </c>
      <c r="Q1113" s="3">
        <f t="shared" si="35"/>
        <v>27.27</v>
      </c>
      <c r="U1113" s="3" t="str">
        <f t="shared" si="36"/>
        <v/>
      </c>
    </row>
    <row r="1114" spans="1:21" x14ac:dyDescent="0.35">
      <c r="A1114" s="126" t="s">
        <v>35</v>
      </c>
      <c r="B1114" s="126" t="s">
        <v>2728</v>
      </c>
      <c r="C1114" s="126" t="s">
        <v>2</v>
      </c>
      <c r="D1114" s="126" t="s">
        <v>3</v>
      </c>
      <c r="E1114" s="126">
        <v>27.26</v>
      </c>
      <c r="F1114" s="126" t="s">
        <v>88</v>
      </c>
      <c r="G1114" s="108">
        <v>45384</v>
      </c>
      <c r="H1114" s="126" t="s">
        <v>94</v>
      </c>
      <c r="I1114" s="126" t="s">
        <v>442</v>
      </c>
      <c r="J1114" s="126" t="s">
        <v>445</v>
      </c>
      <c r="K1114" s="126"/>
      <c r="L1114" s="126"/>
      <c r="M1114" s="126"/>
      <c r="N1114" s="126"/>
      <c r="O1114" s="126" t="s">
        <v>535</v>
      </c>
      <c r="Q1114" s="3">
        <f t="shared" si="35"/>
        <v>27.26</v>
      </c>
      <c r="U1114" s="3" t="str">
        <f t="shared" si="36"/>
        <v/>
      </c>
    </row>
    <row r="1115" spans="1:21" x14ac:dyDescent="0.35">
      <c r="A1115" s="126" t="s">
        <v>35</v>
      </c>
      <c r="B1115" s="126" t="s">
        <v>838</v>
      </c>
      <c r="C1115" s="126" t="s">
        <v>2</v>
      </c>
      <c r="D1115" s="126" t="s">
        <v>3</v>
      </c>
      <c r="E1115" s="126">
        <v>27.23</v>
      </c>
      <c r="F1115" s="126" t="s">
        <v>88</v>
      </c>
      <c r="G1115" s="108">
        <v>45546</v>
      </c>
      <c r="H1115" s="126" t="s">
        <v>94</v>
      </c>
      <c r="I1115" s="126" t="s">
        <v>839</v>
      </c>
      <c r="J1115" s="126" t="s">
        <v>8422</v>
      </c>
      <c r="K1115" s="126"/>
      <c r="L1115" s="126"/>
      <c r="M1115" s="126"/>
      <c r="N1115" s="126"/>
      <c r="O1115" s="126" t="s">
        <v>522</v>
      </c>
      <c r="Q1115" s="3">
        <f t="shared" si="35"/>
        <v>27.23</v>
      </c>
      <c r="U1115" s="3" t="str">
        <f t="shared" si="36"/>
        <v/>
      </c>
    </row>
    <row r="1116" spans="1:21" x14ac:dyDescent="0.35">
      <c r="A1116" s="126" t="s">
        <v>35</v>
      </c>
      <c r="B1116" s="126" t="s">
        <v>768</v>
      </c>
      <c r="C1116" s="126" t="s">
        <v>2</v>
      </c>
      <c r="D1116" s="126" t="s">
        <v>3</v>
      </c>
      <c r="E1116" s="126">
        <v>27.14</v>
      </c>
      <c r="F1116" s="126" t="s">
        <v>88</v>
      </c>
      <c r="G1116" s="108">
        <v>45468</v>
      </c>
      <c r="H1116" s="126" t="s">
        <v>94</v>
      </c>
      <c r="I1116" s="126" t="s">
        <v>406</v>
      </c>
      <c r="J1116" s="126" t="s">
        <v>407</v>
      </c>
      <c r="K1116" s="126"/>
      <c r="L1116" s="126"/>
      <c r="M1116" s="126"/>
      <c r="N1116" s="126"/>
      <c r="O1116" s="126" t="s">
        <v>517</v>
      </c>
      <c r="Q1116" s="3">
        <f t="shared" si="35"/>
        <v>27.14</v>
      </c>
      <c r="U1116" s="3" t="str">
        <f t="shared" si="36"/>
        <v/>
      </c>
    </row>
    <row r="1117" spans="1:21" x14ac:dyDescent="0.35">
      <c r="A1117" s="126" t="s">
        <v>0</v>
      </c>
      <c r="B1117" s="126" t="s">
        <v>1043</v>
      </c>
      <c r="C1117" s="126" t="s">
        <v>2</v>
      </c>
      <c r="D1117" s="126" t="s">
        <v>3</v>
      </c>
      <c r="E1117" s="126">
        <v>27.06</v>
      </c>
      <c r="F1117" s="126" t="s">
        <v>88</v>
      </c>
      <c r="G1117" s="108">
        <v>45635</v>
      </c>
      <c r="H1117" s="126" t="s">
        <v>89</v>
      </c>
      <c r="I1117" s="126" t="s">
        <v>8878</v>
      </c>
      <c r="J1117" s="126"/>
      <c r="K1117" s="126" t="s">
        <v>8879</v>
      </c>
      <c r="L1117" s="126" t="s">
        <v>8880</v>
      </c>
      <c r="M1117" s="126" t="s">
        <v>399</v>
      </c>
      <c r="Q1117" s="3">
        <f t="shared" si="35"/>
        <v>27.06</v>
      </c>
      <c r="S1117" s="55" t="s">
        <v>9013</v>
      </c>
      <c r="U1117" s="3" t="str">
        <f t="shared" si="36"/>
        <v/>
      </c>
    </row>
    <row r="1118" spans="1:21" x14ac:dyDescent="0.35">
      <c r="A1118" s="126" t="s">
        <v>0</v>
      </c>
      <c r="B1118" s="126" t="s">
        <v>698</v>
      </c>
      <c r="C1118" s="126" t="s">
        <v>2</v>
      </c>
      <c r="D1118" s="126" t="s">
        <v>3</v>
      </c>
      <c r="E1118" s="126">
        <v>27</v>
      </c>
      <c r="F1118" s="126" t="s">
        <v>88</v>
      </c>
      <c r="G1118" s="108">
        <v>45566</v>
      </c>
      <c r="H1118" s="126" t="s">
        <v>89</v>
      </c>
      <c r="I1118" s="126" t="s">
        <v>8492</v>
      </c>
      <c r="J1118" s="126"/>
      <c r="K1118" s="126" t="s">
        <v>8493</v>
      </c>
      <c r="L1118" s="126" t="s">
        <v>8494</v>
      </c>
      <c r="M1118" s="126" t="s">
        <v>8495</v>
      </c>
      <c r="N1118" s="126"/>
      <c r="O1118" s="126"/>
      <c r="Q1118" s="3">
        <f t="shared" si="35"/>
        <v>27</v>
      </c>
      <c r="U1118" s="3" t="str">
        <f t="shared" si="36"/>
        <v/>
      </c>
    </row>
    <row r="1119" spans="1:21" x14ac:dyDescent="0.35">
      <c r="A1119" s="126" t="s">
        <v>35</v>
      </c>
      <c r="B1119" s="126" t="s">
        <v>601</v>
      </c>
      <c r="C1119" s="126" t="s">
        <v>2</v>
      </c>
      <c r="D1119" s="126" t="s">
        <v>3</v>
      </c>
      <c r="E1119" s="126">
        <v>26.66</v>
      </c>
      <c r="F1119" s="126" t="s">
        <v>88</v>
      </c>
      <c r="G1119" s="108">
        <v>45644</v>
      </c>
      <c r="H1119" s="126" t="s">
        <v>94</v>
      </c>
      <c r="I1119" s="126" t="s">
        <v>8032</v>
      </c>
      <c r="J1119" s="126" t="s">
        <v>8993</v>
      </c>
      <c r="K1119" s="126"/>
      <c r="L1119" s="126"/>
      <c r="M1119" s="126"/>
      <c r="N1119" s="126"/>
      <c r="O1119" s="126" t="s">
        <v>8041</v>
      </c>
      <c r="Q1119" s="3">
        <f t="shared" si="35"/>
        <v>26.66</v>
      </c>
      <c r="U1119" s="3" t="str">
        <f t="shared" si="36"/>
        <v/>
      </c>
    </row>
    <row r="1120" spans="1:21" x14ac:dyDescent="0.35">
      <c r="A1120" s="126" t="s">
        <v>35</v>
      </c>
      <c r="B1120" s="126" t="s">
        <v>5426</v>
      </c>
      <c r="C1120" s="126" t="s">
        <v>2</v>
      </c>
      <c r="D1120" s="126" t="s">
        <v>3</v>
      </c>
      <c r="E1120" s="126">
        <v>26.47</v>
      </c>
      <c r="F1120" s="126" t="s">
        <v>88</v>
      </c>
      <c r="G1120" s="108">
        <v>45456</v>
      </c>
      <c r="H1120" s="126" t="s">
        <v>94</v>
      </c>
      <c r="I1120" s="126" t="s">
        <v>475</v>
      </c>
      <c r="J1120" s="126" t="s">
        <v>409</v>
      </c>
      <c r="K1120" s="126"/>
      <c r="L1120" s="126"/>
      <c r="M1120" s="126"/>
      <c r="N1120" s="126"/>
      <c r="O1120" s="126" t="s">
        <v>518</v>
      </c>
      <c r="Q1120" s="3">
        <f t="shared" si="35"/>
        <v>26.47</v>
      </c>
      <c r="S1120" s="55" t="s">
        <v>586</v>
      </c>
      <c r="U1120" s="3" t="str">
        <f t="shared" si="36"/>
        <v/>
      </c>
    </row>
    <row r="1121" spans="1:21" x14ac:dyDescent="0.35">
      <c r="A1121" s="126" t="s">
        <v>35</v>
      </c>
      <c r="B1121" s="126" t="s">
        <v>1411</v>
      </c>
      <c r="C1121" s="126" t="s">
        <v>2</v>
      </c>
      <c r="D1121" s="126" t="s">
        <v>3</v>
      </c>
      <c r="E1121" s="126">
        <v>26.45</v>
      </c>
      <c r="F1121" s="126" t="s">
        <v>88</v>
      </c>
      <c r="G1121" s="108">
        <v>45544</v>
      </c>
      <c r="H1121" s="126" t="s">
        <v>94</v>
      </c>
      <c r="I1121" s="126" t="s">
        <v>443</v>
      </c>
      <c r="J1121" s="126" t="s">
        <v>332</v>
      </c>
      <c r="K1121" s="126"/>
      <c r="L1121" s="126"/>
      <c r="M1121" s="126"/>
      <c r="N1121" s="126"/>
      <c r="O1121" s="126" t="s">
        <v>536</v>
      </c>
      <c r="Q1121" s="3">
        <f t="shared" si="35"/>
        <v>26.45</v>
      </c>
      <c r="U1121" s="3" t="str">
        <f t="shared" si="36"/>
        <v/>
      </c>
    </row>
    <row r="1122" spans="1:21" x14ac:dyDescent="0.35">
      <c r="A1122" s="126" t="s">
        <v>35</v>
      </c>
      <c r="B1122" s="126" t="s">
        <v>5426</v>
      </c>
      <c r="C1122" s="126" t="s">
        <v>2</v>
      </c>
      <c r="D1122" s="126" t="s">
        <v>3</v>
      </c>
      <c r="E1122" s="126">
        <v>26.36</v>
      </c>
      <c r="F1122" s="126" t="s">
        <v>88</v>
      </c>
      <c r="G1122" s="108">
        <v>45461</v>
      </c>
      <c r="H1122" s="126" t="s">
        <v>94</v>
      </c>
      <c r="I1122" s="126" t="s">
        <v>475</v>
      </c>
      <c r="J1122" s="126" t="s">
        <v>8011</v>
      </c>
      <c r="K1122" s="126"/>
      <c r="L1122" s="126"/>
      <c r="M1122" s="126"/>
      <c r="N1122" s="126"/>
      <c r="O1122" s="126" t="s">
        <v>7698</v>
      </c>
      <c r="Q1122" s="3">
        <f t="shared" si="35"/>
        <v>26.36</v>
      </c>
      <c r="U1122" s="3" t="str">
        <f t="shared" si="36"/>
        <v/>
      </c>
    </row>
    <row r="1123" spans="1:21" x14ac:dyDescent="0.35">
      <c r="A1123" s="126" t="s">
        <v>35</v>
      </c>
      <c r="B1123" s="126" t="s">
        <v>5426</v>
      </c>
      <c r="C1123" s="126" t="s">
        <v>2</v>
      </c>
      <c r="D1123" s="126" t="s">
        <v>3</v>
      </c>
      <c r="E1123" s="126">
        <v>26.36</v>
      </c>
      <c r="F1123" s="126" t="s">
        <v>88</v>
      </c>
      <c r="G1123" s="108">
        <v>45617</v>
      </c>
      <c r="H1123" s="126" t="s">
        <v>94</v>
      </c>
      <c r="I1123" s="126" t="s">
        <v>8008</v>
      </c>
      <c r="J1123" s="126" t="s">
        <v>8768</v>
      </c>
      <c r="K1123" s="126"/>
      <c r="L1123" s="126"/>
      <c r="M1123" s="126"/>
      <c r="N1123" s="126"/>
      <c r="O1123" s="126" t="s">
        <v>8769</v>
      </c>
      <c r="Q1123" s="3">
        <f t="shared" si="35"/>
        <v>26.36</v>
      </c>
      <c r="S1123" s="55" t="s">
        <v>586</v>
      </c>
      <c r="U1123" s="3" t="str">
        <f t="shared" si="36"/>
        <v/>
      </c>
    </row>
    <row r="1124" spans="1:21" x14ac:dyDescent="0.35">
      <c r="A1124" s="126" t="s">
        <v>35</v>
      </c>
      <c r="B1124" s="126" t="s">
        <v>1075</v>
      </c>
      <c r="C1124" s="126" t="s">
        <v>2</v>
      </c>
      <c r="D1124" s="126" t="s">
        <v>3</v>
      </c>
      <c r="E1124" s="126">
        <v>26.28</v>
      </c>
      <c r="F1124" s="126" t="s">
        <v>88</v>
      </c>
      <c r="G1124" s="108">
        <v>45602</v>
      </c>
      <c r="H1124" s="126" t="s">
        <v>89</v>
      </c>
      <c r="I1124" s="126" t="s">
        <v>8667</v>
      </c>
      <c r="J1124" s="126"/>
      <c r="K1124" s="126" t="s">
        <v>7880</v>
      </c>
      <c r="L1124" s="126" t="s">
        <v>8668</v>
      </c>
      <c r="M1124" s="126" t="s">
        <v>396</v>
      </c>
      <c r="N1124" s="126"/>
      <c r="O1124" s="126"/>
      <c r="Q1124" s="3">
        <f t="shared" si="35"/>
        <v>26.28</v>
      </c>
      <c r="S1124" s="55" t="s">
        <v>9016</v>
      </c>
      <c r="U1124" s="3" t="str">
        <f t="shared" si="36"/>
        <v/>
      </c>
    </row>
    <row r="1125" spans="1:21" x14ac:dyDescent="0.35">
      <c r="A1125" s="126" t="s">
        <v>35</v>
      </c>
      <c r="B1125" s="126" t="s">
        <v>788</v>
      </c>
      <c r="C1125" s="126" t="s">
        <v>2</v>
      </c>
      <c r="D1125" s="126" t="s">
        <v>3</v>
      </c>
      <c r="E1125" s="126">
        <v>26.17</v>
      </c>
      <c r="F1125" s="126" t="s">
        <v>88</v>
      </c>
      <c r="G1125" s="108">
        <v>45446</v>
      </c>
      <c r="H1125" s="126" t="s">
        <v>94</v>
      </c>
      <c r="I1125" s="126" t="s">
        <v>504</v>
      </c>
      <c r="J1125" s="126" t="s">
        <v>332</v>
      </c>
      <c r="K1125" s="126"/>
      <c r="L1125" s="126"/>
      <c r="M1125" s="126"/>
      <c r="N1125" s="126"/>
      <c r="O1125" s="126" t="s">
        <v>583</v>
      </c>
      <c r="Q1125" s="3">
        <f t="shared" si="35"/>
        <v>26.17</v>
      </c>
      <c r="U1125" s="3" t="str">
        <f t="shared" si="36"/>
        <v/>
      </c>
    </row>
    <row r="1126" spans="1:21" x14ac:dyDescent="0.35">
      <c r="A1126" s="126" t="s">
        <v>35</v>
      </c>
      <c r="B1126" s="126" t="s">
        <v>5426</v>
      </c>
      <c r="C1126" s="126" t="s">
        <v>2</v>
      </c>
      <c r="D1126" s="126" t="s">
        <v>3</v>
      </c>
      <c r="E1126" s="126">
        <v>25.91</v>
      </c>
      <c r="F1126" s="126" t="s">
        <v>88</v>
      </c>
      <c r="G1126" s="108">
        <v>45442</v>
      </c>
      <c r="H1126" s="126" t="s">
        <v>94</v>
      </c>
      <c r="I1126" s="126" t="s">
        <v>7909</v>
      </c>
      <c r="J1126" s="126" t="s">
        <v>7910</v>
      </c>
      <c r="K1126" s="126"/>
      <c r="L1126" s="126"/>
      <c r="M1126" s="126"/>
      <c r="N1126" s="126"/>
      <c r="O1126" s="126" t="s">
        <v>7911</v>
      </c>
      <c r="Q1126" s="3">
        <f t="shared" si="35"/>
        <v>25.91</v>
      </c>
      <c r="U1126" s="3" t="str">
        <f t="shared" si="36"/>
        <v/>
      </c>
    </row>
    <row r="1127" spans="1:21" x14ac:dyDescent="0.35">
      <c r="A1127" s="126" t="s">
        <v>35</v>
      </c>
      <c r="B1127" s="126" t="s">
        <v>788</v>
      </c>
      <c r="C1127" s="126" t="s">
        <v>2</v>
      </c>
      <c r="D1127" s="126" t="s">
        <v>3</v>
      </c>
      <c r="E1127" s="126">
        <v>25.82</v>
      </c>
      <c r="F1127" s="126" t="s">
        <v>88</v>
      </c>
      <c r="G1127" s="108">
        <v>45572</v>
      </c>
      <c r="H1127" s="126" t="s">
        <v>94</v>
      </c>
      <c r="I1127" s="126" t="s">
        <v>504</v>
      </c>
      <c r="J1127" s="126" t="s">
        <v>505</v>
      </c>
      <c r="K1127" s="126"/>
      <c r="L1127" s="126"/>
      <c r="M1127" s="126"/>
      <c r="N1127" s="126"/>
      <c r="O1127" s="126" t="s">
        <v>567</v>
      </c>
      <c r="Q1127" s="3">
        <f t="shared" si="35"/>
        <v>25.82</v>
      </c>
      <c r="S1127" s="55" t="s">
        <v>9014</v>
      </c>
      <c r="U1127" s="3" t="str">
        <f t="shared" si="36"/>
        <v/>
      </c>
    </row>
    <row r="1128" spans="1:21" x14ac:dyDescent="0.35">
      <c r="A1128" s="126" t="s">
        <v>0</v>
      </c>
      <c r="B1128" s="126" t="s">
        <v>868</v>
      </c>
      <c r="C1128" s="126" t="s">
        <v>2</v>
      </c>
      <c r="D1128" s="126" t="s">
        <v>3</v>
      </c>
      <c r="E1128" s="126">
        <v>25.69</v>
      </c>
      <c r="F1128" s="126" t="s">
        <v>88</v>
      </c>
      <c r="G1128" s="108">
        <v>45432</v>
      </c>
      <c r="H1128" s="126" t="s">
        <v>89</v>
      </c>
      <c r="I1128" s="126" t="s">
        <v>7842</v>
      </c>
      <c r="J1128" s="126"/>
      <c r="K1128" s="126" t="s">
        <v>7840</v>
      </c>
      <c r="L1128" s="126" t="s">
        <v>7843</v>
      </c>
      <c r="M1128" s="126" t="s">
        <v>399</v>
      </c>
      <c r="Q1128" s="3">
        <f t="shared" si="35"/>
        <v>25.69</v>
      </c>
      <c r="S1128" s="55" t="s">
        <v>9013</v>
      </c>
      <c r="U1128" s="3" t="str">
        <f t="shared" si="36"/>
        <v/>
      </c>
    </row>
    <row r="1129" spans="1:21" x14ac:dyDescent="0.35">
      <c r="A1129" s="126" t="s">
        <v>0</v>
      </c>
      <c r="B1129" s="126" t="s">
        <v>868</v>
      </c>
      <c r="C1129" s="126" t="s">
        <v>2</v>
      </c>
      <c r="D1129" s="126" t="s">
        <v>3</v>
      </c>
      <c r="E1129" s="126">
        <v>25.69</v>
      </c>
      <c r="F1129" s="126" t="s">
        <v>88</v>
      </c>
      <c r="G1129" s="108">
        <v>45505</v>
      </c>
      <c r="H1129" s="126" t="s">
        <v>89</v>
      </c>
      <c r="I1129" s="126" t="s">
        <v>8248</v>
      </c>
      <c r="J1129" s="126"/>
      <c r="K1129" s="126" t="s">
        <v>8135</v>
      </c>
      <c r="L1129" s="126" t="s">
        <v>8249</v>
      </c>
      <c r="M1129" s="126" t="s">
        <v>399</v>
      </c>
      <c r="Q1129" s="3">
        <f t="shared" si="35"/>
        <v>25.69</v>
      </c>
      <c r="S1129" s="55" t="s">
        <v>9013</v>
      </c>
      <c r="U1129" s="3" t="str">
        <f t="shared" si="36"/>
        <v/>
      </c>
    </row>
    <row r="1130" spans="1:21" x14ac:dyDescent="0.35">
      <c r="A1130" s="126" t="s">
        <v>0</v>
      </c>
      <c r="B1130" s="126" t="s">
        <v>868</v>
      </c>
      <c r="C1130" s="126" t="s">
        <v>2</v>
      </c>
      <c r="D1130" s="126" t="s">
        <v>3</v>
      </c>
      <c r="E1130" s="126">
        <v>25.69</v>
      </c>
      <c r="F1130" s="126" t="s">
        <v>88</v>
      </c>
      <c r="G1130" s="108">
        <v>45517</v>
      </c>
      <c r="H1130" s="126" t="s">
        <v>89</v>
      </c>
      <c r="I1130" s="126" t="s">
        <v>8323</v>
      </c>
      <c r="J1130" s="126"/>
      <c r="K1130" s="126" t="s">
        <v>8321</v>
      </c>
      <c r="L1130" s="126" t="s">
        <v>8324</v>
      </c>
      <c r="M1130" s="126" t="s">
        <v>399</v>
      </c>
      <c r="Q1130" s="3">
        <f t="shared" si="35"/>
        <v>25.69</v>
      </c>
      <c r="S1130" s="55" t="s">
        <v>9013</v>
      </c>
      <c r="U1130" s="3" t="str">
        <f t="shared" si="36"/>
        <v/>
      </c>
    </row>
    <row r="1131" spans="1:21" x14ac:dyDescent="0.35">
      <c r="A1131" s="126" t="s">
        <v>0</v>
      </c>
      <c r="B1131" s="126" t="s">
        <v>868</v>
      </c>
      <c r="C1131" s="126" t="s">
        <v>2</v>
      </c>
      <c r="D1131" s="126" t="s">
        <v>3</v>
      </c>
      <c r="E1131" s="126">
        <v>25.69</v>
      </c>
      <c r="F1131" s="126" t="s">
        <v>88</v>
      </c>
      <c r="G1131" s="108">
        <v>45569</v>
      </c>
      <c r="H1131" s="126" t="s">
        <v>89</v>
      </c>
      <c r="I1131" s="126" t="s">
        <v>8524</v>
      </c>
      <c r="J1131" s="126"/>
      <c r="K1131" s="126" t="s">
        <v>8525</v>
      </c>
      <c r="L1131" s="126" t="s">
        <v>8526</v>
      </c>
      <c r="M1131" s="126" t="s">
        <v>399</v>
      </c>
      <c r="Q1131" s="3">
        <f t="shared" si="35"/>
        <v>25.69</v>
      </c>
      <c r="S1131" s="55" t="s">
        <v>9013</v>
      </c>
      <c r="U1131" s="3" t="str">
        <f t="shared" si="36"/>
        <v/>
      </c>
    </row>
    <row r="1132" spans="1:21" x14ac:dyDescent="0.35">
      <c r="A1132" s="126" t="s">
        <v>0</v>
      </c>
      <c r="B1132" s="126" t="s">
        <v>868</v>
      </c>
      <c r="C1132" s="126" t="s">
        <v>2</v>
      </c>
      <c r="D1132" s="126" t="s">
        <v>3</v>
      </c>
      <c r="E1132" s="126">
        <v>25.69</v>
      </c>
      <c r="F1132" s="126" t="s">
        <v>88</v>
      </c>
      <c r="G1132" s="108">
        <v>45611</v>
      </c>
      <c r="H1132" s="126" t="s">
        <v>89</v>
      </c>
      <c r="I1132" s="126" t="s">
        <v>8737</v>
      </c>
      <c r="J1132" s="126"/>
      <c r="K1132" s="126" t="s">
        <v>8522</v>
      </c>
      <c r="L1132" s="126" t="s">
        <v>8738</v>
      </c>
      <c r="M1132" s="126" t="s">
        <v>399</v>
      </c>
      <c r="Q1132" s="3">
        <f t="shared" si="35"/>
        <v>25.69</v>
      </c>
      <c r="S1132" s="55" t="s">
        <v>9013</v>
      </c>
      <c r="U1132" s="3" t="str">
        <f t="shared" si="36"/>
        <v/>
      </c>
    </row>
    <row r="1133" spans="1:21" x14ac:dyDescent="0.35">
      <c r="A1133" s="126" t="s">
        <v>35</v>
      </c>
      <c r="B1133" s="126" t="s">
        <v>893</v>
      </c>
      <c r="C1133" s="126" t="s">
        <v>2</v>
      </c>
      <c r="D1133" s="126" t="s">
        <v>3</v>
      </c>
      <c r="E1133" s="126">
        <v>25.68</v>
      </c>
      <c r="F1133" s="126" t="s">
        <v>88</v>
      </c>
      <c r="G1133" s="108">
        <v>45604</v>
      </c>
      <c r="H1133" s="126" t="s">
        <v>94</v>
      </c>
      <c r="I1133" s="126" t="s">
        <v>457</v>
      </c>
      <c r="J1133" s="126" t="s">
        <v>8693</v>
      </c>
      <c r="K1133" s="126"/>
      <c r="L1133" s="126"/>
      <c r="M1133" s="126"/>
      <c r="N1133" s="126"/>
      <c r="O1133" s="126" t="s">
        <v>544</v>
      </c>
      <c r="Q1133" s="3">
        <f t="shared" si="35"/>
        <v>25.68</v>
      </c>
      <c r="U1133" s="3" t="str">
        <f t="shared" si="36"/>
        <v/>
      </c>
    </row>
    <row r="1134" spans="1:21" x14ac:dyDescent="0.35">
      <c r="A1134" s="126" t="s">
        <v>35</v>
      </c>
      <c r="B1134" s="126" t="s">
        <v>788</v>
      </c>
      <c r="C1134" s="126" t="s">
        <v>2</v>
      </c>
      <c r="D1134" s="126" t="s">
        <v>3</v>
      </c>
      <c r="E1134" s="126">
        <v>25.52</v>
      </c>
      <c r="F1134" s="126" t="s">
        <v>88</v>
      </c>
      <c r="G1134" s="108">
        <v>45509</v>
      </c>
      <c r="H1134" s="126" t="s">
        <v>94</v>
      </c>
      <c r="I1134" s="126" t="s">
        <v>438</v>
      </c>
      <c r="J1134" s="126" t="s">
        <v>8274</v>
      </c>
      <c r="K1134" s="126"/>
      <c r="L1134" s="126"/>
      <c r="M1134" s="126"/>
      <c r="N1134" s="126"/>
      <c r="O1134" s="126" t="s">
        <v>533</v>
      </c>
      <c r="Q1134" s="3">
        <f t="shared" si="35"/>
        <v>25.52</v>
      </c>
      <c r="S1134" s="55" t="s">
        <v>9014</v>
      </c>
      <c r="U1134" s="3" t="str">
        <f t="shared" si="36"/>
        <v/>
      </c>
    </row>
    <row r="1135" spans="1:21" x14ac:dyDescent="0.35">
      <c r="A1135" s="126" t="s">
        <v>35</v>
      </c>
      <c r="B1135" s="126" t="s">
        <v>2543</v>
      </c>
      <c r="C1135" s="126" t="s">
        <v>2</v>
      </c>
      <c r="D1135" s="126" t="s">
        <v>3</v>
      </c>
      <c r="E1135" s="126">
        <v>25.45</v>
      </c>
      <c r="F1135" s="126" t="s">
        <v>88</v>
      </c>
      <c r="G1135" s="108">
        <v>45495</v>
      </c>
      <c r="H1135" s="126" t="s">
        <v>94</v>
      </c>
      <c r="I1135" s="126" t="s">
        <v>8198</v>
      </c>
      <c r="J1135" s="126" t="s">
        <v>8201</v>
      </c>
      <c r="K1135" s="126"/>
      <c r="L1135" s="126"/>
      <c r="M1135" s="126"/>
      <c r="N1135" s="126"/>
      <c r="O1135" s="126" t="s">
        <v>8200</v>
      </c>
      <c r="Q1135" s="3">
        <f t="shared" si="35"/>
        <v>25.45</v>
      </c>
      <c r="U1135" s="3" t="str">
        <f t="shared" si="36"/>
        <v/>
      </c>
    </row>
    <row r="1136" spans="1:21" x14ac:dyDescent="0.35">
      <c r="A1136" s="126" t="s">
        <v>35</v>
      </c>
      <c r="B1136" s="126" t="s">
        <v>2543</v>
      </c>
      <c r="C1136" s="126" t="s">
        <v>2</v>
      </c>
      <c r="D1136" s="126" t="s">
        <v>3</v>
      </c>
      <c r="E1136" s="126">
        <v>25.45</v>
      </c>
      <c r="F1136" s="126" t="s">
        <v>88</v>
      </c>
      <c r="G1136" s="108">
        <v>45516</v>
      </c>
      <c r="H1136" s="126" t="s">
        <v>94</v>
      </c>
      <c r="I1136" s="126" t="s">
        <v>453</v>
      </c>
      <c r="J1136" s="126" t="s">
        <v>395</v>
      </c>
      <c r="K1136" s="126"/>
      <c r="L1136" s="126"/>
      <c r="M1136" s="126"/>
      <c r="N1136" s="126"/>
      <c r="O1136" s="126" t="s">
        <v>577</v>
      </c>
      <c r="Q1136" s="3">
        <f t="shared" si="35"/>
        <v>25.45</v>
      </c>
      <c r="S1136" s="55" t="s">
        <v>586</v>
      </c>
      <c r="U1136" s="3" t="str">
        <f t="shared" si="36"/>
        <v/>
      </c>
    </row>
    <row r="1137" spans="1:21" x14ac:dyDescent="0.35">
      <c r="A1137" s="126" t="s">
        <v>35</v>
      </c>
      <c r="B1137" s="126" t="s">
        <v>915</v>
      </c>
      <c r="C1137" s="126" t="s">
        <v>2</v>
      </c>
      <c r="D1137" s="126" t="s">
        <v>3</v>
      </c>
      <c r="E1137" s="126">
        <v>25.45</v>
      </c>
      <c r="F1137" s="126" t="s">
        <v>88</v>
      </c>
      <c r="G1137" s="108">
        <v>45636</v>
      </c>
      <c r="H1137" s="126" t="s">
        <v>94</v>
      </c>
      <c r="I1137" s="126" t="s">
        <v>4212</v>
      </c>
      <c r="J1137" s="126" t="s">
        <v>8911</v>
      </c>
      <c r="K1137" s="126"/>
      <c r="L1137" s="126"/>
      <c r="M1137" s="126"/>
      <c r="N1137" s="126"/>
      <c r="O1137" s="126" t="s">
        <v>8912</v>
      </c>
      <c r="Q1137" s="3">
        <f t="shared" si="35"/>
        <v>25.45</v>
      </c>
      <c r="U1137" s="3" t="str">
        <f t="shared" si="36"/>
        <v/>
      </c>
    </row>
    <row r="1138" spans="1:21" x14ac:dyDescent="0.35">
      <c r="A1138" s="126" t="s">
        <v>35</v>
      </c>
      <c r="B1138" s="126" t="s">
        <v>893</v>
      </c>
      <c r="C1138" s="126" t="s">
        <v>2</v>
      </c>
      <c r="D1138" s="126" t="s">
        <v>3</v>
      </c>
      <c r="E1138" s="126">
        <v>25.37</v>
      </c>
      <c r="F1138" s="126" t="s">
        <v>88</v>
      </c>
      <c r="G1138" s="108">
        <v>45461</v>
      </c>
      <c r="H1138" s="126" t="s">
        <v>94</v>
      </c>
      <c r="I1138" s="126" t="s">
        <v>457</v>
      </c>
      <c r="J1138" s="126" t="s">
        <v>8012</v>
      </c>
      <c r="K1138" s="126"/>
      <c r="L1138" s="126"/>
      <c r="M1138" s="126"/>
      <c r="N1138" s="126"/>
      <c r="O1138" s="126" t="s">
        <v>571</v>
      </c>
      <c r="Q1138" s="3">
        <f t="shared" si="35"/>
        <v>25.37</v>
      </c>
      <c r="S1138" s="55" t="s">
        <v>9014</v>
      </c>
      <c r="U1138" s="3" t="str">
        <f t="shared" si="36"/>
        <v/>
      </c>
    </row>
    <row r="1139" spans="1:21" x14ac:dyDescent="0.35">
      <c r="A1139" s="126" t="s">
        <v>35</v>
      </c>
      <c r="B1139" s="126" t="s">
        <v>2543</v>
      </c>
      <c r="C1139" s="126" t="s">
        <v>2</v>
      </c>
      <c r="D1139" s="126" t="s">
        <v>3</v>
      </c>
      <c r="E1139" s="126">
        <v>25.33</v>
      </c>
      <c r="F1139" s="126" t="s">
        <v>88</v>
      </c>
      <c r="G1139" s="108">
        <v>45632</v>
      </c>
      <c r="H1139" s="126" t="s">
        <v>94</v>
      </c>
      <c r="I1139" s="126" t="s">
        <v>510</v>
      </c>
      <c r="J1139" s="126" t="s">
        <v>514</v>
      </c>
      <c r="K1139" s="126"/>
      <c r="L1139" s="126"/>
      <c r="M1139" s="126"/>
      <c r="N1139" s="126"/>
      <c r="O1139" s="126" t="s">
        <v>8870</v>
      </c>
      <c r="Q1139" s="3">
        <f t="shared" si="35"/>
        <v>25.33</v>
      </c>
      <c r="U1139" s="3" t="str">
        <f t="shared" si="36"/>
        <v/>
      </c>
    </row>
    <row r="1140" spans="1:21" x14ac:dyDescent="0.35">
      <c r="A1140" s="126" t="s">
        <v>35</v>
      </c>
      <c r="B1140" s="126" t="s">
        <v>2226</v>
      </c>
      <c r="C1140" s="126" t="s">
        <v>2</v>
      </c>
      <c r="D1140" s="126" t="s">
        <v>3</v>
      </c>
      <c r="E1140" s="126">
        <v>25.21</v>
      </c>
      <c r="F1140" s="126" t="s">
        <v>88</v>
      </c>
      <c r="G1140" s="108">
        <v>45617</v>
      </c>
      <c r="H1140" s="126" t="s">
        <v>94</v>
      </c>
      <c r="I1140" s="126" t="s">
        <v>335</v>
      </c>
      <c r="J1140" s="126" t="s">
        <v>336</v>
      </c>
      <c r="K1140" s="126"/>
      <c r="L1140" s="126"/>
      <c r="M1140" s="126"/>
      <c r="N1140" s="126"/>
      <c r="O1140" s="126" t="s">
        <v>532</v>
      </c>
      <c r="Q1140" s="3">
        <f t="shared" si="35"/>
        <v>25.21</v>
      </c>
      <c r="U1140" s="3" t="str">
        <f t="shared" si="36"/>
        <v/>
      </c>
    </row>
    <row r="1141" spans="1:21" x14ac:dyDescent="0.35">
      <c r="A1141" s="126" t="s">
        <v>35</v>
      </c>
      <c r="B1141" s="126" t="s">
        <v>788</v>
      </c>
      <c r="C1141" s="126" t="s">
        <v>2</v>
      </c>
      <c r="D1141" s="126" t="s">
        <v>3</v>
      </c>
      <c r="E1141" s="126">
        <v>25.13</v>
      </c>
      <c r="F1141" s="126" t="s">
        <v>88</v>
      </c>
      <c r="G1141" s="108">
        <v>45475</v>
      </c>
      <c r="H1141" s="126" t="s">
        <v>94</v>
      </c>
      <c r="I1141" s="126" t="s">
        <v>438</v>
      </c>
      <c r="J1141" s="126" t="s">
        <v>8111</v>
      </c>
      <c r="K1141" s="126"/>
      <c r="L1141" s="126"/>
      <c r="M1141" s="126"/>
      <c r="N1141" s="126"/>
      <c r="O1141" s="126" t="s">
        <v>533</v>
      </c>
      <c r="Q1141" s="3">
        <f t="shared" si="35"/>
        <v>25.13</v>
      </c>
      <c r="S1141" s="55" t="s">
        <v>9014</v>
      </c>
      <c r="U1141" s="3" t="str">
        <f t="shared" si="36"/>
        <v/>
      </c>
    </row>
    <row r="1142" spans="1:21" x14ac:dyDescent="0.35">
      <c r="A1142" s="126" t="s">
        <v>35</v>
      </c>
      <c r="B1142" s="126" t="s">
        <v>1480</v>
      </c>
      <c r="C1142" s="126" t="s">
        <v>2</v>
      </c>
      <c r="D1142" s="126" t="s">
        <v>3</v>
      </c>
      <c r="E1142" s="126">
        <v>25.129999999999995</v>
      </c>
      <c r="F1142" s="126" t="s">
        <v>88</v>
      </c>
      <c r="G1142" s="108">
        <v>45428</v>
      </c>
      <c r="H1142" s="126" t="s">
        <v>94</v>
      </c>
      <c r="I1142" s="126" t="s">
        <v>326</v>
      </c>
      <c r="J1142" s="126" t="s">
        <v>327</v>
      </c>
      <c r="K1142" s="126"/>
      <c r="L1142" s="126"/>
      <c r="M1142" s="126"/>
      <c r="N1142" s="126"/>
      <c r="O1142" s="126" t="s">
        <v>550</v>
      </c>
      <c r="Q1142" s="3">
        <f t="shared" si="35"/>
        <v>25.129999999999995</v>
      </c>
      <c r="U1142" s="3" t="str">
        <f t="shared" si="36"/>
        <v/>
      </c>
    </row>
    <row r="1143" spans="1:21" x14ac:dyDescent="0.35">
      <c r="A1143" s="126" t="s">
        <v>35</v>
      </c>
      <c r="B1143" s="126" t="s">
        <v>756</v>
      </c>
      <c r="C1143" s="126" t="s">
        <v>2</v>
      </c>
      <c r="D1143" s="126" t="s">
        <v>3</v>
      </c>
      <c r="E1143" s="126">
        <v>25</v>
      </c>
      <c r="F1143" s="126" t="s">
        <v>88</v>
      </c>
      <c r="G1143" s="108">
        <v>45385</v>
      </c>
      <c r="H1143" s="126" t="s">
        <v>89</v>
      </c>
      <c r="I1143" s="126" t="s">
        <v>7642</v>
      </c>
      <c r="J1143" s="126"/>
      <c r="K1143" s="126" t="s">
        <v>418</v>
      </c>
      <c r="L1143" s="126" t="s">
        <v>7643</v>
      </c>
      <c r="M1143" s="126" t="s">
        <v>419</v>
      </c>
      <c r="N1143" s="126"/>
      <c r="O1143" s="126"/>
      <c r="Q1143" s="3">
        <f t="shared" si="35"/>
        <v>25</v>
      </c>
      <c r="S1143" s="55" t="s">
        <v>9016</v>
      </c>
      <c r="U1143" s="3" t="str">
        <f t="shared" si="36"/>
        <v/>
      </c>
    </row>
    <row r="1144" spans="1:21" x14ac:dyDescent="0.35">
      <c r="A1144" s="126" t="s">
        <v>35</v>
      </c>
      <c r="B1144" s="126" t="s">
        <v>756</v>
      </c>
      <c r="C1144" s="126" t="s">
        <v>2</v>
      </c>
      <c r="D1144" s="126" t="s">
        <v>3</v>
      </c>
      <c r="E1144" s="126">
        <v>25</v>
      </c>
      <c r="F1144" s="126" t="s">
        <v>88</v>
      </c>
      <c r="G1144" s="108">
        <v>45390</v>
      </c>
      <c r="H1144" s="126" t="s">
        <v>89</v>
      </c>
      <c r="I1144" s="126" t="s">
        <v>7676</v>
      </c>
      <c r="J1144" s="126"/>
      <c r="K1144" s="126" t="s">
        <v>418</v>
      </c>
      <c r="L1144" s="126" t="s">
        <v>7677</v>
      </c>
      <c r="M1144" s="126" t="s">
        <v>419</v>
      </c>
      <c r="N1144" s="35"/>
      <c r="O1144" s="35"/>
      <c r="Q1144" s="3">
        <f t="shared" si="35"/>
        <v>25</v>
      </c>
      <c r="S1144" s="55" t="s">
        <v>9016</v>
      </c>
      <c r="U1144" s="3" t="str">
        <f t="shared" si="36"/>
        <v/>
      </c>
    </row>
    <row r="1145" spans="1:21" x14ac:dyDescent="0.35">
      <c r="A1145" s="126" t="s">
        <v>35</v>
      </c>
      <c r="B1145" s="126" t="s">
        <v>756</v>
      </c>
      <c r="C1145" s="126" t="s">
        <v>2</v>
      </c>
      <c r="D1145" s="126" t="s">
        <v>3</v>
      </c>
      <c r="E1145" s="126">
        <v>25</v>
      </c>
      <c r="F1145" s="126" t="s">
        <v>88</v>
      </c>
      <c r="G1145" s="108">
        <v>45400</v>
      </c>
      <c r="H1145" s="126" t="s">
        <v>89</v>
      </c>
      <c r="I1145" s="126" t="s">
        <v>7737</v>
      </c>
      <c r="J1145" s="126"/>
      <c r="K1145" s="126" t="s">
        <v>7738</v>
      </c>
      <c r="L1145" s="126" t="s">
        <v>7739</v>
      </c>
      <c r="M1145" s="126" t="s">
        <v>419</v>
      </c>
      <c r="N1145" s="126"/>
      <c r="O1145" s="126"/>
      <c r="Q1145" s="3">
        <f t="shared" si="35"/>
        <v>25</v>
      </c>
      <c r="U1145" s="3" t="str">
        <f t="shared" si="36"/>
        <v/>
      </c>
    </row>
    <row r="1146" spans="1:21" x14ac:dyDescent="0.35">
      <c r="A1146" s="126" t="s">
        <v>35</v>
      </c>
      <c r="B1146" s="126" t="s">
        <v>756</v>
      </c>
      <c r="C1146" s="126" t="s">
        <v>2</v>
      </c>
      <c r="D1146" s="126" t="s">
        <v>3</v>
      </c>
      <c r="E1146" s="126">
        <v>25</v>
      </c>
      <c r="F1146" s="126" t="s">
        <v>88</v>
      </c>
      <c r="G1146" s="108">
        <v>45413</v>
      </c>
      <c r="H1146" s="126" t="s">
        <v>89</v>
      </c>
      <c r="I1146" s="126" t="s">
        <v>7782</v>
      </c>
      <c r="J1146" s="126"/>
      <c r="K1146" s="126" t="s">
        <v>418</v>
      </c>
      <c r="L1146" s="126" t="s">
        <v>7783</v>
      </c>
      <c r="M1146" s="126" t="s">
        <v>419</v>
      </c>
      <c r="N1146" s="126"/>
      <c r="O1146" s="126"/>
      <c r="Q1146" s="3">
        <f t="shared" si="35"/>
        <v>25</v>
      </c>
      <c r="S1146" s="55" t="s">
        <v>9016</v>
      </c>
      <c r="U1146" s="3" t="str">
        <f t="shared" si="36"/>
        <v/>
      </c>
    </row>
    <row r="1147" spans="1:21" x14ac:dyDescent="0.35">
      <c r="A1147" s="126" t="s">
        <v>35</v>
      </c>
      <c r="B1147" s="126" t="s">
        <v>756</v>
      </c>
      <c r="C1147" s="126" t="s">
        <v>2</v>
      </c>
      <c r="D1147" s="126" t="s">
        <v>3</v>
      </c>
      <c r="E1147" s="126">
        <v>25</v>
      </c>
      <c r="F1147" s="126" t="s">
        <v>88</v>
      </c>
      <c r="G1147" s="108">
        <v>45419</v>
      </c>
      <c r="H1147" s="126" t="s">
        <v>89</v>
      </c>
      <c r="I1147" s="126" t="s">
        <v>7800</v>
      </c>
      <c r="J1147" s="126"/>
      <c r="K1147" s="126" t="s">
        <v>418</v>
      </c>
      <c r="L1147" s="126" t="s">
        <v>7801</v>
      </c>
      <c r="M1147" s="126" t="s">
        <v>419</v>
      </c>
      <c r="N1147" s="126"/>
      <c r="O1147" s="126"/>
      <c r="Q1147" s="3">
        <f t="shared" si="35"/>
        <v>25</v>
      </c>
      <c r="S1147" s="55" t="s">
        <v>9016</v>
      </c>
      <c r="U1147" s="3" t="str">
        <f t="shared" si="36"/>
        <v/>
      </c>
    </row>
    <row r="1148" spans="1:21" x14ac:dyDescent="0.35">
      <c r="A1148" s="126" t="s">
        <v>35</v>
      </c>
      <c r="B1148" s="126" t="s">
        <v>756</v>
      </c>
      <c r="C1148" s="126" t="s">
        <v>2</v>
      </c>
      <c r="D1148" s="126" t="s">
        <v>3</v>
      </c>
      <c r="E1148" s="126">
        <v>25</v>
      </c>
      <c r="F1148" s="126" t="s">
        <v>88</v>
      </c>
      <c r="G1148" s="108">
        <v>45422</v>
      </c>
      <c r="H1148" s="126" t="s">
        <v>89</v>
      </c>
      <c r="I1148" s="126" t="s">
        <v>7806</v>
      </c>
      <c r="J1148" s="126"/>
      <c r="K1148" s="126" t="s">
        <v>418</v>
      </c>
      <c r="L1148" s="126" t="s">
        <v>7807</v>
      </c>
      <c r="M1148" s="126" t="s">
        <v>419</v>
      </c>
      <c r="N1148" s="126"/>
      <c r="O1148" s="126"/>
      <c r="Q1148" s="3">
        <f t="shared" si="35"/>
        <v>25</v>
      </c>
      <c r="S1148" s="55" t="s">
        <v>9016</v>
      </c>
      <c r="U1148" s="3" t="str">
        <f t="shared" si="36"/>
        <v/>
      </c>
    </row>
    <row r="1149" spans="1:21" x14ac:dyDescent="0.35">
      <c r="A1149" s="126" t="s">
        <v>35</v>
      </c>
      <c r="B1149" s="126" t="s">
        <v>756</v>
      </c>
      <c r="C1149" s="126" t="s">
        <v>2</v>
      </c>
      <c r="D1149" s="126" t="s">
        <v>3</v>
      </c>
      <c r="E1149" s="126">
        <v>25</v>
      </c>
      <c r="F1149" s="126" t="s">
        <v>88</v>
      </c>
      <c r="G1149" s="108">
        <v>45425</v>
      </c>
      <c r="H1149" s="126" t="s">
        <v>89</v>
      </c>
      <c r="I1149" s="126" t="s">
        <v>7811</v>
      </c>
      <c r="J1149" s="126"/>
      <c r="K1149" s="126" t="s">
        <v>418</v>
      </c>
      <c r="L1149" s="126" t="s">
        <v>7812</v>
      </c>
      <c r="M1149" s="126" t="s">
        <v>419</v>
      </c>
      <c r="N1149" s="126"/>
      <c r="O1149" s="126"/>
      <c r="Q1149" s="3">
        <f t="shared" si="35"/>
        <v>25</v>
      </c>
      <c r="S1149" s="55" t="s">
        <v>9016</v>
      </c>
      <c r="U1149" s="3" t="str">
        <f t="shared" si="36"/>
        <v/>
      </c>
    </row>
    <row r="1150" spans="1:21" x14ac:dyDescent="0.35">
      <c r="A1150" s="126" t="s">
        <v>35</v>
      </c>
      <c r="B1150" s="126" t="s">
        <v>756</v>
      </c>
      <c r="C1150" s="126" t="s">
        <v>2</v>
      </c>
      <c r="D1150" s="126" t="s">
        <v>3</v>
      </c>
      <c r="E1150" s="126">
        <v>25</v>
      </c>
      <c r="F1150" s="126" t="s">
        <v>88</v>
      </c>
      <c r="G1150" s="108">
        <v>45434</v>
      </c>
      <c r="H1150" s="126" t="s">
        <v>89</v>
      </c>
      <c r="I1150" s="126" t="s">
        <v>7867</v>
      </c>
      <c r="J1150" s="126"/>
      <c r="K1150" s="126" t="s">
        <v>7868</v>
      </c>
      <c r="L1150" s="126" t="s">
        <v>7869</v>
      </c>
      <c r="M1150" s="126" t="s">
        <v>419</v>
      </c>
      <c r="N1150" s="126"/>
      <c r="O1150" s="126"/>
      <c r="Q1150" s="3">
        <f t="shared" si="35"/>
        <v>25</v>
      </c>
      <c r="S1150" s="55" t="s">
        <v>9016</v>
      </c>
      <c r="U1150" s="3" t="str">
        <f t="shared" si="36"/>
        <v/>
      </c>
    </row>
    <row r="1151" spans="1:21" x14ac:dyDescent="0.35">
      <c r="A1151" s="126" t="s">
        <v>35</v>
      </c>
      <c r="B1151" s="126" t="s">
        <v>756</v>
      </c>
      <c r="C1151" s="126" t="s">
        <v>2</v>
      </c>
      <c r="D1151" s="126" t="s">
        <v>3</v>
      </c>
      <c r="E1151" s="126">
        <v>25</v>
      </c>
      <c r="F1151" s="126" t="s">
        <v>88</v>
      </c>
      <c r="G1151" s="108">
        <v>45439</v>
      </c>
      <c r="H1151" s="126" t="s">
        <v>89</v>
      </c>
      <c r="I1151" s="126" t="s">
        <v>7898</v>
      </c>
      <c r="J1151" s="126"/>
      <c r="K1151" s="126" t="s">
        <v>7868</v>
      </c>
      <c r="L1151" s="126" t="s">
        <v>7899</v>
      </c>
      <c r="M1151" s="126" t="s">
        <v>419</v>
      </c>
      <c r="N1151" s="126"/>
      <c r="O1151" s="126"/>
      <c r="Q1151" s="3">
        <f t="shared" si="35"/>
        <v>25</v>
      </c>
      <c r="S1151" s="55" t="s">
        <v>9016</v>
      </c>
      <c r="U1151" s="3" t="str">
        <f t="shared" si="36"/>
        <v/>
      </c>
    </row>
    <row r="1152" spans="1:21" x14ac:dyDescent="0.35">
      <c r="A1152" s="126" t="s">
        <v>35</v>
      </c>
      <c r="B1152" s="126" t="s">
        <v>756</v>
      </c>
      <c r="C1152" s="126" t="s">
        <v>2</v>
      </c>
      <c r="D1152" s="126" t="s">
        <v>3</v>
      </c>
      <c r="E1152" s="126">
        <v>25</v>
      </c>
      <c r="F1152" s="126" t="s">
        <v>88</v>
      </c>
      <c r="G1152" s="108">
        <v>45447</v>
      </c>
      <c r="H1152" s="126" t="s">
        <v>89</v>
      </c>
      <c r="I1152" s="126" t="s">
        <v>7933</v>
      </c>
      <c r="J1152" s="126"/>
      <c r="K1152" s="126" t="s">
        <v>7868</v>
      </c>
      <c r="L1152" s="126" t="s">
        <v>7934</v>
      </c>
      <c r="M1152" s="126" t="s">
        <v>419</v>
      </c>
      <c r="N1152" s="126"/>
      <c r="O1152" s="126"/>
      <c r="Q1152" s="3">
        <f t="shared" si="35"/>
        <v>25</v>
      </c>
      <c r="S1152" s="55" t="s">
        <v>9016</v>
      </c>
      <c r="U1152" s="3" t="str">
        <f t="shared" si="36"/>
        <v/>
      </c>
    </row>
    <row r="1153" spans="1:21" x14ac:dyDescent="0.35">
      <c r="A1153" s="126" t="s">
        <v>35</v>
      </c>
      <c r="B1153" s="126" t="s">
        <v>756</v>
      </c>
      <c r="C1153" s="126" t="s">
        <v>2</v>
      </c>
      <c r="D1153" s="126" t="s">
        <v>3</v>
      </c>
      <c r="E1153" s="126">
        <v>25</v>
      </c>
      <c r="F1153" s="126" t="s">
        <v>88</v>
      </c>
      <c r="G1153" s="108">
        <v>45455</v>
      </c>
      <c r="H1153" s="126" t="s">
        <v>89</v>
      </c>
      <c r="I1153" s="126" t="s">
        <v>7985</v>
      </c>
      <c r="J1153" s="126"/>
      <c r="K1153" s="126" t="s">
        <v>7868</v>
      </c>
      <c r="L1153" s="126" t="s">
        <v>7986</v>
      </c>
      <c r="M1153" s="126" t="s">
        <v>419</v>
      </c>
      <c r="N1153" s="126"/>
      <c r="O1153" s="126"/>
      <c r="Q1153" s="3">
        <f t="shared" si="35"/>
        <v>25</v>
      </c>
      <c r="S1153" s="55" t="s">
        <v>9016</v>
      </c>
      <c r="U1153" s="3" t="str">
        <f t="shared" si="36"/>
        <v/>
      </c>
    </row>
    <row r="1154" spans="1:21" x14ac:dyDescent="0.35">
      <c r="A1154" s="126" t="s">
        <v>35</v>
      </c>
      <c r="B1154" s="126" t="s">
        <v>756</v>
      </c>
      <c r="C1154" s="126" t="s">
        <v>2</v>
      </c>
      <c r="D1154" s="126" t="s">
        <v>3</v>
      </c>
      <c r="E1154" s="126">
        <v>25</v>
      </c>
      <c r="F1154" s="126" t="s">
        <v>88</v>
      </c>
      <c r="G1154" s="108">
        <v>45460</v>
      </c>
      <c r="H1154" s="126" t="s">
        <v>89</v>
      </c>
      <c r="I1154" s="126" t="s">
        <v>8006</v>
      </c>
      <c r="J1154" s="126"/>
      <c r="K1154" s="126" t="s">
        <v>7868</v>
      </c>
      <c r="L1154" s="126" t="s">
        <v>8007</v>
      </c>
      <c r="M1154" s="126" t="s">
        <v>419</v>
      </c>
      <c r="N1154" s="126"/>
      <c r="O1154" s="126"/>
      <c r="Q1154" s="3">
        <f t="shared" si="35"/>
        <v>25</v>
      </c>
      <c r="S1154" s="55" t="s">
        <v>9016</v>
      </c>
      <c r="U1154" s="3" t="str">
        <f t="shared" si="36"/>
        <v/>
      </c>
    </row>
    <row r="1155" spans="1:21" x14ac:dyDescent="0.35">
      <c r="A1155" s="126" t="s">
        <v>35</v>
      </c>
      <c r="B1155" s="126" t="s">
        <v>756</v>
      </c>
      <c r="C1155" s="126" t="s">
        <v>2</v>
      </c>
      <c r="D1155" s="126" t="s">
        <v>3</v>
      </c>
      <c r="E1155" s="126">
        <v>25</v>
      </c>
      <c r="F1155" s="126" t="s">
        <v>88</v>
      </c>
      <c r="G1155" s="108">
        <v>45467</v>
      </c>
      <c r="H1155" s="126" t="s">
        <v>89</v>
      </c>
      <c r="I1155" s="126" t="s">
        <v>8051</v>
      </c>
      <c r="J1155" s="126"/>
      <c r="K1155" s="126" t="s">
        <v>7868</v>
      </c>
      <c r="L1155" s="126" t="s">
        <v>8052</v>
      </c>
      <c r="M1155" s="126" t="s">
        <v>419</v>
      </c>
      <c r="N1155" s="126"/>
      <c r="O1155" s="126"/>
      <c r="Q1155" s="3">
        <f t="shared" si="35"/>
        <v>25</v>
      </c>
      <c r="S1155" s="55" t="s">
        <v>9016</v>
      </c>
      <c r="U1155" s="3" t="str">
        <f t="shared" si="36"/>
        <v/>
      </c>
    </row>
    <row r="1156" spans="1:21" x14ac:dyDescent="0.35">
      <c r="A1156" s="126" t="s">
        <v>35</v>
      </c>
      <c r="B1156" s="126" t="s">
        <v>756</v>
      </c>
      <c r="C1156" s="126" t="s">
        <v>2</v>
      </c>
      <c r="D1156" s="126" t="s">
        <v>3</v>
      </c>
      <c r="E1156" s="126">
        <v>25</v>
      </c>
      <c r="F1156" s="126" t="s">
        <v>88</v>
      </c>
      <c r="G1156" s="108">
        <v>45475</v>
      </c>
      <c r="H1156" s="126" t="s">
        <v>89</v>
      </c>
      <c r="I1156" s="126" t="s">
        <v>8086</v>
      </c>
      <c r="J1156" s="126"/>
      <c r="K1156" s="126" t="s">
        <v>7868</v>
      </c>
      <c r="L1156" s="126" t="s">
        <v>8087</v>
      </c>
      <c r="M1156" s="126" t="s">
        <v>419</v>
      </c>
      <c r="N1156" s="126"/>
      <c r="O1156" s="126"/>
      <c r="Q1156" s="3">
        <f t="shared" si="35"/>
        <v>25</v>
      </c>
      <c r="S1156" s="55" t="s">
        <v>9016</v>
      </c>
      <c r="U1156" s="3" t="str">
        <f t="shared" si="36"/>
        <v/>
      </c>
    </row>
    <row r="1157" spans="1:21" x14ac:dyDescent="0.35">
      <c r="A1157" s="126" t="s">
        <v>35</v>
      </c>
      <c r="B1157" s="126" t="s">
        <v>756</v>
      </c>
      <c r="C1157" s="126" t="s">
        <v>2</v>
      </c>
      <c r="D1157" s="126" t="s">
        <v>3</v>
      </c>
      <c r="E1157" s="126">
        <v>25</v>
      </c>
      <c r="F1157" s="126" t="s">
        <v>88</v>
      </c>
      <c r="G1157" s="108">
        <v>45481</v>
      </c>
      <c r="H1157" s="126" t="s">
        <v>89</v>
      </c>
      <c r="I1157" s="126" t="s">
        <v>8127</v>
      </c>
      <c r="J1157" s="126"/>
      <c r="K1157" s="126" t="s">
        <v>7868</v>
      </c>
      <c r="L1157" s="126" t="s">
        <v>8128</v>
      </c>
      <c r="M1157" s="126" t="s">
        <v>419</v>
      </c>
      <c r="N1157" s="126"/>
      <c r="O1157" s="126"/>
      <c r="Q1157" s="3">
        <f t="shared" si="35"/>
        <v>25</v>
      </c>
      <c r="S1157" s="55" t="s">
        <v>9016</v>
      </c>
      <c r="U1157" s="3" t="str">
        <f t="shared" si="36"/>
        <v/>
      </c>
    </row>
    <row r="1158" spans="1:21" x14ac:dyDescent="0.35">
      <c r="A1158" s="126" t="s">
        <v>35</v>
      </c>
      <c r="B1158" s="126" t="s">
        <v>756</v>
      </c>
      <c r="C1158" s="126" t="s">
        <v>2</v>
      </c>
      <c r="D1158" s="126" t="s">
        <v>3</v>
      </c>
      <c r="E1158" s="126">
        <v>25</v>
      </c>
      <c r="F1158" s="126" t="s">
        <v>88</v>
      </c>
      <c r="G1158" s="108">
        <v>45488</v>
      </c>
      <c r="H1158" s="126" t="s">
        <v>89</v>
      </c>
      <c r="I1158" s="126" t="s">
        <v>8155</v>
      </c>
      <c r="J1158" s="126"/>
      <c r="K1158" s="126" t="s">
        <v>7868</v>
      </c>
      <c r="L1158" s="126" t="s">
        <v>8156</v>
      </c>
      <c r="M1158" s="126" t="s">
        <v>419</v>
      </c>
      <c r="N1158" s="126"/>
      <c r="O1158" s="126"/>
      <c r="Q1158" s="3">
        <f t="shared" si="35"/>
        <v>25</v>
      </c>
      <c r="S1158" s="55" t="s">
        <v>9016</v>
      </c>
      <c r="U1158" s="3" t="str">
        <f t="shared" si="36"/>
        <v/>
      </c>
    </row>
    <row r="1159" spans="1:21" x14ac:dyDescent="0.35">
      <c r="A1159" s="126" t="s">
        <v>35</v>
      </c>
      <c r="B1159" s="126" t="s">
        <v>756</v>
      </c>
      <c r="C1159" s="126" t="s">
        <v>2</v>
      </c>
      <c r="D1159" s="126" t="s">
        <v>3</v>
      </c>
      <c r="E1159" s="126">
        <v>25</v>
      </c>
      <c r="F1159" s="126" t="s">
        <v>88</v>
      </c>
      <c r="G1159" s="108">
        <v>45495</v>
      </c>
      <c r="H1159" s="126" t="s">
        <v>89</v>
      </c>
      <c r="I1159" s="126" t="s">
        <v>8190</v>
      </c>
      <c r="J1159" s="126"/>
      <c r="K1159" s="126" t="s">
        <v>7868</v>
      </c>
      <c r="L1159" s="126" t="s">
        <v>8191</v>
      </c>
      <c r="M1159" s="126" t="s">
        <v>419</v>
      </c>
      <c r="N1159" s="126"/>
      <c r="O1159" s="126"/>
      <c r="Q1159" s="3">
        <f t="shared" si="35"/>
        <v>25</v>
      </c>
      <c r="S1159" s="55" t="s">
        <v>9016</v>
      </c>
      <c r="U1159" s="3" t="str">
        <f t="shared" si="36"/>
        <v/>
      </c>
    </row>
    <row r="1160" spans="1:21" x14ac:dyDescent="0.35">
      <c r="A1160" s="126" t="s">
        <v>35</v>
      </c>
      <c r="B1160" s="126" t="s">
        <v>756</v>
      </c>
      <c r="C1160" s="126" t="s">
        <v>2</v>
      </c>
      <c r="D1160" s="126" t="s">
        <v>3</v>
      </c>
      <c r="E1160" s="126">
        <v>25</v>
      </c>
      <c r="F1160" s="126" t="s">
        <v>88</v>
      </c>
      <c r="G1160" s="108">
        <v>45510</v>
      </c>
      <c r="H1160" s="126" t="s">
        <v>89</v>
      </c>
      <c r="I1160" s="126" t="s">
        <v>8284</v>
      </c>
      <c r="J1160" s="126"/>
      <c r="K1160" s="126" t="s">
        <v>7868</v>
      </c>
      <c r="L1160" s="126" t="s">
        <v>8285</v>
      </c>
      <c r="M1160" s="126" t="s">
        <v>419</v>
      </c>
      <c r="N1160" s="126"/>
      <c r="O1160" s="126"/>
      <c r="Q1160" s="3">
        <f t="shared" ref="Q1160:Q1223" si="37">ABS(E1160)</f>
        <v>25</v>
      </c>
      <c r="S1160" s="55" t="s">
        <v>9016</v>
      </c>
      <c r="U1160" s="3" t="str">
        <f t="shared" ref="U1160:U1223" si="38">IF(T1160="Y",E1160,"")</f>
        <v/>
      </c>
    </row>
    <row r="1161" spans="1:21" x14ac:dyDescent="0.35">
      <c r="A1161" s="126" t="s">
        <v>35</v>
      </c>
      <c r="B1161" s="126" t="s">
        <v>756</v>
      </c>
      <c r="C1161" s="126" t="s">
        <v>2</v>
      </c>
      <c r="D1161" s="126" t="s">
        <v>3</v>
      </c>
      <c r="E1161" s="126">
        <v>25</v>
      </c>
      <c r="F1161" s="126" t="s">
        <v>88</v>
      </c>
      <c r="G1161" s="108">
        <v>45515</v>
      </c>
      <c r="H1161" s="126" t="s">
        <v>89</v>
      </c>
      <c r="I1161" s="126" t="s">
        <v>8302</v>
      </c>
      <c r="J1161" s="126"/>
      <c r="K1161" s="126" t="s">
        <v>7868</v>
      </c>
      <c r="L1161" s="126" t="s">
        <v>8303</v>
      </c>
      <c r="M1161" s="126" t="s">
        <v>419</v>
      </c>
      <c r="N1161" s="126"/>
      <c r="O1161" s="126"/>
      <c r="Q1161" s="3">
        <f t="shared" si="37"/>
        <v>25</v>
      </c>
      <c r="S1161" s="55" t="s">
        <v>9016</v>
      </c>
      <c r="U1161" s="3" t="str">
        <f t="shared" si="38"/>
        <v/>
      </c>
    </row>
    <row r="1162" spans="1:21" x14ac:dyDescent="0.35">
      <c r="A1162" s="126" t="s">
        <v>35</v>
      </c>
      <c r="B1162" s="126" t="s">
        <v>756</v>
      </c>
      <c r="C1162" s="126" t="s">
        <v>2</v>
      </c>
      <c r="D1162" s="126" t="s">
        <v>3</v>
      </c>
      <c r="E1162" s="126">
        <v>25</v>
      </c>
      <c r="F1162" s="126" t="s">
        <v>88</v>
      </c>
      <c r="G1162" s="108">
        <v>45517</v>
      </c>
      <c r="H1162" s="126" t="s">
        <v>89</v>
      </c>
      <c r="I1162" s="126" t="s">
        <v>8325</v>
      </c>
      <c r="J1162" s="126"/>
      <c r="K1162" s="126" t="s">
        <v>7868</v>
      </c>
      <c r="L1162" s="126" t="s">
        <v>8326</v>
      </c>
      <c r="M1162" s="126" t="s">
        <v>419</v>
      </c>
      <c r="N1162" s="126"/>
      <c r="O1162" s="126"/>
      <c r="Q1162" s="3">
        <f t="shared" si="37"/>
        <v>25</v>
      </c>
      <c r="S1162" s="55" t="s">
        <v>9016</v>
      </c>
      <c r="U1162" s="3" t="str">
        <f t="shared" si="38"/>
        <v/>
      </c>
    </row>
    <row r="1163" spans="1:21" x14ac:dyDescent="0.35">
      <c r="A1163" s="126" t="s">
        <v>35</v>
      </c>
      <c r="B1163" s="126" t="s">
        <v>756</v>
      </c>
      <c r="C1163" s="126" t="s">
        <v>2</v>
      </c>
      <c r="D1163" s="126" t="s">
        <v>3</v>
      </c>
      <c r="E1163" s="126">
        <v>25</v>
      </c>
      <c r="F1163" s="126" t="s">
        <v>88</v>
      </c>
      <c r="G1163" s="108">
        <v>45523</v>
      </c>
      <c r="H1163" s="126" t="s">
        <v>89</v>
      </c>
      <c r="I1163" s="126" t="s">
        <v>8343</v>
      </c>
      <c r="J1163" s="126"/>
      <c r="K1163" s="126" t="s">
        <v>7868</v>
      </c>
      <c r="L1163" s="126" t="s">
        <v>8344</v>
      </c>
      <c r="M1163" s="126" t="s">
        <v>419</v>
      </c>
      <c r="N1163" s="126"/>
      <c r="O1163" s="126"/>
      <c r="Q1163" s="3">
        <f t="shared" si="37"/>
        <v>25</v>
      </c>
      <c r="S1163" s="55" t="s">
        <v>9016</v>
      </c>
      <c r="U1163" s="3" t="str">
        <f t="shared" si="38"/>
        <v/>
      </c>
    </row>
    <row r="1164" spans="1:21" x14ac:dyDescent="0.35">
      <c r="A1164" s="126" t="s">
        <v>35</v>
      </c>
      <c r="B1164" s="126" t="s">
        <v>756</v>
      </c>
      <c r="C1164" s="126" t="s">
        <v>2</v>
      </c>
      <c r="D1164" s="126" t="s">
        <v>3</v>
      </c>
      <c r="E1164" s="126">
        <v>25</v>
      </c>
      <c r="F1164" s="126" t="s">
        <v>88</v>
      </c>
      <c r="G1164" s="108">
        <v>45530</v>
      </c>
      <c r="H1164" s="126" t="s">
        <v>89</v>
      </c>
      <c r="I1164" s="126" t="s">
        <v>8364</v>
      </c>
      <c r="J1164" s="126"/>
      <c r="K1164" s="126" t="s">
        <v>7868</v>
      </c>
      <c r="L1164" s="126" t="s">
        <v>8365</v>
      </c>
      <c r="M1164" s="126" t="s">
        <v>419</v>
      </c>
      <c r="N1164" s="126"/>
      <c r="O1164" s="126"/>
      <c r="Q1164" s="3">
        <f t="shared" si="37"/>
        <v>25</v>
      </c>
      <c r="S1164" s="55" t="s">
        <v>9016</v>
      </c>
      <c r="U1164" s="3" t="str">
        <f t="shared" si="38"/>
        <v/>
      </c>
    </row>
    <row r="1165" spans="1:21" x14ac:dyDescent="0.35">
      <c r="A1165" s="126" t="s">
        <v>35</v>
      </c>
      <c r="B1165" s="126" t="s">
        <v>756</v>
      </c>
      <c r="C1165" s="126" t="s">
        <v>2</v>
      </c>
      <c r="D1165" s="126" t="s">
        <v>3</v>
      </c>
      <c r="E1165" s="126">
        <v>25</v>
      </c>
      <c r="F1165" s="126" t="s">
        <v>88</v>
      </c>
      <c r="G1165" s="108">
        <v>45538</v>
      </c>
      <c r="H1165" s="126" t="s">
        <v>89</v>
      </c>
      <c r="I1165" s="126" t="s">
        <v>8396</v>
      </c>
      <c r="J1165" s="126"/>
      <c r="K1165" s="126" t="s">
        <v>7868</v>
      </c>
      <c r="L1165" s="126" t="s">
        <v>8397</v>
      </c>
      <c r="M1165" s="126" t="s">
        <v>419</v>
      </c>
      <c r="N1165" s="126"/>
      <c r="O1165" s="126"/>
      <c r="Q1165" s="3">
        <f t="shared" si="37"/>
        <v>25</v>
      </c>
      <c r="S1165" s="55" t="s">
        <v>9016</v>
      </c>
      <c r="U1165" s="3" t="str">
        <f t="shared" si="38"/>
        <v/>
      </c>
    </row>
    <row r="1166" spans="1:21" x14ac:dyDescent="0.35">
      <c r="A1166" s="126" t="s">
        <v>35</v>
      </c>
      <c r="B1166" s="126" t="s">
        <v>756</v>
      </c>
      <c r="C1166" s="126" t="s">
        <v>2</v>
      </c>
      <c r="D1166" s="126" t="s">
        <v>3</v>
      </c>
      <c r="E1166" s="126">
        <v>25</v>
      </c>
      <c r="F1166" s="126" t="s">
        <v>88</v>
      </c>
      <c r="G1166" s="108">
        <v>45544</v>
      </c>
      <c r="H1166" s="126" t="s">
        <v>89</v>
      </c>
      <c r="I1166" s="126" t="s">
        <v>8402</v>
      </c>
      <c r="J1166" s="126"/>
      <c r="K1166" s="126" t="s">
        <v>7868</v>
      </c>
      <c r="L1166" s="126" t="s">
        <v>8403</v>
      </c>
      <c r="M1166" s="126" t="s">
        <v>419</v>
      </c>
      <c r="Q1166" s="3">
        <f t="shared" si="37"/>
        <v>25</v>
      </c>
      <c r="S1166" s="55" t="s">
        <v>9016</v>
      </c>
      <c r="U1166" s="3" t="str">
        <f t="shared" si="38"/>
        <v/>
      </c>
    </row>
    <row r="1167" spans="1:21" x14ac:dyDescent="0.35">
      <c r="A1167" s="126" t="s">
        <v>35</v>
      </c>
      <c r="B1167" s="126" t="s">
        <v>756</v>
      </c>
      <c r="C1167" s="126" t="s">
        <v>2</v>
      </c>
      <c r="D1167" s="126" t="s">
        <v>3</v>
      </c>
      <c r="E1167" s="126">
        <v>25</v>
      </c>
      <c r="F1167" s="126" t="s">
        <v>88</v>
      </c>
      <c r="G1167" s="108">
        <v>45551</v>
      </c>
      <c r="H1167" s="126" t="s">
        <v>89</v>
      </c>
      <c r="I1167" s="126" t="s">
        <v>8434</v>
      </c>
      <c r="J1167" s="126"/>
      <c r="K1167" s="126" t="s">
        <v>7868</v>
      </c>
      <c r="L1167" s="126" t="s">
        <v>8435</v>
      </c>
      <c r="M1167" s="126" t="s">
        <v>419</v>
      </c>
      <c r="N1167" s="126"/>
      <c r="O1167" s="126"/>
      <c r="Q1167" s="3">
        <f t="shared" si="37"/>
        <v>25</v>
      </c>
      <c r="S1167" s="55" t="s">
        <v>9016</v>
      </c>
      <c r="U1167" s="3" t="str">
        <f t="shared" si="38"/>
        <v/>
      </c>
    </row>
    <row r="1168" spans="1:21" x14ac:dyDescent="0.35">
      <c r="A1168" s="126" t="s">
        <v>35</v>
      </c>
      <c r="B1168" s="126" t="s">
        <v>756</v>
      </c>
      <c r="C1168" s="126" t="s">
        <v>2</v>
      </c>
      <c r="D1168" s="126" t="s">
        <v>3</v>
      </c>
      <c r="E1168" s="126">
        <v>25</v>
      </c>
      <c r="F1168" s="126" t="s">
        <v>88</v>
      </c>
      <c r="G1168" s="108">
        <v>45558</v>
      </c>
      <c r="H1168" s="126" t="s">
        <v>89</v>
      </c>
      <c r="I1168" s="126" t="s">
        <v>8467</v>
      </c>
      <c r="J1168" s="126"/>
      <c r="K1168" s="126" t="s">
        <v>7868</v>
      </c>
      <c r="L1168" s="126" t="s">
        <v>8468</v>
      </c>
      <c r="M1168" s="126" t="s">
        <v>419</v>
      </c>
      <c r="N1168" s="126"/>
      <c r="O1168" s="126"/>
      <c r="Q1168" s="3">
        <f t="shared" si="37"/>
        <v>25</v>
      </c>
      <c r="S1168" s="55" t="s">
        <v>9016</v>
      </c>
      <c r="U1168" s="3" t="str">
        <f t="shared" si="38"/>
        <v/>
      </c>
    </row>
    <row r="1169" spans="1:21" x14ac:dyDescent="0.35">
      <c r="A1169" s="126" t="s">
        <v>35</v>
      </c>
      <c r="B1169" s="126" t="s">
        <v>756</v>
      </c>
      <c r="C1169" s="126" t="s">
        <v>2</v>
      </c>
      <c r="D1169" s="126" t="s">
        <v>3</v>
      </c>
      <c r="E1169" s="126">
        <v>25</v>
      </c>
      <c r="F1169" s="126" t="s">
        <v>88</v>
      </c>
      <c r="G1169" s="108">
        <v>45566</v>
      </c>
      <c r="H1169" s="126" t="s">
        <v>89</v>
      </c>
      <c r="I1169" s="126" t="s">
        <v>8503</v>
      </c>
      <c r="J1169" s="126"/>
      <c r="K1169" s="126" t="s">
        <v>7868</v>
      </c>
      <c r="L1169" s="126" t="s">
        <v>8504</v>
      </c>
      <c r="M1169" s="126" t="s">
        <v>419</v>
      </c>
      <c r="N1169" s="126"/>
      <c r="O1169" s="126"/>
      <c r="Q1169" s="3">
        <f t="shared" si="37"/>
        <v>25</v>
      </c>
      <c r="S1169" s="55" t="s">
        <v>9016</v>
      </c>
      <c r="U1169" s="3" t="str">
        <f t="shared" si="38"/>
        <v/>
      </c>
    </row>
    <row r="1170" spans="1:21" x14ac:dyDescent="0.35">
      <c r="A1170" s="126" t="s">
        <v>35</v>
      </c>
      <c r="B1170" s="126" t="s">
        <v>756</v>
      </c>
      <c r="C1170" s="126" t="s">
        <v>2</v>
      </c>
      <c r="D1170" s="126" t="s">
        <v>3</v>
      </c>
      <c r="E1170" s="126">
        <v>25</v>
      </c>
      <c r="F1170" s="126" t="s">
        <v>88</v>
      </c>
      <c r="G1170" s="108">
        <v>45573</v>
      </c>
      <c r="H1170" s="126" t="s">
        <v>89</v>
      </c>
      <c r="I1170" s="126" t="s">
        <v>8541</v>
      </c>
      <c r="J1170" s="126"/>
      <c r="K1170" s="126" t="s">
        <v>7868</v>
      </c>
      <c r="L1170" s="126" t="s">
        <v>8542</v>
      </c>
      <c r="M1170" s="126" t="s">
        <v>419</v>
      </c>
      <c r="N1170" s="126"/>
      <c r="O1170" s="126"/>
      <c r="Q1170" s="3">
        <f t="shared" si="37"/>
        <v>25</v>
      </c>
      <c r="S1170" s="55" t="s">
        <v>9016</v>
      </c>
      <c r="U1170" s="3" t="str">
        <f t="shared" si="38"/>
        <v/>
      </c>
    </row>
    <row r="1171" spans="1:21" x14ac:dyDescent="0.35">
      <c r="A1171" s="126" t="s">
        <v>35</v>
      </c>
      <c r="B1171" s="126" t="s">
        <v>756</v>
      </c>
      <c r="C1171" s="126" t="s">
        <v>2</v>
      </c>
      <c r="D1171" s="126" t="s">
        <v>3</v>
      </c>
      <c r="E1171" s="126">
        <v>25</v>
      </c>
      <c r="F1171" s="126" t="s">
        <v>88</v>
      </c>
      <c r="G1171" s="108">
        <v>45580</v>
      </c>
      <c r="H1171" s="126" t="s">
        <v>89</v>
      </c>
      <c r="I1171" s="126" t="s">
        <v>8563</v>
      </c>
      <c r="J1171" s="126"/>
      <c r="K1171" s="126" t="s">
        <v>7868</v>
      </c>
      <c r="L1171" s="126" t="s">
        <v>8564</v>
      </c>
      <c r="M1171" s="126" t="s">
        <v>419</v>
      </c>
      <c r="N1171" s="126"/>
      <c r="O1171" s="126"/>
      <c r="Q1171" s="3">
        <f t="shared" si="37"/>
        <v>25</v>
      </c>
      <c r="S1171" s="55" t="s">
        <v>9016</v>
      </c>
      <c r="U1171" s="3" t="str">
        <f t="shared" si="38"/>
        <v/>
      </c>
    </row>
    <row r="1172" spans="1:21" x14ac:dyDescent="0.35">
      <c r="A1172" s="126" t="s">
        <v>35</v>
      </c>
      <c r="B1172" s="126" t="s">
        <v>756</v>
      </c>
      <c r="C1172" s="126" t="s">
        <v>2</v>
      </c>
      <c r="D1172" s="126" t="s">
        <v>3</v>
      </c>
      <c r="E1172" s="126">
        <v>25</v>
      </c>
      <c r="F1172" s="126" t="s">
        <v>88</v>
      </c>
      <c r="G1172" s="108">
        <v>45586</v>
      </c>
      <c r="H1172" s="126" t="s">
        <v>89</v>
      </c>
      <c r="I1172" s="126" t="s">
        <v>8594</v>
      </c>
      <c r="J1172" s="126"/>
      <c r="K1172" s="126" t="s">
        <v>7868</v>
      </c>
      <c r="L1172" s="126" t="s">
        <v>8595</v>
      </c>
      <c r="M1172" s="126" t="s">
        <v>419</v>
      </c>
      <c r="N1172" s="126"/>
      <c r="O1172" s="126"/>
      <c r="Q1172" s="3">
        <f t="shared" si="37"/>
        <v>25</v>
      </c>
      <c r="S1172" s="55" t="s">
        <v>9016</v>
      </c>
      <c r="U1172" s="3" t="str">
        <f t="shared" si="38"/>
        <v/>
      </c>
    </row>
    <row r="1173" spans="1:21" x14ac:dyDescent="0.35">
      <c r="A1173" s="126" t="s">
        <v>35</v>
      </c>
      <c r="B1173" s="126" t="s">
        <v>756</v>
      </c>
      <c r="C1173" s="126" t="s">
        <v>2</v>
      </c>
      <c r="D1173" s="126" t="s">
        <v>3</v>
      </c>
      <c r="E1173" s="126">
        <v>25</v>
      </c>
      <c r="F1173" s="126" t="s">
        <v>88</v>
      </c>
      <c r="G1173" s="108">
        <v>45600</v>
      </c>
      <c r="H1173" s="126" t="s">
        <v>89</v>
      </c>
      <c r="I1173" s="126" t="s">
        <v>8645</v>
      </c>
      <c r="J1173" s="126"/>
      <c r="K1173" s="126" t="s">
        <v>7868</v>
      </c>
      <c r="L1173" s="126" t="s">
        <v>8646</v>
      </c>
      <c r="M1173" s="126" t="s">
        <v>419</v>
      </c>
      <c r="N1173" s="126"/>
      <c r="O1173" s="126"/>
      <c r="Q1173" s="3">
        <f t="shared" si="37"/>
        <v>25</v>
      </c>
      <c r="S1173" s="55" t="s">
        <v>9016</v>
      </c>
      <c r="U1173" s="3" t="str">
        <f t="shared" si="38"/>
        <v/>
      </c>
    </row>
    <row r="1174" spans="1:21" x14ac:dyDescent="0.35">
      <c r="A1174" s="126" t="s">
        <v>35</v>
      </c>
      <c r="B1174" s="126" t="s">
        <v>756</v>
      </c>
      <c r="C1174" s="126" t="s">
        <v>2</v>
      </c>
      <c r="D1174" s="126" t="s">
        <v>3</v>
      </c>
      <c r="E1174" s="126">
        <v>25</v>
      </c>
      <c r="F1174" s="126" t="s">
        <v>88</v>
      </c>
      <c r="G1174" s="108">
        <v>45601</v>
      </c>
      <c r="H1174" s="126" t="s">
        <v>89</v>
      </c>
      <c r="I1174" s="126" t="s">
        <v>8655</v>
      </c>
      <c r="J1174" s="126"/>
      <c r="K1174" s="126" t="s">
        <v>7868</v>
      </c>
      <c r="L1174" s="126" t="s">
        <v>8656</v>
      </c>
      <c r="M1174" s="126" t="s">
        <v>419</v>
      </c>
      <c r="N1174" s="126"/>
      <c r="O1174" s="126"/>
      <c r="Q1174" s="3">
        <f t="shared" si="37"/>
        <v>25</v>
      </c>
      <c r="S1174" s="55" t="s">
        <v>9016</v>
      </c>
      <c r="U1174" s="3" t="str">
        <f t="shared" si="38"/>
        <v/>
      </c>
    </row>
    <row r="1175" spans="1:21" x14ac:dyDescent="0.35">
      <c r="A1175" s="126" t="s">
        <v>35</v>
      </c>
      <c r="B1175" s="126" t="s">
        <v>756</v>
      </c>
      <c r="C1175" s="126" t="s">
        <v>2</v>
      </c>
      <c r="D1175" s="126" t="s">
        <v>3</v>
      </c>
      <c r="E1175" s="126">
        <v>25</v>
      </c>
      <c r="F1175" s="126" t="s">
        <v>88</v>
      </c>
      <c r="G1175" s="108">
        <v>45609</v>
      </c>
      <c r="H1175" s="126" t="s">
        <v>89</v>
      </c>
      <c r="I1175" s="126" t="s">
        <v>8725</v>
      </c>
      <c r="J1175" s="126"/>
      <c r="K1175" s="126" t="s">
        <v>7868</v>
      </c>
      <c r="L1175" s="126" t="s">
        <v>8726</v>
      </c>
      <c r="M1175" s="126" t="s">
        <v>419</v>
      </c>
      <c r="N1175" s="126"/>
      <c r="O1175" s="126"/>
      <c r="Q1175" s="3">
        <f t="shared" si="37"/>
        <v>25</v>
      </c>
      <c r="S1175" s="55" t="s">
        <v>9016</v>
      </c>
      <c r="U1175" s="3" t="str">
        <f t="shared" si="38"/>
        <v/>
      </c>
    </row>
    <row r="1176" spans="1:21" x14ac:dyDescent="0.35">
      <c r="A1176" s="126" t="s">
        <v>35</v>
      </c>
      <c r="B1176" s="126" t="s">
        <v>756</v>
      </c>
      <c r="C1176" s="126" t="s">
        <v>2</v>
      </c>
      <c r="D1176" s="126" t="s">
        <v>3</v>
      </c>
      <c r="E1176" s="126">
        <v>25</v>
      </c>
      <c r="F1176" s="126" t="s">
        <v>88</v>
      </c>
      <c r="G1176" s="108">
        <v>45614</v>
      </c>
      <c r="H1176" s="126" t="s">
        <v>89</v>
      </c>
      <c r="I1176" s="126" t="s">
        <v>8739</v>
      </c>
      <c r="J1176" s="126"/>
      <c r="K1176" s="126" t="s">
        <v>7868</v>
      </c>
      <c r="L1176" s="126" t="s">
        <v>8740</v>
      </c>
      <c r="M1176" s="126" t="s">
        <v>419</v>
      </c>
      <c r="N1176" s="126"/>
      <c r="O1176" s="126"/>
      <c r="Q1176" s="3">
        <f t="shared" si="37"/>
        <v>25</v>
      </c>
      <c r="S1176" s="55" t="s">
        <v>9016</v>
      </c>
      <c r="U1176" s="3" t="str">
        <f t="shared" si="38"/>
        <v/>
      </c>
    </row>
    <row r="1177" spans="1:21" x14ac:dyDescent="0.35">
      <c r="A1177" s="126" t="s">
        <v>35</v>
      </c>
      <c r="B1177" s="126" t="s">
        <v>756</v>
      </c>
      <c r="C1177" s="126" t="s">
        <v>2</v>
      </c>
      <c r="D1177" s="126" t="s">
        <v>3</v>
      </c>
      <c r="E1177" s="126">
        <v>25</v>
      </c>
      <c r="F1177" s="126" t="s">
        <v>88</v>
      </c>
      <c r="G1177" s="108">
        <v>45621</v>
      </c>
      <c r="H1177" s="126" t="s">
        <v>89</v>
      </c>
      <c r="I1177" s="126" t="s">
        <v>8783</v>
      </c>
      <c r="J1177" s="126"/>
      <c r="K1177" s="126" t="s">
        <v>7868</v>
      </c>
      <c r="L1177" s="126" t="s">
        <v>8784</v>
      </c>
      <c r="M1177" s="126" t="s">
        <v>419</v>
      </c>
      <c r="N1177" s="126"/>
      <c r="O1177" s="126"/>
      <c r="Q1177" s="3">
        <f t="shared" si="37"/>
        <v>25</v>
      </c>
      <c r="S1177" s="55" t="s">
        <v>9016</v>
      </c>
      <c r="U1177" s="3" t="str">
        <f t="shared" si="38"/>
        <v/>
      </c>
    </row>
    <row r="1178" spans="1:21" x14ac:dyDescent="0.35">
      <c r="A1178" s="126" t="s">
        <v>35</v>
      </c>
      <c r="B1178" s="126" t="s">
        <v>756</v>
      </c>
      <c r="C1178" s="126" t="s">
        <v>2</v>
      </c>
      <c r="D1178" s="126" t="s">
        <v>3</v>
      </c>
      <c r="E1178" s="126">
        <v>25</v>
      </c>
      <c r="F1178" s="126" t="s">
        <v>88</v>
      </c>
      <c r="G1178" s="108">
        <v>45628</v>
      </c>
      <c r="H1178" s="126" t="s">
        <v>89</v>
      </c>
      <c r="I1178" s="126" t="s">
        <v>8823</v>
      </c>
      <c r="J1178" s="126"/>
      <c r="K1178" s="126" t="s">
        <v>7868</v>
      </c>
      <c r="L1178" s="126" t="s">
        <v>8824</v>
      </c>
      <c r="M1178" s="126" t="s">
        <v>419</v>
      </c>
      <c r="N1178" s="126"/>
      <c r="O1178" s="126"/>
      <c r="Q1178" s="3">
        <f t="shared" si="37"/>
        <v>25</v>
      </c>
      <c r="S1178" s="55" t="s">
        <v>9016</v>
      </c>
      <c r="U1178" s="3" t="str">
        <f t="shared" si="38"/>
        <v/>
      </c>
    </row>
    <row r="1179" spans="1:21" x14ac:dyDescent="0.35">
      <c r="A1179" s="126" t="s">
        <v>35</v>
      </c>
      <c r="B1179" s="126" t="s">
        <v>756</v>
      </c>
      <c r="C1179" s="126" t="s">
        <v>2</v>
      </c>
      <c r="D1179" s="126" t="s">
        <v>3</v>
      </c>
      <c r="E1179" s="126">
        <v>25</v>
      </c>
      <c r="F1179" s="126" t="s">
        <v>88</v>
      </c>
      <c r="G1179" s="108">
        <v>45635</v>
      </c>
      <c r="H1179" s="126" t="s">
        <v>89</v>
      </c>
      <c r="I1179" s="126" t="s">
        <v>8883</v>
      </c>
      <c r="J1179" s="126"/>
      <c r="K1179" s="126" t="s">
        <v>7868</v>
      </c>
      <c r="L1179" s="126" t="s">
        <v>8884</v>
      </c>
      <c r="M1179" s="126" t="s">
        <v>419</v>
      </c>
      <c r="N1179" s="126"/>
      <c r="O1179" s="126"/>
      <c r="Q1179" s="3">
        <f t="shared" si="37"/>
        <v>25</v>
      </c>
      <c r="S1179" s="55" t="s">
        <v>9016</v>
      </c>
      <c r="U1179" s="3" t="str">
        <f t="shared" si="38"/>
        <v/>
      </c>
    </row>
    <row r="1180" spans="1:21" x14ac:dyDescent="0.35">
      <c r="A1180" s="126" t="s">
        <v>35</v>
      </c>
      <c r="B1180" s="126" t="s">
        <v>915</v>
      </c>
      <c r="C1180" s="126" t="s">
        <v>2</v>
      </c>
      <c r="D1180" s="126" t="s">
        <v>3</v>
      </c>
      <c r="E1180" s="126">
        <v>24.99</v>
      </c>
      <c r="F1180" s="126" t="s">
        <v>88</v>
      </c>
      <c r="G1180" s="108">
        <v>45454</v>
      </c>
      <c r="H1180" s="126" t="s">
        <v>94</v>
      </c>
      <c r="I1180" s="126" t="s">
        <v>7887</v>
      </c>
      <c r="J1180" s="126" t="s">
        <v>7977</v>
      </c>
      <c r="K1180" s="126"/>
      <c r="L1180" s="126"/>
      <c r="M1180" s="126"/>
      <c r="N1180" s="126"/>
      <c r="O1180" s="126" t="s">
        <v>2088</v>
      </c>
      <c r="Q1180" s="3">
        <f t="shared" si="37"/>
        <v>24.99</v>
      </c>
      <c r="U1180" s="3" t="str">
        <f t="shared" si="38"/>
        <v/>
      </c>
    </row>
    <row r="1181" spans="1:21" x14ac:dyDescent="0.35">
      <c r="A1181" s="126" t="s">
        <v>35</v>
      </c>
      <c r="B1181" s="126" t="s">
        <v>698</v>
      </c>
      <c r="C1181" s="126" t="s">
        <v>2</v>
      </c>
      <c r="D1181" s="126" t="s">
        <v>3</v>
      </c>
      <c r="E1181" s="126">
        <v>24.86</v>
      </c>
      <c r="F1181" s="126" t="s">
        <v>88</v>
      </c>
      <c r="G1181" s="108">
        <v>45491</v>
      </c>
      <c r="H1181" s="126" t="s">
        <v>94</v>
      </c>
      <c r="I1181" s="126" t="s">
        <v>7826</v>
      </c>
      <c r="J1181" s="126" t="s">
        <v>8181</v>
      </c>
      <c r="K1181" s="126"/>
      <c r="L1181" s="126"/>
      <c r="M1181" s="126"/>
      <c r="N1181" s="126"/>
      <c r="O1181" s="126" t="s">
        <v>4447</v>
      </c>
      <c r="Q1181" s="3">
        <f t="shared" si="37"/>
        <v>24.86</v>
      </c>
      <c r="S1181" s="55" t="s">
        <v>9014</v>
      </c>
      <c r="U1181" s="3" t="str">
        <f t="shared" si="38"/>
        <v/>
      </c>
    </row>
    <row r="1182" spans="1:21" x14ac:dyDescent="0.35">
      <c r="A1182" s="126" t="s">
        <v>0</v>
      </c>
      <c r="B1182" s="126" t="s">
        <v>1411</v>
      </c>
      <c r="C1182" s="126" t="s">
        <v>2</v>
      </c>
      <c r="D1182" s="126" t="s">
        <v>3</v>
      </c>
      <c r="E1182" s="126">
        <v>24.61</v>
      </c>
      <c r="F1182" s="126" t="s">
        <v>88</v>
      </c>
      <c r="G1182" s="108">
        <v>45635</v>
      </c>
      <c r="H1182" s="126" t="s">
        <v>89</v>
      </c>
      <c r="I1182" s="126" t="s">
        <v>8881</v>
      </c>
      <c r="J1182" s="126"/>
      <c r="K1182" s="126" t="s">
        <v>8735</v>
      </c>
      <c r="L1182" s="126" t="s">
        <v>8882</v>
      </c>
      <c r="M1182" s="126" t="s">
        <v>399</v>
      </c>
      <c r="Q1182" s="3">
        <f t="shared" si="37"/>
        <v>24.61</v>
      </c>
      <c r="S1182" s="55" t="s">
        <v>9013</v>
      </c>
      <c r="U1182" s="3" t="str">
        <f t="shared" si="38"/>
        <v/>
      </c>
    </row>
    <row r="1183" spans="1:21" x14ac:dyDescent="0.35">
      <c r="A1183" s="126" t="s">
        <v>0</v>
      </c>
      <c r="B1183" s="126" t="s">
        <v>7674</v>
      </c>
      <c r="C1183" s="126" t="s">
        <v>2</v>
      </c>
      <c r="D1183" s="126" t="s">
        <v>3</v>
      </c>
      <c r="E1183" s="126">
        <v>24.57</v>
      </c>
      <c r="F1183" s="126" t="s">
        <v>88</v>
      </c>
      <c r="G1183" s="108">
        <v>45390</v>
      </c>
      <c r="H1183" s="126" t="s">
        <v>89</v>
      </c>
      <c r="I1183" s="126" t="s">
        <v>7671</v>
      </c>
      <c r="J1183" s="126"/>
      <c r="K1183" s="126" t="s">
        <v>7672</v>
      </c>
      <c r="L1183" s="126" t="s">
        <v>7673</v>
      </c>
      <c r="M1183" s="126" t="s">
        <v>399</v>
      </c>
      <c r="N1183" s="35"/>
      <c r="O1183" s="35"/>
      <c r="Q1183" s="3">
        <f t="shared" si="37"/>
        <v>24.57</v>
      </c>
      <c r="S1183" s="55" t="s">
        <v>9013</v>
      </c>
      <c r="U1183" s="3" t="str">
        <f t="shared" si="38"/>
        <v/>
      </c>
    </row>
    <row r="1184" spans="1:21" x14ac:dyDescent="0.35">
      <c r="A1184" s="126" t="s">
        <v>0</v>
      </c>
      <c r="B1184" s="126" t="s">
        <v>1411</v>
      </c>
      <c r="C1184" s="126" t="s">
        <v>2</v>
      </c>
      <c r="D1184" s="126" t="s">
        <v>3</v>
      </c>
      <c r="E1184" s="126">
        <v>24.56</v>
      </c>
      <c r="F1184" s="126" t="s">
        <v>88</v>
      </c>
      <c r="G1184" s="108">
        <v>45454</v>
      </c>
      <c r="H1184" s="126" t="s">
        <v>89</v>
      </c>
      <c r="I1184" s="126" t="s">
        <v>7961</v>
      </c>
      <c r="J1184" s="126"/>
      <c r="K1184" s="126" t="s">
        <v>7959</v>
      </c>
      <c r="L1184" s="126" t="s">
        <v>7962</v>
      </c>
      <c r="M1184" s="126" t="s">
        <v>399</v>
      </c>
      <c r="Q1184" s="3">
        <f t="shared" si="37"/>
        <v>24.56</v>
      </c>
      <c r="S1184" s="55" t="s">
        <v>9013</v>
      </c>
      <c r="U1184" s="3" t="str">
        <f t="shared" si="38"/>
        <v/>
      </c>
    </row>
    <row r="1185" spans="1:21" x14ac:dyDescent="0.35">
      <c r="A1185" s="126" t="s">
        <v>0</v>
      </c>
      <c r="B1185" s="126" t="s">
        <v>1411</v>
      </c>
      <c r="C1185" s="126" t="s">
        <v>2</v>
      </c>
      <c r="D1185" s="126" t="s">
        <v>3</v>
      </c>
      <c r="E1185" s="126">
        <v>24.56</v>
      </c>
      <c r="F1185" s="126" t="s">
        <v>88</v>
      </c>
      <c r="G1185" s="108">
        <v>45544</v>
      </c>
      <c r="H1185" s="126" t="s">
        <v>89</v>
      </c>
      <c r="I1185" s="126" t="s">
        <v>8400</v>
      </c>
      <c r="J1185" s="126"/>
      <c r="K1185" s="126" t="s">
        <v>8321</v>
      </c>
      <c r="L1185" s="126" t="s">
        <v>8401</v>
      </c>
      <c r="M1185" s="126" t="s">
        <v>399</v>
      </c>
      <c r="Q1185" s="3">
        <f t="shared" si="37"/>
        <v>24.56</v>
      </c>
      <c r="S1185" s="55" t="s">
        <v>9013</v>
      </c>
      <c r="U1185" s="3" t="str">
        <f t="shared" si="38"/>
        <v/>
      </c>
    </row>
    <row r="1186" spans="1:21" x14ac:dyDescent="0.35">
      <c r="A1186" s="126" t="s">
        <v>35</v>
      </c>
      <c r="B1186" s="126" t="s">
        <v>4622</v>
      </c>
      <c r="C1186" s="126" t="s">
        <v>2</v>
      </c>
      <c r="D1186" s="126" t="s">
        <v>3</v>
      </c>
      <c r="E1186" s="126">
        <v>24.55</v>
      </c>
      <c r="F1186" s="126" t="s">
        <v>88</v>
      </c>
      <c r="G1186" s="108">
        <v>45387</v>
      </c>
      <c r="H1186" s="126" t="s">
        <v>94</v>
      </c>
      <c r="I1186" s="126" t="s">
        <v>7660</v>
      </c>
      <c r="J1186" s="126" t="s">
        <v>7661</v>
      </c>
      <c r="K1186" s="126"/>
      <c r="L1186" s="126"/>
      <c r="M1186" s="126"/>
      <c r="N1186" s="126"/>
      <c r="O1186" s="126" t="s">
        <v>570</v>
      </c>
      <c r="Q1186" s="3">
        <f t="shared" si="37"/>
        <v>24.55</v>
      </c>
      <c r="U1186" s="3" t="str">
        <f t="shared" si="38"/>
        <v/>
      </c>
    </row>
    <row r="1187" spans="1:21" x14ac:dyDescent="0.35">
      <c r="A1187" s="126" t="s">
        <v>0</v>
      </c>
      <c r="B1187" s="126" t="s">
        <v>672</v>
      </c>
      <c r="C1187" s="126" t="s">
        <v>2</v>
      </c>
      <c r="D1187" s="126" t="s">
        <v>3</v>
      </c>
      <c r="E1187" s="126">
        <v>24.55</v>
      </c>
      <c r="F1187" s="126" t="s">
        <v>88</v>
      </c>
      <c r="G1187" s="108">
        <v>45390</v>
      </c>
      <c r="H1187" s="126" t="s">
        <v>89</v>
      </c>
      <c r="I1187" s="126" t="s">
        <v>7671</v>
      </c>
      <c r="J1187" s="126"/>
      <c r="K1187" s="126" t="s">
        <v>7672</v>
      </c>
      <c r="L1187" s="126" t="s">
        <v>7673</v>
      </c>
      <c r="M1187" s="126" t="s">
        <v>399</v>
      </c>
      <c r="N1187" s="35"/>
      <c r="O1187" s="35"/>
      <c r="Q1187" s="3">
        <f t="shared" si="37"/>
        <v>24.55</v>
      </c>
      <c r="S1187" s="55" t="s">
        <v>9013</v>
      </c>
      <c r="U1187" s="3" t="str">
        <f t="shared" si="38"/>
        <v/>
      </c>
    </row>
    <row r="1188" spans="1:21" x14ac:dyDescent="0.35">
      <c r="A1188" s="126" t="s">
        <v>0</v>
      </c>
      <c r="B1188" s="126" t="s">
        <v>1411</v>
      </c>
      <c r="C1188" s="126" t="s">
        <v>2</v>
      </c>
      <c r="D1188" s="126" t="s">
        <v>3</v>
      </c>
      <c r="E1188" s="126">
        <v>24.55</v>
      </c>
      <c r="F1188" s="126" t="s">
        <v>88</v>
      </c>
      <c r="G1188" s="108">
        <v>45390</v>
      </c>
      <c r="H1188" s="126" t="s">
        <v>89</v>
      </c>
      <c r="I1188" s="126" t="s">
        <v>7671</v>
      </c>
      <c r="J1188" s="126"/>
      <c r="K1188" s="126" t="s">
        <v>7672</v>
      </c>
      <c r="L1188" s="126" t="s">
        <v>7673</v>
      </c>
      <c r="M1188" s="126" t="s">
        <v>399</v>
      </c>
      <c r="N1188" s="35"/>
      <c r="O1188" s="35"/>
      <c r="Q1188" s="3">
        <f t="shared" si="37"/>
        <v>24.55</v>
      </c>
      <c r="S1188" s="55" t="s">
        <v>9013</v>
      </c>
      <c r="U1188" s="3" t="str">
        <f t="shared" si="38"/>
        <v/>
      </c>
    </row>
    <row r="1189" spans="1:21" x14ac:dyDescent="0.35">
      <c r="A1189" s="126" t="s">
        <v>0</v>
      </c>
      <c r="B1189" s="126" t="s">
        <v>5701</v>
      </c>
      <c r="C1189" s="126" t="s">
        <v>2</v>
      </c>
      <c r="D1189" s="126" t="s">
        <v>3</v>
      </c>
      <c r="E1189" s="126">
        <v>24.55</v>
      </c>
      <c r="F1189" s="126" t="s">
        <v>88</v>
      </c>
      <c r="G1189" s="108">
        <v>45390</v>
      </c>
      <c r="H1189" s="126" t="s">
        <v>89</v>
      </c>
      <c r="I1189" s="126" t="s">
        <v>7671</v>
      </c>
      <c r="J1189" s="126"/>
      <c r="K1189" s="126" t="s">
        <v>7672</v>
      </c>
      <c r="L1189" s="126" t="s">
        <v>7673</v>
      </c>
      <c r="M1189" s="126" t="s">
        <v>399</v>
      </c>
      <c r="N1189" s="35"/>
      <c r="O1189" s="35"/>
      <c r="Q1189" s="3">
        <f t="shared" si="37"/>
        <v>24.55</v>
      </c>
      <c r="S1189" s="55" t="s">
        <v>9013</v>
      </c>
      <c r="U1189" s="3" t="str">
        <f t="shared" si="38"/>
        <v/>
      </c>
    </row>
    <row r="1190" spans="1:21" x14ac:dyDescent="0.35">
      <c r="A1190" s="126" t="s">
        <v>35</v>
      </c>
      <c r="B1190" s="126" t="s">
        <v>6044</v>
      </c>
      <c r="C1190" s="126" t="s">
        <v>2</v>
      </c>
      <c r="D1190" s="126" t="s">
        <v>3</v>
      </c>
      <c r="E1190" s="126">
        <v>24.55</v>
      </c>
      <c r="F1190" s="126" t="s">
        <v>88</v>
      </c>
      <c r="G1190" s="108">
        <v>45404</v>
      </c>
      <c r="H1190" s="126" t="s">
        <v>94</v>
      </c>
      <c r="I1190" s="126" t="s">
        <v>489</v>
      </c>
      <c r="J1190" s="126" t="s">
        <v>7753</v>
      </c>
      <c r="K1190" s="126"/>
      <c r="L1190" s="126"/>
      <c r="M1190" s="126"/>
      <c r="N1190" s="126"/>
      <c r="O1190" s="126" t="s">
        <v>7754</v>
      </c>
      <c r="Q1190" s="3">
        <f t="shared" si="37"/>
        <v>24.55</v>
      </c>
      <c r="U1190" s="3" t="str">
        <f t="shared" si="38"/>
        <v/>
      </c>
    </row>
    <row r="1191" spans="1:21" x14ac:dyDescent="0.35">
      <c r="A1191" s="126" t="s">
        <v>0</v>
      </c>
      <c r="B1191" s="126" t="s">
        <v>672</v>
      </c>
      <c r="C1191" s="126" t="s">
        <v>2</v>
      </c>
      <c r="D1191" s="126" t="s">
        <v>3</v>
      </c>
      <c r="E1191" s="126">
        <v>24.55</v>
      </c>
      <c r="F1191" s="126" t="s">
        <v>88</v>
      </c>
      <c r="G1191" s="108">
        <v>45454</v>
      </c>
      <c r="H1191" s="126" t="s">
        <v>89</v>
      </c>
      <c r="I1191" s="126" t="s">
        <v>7961</v>
      </c>
      <c r="J1191" s="126"/>
      <c r="K1191" s="126" t="s">
        <v>7959</v>
      </c>
      <c r="L1191" s="126" t="s">
        <v>7962</v>
      </c>
      <c r="M1191" s="126" t="s">
        <v>399</v>
      </c>
      <c r="Q1191" s="3">
        <f t="shared" si="37"/>
        <v>24.55</v>
      </c>
      <c r="S1191" s="55" t="s">
        <v>9013</v>
      </c>
      <c r="U1191" s="3" t="str">
        <f t="shared" si="38"/>
        <v/>
      </c>
    </row>
    <row r="1192" spans="1:21" x14ac:dyDescent="0.35">
      <c r="A1192" s="126" t="s">
        <v>0</v>
      </c>
      <c r="B1192" s="126" t="s">
        <v>5701</v>
      </c>
      <c r="C1192" s="126" t="s">
        <v>2</v>
      </c>
      <c r="D1192" s="126" t="s">
        <v>3</v>
      </c>
      <c r="E1192" s="126">
        <v>24.55</v>
      </c>
      <c r="F1192" s="126" t="s">
        <v>88</v>
      </c>
      <c r="G1192" s="108">
        <v>45454</v>
      </c>
      <c r="H1192" s="126" t="s">
        <v>89</v>
      </c>
      <c r="I1192" s="126" t="s">
        <v>7961</v>
      </c>
      <c r="J1192" s="126"/>
      <c r="K1192" s="126" t="s">
        <v>7959</v>
      </c>
      <c r="L1192" s="126" t="s">
        <v>7962</v>
      </c>
      <c r="M1192" s="126" t="s">
        <v>399</v>
      </c>
      <c r="N1192" s="126"/>
      <c r="O1192" s="126"/>
      <c r="Q1192" s="3">
        <f t="shared" si="37"/>
        <v>24.55</v>
      </c>
      <c r="S1192" s="55" t="s">
        <v>9013</v>
      </c>
      <c r="U1192" s="3" t="str">
        <f t="shared" si="38"/>
        <v/>
      </c>
    </row>
    <row r="1193" spans="1:21" x14ac:dyDescent="0.35">
      <c r="A1193" s="126" t="s">
        <v>0</v>
      </c>
      <c r="B1193" s="126" t="s">
        <v>672</v>
      </c>
      <c r="C1193" s="126" t="s">
        <v>2</v>
      </c>
      <c r="D1193" s="126" t="s">
        <v>3</v>
      </c>
      <c r="E1193" s="126">
        <v>24.55</v>
      </c>
      <c r="F1193" s="126" t="s">
        <v>88</v>
      </c>
      <c r="G1193" s="108">
        <v>45544</v>
      </c>
      <c r="H1193" s="126" t="s">
        <v>89</v>
      </c>
      <c r="I1193" s="126" t="s">
        <v>8400</v>
      </c>
      <c r="J1193" s="126"/>
      <c r="K1193" s="126" t="s">
        <v>8321</v>
      </c>
      <c r="L1193" s="126" t="s">
        <v>8401</v>
      </c>
      <c r="M1193" s="126" t="s">
        <v>399</v>
      </c>
      <c r="Q1193" s="3">
        <f t="shared" si="37"/>
        <v>24.55</v>
      </c>
      <c r="S1193" s="55" t="s">
        <v>9013</v>
      </c>
      <c r="U1193" s="3" t="str">
        <f t="shared" si="38"/>
        <v/>
      </c>
    </row>
    <row r="1194" spans="1:21" x14ac:dyDescent="0.35">
      <c r="A1194" s="126" t="s">
        <v>0</v>
      </c>
      <c r="B1194" s="126" t="s">
        <v>5701</v>
      </c>
      <c r="C1194" s="126" t="s">
        <v>2</v>
      </c>
      <c r="D1194" s="126" t="s">
        <v>3</v>
      </c>
      <c r="E1194" s="126">
        <v>24.55</v>
      </c>
      <c r="F1194" s="126" t="s">
        <v>88</v>
      </c>
      <c r="G1194" s="108">
        <v>45544</v>
      </c>
      <c r="H1194" s="126" t="s">
        <v>89</v>
      </c>
      <c r="I1194" s="126" t="s">
        <v>8400</v>
      </c>
      <c r="J1194" s="126"/>
      <c r="K1194" s="126" t="s">
        <v>8321</v>
      </c>
      <c r="L1194" s="126" t="s">
        <v>8401</v>
      </c>
      <c r="M1194" s="126" t="s">
        <v>399</v>
      </c>
      <c r="Q1194" s="3">
        <f t="shared" si="37"/>
        <v>24.55</v>
      </c>
      <c r="S1194" s="55" t="s">
        <v>9013</v>
      </c>
      <c r="U1194" s="3" t="str">
        <f t="shared" si="38"/>
        <v/>
      </c>
    </row>
    <row r="1195" spans="1:21" x14ac:dyDescent="0.35">
      <c r="A1195" s="126" t="s">
        <v>35</v>
      </c>
      <c r="B1195" s="126" t="s">
        <v>756</v>
      </c>
      <c r="C1195" s="126" t="s">
        <v>2</v>
      </c>
      <c r="D1195" s="126" t="s">
        <v>3</v>
      </c>
      <c r="E1195" s="126">
        <v>24.55</v>
      </c>
      <c r="F1195" s="126" t="s">
        <v>88</v>
      </c>
      <c r="G1195" s="108">
        <v>45624</v>
      </c>
      <c r="H1195" s="126" t="s">
        <v>94</v>
      </c>
      <c r="I1195" s="126" t="s">
        <v>8805</v>
      </c>
      <c r="J1195" s="126" t="s">
        <v>8803</v>
      </c>
      <c r="K1195" s="126"/>
      <c r="L1195" s="126"/>
      <c r="M1195" s="126"/>
      <c r="N1195" s="126"/>
      <c r="O1195" s="126" t="s">
        <v>8340</v>
      </c>
      <c r="Q1195" s="3">
        <f t="shared" si="37"/>
        <v>24.55</v>
      </c>
      <c r="S1195" s="55" t="s">
        <v>53</v>
      </c>
      <c r="T1195" t="s">
        <v>64</v>
      </c>
      <c r="U1195" s="3">
        <f t="shared" si="38"/>
        <v>24.55</v>
      </c>
    </row>
    <row r="1196" spans="1:21" x14ac:dyDescent="0.35">
      <c r="A1196" s="126" t="s">
        <v>0</v>
      </c>
      <c r="B1196" s="126" t="s">
        <v>5701</v>
      </c>
      <c r="C1196" s="126" t="s">
        <v>2</v>
      </c>
      <c r="D1196" s="126" t="s">
        <v>3</v>
      </c>
      <c r="E1196" s="126">
        <v>24.55</v>
      </c>
      <c r="F1196" s="126" t="s">
        <v>88</v>
      </c>
      <c r="G1196" s="108">
        <v>45635</v>
      </c>
      <c r="H1196" s="126" t="s">
        <v>89</v>
      </c>
      <c r="I1196" s="126" t="s">
        <v>8881</v>
      </c>
      <c r="J1196" s="126"/>
      <c r="K1196" s="126" t="s">
        <v>8735</v>
      </c>
      <c r="L1196" s="126" t="s">
        <v>8882</v>
      </c>
      <c r="M1196" s="126" t="s">
        <v>399</v>
      </c>
      <c r="Q1196" s="3">
        <f t="shared" si="37"/>
        <v>24.55</v>
      </c>
      <c r="S1196" s="55" t="s">
        <v>9013</v>
      </c>
      <c r="U1196" s="3" t="str">
        <f t="shared" si="38"/>
        <v/>
      </c>
    </row>
    <row r="1197" spans="1:21" x14ac:dyDescent="0.35">
      <c r="A1197" s="126" t="s">
        <v>0</v>
      </c>
      <c r="B1197" s="126" t="s">
        <v>788</v>
      </c>
      <c r="C1197" s="126" t="s">
        <v>2</v>
      </c>
      <c r="D1197" s="126" t="s">
        <v>3</v>
      </c>
      <c r="E1197" s="126">
        <v>24.54</v>
      </c>
      <c r="F1197" s="126" t="s">
        <v>88</v>
      </c>
      <c r="G1197" s="108">
        <v>45390</v>
      </c>
      <c r="H1197" s="126" t="s">
        <v>89</v>
      </c>
      <c r="I1197" s="126" t="s">
        <v>7671</v>
      </c>
      <c r="J1197" s="126"/>
      <c r="K1197" s="126" t="s">
        <v>7672</v>
      </c>
      <c r="L1197" s="126" t="s">
        <v>7673</v>
      </c>
      <c r="M1197" s="126" t="s">
        <v>399</v>
      </c>
      <c r="N1197" s="35"/>
      <c r="O1197" s="35"/>
      <c r="Q1197" s="3">
        <f t="shared" si="37"/>
        <v>24.54</v>
      </c>
      <c r="S1197" s="55" t="s">
        <v>9013</v>
      </c>
      <c r="U1197" s="3" t="str">
        <f t="shared" si="38"/>
        <v/>
      </c>
    </row>
    <row r="1198" spans="1:21" x14ac:dyDescent="0.35">
      <c r="A1198" s="126" t="s">
        <v>0</v>
      </c>
      <c r="B1198" s="126" t="s">
        <v>788</v>
      </c>
      <c r="C1198" s="126" t="s">
        <v>2</v>
      </c>
      <c r="D1198" s="126" t="s">
        <v>3</v>
      </c>
      <c r="E1198" s="126">
        <v>24.54</v>
      </c>
      <c r="F1198" s="126" t="s">
        <v>88</v>
      </c>
      <c r="G1198" s="108">
        <v>45454</v>
      </c>
      <c r="H1198" s="126" t="s">
        <v>89</v>
      </c>
      <c r="I1198" s="126" t="s">
        <v>7961</v>
      </c>
      <c r="J1198" s="126"/>
      <c r="K1198" s="126" t="s">
        <v>7959</v>
      </c>
      <c r="L1198" s="126" t="s">
        <v>7962</v>
      </c>
      <c r="M1198" s="126" t="s">
        <v>399</v>
      </c>
      <c r="Q1198" s="3">
        <f t="shared" si="37"/>
        <v>24.54</v>
      </c>
      <c r="S1198" s="55" t="s">
        <v>9013</v>
      </c>
      <c r="U1198" s="3" t="str">
        <f t="shared" si="38"/>
        <v/>
      </c>
    </row>
    <row r="1199" spans="1:21" x14ac:dyDescent="0.35">
      <c r="A1199" s="126" t="s">
        <v>0</v>
      </c>
      <c r="B1199" s="126" t="s">
        <v>2629</v>
      </c>
      <c r="C1199" s="126" t="s">
        <v>2</v>
      </c>
      <c r="D1199" s="126" t="s">
        <v>3</v>
      </c>
      <c r="E1199" s="126">
        <v>24.54</v>
      </c>
      <c r="F1199" s="126" t="s">
        <v>88</v>
      </c>
      <c r="G1199" s="108">
        <v>45454</v>
      </c>
      <c r="H1199" s="126" t="s">
        <v>89</v>
      </c>
      <c r="I1199" s="126" t="s">
        <v>7961</v>
      </c>
      <c r="J1199" s="126"/>
      <c r="K1199" s="126" t="s">
        <v>7959</v>
      </c>
      <c r="L1199" s="126" t="s">
        <v>7962</v>
      </c>
      <c r="M1199" s="126" t="s">
        <v>399</v>
      </c>
      <c r="Q1199" s="3">
        <f t="shared" si="37"/>
        <v>24.54</v>
      </c>
      <c r="S1199" s="55" t="s">
        <v>9013</v>
      </c>
      <c r="U1199" s="3" t="str">
        <f t="shared" si="38"/>
        <v/>
      </c>
    </row>
    <row r="1200" spans="1:21" x14ac:dyDescent="0.35">
      <c r="A1200" s="126" t="s">
        <v>0</v>
      </c>
      <c r="B1200" s="126" t="s">
        <v>788</v>
      </c>
      <c r="C1200" s="126" t="s">
        <v>2</v>
      </c>
      <c r="D1200" s="126" t="s">
        <v>3</v>
      </c>
      <c r="E1200" s="126">
        <v>24.54</v>
      </c>
      <c r="F1200" s="126" t="s">
        <v>88</v>
      </c>
      <c r="G1200" s="108">
        <v>45544</v>
      </c>
      <c r="H1200" s="126" t="s">
        <v>89</v>
      </c>
      <c r="I1200" s="126" t="s">
        <v>8400</v>
      </c>
      <c r="J1200" s="126"/>
      <c r="K1200" s="126" t="s">
        <v>8321</v>
      </c>
      <c r="L1200" s="126" t="s">
        <v>8401</v>
      </c>
      <c r="M1200" s="126" t="s">
        <v>399</v>
      </c>
      <c r="Q1200" s="3">
        <f t="shared" si="37"/>
        <v>24.54</v>
      </c>
      <c r="S1200" s="55" t="s">
        <v>9013</v>
      </c>
      <c r="U1200" s="3" t="str">
        <f t="shared" si="38"/>
        <v/>
      </c>
    </row>
    <row r="1201" spans="1:21" x14ac:dyDescent="0.35">
      <c r="A1201" s="126" t="s">
        <v>0</v>
      </c>
      <c r="B1201" s="126" t="s">
        <v>2629</v>
      </c>
      <c r="C1201" s="126" t="s">
        <v>2</v>
      </c>
      <c r="D1201" s="126" t="s">
        <v>3</v>
      </c>
      <c r="E1201" s="126">
        <v>24.54</v>
      </c>
      <c r="F1201" s="126" t="s">
        <v>88</v>
      </c>
      <c r="G1201" s="108">
        <v>45544</v>
      </c>
      <c r="H1201" s="126" t="s">
        <v>89</v>
      </c>
      <c r="I1201" s="126" t="s">
        <v>8400</v>
      </c>
      <c r="J1201" s="126"/>
      <c r="K1201" s="126" t="s">
        <v>8321</v>
      </c>
      <c r="L1201" s="126" t="s">
        <v>8401</v>
      </c>
      <c r="M1201" s="126" t="s">
        <v>399</v>
      </c>
      <c r="Q1201" s="3">
        <f t="shared" si="37"/>
        <v>24.54</v>
      </c>
      <c r="S1201" s="55" t="s">
        <v>9013</v>
      </c>
      <c r="U1201" s="3" t="str">
        <f t="shared" si="38"/>
        <v/>
      </c>
    </row>
    <row r="1202" spans="1:21" x14ac:dyDescent="0.35">
      <c r="A1202" s="126" t="s">
        <v>0</v>
      </c>
      <c r="B1202" s="126" t="s">
        <v>788</v>
      </c>
      <c r="C1202" s="126" t="s">
        <v>2</v>
      </c>
      <c r="D1202" s="126" t="s">
        <v>3</v>
      </c>
      <c r="E1202" s="126">
        <v>24.54</v>
      </c>
      <c r="F1202" s="126" t="s">
        <v>88</v>
      </c>
      <c r="G1202" s="108">
        <v>45635</v>
      </c>
      <c r="H1202" s="126" t="s">
        <v>89</v>
      </c>
      <c r="I1202" s="126" t="s">
        <v>8881</v>
      </c>
      <c r="J1202" s="126"/>
      <c r="K1202" s="126" t="s">
        <v>8735</v>
      </c>
      <c r="L1202" s="126" t="s">
        <v>8882</v>
      </c>
      <c r="M1202" s="126" t="s">
        <v>399</v>
      </c>
      <c r="Q1202" s="3">
        <f t="shared" si="37"/>
        <v>24.54</v>
      </c>
      <c r="S1202" s="55" t="s">
        <v>9013</v>
      </c>
      <c r="U1202" s="3" t="str">
        <f t="shared" si="38"/>
        <v/>
      </c>
    </row>
    <row r="1203" spans="1:21" x14ac:dyDescent="0.35">
      <c r="A1203" s="126" t="s">
        <v>0</v>
      </c>
      <c r="B1203" s="126" t="s">
        <v>2629</v>
      </c>
      <c r="C1203" s="126" t="s">
        <v>2</v>
      </c>
      <c r="D1203" s="126" t="s">
        <v>3</v>
      </c>
      <c r="E1203" s="126">
        <v>24.54</v>
      </c>
      <c r="F1203" s="126" t="s">
        <v>88</v>
      </c>
      <c r="G1203" s="108">
        <v>45635</v>
      </c>
      <c r="H1203" s="126" t="s">
        <v>89</v>
      </c>
      <c r="I1203" s="126" t="s">
        <v>8881</v>
      </c>
      <c r="J1203" s="126"/>
      <c r="K1203" s="126" t="s">
        <v>8735</v>
      </c>
      <c r="L1203" s="126" t="s">
        <v>8882</v>
      </c>
      <c r="M1203" s="126" t="s">
        <v>399</v>
      </c>
      <c r="Q1203" s="3">
        <f t="shared" si="37"/>
        <v>24.54</v>
      </c>
      <c r="S1203" s="55" t="s">
        <v>9013</v>
      </c>
      <c r="U1203" s="3" t="str">
        <f t="shared" si="38"/>
        <v/>
      </c>
    </row>
    <row r="1204" spans="1:21" x14ac:dyDescent="0.35">
      <c r="A1204" s="126" t="s">
        <v>0</v>
      </c>
      <c r="B1204" s="126" t="s">
        <v>2728</v>
      </c>
      <c r="C1204" s="126" t="s">
        <v>2</v>
      </c>
      <c r="D1204" s="126" t="s">
        <v>3</v>
      </c>
      <c r="E1204" s="126">
        <v>24.53</v>
      </c>
      <c r="F1204" s="126" t="s">
        <v>88</v>
      </c>
      <c r="G1204" s="108">
        <v>45390</v>
      </c>
      <c r="H1204" s="126" t="s">
        <v>89</v>
      </c>
      <c r="I1204" s="126" t="s">
        <v>7671</v>
      </c>
      <c r="J1204" s="126"/>
      <c r="K1204" s="126" t="s">
        <v>7672</v>
      </c>
      <c r="L1204" s="126" t="s">
        <v>7673</v>
      </c>
      <c r="M1204" s="126" t="s">
        <v>399</v>
      </c>
      <c r="N1204" s="35"/>
      <c r="O1204" s="35"/>
      <c r="Q1204" s="3">
        <f t="shared" si="37"/>
        <v>24.53</v>
      </c>
      <c r="S1204" s="55" t="s">
        <v>9013</v>
      </c>
      <c r="U1204" s="3" t="str">
        <f t="shared" si="38"/>
        <v/>
      </c>
    </row>
    <row r="1205" spans="1:21" x14ac:dyDescent="0.35">
      <c r="A1205" s="126" t="s">
        <v>0</v>
      </c>
      <c r="B1205" s="126" t="s">
        <v>2629</v>
      </c>
      <c r="C1205" s="126" t="s">
        <v>2</v>
      </c>
      <c r="D1205" s="126" t="s">
        <v>3</v>
      </c>
      <c r="E1205" s="126">
        <v>24.53</v>
      </c>
      <c r="F1205" s="126" t="s">
        <v>88</v>
      </c>
      <c r="G1205" s="108">
        <v>45390</v>
      </c>
      <c r="H1205" s="126" t="s">
        <v>89</v>
      </c>
      <c r="I1205" s="126" t="s">
        <v>7671</v>
      </c>
      <c r="J1205" s="126"/>
      <c r="K1205" s="126" t="s">
        <v>7672</v>
      </c>
      <c r="L1205" s="126" t="s">
        <v>7673</v>
      </c>
      <c r="M1205" s="126" t="s">
        <v>399</v>
      </c>
      <c r="N1205" s="35"/>
      <c r="O1205" s="35"/>
      <c r="Q1205" s="3">
        <f t="shared" si="37"/>
        <v>24.53</v>
      </c>
      <c r="S1205" s="55" t="s">
        <v>9013</v>
      </c>
      <c r="U1205" s="3" t="str">
        <f t="shared" si="38"/>
        <v/>
      </c>
    </row>
    <row r="1206" spans="1:21" x14ac:dyDescent="0.35">
      <c r="A1206" s="126" t="s">
        <v>0</v>
      </c>
      <c r="B1206" s="126" t="s">
        <v>819</v>
      </c>
      <c r="C1206" s="126" t="s">
        <v>2</v>
      </c>
      <c r="D1206" s="126" t="s">
        <v>3</v>
      </c>
      <c r="E1206" s="126">
        <v>24.53</v>
      </c>
      <c r="F1206" s="126" t="s">
        <v>88</v>
      </c>
      <c r="G1206" s="108">
        <v>45454</v>
      </c>
      <c r="H1206" s="126" t="s">
        <v>89</v>
      </c>
      <c r="I1206" s="126" t="s">
        <v>7961</v>
      </c>
      <c r="J1206" s="126"/>
      <c r="K1206" s="126" t="s">
        <v>7959</v>
      </c>
      <c r="L1206" s="126" t="s">
        <v>7962</v>
      </c>
      <c r="M1206" s="126" t="s">
        <v>399</v>
      </c>
      <c r="Q1206" s="3">
        <f t="shared" si="37"/>
        <v>24.53</v>
      </c>
      <c r="S1206" s="55" t="s">
        <v>9013</v>
      </c>
      <c r="U1206" s="3" t="str">
        <f t="shared" si="38"/>
        <v/>
      </c>
    </row>
    <row r="1207" spans="1:21" x14ac:dyDescent="0.35">
      <c r="A1207" s="126" t="s">
        <v>0</v>
      </c>
      <c r="B1207" s="126" t="s">
        <v>819</v>
      </c>
      <c r="C1207" s="126" t="s">
        <v>2</v>
      </c>
      <c r="D1207" s="126" t="s">
        <v>3</v>
      </c>
      <c r="E1207" s="126">
        <v>24.53</v>
      </c>
      <c r="F1207" s="126" t="s">
        <v>88</v>
      </c>
      <c r="G1207" s="108">
        <v>45544</v>
      </c>
      <c r="H1207" s="126" t="s">
        <v>89</v>
      </c>
      <c r="I1207" s="126" t="s">
        <v>8400</v>
      </c>
      <c r="J1207" s="126"/>
      <c r="K1207" s="126" t="s">
        <v>8321</v>
      </c>
      <c r="L1207" s="126" t="s">
        <v>8401</v>
      </c>
      <c r="M1207" s="126" t="s">
        <v>399</v>
      </c>
      <c r="Q1207" s="3">
        <f t="shared" si="37"/>
        <v>24.53</v>
      </c>
      <c r="S1207" s="55" t="s">
        <v>9013</v>
      </c>
      <c r="U1207" s="3" t="str">
        <f t="shared" si="38"/>
        <v/>
      </c>
    </row>
    <row r="1208" spans="1:21" x14ac:dyDescent="0.35">
      <c r="A1208" s="126" t="s">
        <v>0</v>
      </c>
      <c r="B1208" s="126" t="s">
        <v>1416</v>
      </c>
      <c r="C1208" s="126" t="s">
        <v>2</v>
      </c>
      <c r="D1208" s="126" t="s">
        <v>3</v>
      </c>
      <c r="E1208" s="126">
        <v>24.52</v>
      </c>
      <c r="F1208" s="126" t="s">
        <v>88</v>
      </c>
      <c r="G1208" s="108">
        <v>45454</v>
      </c>
      <c r="H1208" s="126" t="s">
        <v>89</v>
      </c>
      <c r="I1208" s="126" t="s">
        <v>7961</v>
      </c>
      <c r="J1208" s="126"/>
      <c r="K1208" s="126" t="s">
        <v>7959</v>
      </c>
      <c r="L1208" s="126" t="s">
        <v>7962</v>
      </c>
      <c r="M1208" s="126" t="s">
        <v>399</v>
      </c>
      <c r="Q1208" s="3">
        <f t="shared" si="37"/>
        <v>24.52</v>
      </c>
      <c r="S1208" s="55" t="s">
        <v>9013</v>
      </c>
      <c r="U1208" s="3" t="str">
        <f t="shared" si="38"/>
        <v/>
      </c>
    </row>
    <row r="1209" spans="1:21" x14ac:dyDescent="0.35">
      <c r="A1209" s="126" t="s">
        <v>0</v>
      </c>
      <c r="B1209" s="126" t="s">
        <v>1416</v>
      </c>
      <c r="C1209" s="126" t="s">
        <v>2</v>
      </c>
      <c r="D1209" s="126" t="s">
        <v>3</v>
      </c>
      <c r="E1209" s="126">
        <v>24.52</v>
      </c>
      <c r="F1209" s="126" t="s">
        <v>88</v>
      </c>
      <c r="G1209" s="108">
        <v>45544</v>
      </c>
      <c r="H1209" s="126" t="s">
        <v>89</v>
      </c>
      <c r="I1209" s="126" t="s">
        <v>8400</v>
      </c>
      <c r="J1209" s="126"/>
      <c r="K1209" s="126" t="s">
        <v>8321</v>
      </c>
      <c r="L1209" s="126" t="s">
        <v>8401</v>
      </c>
      <c r="M1209" s="126" t="s">
        <v>399</v>
      </c>
      <c r="Q1209" s="3">
        <f t="shared" si="37"/>
        <v>24.52</v>
      </c>
      <c r="S1209" s="55" t="s">
        <v>9013</v>
      </c>
      <c r="U1209" s="3" t="str">
        <f t="shared" si="38"/>
        <v/>
      </c>
    </row>
    <row r="1210" spans="1:21" x14ac:dyDescent="0.35">
      <c r="A1210" s="126" t="s">
        <v>0</v>
      </c>
      <c r="B1210" s="126" t="s">
        <v>1416</v>
      </c>
      <c r="C1210" s="126" t="s">
        <v>2</v>
      </c>
      <c r="D1210" s="126" t="s">
        <v>3</v>
      </c>
      <c r="E1210" s="126">
        <v>24.51</v>
      </c>
      <c r="F1210" s="126" t="s">
        <v>88</v>
      </c>
      <c r="G1210" s="108">
        <v>45390</v>
      </c>
      <c r="H1210" s="126" t="s">
        <v>89</v>
      </c>
      <c r="I1210" s="126" t="s">
        <v>7671</v>
      </c>
      <c r="J1210" s="126"/>
      <c r="K1210" s="126" t="s">
        <v>7672</v>
      </c>
      <c r="L1210" s="126" t="s">
        <v>7673</v>
      </c>
      <c r="M1210" s="126" t="s">
        <v>399</v>
      </c>
      <c r="Q1210" s="3">
        <f t="shared" si="37"/>
        <v>24.51</v>
      </c>
      <c r="S1210" s="55" t="s">
        <v>9013</v>
      </c>
      <c r="U1210" s="3" t="str">
        <f t="shared" si="38"/>
        <v/>
      </c>
    </row>
    <row r="1211" spans="1:21" x14ac:dyDescent="0.35">
      <c r="A1211" s="126" t="s">
        <v>0</v>
      </c>
      <c r="B1211" s="126" t="s">
        <v>819</v>
      </c>
      <c r="C1211" s="126" t="s">
        <v>2</v>
      </c>
      <c r="D1211" s="126" t="s">
        <v>3</v>
      </c>
      <c r="E1211" s="126">
        <v>24.5</v>
      </c>
      <c r="F1211" s="126" t="s">
        <v>88</v>
      </c>
      <c r="G1211" s="108">
        <v>45390</v>
      </c>
      <c r="H1211" s="126" t="s">
        <v>89</v>
      </c>
      <c r="I1211" s="126" t="s">
        <v>7671</v>
      </c>
      <c r="J1211" s="126"/>
      <c r="K1211" s="126" t="s">
        <v>7672</v>
      </c>
      <c r="L1211" s="126" t="s">
        <v>7673</v>
      </c>
      <c r="M1211" s="126" t="s">
        <v>399</v>
      </c>
      <c r="N1211" s="35"/>
      <c r="O1211" s="35"/>
      <c r="Q1211" s="3">
        <f t="shared" si="37"/>
        <v>24.5</v>
      </c>
      <c r="S1211" s="55" t="s">
        <v>9013</v>
      </c>
      <c r="U1211" s="3" t="str">
        <f t="shared" si="38"/>
        <v/>
      </c>
    </row>
    <row r="1212" spans="1:21" x14ac:dyDescent="0.35">
      <c r="A1212" s="126" t="s">
        <v>0</v>
      </c>
      <c r="B1212" s="126" t="s">
        <v>1487</v>
      </c>
      <c r="C1212" s="126" t="s">
        <v>2</v>
      </c>
      <c r="D1212" s="126" t="s">
        <v>3</v>
      </c>
      <c r="E1212" s="126">
        <v>24.5</v>
      </c>
      <c r="F1212" s="126" t="s">
        <v>88</v>
      </c>
      <c r="G1212" s="108">
        <v>45454</v>
      </c>
      <c r="H1212" s="126" t="s">
        <v>89</v>
      </c>
      <c r="I1212" s="126" t="s">
        <v>7961</v>
      </c>
      <c r="J1212" s="126"/>
      <c r="K1212" s="126" t="s">
        <v>7959</v>
      </c>
      <c r="L1212" s="126" t="s">
        <v>7962</v>
      </c>
      <c r="M1212" s="126" t="s">
        <v>399</v>
      </c>
      <c r="N1212" s="126"/>
      <c r="O1212" s="126"/>
      <c r="Q1212" s="3">
        <f t="shared" si="37"/>
        <v>24.5</v>
      </c>
      <c r="S1212" s="55" t="s">
        <v>9013</v>
      </c>
      <c r="U1212" s="3" t="str">
        <f t="shared" si="38"/>
        <v/>
      </c>
    </row>
    <row r="1213" spans="1:21" x14ac:dyDescent="0.35">
      <c r="A1213" s="126" t="s">
        <v>0</v>
      </c>
      <c r="B1213" s="126" t="s">
        <v>1487</v>
      </c>
      <c r="C1213" s="126" t="s">
        <v>2</v>
      </c>
      <c r="D1213" s="126" t="s">
        <v>3</v>
      </c>
      <c r="E1213" s="126">
        <v>24.5</v>
      </c>
      <c r="F1213" s="126" t="s">
        <v>88</v>
      </c>
      <c r="G1213" s="108">
        <v>45544</v>
      </c>
      <c r="H1213" s="126" t="s">
        <v>89</v>
      </c>
      <c r="I1213" s="126" t="s">
        <v>8400</v>
      </c>
      <c r="J1213" s="126"/>
      <c r="K1213" s="126" t="s">
        <v>8321</v>
      </c>
      <c r="L1213" s="126" t="s">
        <v>8401</v>
      </c>
      <c r="M1213" s="126" t="s">
        <v>399</v>
      </c>
      <c r="Q1213" s="3">
        <f t="shared" si="37"/>
        <v>24.5</v>
      </c>
      <c r="S1213" s="55" t="s">
        <v>9013</v>
      </c>
      <c r="U1213" s="3" t="str">
        <f t="shared" si="38"/>
        <v/>
      </c>
    </row>
    <row r="1214" spans="1:21" x14ac:dyDescent="0.35">
      <c r="A1214" s="126" t="s">
        <v>0</v>
      </c>
      <c r="B1214" s="126" t="s">
        <v>2728</v>
      </c>
      <c r="C1214" s="126" t="s">
        <v>2</v>
      </c>
      <c r="D1214" s="126" t="s">
        <v>3</v>
      </c>
      <c r="E1214" s="126">
        <v>24.5</v>
      </c>
      <c r="F1214" s="126" t="s">
        <v>88</v>
      </c>
      <c r="G1214" s="108">
        <v>45635</v>
      </c>
      <c r="H1214" s="126" t="s">
        <v>89</v>
      </c>
      <c r="I1214" s="126" t="s">
        <v>8881</v>
      </c>
      <c r="J1214" s="126"/>
      <c r="K1214" s="126" t="s">
        <v>8735</v>
      </c>
      <c r="L1214" s="126" t="s">
        <v>8882</v>
      </c>
      <c r="M1214" s="126" t="s">
        <v>399</v>
      </c>
      <c r="Q1214" s="3">
        <f t="shared" si="37"/>
        <v>24.5</v>
      </c>
      <c r="S1214" s="55" t="s">
        <v>9013</v>
      </c>
      <c r="U1214" s="3" t="str">
        <f t="shared" si="38"/>
        <v/>
      </c>
    </row>
    <row r="1215" spans="1:21" x14ac:dyDescent="0.35">
      <c r="A1215" s="126" t="s">
        <v>0</v>
      </c>
      <c r="B1215" s="126" t="s">
        <v>1487</v>
      </c>
      <c r="C1215" s="126" t="s">
        <v>2</v>
      </c>
      <c r="D1215" s="126" t="s">
        <v>3</v>
      </c>
      <c r="E1215" s="126">
        <v>24.5</v>
      </c>
      <c r="F1215" s="126" t="s">
        <v>88</v>
      </c>
      <c r="G1215" s="108">
        <v>45635</v>
      </c>
      <c r="H1215" s="126" t="s">
        <v>89</v>
      </c>
      <c r="I1215" s="126" t="s">
        <v>8881</v>
      </c>
      <c r="J1215" s="126"/>
      <c r="K1215" s="126" t="s">
        <v>8735</v>
      </c>
      <c r="L1215" s="126" t="s">
        <v>8882</v>
      </c>
      <c r="M1215" s="126" t="s">
        <v>399</v>
      </c>
      <c r="Q1215" s="3">
        <f t="shared" si="37"/>
        <v>24.5</v>
      </c>
      <c r="S1215" s="55" t="s">
        <v>9013</v>
      </c>
      <c r="U1215" s="3" t="str">
        <f t="shared" si="38"/>
        <v/>
      </c>
    </row>
    <row r="1216" spans="1:21" x14ac:dyDescent="0.35">
      <c r="A1216" s="126" t="s">
        <v>0</v>
      </c>
      <c r="B1216" s="126" t="s">
        <v>861</v>
      </c>
      <c r="C1216" s="126" t="s">
        <v>2</v>
      </c>
      <c r="D1216" s="126" t="s">
        <v>3</v>
      </c>
      <c r="E1216" s="126">
        <v>24.48</v>
      </c>
      <c r="F1216" s="126" t="s">
        <v>88</v>
      </c>
      <c r="G1216" s="108">
        <v>45390</v>
      </c>
      <c r="H1216" s="126" t="s">
        <v>89</v>
      </c>
      <c r="I1216" s="126" t="s">
        <v>7671</v>
      </c>
      <c r="J1216" s="126"/>
      <c r="K1216" s="126" t="s">
        <v>7672</v>
      </c>
      <c r="L1216" s="126" t="s">
        <v>7673</v>
      </c>
      <c r="M1216" s="126" t="s">
        <v>399</v>
      </c>
      <c r="N1216" s="35"/>
      <c r="O1216" s="35"/>
      <c r="Q1216" s="3">
        <f t="shared" si="37"/>
        <v>24.48</v>
      </c>
      <c r="S1216" s="55" t="s">
        <v>9013</v>
      </c>
      <c r="U1216" s="3" t="str">
        <f t="shared" si="38"/>
        <v/>
      </c>
    </row>
    <row r="1217" spans="1:21" x14ac:dyDescent="0.35">
      <c r="A1217" s="126" t="s">
        <v>0</v>
      </c>
      <c r="B1217" s="126" t="s">
        <v>909</v>
      </c>
      <c r="C1217" s="126" t="s">
        <v>2</v>
      </c>
      <c r="D1217" s="126" t="s">
        <v>3</v>
      </c>
      <c r="E1217" s="126">
        <v>24.48</v>
      </c>
      <c r="F1217" s="126" t="s">
        <v>88</v>
      </c>
      <c r="G1217" s="108">
        <v>45454</v>
      </c>
      <c r="H1217" s="126" t="s">
        <v>89</v>
      </c>
      <c r="I1217" s="126" t="s">
        <v>7961</v>
      </c>
      <c r="J1217" s="126"/>
      <c r="K1217" s="126" t="s">
        <v>7959</v>
      </c>
      <c r="L1217" s="126" t="s">
        <v>7962</v>
      </c>
      <c r="M1217" s="126" t="s">
        <v>399</v>
      </c>
      <c r="Q1217" s="3">
        <f t="shared" si="37"/>
        <v>24.48</v>
      </c>
      <c r="S1217" s="55" t="s">
        <v>9013</v>
      </c>
      <c r="U1217" s="3" t="str">
        <f t="shared" si="38"/>
        <v/>
      </c>
    </row>
    <row r="1218" spans="1:21" x14ac:dyDescent="0.35">
      <c r="A1218" s="126" t="s">
        <v>0</v>
      </c>
      <c r="B1218" s="126" t="s">
        <v>909</v>
      </c>
      <c r="C1218" s="126" t="s">
        <v>2</v>
      </c>
      <c r="D1218" s="126" t="s">
        <v>3</v>
      </c>
      <c r="E1218" s="126">
        <v>24.48</v>
      </c>
      <c r="F1218" s="126" t="s">
        <v>88</v>
      </c>
      <c r="G1218" s="108">
        <v>45544</v>
      </c>
      <c r="H1218" s="126" t="s">
        <v>89</v>
      </c>
      <c r="I1218" s="126" t="s">
        <v>8400</v>
      </c>
      <c r="J1218" s="126"/>
      <c r="K1218" s="126" t="s">
        <v>8321</v>
      </c>
      <c r="L1218" s="126" t="s">
        <v>8401</v>
      </c>
      <c r="M1218" s="126" t="s">
        <v>399</v>
      </c>
      <c r="Q1218" s="3">
        <f t="shared" si="37"/>
        <v>24.48</v>
      </c>
      <c r="S1218" s="55" t="s">
        <v>9013</v>
      </c>
      <c r="U1218" s="3" t="str">
        <f t="shared" si="38"/>
        <v/>
      </c>
    </row>
    <row r="1219" spans="1:21" x14ac:dyDescent="0.35">
      <c r="A1219" s="126" t="s">
        <v>0</v>
      </c>
      <c r="B1219" s="126" t="s">
        <v>909</v>
      </c>
      <c r="C1219" s="126" t="s">
        <v>2</v>
      </c>
      <c r="D1219" s="126" t="s">
        <v>3</v>
      </c>
      <c r="E1219" s="126">
        <v>24.48</v>
      </c>
      <c r="F1219" s="126" t="s">
        <v>88</v>
      </c>
      <c r="G1219" s="108">
        <v>45635</v>
      </c>
      <c r="H1219" s="126" t="s">
        <v>89</v>
      </c>
      <c r="I1219" s="126" t="s">
        <v>8881</v>
      </c>
      <c r="J1219" s="126"/>
      <c r="K1219" s="126" t="s">
        <v>8735</v>
      </c>
      <c r="L1219" s="126" t="s">
        <v>8882</v>
      </c>
      <c r="M1219" s="126" t="s">
        <v>399</v>
      </c>
      <c r="Q1219" s="3">
        <f t="shared" si="37"/>
        <v>24.48</v>
      </c>
      <c r="S1219" s="55" t="s">
        <v>9013</v>
      </c>
      <c r="U1219" s="3" t="str">
        <f t="shared" si="38"/>
        <v/>
      </c>
    </row>
    <row r="1220" spans="1:21" x14ac:dyDescent="0.35">
      <c r="A1220" s="126" t="s">
        <v>0</v>
      </c>
      <c r="B1220" s="126" t="s">
        <v>909</v>
      </c>
      <c r="C1220" s="126" t="s">
        <v>2</v>
      </c>
      <c r="D1220" s="126" t="s">
        <v>3</v>
      </c>
      <c r="E1220" s="126">
        <v>24.46</v>
      </c>
      <c r="F1220" s="126" t="s">
        <v>88</v>
      </c>
      <c r="G1220" s="108">
        <v>45390</v>
      </c>
      <c r="H1220" s="126" t="s">
        <v>89</v>
      </c>
      <c r="I1220" s="126" t="s">
        <v>7671</v>
      </c>
      <c r="J1220" s="126"/>
      <c r="K1220" s="126" t="s">
        <v>7672</v>
      </c>
      <c r="L1220" s="126" t="s">
        <v>7673</v>
      </c>
      <c r="M1220" s="126" t="s">
        <v>399</v>
      </c>
      <c r="Q1220" s="3">
        <f t="shared" si="37"/>
        <v>24.46</v>
      </c>
      <c r="S1220" s="55" t="s">
        <v>9013</v>
      </c>
      <c r="U1220" s="3" t="str">
        <f t="shared" si="38"/>
        <v/>
      </c>
    </row>
    <row r="1221" spans="1:21" x14ac:dyDescent="0.35">
      <c r="A1221" s="126" t="s">
        <v>35</v>
      </c>
      <c r="B1221" s="126" t="s">
        <v>3466</v>
      </c>
      <c r="C1221" s="126" t="s">
        <v>2</v>
      </c>
      <c r="D1221" s="126" t="s">
        <v>3</v>
      </c>
      <c r="E1221" s="126">
        <v>24.42</v>
      </c>
      <c r="F1221" s="126" t="s">
        <v>88</v>
      </c>
      <c r="G1221" s="108">
        <v>45463</v>
      </c>
      <c r="H1221" s="126" t="s">
        <v>94</v>
      </c>
      <c r="I1221" s="126" t="s">
        <v>481</v>
      </c>
      <c r="J1221" s="126" t="s">
        <v>482</v>
      </c>
      <c r="K1221" s="126"/>
      <c r="L1221" s="126"/>
      <c r="M1221" s="126"/>
      <c r="N1221" s="126"/>
      <c r="O1221" s="126" t="s">
        <v>569</v>
      </c>
      <c r="Q1221" s="3">
        <f t="shared" si="37"/>
        <v>24.42</v>
      </c>
      <c r="S1221" s="55" t="s">
        <v>586</v>
      </c>
      <c r="U1221" s="3" t="str">
        <f t="shared" si="38"/>
        <v/>
      </c>
    </row>
    <row r="1222" spans="1:21" x14ac:dyDescent="0.35">
      <c r="A1222" s="126" t="s">
        <v>35</v>
      </c>
      <c r="B1222" s="126" t="s">
        <v>768</v>
      </c>
      <c r="C1222" s="126" t="s">
        <v>2</v>
      </c>
      <c r="D1222" s="126" t="s">
        <v>3</v>
      </c>
      <c r="E1222" s="126">
        <v>24.35</v>
      </c>
      <c r="F1222" s="126" t="s">
        <v>88</v>
      </c>
      <c r="G1222" s="108">
        <v>45516</v>
      </c>
      <c r="H1222" s="126" t="s">
        <v>94</v>
      </c>
      <c r="I1222" s="126" t="s">
        <v>406</v>
      </c>
      <c r="J1222" s="126" t="s">
        <v>407</v>
      </c>
      <c r="K1222" s="126"/>
      <c r="L1222" s="126"/>
      <c r="M1222" s="126"/>
      <c r="N1222" s="126"/>
      <c r="O1222" s="126" t="s">
        <v>517</v>
      </c>
      <c r="Q1222" s="3">
        <f t="shared" si="37"/>
        <v>24.35</v>
      </c>
      <c r="U1222" s="3" t="str">
        <f t="shared" si="38"/>
        <v/>
      </c>
    </row>
    <row r="1223" spans="1:21" x14ac:dyDescent="0.35">
      <c r="A1223" s="126" t="s">
        <v>0</v>
      </c>
      <c r="B1223" s="126" t="s">
        <v>868</v>
      </c>
      <c r="C1223" s="126" t="s">
        <v>2</v>
      </c>
      <c r="D1223" s="126" t="s">
        <v>3</v>
      </c>
      <c r="E1223" s="126">
        <v>24.27</v>
      </c>
      <c r="F1223" s="126" t="s">
        <v>88</v>
      </c>
      <c r="G1223" s="108">
        <v>45390</v>
      </c>
      <c r="H1223" s="126" t="s">
        <v>89</v>
      </c>
      <c r="I1223" s="126" t="s">
        <v>7671</v>
      </c>
      <c r="J1223" s="126"/>
      <c r="K1223" s="126" t="s">
        <v>7672</v>
      </c>
      <c r="L1223" s="126" t="s">
        <v>7673</v>
      </c>
      <c r="M1223" s="126" t="s">
        <v>399</v>
      </c>
      <c r="N1223" s="35"/>
      <c r="O1223" s="35"/>
      <c r="Q1223" s="3">
        <f t="shared" si="37"/>
        <v>24.27</v>
      </c>
      <c r="S1223" s="55" t="s">
        <v>9013</v>
      </c>
      <c r="U1223" s="3" t="str">
        <f t="shared" si="38"/>
        <v/>
      </c>
    </row>
    <row r="1224" spans="1:21" x14ac:dyDescent="0.35">
      <c r="A1224" s="126" t="s">
        <v>35</v>
      </c>
      <c r="B1224" s="126" t="s">
        <v>601</v>
      </c>
      <c r="C1224" s="126" t="s">
        <v>2</v>
      </c>
      <c r="D1224" s="126" t="s">
        <v>3</v>
      </c>
      <c r="E1224" s="126">
        <v>24</v>
      </c>
      <c r="F1224" s="126" t="s">
        <v>88</v>
      </c>
      <c r="G1224" s="108">
        <v>45456</v>
      </c>
      <c r="H1224" s="126" t="s">
        <v>94</v>
      </c>
      <c r="I1224" s="126" t="s">
        <v>2935</v>
      </c>
      <c r="J1224" s="126" t="s">
        <v>309</v>
      </c>
      <c r="K1224" s="126"/>
      <c r="L1224" s="126"/>
      <c r="M1224" s="126"/>
      <c r="N1224" s="126"/>
      <c r="O1224" s="126" t="s">
        <v>556</v>
      </c>
      <c r="Q1224" s="3">
        <f t="shared" ref="Q1224:Q1287" si="39">ABS(E1224)</f>
        <v>24</v>
      </c>
      <c r="S1224" s="55" t="s">
        <v>9014</v>
      </c>
      <c r="U1224" s="3" t="str">
        <f t="shared" ref="U1224:U1287" si="40">IF(T1224="Y",E1224,"")</f>
        <v/>
      </c>
    </row>
    <row r="1225" spans="1:21" x14ac:dyDescent="0.35">
      <c r="A1225" s="126" t="s">
        <v>35</v>
      </c>
      <c r="B1225" s="126" t="s">
        <v>2226</v>
      </c>
      <c r="C1225" s="126" t="s">
        <v>2</v>
      </c>
      <c r="D1225" s="126" t="s">
        <v>3</v>
      </c>
      <c r="E1225" s="126">
        <v>24</v>
      </c>
      <c r="F1225" s="126" t="s">
        <v>88</v>
      </c>
      <c r="G1225" s="108">
        <v>45566</v>
      </c>
      <c r="H1225" s="126" t="s">
        <v>94</v>
      </c>
      <c r="I1225" s="126" t="s">
        <v>8509</v>
      </c>
      <c r="J1225" s="126" t="s">
        <v>8510</v>
      </c>
      <c r="K1225" s="126"/>
      <c r="L1225" s="126"/>
      <c r="M1225" s="126"/>
      <c r="N1225" s="126"/>
      <c r="O1225" s="126" t="s">
        <v>8511</v>
      </c>
      <c r="Q1225" s="3">
        <f t="shared" si="39"/>
        <v>24</v>
      </c>
      <c r="U1225" s="3" t="str">
        <f t="shared" si="40"/>
        <v/>
      </c>
    </row>
    <row r="1226" spans="1:21" x14ac:dyDescent="0.35">
      <c r="A1226" s="126" t="s">
        <v>0</v>
      </c>
      <c r="B1226" s="126" t="s">
        <v>969</v>
      </c>
      <c r="C1226" s="126" t="s">
        <v>2</v>
      </c>
      <c r="D1226" s="126" t="s">
        <v>3</v>
      </c>
      <c r="E1226" s="126">
        <v>23.95</v>
      </c>
      <c r="F1226" s="126" t="s">
        <v>88</v>
      </c>
      <c r="G1226" s="108">
        <v>45386</v>
      </c>
      <c r="H1226" s="126" t="s">
        <v>89</v>
      </c>
      <c r="I1226" s="126" t="s">
        <v>7652</v>
      </c>
      <c r="J1226" s="126"/>
      <c r="K1226" s="126" t="s">
        <v>7650</v>
      </c>
      <c r="L1226" s="126" t="s">
        <v>7653</v>
      </c>
      <c r="M1226" s="126" t="s">
        <v>420</v>
      </c>
      <c r="N1226" s="126"/>
      <c r="O1226" s="126"/>
      <c r="Q1226" s="3">
        <f t="shared" si="39"/>
        <v>23.95</v>
      </c>
      <c r="U1226" s="3" t="str">
        <f t="shared" si="40"/>
        <v/>
      </c>
    </row>
    <row r="1227" spans="1:21" x14ac:dyDescent="0.35">
      <c r="A1227" s="126" t="s">
        <v>35</v>
      </c>
      <c r="B1227" s="126" t="s">
        <v>3466</v>
      </c>
      <c r="C1227" s="126" t="s">
        <v>2</v>
      </c>
      <c r="D1227" s="126" t="s">
        <v>3</v>
      </c>
      <c r="E1227" s="126">
        <v>23.95</v>
      </c>
      <c r="F1227" s="126" t="s">
        <v>88</v>
      </c>
      <c r="G1227" s="108">
        <v>45428</v>
      </c>
      <c r="H1227" s="126" t="s">
        <v>94</v>
      </c>
      <c r="I1227" s="126" t="s">
        <v>481</v>
      </c>
      <c r="J1227" s="126" t="s">
        <v>482</v>
      </c>
      <c r="K1227" s="126"/>
      <c r="L1227" s="126"/>
      <c r="M1227" s="126"/>
      <c r="N1227" s="126"/>
      <c r="O1227" s="126" t="s">
        <v>569</v>
      </c>
      <c r="Q1227" s="3">
        <f t="shared" si="39"/>
        <v>23.95</v>
      </c>
      <c r="S1227" s="55" t="s">
        <v>586</v>
      </c>
      <c r="U1227" s="3" t="str">
        <f t="shared" si="40"/>
        <v/>
      </c>
    </row>
    <row r="1228" spans="1:21" x14ac:dyDescent="0.35">
      <c r="A1228" s="126" t="s">
        <v>35</v>
      </c>
      <c r="B1228" s="126" t="s">
        <v>1533</v>
      </c>
      <c r="C1228" s="126" t="s">
        <v>2</v>
      </c>
      <c r="D1228" s="126" t="s">
        <v>3</v>
      </c>
      <c r="E1228" s="126">
        <v>23.95</v>
      </c>
      <c r="F1228" s="126" t="s">
        <v>88</v>
      </c>
      <c r="G1228" s="108">
        <v>45495</v>
      </c>
      <c r="H1228" s="126" t="s">
        <v>94</v>
      </c>
      <c r="I1228" s="126" t="s">
        <v>8211</v>
      </c>
      <c r="J1228" s="126" t="s">
        <v>8209</v>
      </c>
      <c r="K1228" s="126"/>
      <c r="L1228" s="126"/>
      <c r="M1228" s="126"/>
      <c r="N1228" s="126"/>
      <c r="O1228" s="126" t="s">
        <v>8212</v>
      </c>
      <c r="Q1228" s="3">
        <f t="shared" si="39"/>
        <v>23.95</v>
      </c>
      <c r="U1228" s="3" t="str">
        <f t="shared" si="40"/>
        <v/>
      </c>
    </row>
    <row r="1229" spans="1:21" x14ac:dyDescent="0.35">
      <c r="A1229" s="126" t="s">
        <v>35</v>
      </c>
      <c r="B1229" s="126" t="s">
        <v>2543</v>
      </c>
      <c r="C1229" s="126" t="s">
        <v>2</v>
      </c>
      <c r="D1229" s="126" t="s">
        <v>3</v>
      </c>
      <c r="E1229" s="126">
        <v>23.78</v>
      </c>
      <c r="F1229" s="126" t="s">
        <v>88</v>
      </c>
      <c r="G1229" s="108">
        <v>45414</v>
      </c>
      <c r="H1229" s="126" t="s">
        <v>94</v>
      </c>
      <c r="I1229" s="126" t="s">
        <v>510</v>
      </c>
      <c r="J1229" s="126" t="s">
        <v>511</v>
      </c>
      <c r="K1229" s="126"/>
      <c r="L1229" s="126"/>
      <c r="M1229" s="126"/>
      <c r="N1229" s="126"/>
      <c r="O1229" s="126" t="s">
        <v>537</v>
      </c>
      <c r="Q1229" s="3">
        <f t="shared" si="39"/>
        <v>23.78</v>
      </c>
      <c r="S1229" s="55" t="s">
        <v>586</v>
      </c>
      <c r="U1229" s="3" t="str">
        <f t="shared" si="40"/>
        <v/>
      </c>
    </row>
    <row r="1230" spans="1:21" x14ac:dyDescent="0.35">
      <c r="A1230" s="126" t="s">
        <v>35</v>
      </c>
      <c r="B1230" s="126" t="s">
        <v>1075</v>
      </c>
      <c r="C1230" s="126" t="s">
        <v>2</v>
      </c>
      <c r="D1230" s="126" t="s">
        <v>3</v>
      </c>
      <c r="E1230" s="126">
        <v>23.77</v>
      </c>
      <c r="F1230" s="126" t="s">
        <v>88</v>
      </c>
      <c r="G1230" s="108">
        <v>45538</v>
      </c>
      <c r="H1230" s="126" t="s">
        <v>89</v>
      </c>
      <c r="I1230" s="126" t="s">
        <v>8390</v>
      </c>
      <c r="J1230" s="126"/>
      <c r="K1230" s="126" t="s">
        <v>7880</v>
      </c>
      <c r="L1230" s="126" t="s">
        <v>8391</v>
      </c>
      <c r="M1230" s="126" t="s">
        <v>396</v>
      </c>
      <c r="N1230" s="126"/>
      <c r="O1230" s="126"/>
      <c r="Q1230" s="3">
        <f t="shared" si="39"/>
        <v>23.77</v>
      </c>
      <c r="S1230" s="55" t="s">
        <v>9016</v>
      </c>
      <c r="U1230" s="3" t="str">
        <f t="shared" si="40"/>
        <v/>
      </c>
    </row>
    <row r="1231" spans="1:21" x14ac:dyDescent="0.35">
      <c r="A1231" s="126" t="s">
        <v>35</v>
      </c>
      <c r="B1231" s="126" t="s">
        <v>740</v>
      </c>
      <c r="C1231" s="126" t="s">
        <v>2</v>
      </c>
      <c r="D1231" s="126" t="s">
        <v>3</v>
      </c>
      <c r="E1231" s="126">
        <v>23.7</v>
      </c>
      <c r="F1231" s="126" t="s">
        <v>88</v>
      </c>
      <c r="G1231" s="108">
        <v>45485</v>
      </c>
      <c r="H1231" s="126" t="s">
        <v>89</v>
      </c>
      <c r="I1231" s="126" t="s">
        <v>8137</v>
      </c>
      <c r="J1231" s="126"/>
      <c r="K1231" s="126" t="s">
        <v>8140</v>
      </c>
      <c r="L1231" s="126" t="s">
        <v>8139</v>
      </c>
      <c r="M1231" s="126" t="s">
        <v>7966</v>
      </c>
      <c r="Q1231" s="3">
        <f t="shared" si="39"/>
        <v>23.7</v>
      </c>
      <c r="S1231" s="55" t="s">
        <v>9016</v>
      </c>
      <c r="U1231" s="3" t="str">
        <f t="shared" si="40"/>
        <v/>
      </c>
    </row>
    <row r="1232" spans="1:21" x14ac:dyDescent="0.35">
      <c r="A1232" s="126" t="s">
        <v>35</v>
      </c>
      <c r="B1232" s="126" t="s">
        <v>708</v>
      </c>
      <c r="C1232" s="126" t="s">
        <v>2</v>
      </c>
      <c r="D1232" s="126" t="s">
        <v>3</v>
      </c>
      <c r="E1232" s="126">
        <v>23.64</v>
      </c>
      <c r="F1232" s="126" t="s">
        <v>88</v>
      </c>
      <c r="G1232" s="108">
        <v>45434</v>
      </c>
      <c r="H1232" s="126" t="s">
        <v>94</v>
      </c>
      <c r="I1232" s="126" t="s">
        <v>7875</v>
      </c>
      <c r="J1232" s="126" t="s">
        <v>488</v>
      </c>
      <c r="K1232" s="126"/>
      <c r="L1232" s="126"/>
      <c r="M1232" s="126"/>
      <c r="N1232" s="126"/>
      <c r="O1232" s="126" t="s">
        <v>551</v>
      </c>
      <c r="Q1232" s="3">
        <f t="shared" si="39"/>
        <v>23.64</v>
      </c>
      <c r="S1232" s="55" t="s">
        <v>9014</v>
      </c>
      <c r="U1232" s="3" t="str">
        <f t="shared" si="40"/>
        <v/>
      </c>
    </row>
    <row r="1233" spans="1:21" x14ac:dyDescent="0.35">
      <c r="A1233" s="126" t="s">
        <v>35</v>
      </c>
      <c r="B1233" s="126" t="s">
        <v>3422</v>
      </c>
      <c r="C1233" s="126" t="s">
        <v>2</v>
      </c>
      <c r="D1233" s="126" t="s">
        <v>3</v>
      </c>
      <c r="E1233" s="126">
        <v>23.64</v>
      </c>
      <c r="F1233" s="126" t="s">
        <v>88</v>
      </c>
      <c r="G1233" s="108">
        <v>45442</v>
      </c>
      <c r="H1233" s="126" t="s">
        <v>94</v>
      </c>
      <c r="I1233" s="126" t="s">
        <v>459</v>
      </c>
      <c r="J1233" s="126" t="s">
        <v>499</v>
      </c>
      <c r="K1233" s="126"/>
      <c r="L1233" s="126"/>
      <c r="M1233" s="126"/>
      <c r="N1233" s="126"/>
      <c r="O1233" s="126" t="s">
        <v>538</v>
      </c>
      <c r="Q1233" s="3">
        <f t="shared" si="39"/>
        <v>23.64</v>
      </c>
      <c r="U1233" s="3" t="str">
        <f t="shared" si="40"/>
        <v/>
      </c>
    </row>
    <row r="1234" spans="1:21" x14ac:dyDescent="0.35">
      <c r="A1234" s="126" t="s">
        <v>35</v>
      </c>
      <c r="B1234" s="126" t="s">
        <v>606</v>
      </c>
      <c r="C1234" s="126" t="s">
        <v>2</v>
      </c>
      <c r="D1234" s="126" t="s">
        <v>3</v>
      </c>
      <c r="E1234" s="126">
        <v>23.64</v>
      </c>
      <c r="F1234" s="126" t="s">
        <v>88</v>
      </c>
      <c r="G1234" s="108">
        <v>45601</v>
      </c>
      <c r="H1234" s="126" t="s">
        <v>94</v>
      </c>
      <c r="I1234" s="126" t="s">
        <v>512</v>
      </c>
      <c r="J1234" s="126" t="s">
        <v>8661</v>
      </c>
      <c r="K1234" s="126"/>
      <c r="L1234" s="126"/>
      <c r="M1234" s="126"/>
      <c r="N1234" s="126"/>
      <c r="O1234" s="126" t="s">
        <v>6280</v>
      </c>
      <c r="Q1234" s="3">
        <f t="shared" si="39"/>
        <v>23.64</v>
      </c>
      <c r="U1234" s="3" t="str">
        <f t="shared" si="40"/>
        <v/>
      </c>
    </row>
    <row r="1235" spans="1:21" x14ac:dyDescent="0.35">
      <c r="A1235" s="126" t="s">
        <v>35</v>
      </c>
      <c r="B1235" s="126" t="s">
        <v>740</v>
      </c>
      <c r="C1235" s="126" t="s">
        <v>2</v>
      </c>
      <c r="D1235" s="126" t="s">
        <v>3</v>
      </c>
      <c r="E1235" s="126">
        <v>-23.64</v>
      </c>
      <c r="F1235" s="126" t="s">
        <v>88</v>
      </c>
      <c r="G1235" s="108">
        <v>45636</v>
      </c>
      <c r="H1235" s="126" t="s">
        <v>94</v>
      </c>
      <c r="I1235" s="126" t="s">
        <v>426</v>
      </c>
      <c r="J1235" s="126" t="s">
        <v>8926</v>
      </c>
      <c r="K1235" s="126"/>
      <c r="L1235" s="126"/>
      <c r="M1235" s="126"/>
      <c r="N1235" s="126"/>
      <c r="O1235" s="126" t="s">
        <v>541</v>
      </c>
      <c r="Q1235" s="3">
        <f t="shared" si="39"/>
        <v>23.64</v>
      </c>
      <c r="S1235" s="55" t="s">
        <v>586</v>
      </c>
      <c r="U1235" s="3" t="str">
        <f t="shared" si="40"/>
        <v/>
      </c>
    </row>
    <row r="1236" spans="1:21" x14ac:dyDescent="0.35">
      <c r="A1236" s="126" t="s">
        <v>0</v>
      </c>
      <c r="B1236" s="126" t="s">
        <v>1487</v>
      </c>
      <c r="C1236" s="126" t="s">
        <v>2</v>
      </c>
      <c r="D1236" s="126" t="s">
        <v>3</v>
      </c>
      <c r="E1236" s="126">
        <v>23.52</v>
      </c>
      <c r="F1236" s="126" t="s">
        <v>88</v>
      </c>
      <c r="G1236" s="108">
        <v>45391</v>
      </c>
      <c r="H1236" s="126" t="s">
        <v>89</v>
      </c>
      <c r="I1236" s="126" t="s">
        <v>7691</v>
      </c>
      <c r="J1236" s="126"/>
      <c r="K1236" s="126" t="s">
        <v>7672</v>
      </c>
      <c r="L1236" s="126" t="s">
        <v>7692</v>
      </c>
      <c r="M1236" s="126" t="s">
        <v>399</v>
      </c>
      <c r="N1236" s="35"/>
      <c r="O1236" s="35"/>
      <c r="Q1236" s="3">
        <f t="shared" si="39"/>
        <v>23.52</v>
      </c>
      <c r="S1236" s="55" t="s">
        <v>9013</v>
      </c>
      <c r="U1236" s="3" t="str">
        <f t="shared" si="40"/>
        <v/>
      </c>
    </row>
    <row r="1237" spans="1:21" x14ac:dyDescent="0.35">
      <c r="A1237" s="126" t="s">
        <v>0</v>
      </c>
      <c r="B1237" s="126" t="s">
        <v>1487</v>
      </c>
      <c r="C1237" s="126" t="s">
        <v>2</v>
      </c>
      <c r="D1237" s="126" t="s">
        <v>3</v>
      </c>
      <c r="E1237" s="126">
        <v>23.5</v>
      </c>
      <c r="F1237" s="126" t="s">
        <v>88</v>
      </c>
      <c r="G1237" s="108">
        <v>45432</v>
      </c>
      <c r="H1237" s="126" t="s">
        <v>89</v>
      </c>
      <c r="I1237" s="126" t="s">
        <v>7839</v>
      </c>
      <c r="J1237" s="126"/>
      <c r="K1237" s="126" t="s">
        <v>7840</v>
      </c>
      <c r="L1237" s="126" t="s">
        <v>7841</v>
      </c>
      <c r="M1237" s="126" t="s">
        <v>399</v>
      </c>
      <c r="N1237" s="35"/>
      <c r="O1237" s="35"/>
      <c r="Q1237" s="3">
        <f t="shared" si="39"/>
        <v>23.5</v>
      </c>
      <c r="S1237" s="55" t="s">
        <v>9013</v>
      </c>
      <c r="U1237" s="3" t="str">
        <f t="shared" si="40"/>
        <v/>
      </c>
    </row>
    <row r="1238" spans="1:21" x14ac:dyDescent="0.35">
      <c r="A1238" s="126" t="s">
        <v>0</v>
      </c>
      <c r="B1238" s="126" t="s">
        <v>1487</v>
      </c>
      <c r="C1238" s="126" t="s">
        <v>2</v>
      </c>
      <c r="D1238" s="126" t="s">
        <v>3</v>
      </c>
      <c r="E1238" s="126">
        <v>23.5</v>
      </c>
      <c r="F1238" s="126" t="s">
        <v>88</v>
      </c>
      <c r="G1238" s="108">
        <v>45454</v>
      </c>
      <c r="H1238" s="126" t="s">
        <v>89</v>
      </c>
      <c r="I1238" s="126" t="s">
        <v>7958</v>
      </c>
      <c r="J1238" s="126"/>
      <c r="K1238" s="126" t="s">
        <v>7959</v>
      </c>
      <c r="L1238" s="126" t="s">
        <v>7960</v>
      </c>
      <c r="M1238" s="126" t="s">
        <v>399</v>
      </c>
      <c r="Q1238" s="3">
        <f t="shared" si="39"/>
        <v>23.5</v>
      </c>
      <c r="S1238" s="55" t="s">
        <v>9013</v>
      </c>
      <c r="U1238" s="3" t="str">
        <f t="shared" si="40"/>
        <v/>
      </c>
    </row>
    <row r="1239" spans="1:21" x14ac:dyDescent="0.35">
      <c r="A1239" s="126" t="s">
        <v>0</v>
      </c>
      <c r="B1239" s="126" t="s">
        <v>1487</v>
      </c>
      <c r="C1239" s="126" t="s">
        <v>2</v>
      </c>
      <c r="D1239" s="126" t="s">
        <v>3</v>
      </c>
      <c r="E1239" s="126">
        <v>23.5</v>
      </c>
      <c r="F1239" s="126" t="s">
        <v>88</v>
      </c>
      <c r="G1239" s="108">
        <v>45485</v>
      </c>
      <c r="H1239" s="126" t="s">
        <v>89</v>
      </c>
      <c r="I1239" s="126" t="s">
        <v>8134</v>
      </c>
      <c r="J1239" s="126"/>
      <c r="K1239" s="126" t="s">
        <v>8135</v>
      </c>
      <c r="L1239" s="126" t="s">
        <v>8136</v>
      </c>
      <c r="M1239" s="126" t="s">
        <v>399</v>
      </c>
      <c r="Q1239" s="3">
        <f t="shared" si="39"/>
        <v>23.5</v>
      </c>
      <c r="S1239" s="55" t="s">
        <v>9013</v>
      </c>
      <c r="U1239" s="3" t="str">
        <f t="shared" si="40"/>
        <v/>
      </c>
    </row>
    <row r="1240" spans="1:21" x14ac:dyDescent="0.35">
      <c r="A1240" s="126" t="s">
        <v>0</v>
      </c>
      <c r="B1240" s="126" t="s">
        <v>1487</v>
      </c>
      <c r="C1240" s="126" t="s">
        <v>2</v>
      </c>
      <c r="D1240" s="126" t="s">
        <v>3</v>
      </c>
      <c r="E1240" s="126">
        <v>23.5</v>
      </c>
      <c r="F1240" s="126" t="s">
        <v>88</v>
      </c>
      <c r="G1240" s="108">
        <v>45517</v>
      </c>
      <c r="H1240" s="126" t="s">
        <v>89</v>
      </c>
      <c r="I1240" s="126" t="s">
        <v>8320</v>
      </c>
      <c r="J1240" s="126"/>
      <c r="K1240" s="126" t="s">
        <v>8321</v>
      </c>
      <c r="L1240" s="126" t="s">
        <v>8322</v>
      </c>
      <c r="M1240" s="126" t="s">
        <v>399</v>
      </c>
      <c r="Q1240" s="3">
        <f t="shared" si="39"/>
        <v>23.5</v>
      </c>
      <c r="S1240" s="55" t="s">
        <v>9013</v>
      </c>
      <c r="U1240" s="3" t="str">
        <f t="shared" si="40"/>
        <v/>
      </c>
    </row>
    <row r="1241" spans="1:21" x14ac:dyDescent="0.35">
      <c r="A1241" s="126" t="s">
        <v>0</v>
      </c>
      <c r="B1241" s="126" t="s">
        <v>1487</v>
      </c>
      <c r="C1241" s="126" t="s">
        <v>2</v>
      </c>
      <c r="D1241" s="126" t="s">
        <v>3</v>
      </c>
      <c r="E1241" s="126">
        <v>23.5</v>
      </c>
      <c r="F1241" s="126" t="s">
        <v>88</v>
      </c>
      <c r="G1241" s="108">
        <v>45551</v>
      </c>
      <c r="H1241" s="126" t="s">
        <v>89</v>
      </c>
      <c r="I1241" s="126" t="s">
        <v>8431</v>
      </c>
      <c r="J1241" s="126"/>
      <c r="K1241" s="126" t="s">
        <v>8432</v>
      </c>
      <c r="L1241" s="126" t="s">
        <v>8433</v>
      </c>
      <c r="M1241" s="126" t="s">
        <v>399</v>
      </c>
      <c r="N1241" s="126"/>
      <c r="O1241" s="126"/>
      <c r="Q1241" s="3">
        <f t="shared" si="39"/>
        <v>23.5</v>
      </c>
      <c r="S1241" s="55" t="s">
        <v>9013</v>
      </c>
      <c r="U1241" s="3" t="str">
        <f t="shared" si="40"/>
        <v/>
      </c>
    </row>
    <row r="1242" spans="1:21" x14ac:dyDescent="0.35">
      <c r="A1242" s="126" t="s">
        <v>0</v>
      </c>
      <c r="B1242" s="126" t="s">
        <v>1487</v>
      </c>
      <c r="C1242" s="126" t="s">
        <v>2</v>
      </c>
      <c r="D1242" s="126" t="s">
        <v>3</v>
      </c>
      <c r="E1242" s="126">
        <v>23.5</v>
      </c>
      <c r="F1242" s="126" t="s">
        <v>88</v>
      </c>
      <c r="G1242" s="108">
        <v>45569</v>
      </c>
      <c r="H1242" s="126" t="s">
        <v>89</v>
      </c>
      <c r="I1242" s="126" t="s">
        <v>8521</v>
      </c>
      <c r="J1242" s="126"/>
      <c r="K1242" s="126" t="s">
        <v>8522</v>
      </c>
      <c r="L1242" s="126" t="s">
        <v>8523</v>
      </c>
      <c r="M1242" s="126" t="s">
        <v>399</v>
      </c>
      <c r="Q1242" s="3">
        <f t="shared" si="39"/>
        <v>23.5</v>
      </c>
      <c r="S1242" s="55" t="s">
        <v>9013</v>
      </c>
      <c r="U1242" s="3" t="str">
        <f t="shared" si="40"/>
        <v/>
      </c>
    </row>
    <row r="1243" spans="1:21" x14ac:dyDescent="0.35">
      <c r="A1243" s="126" t="s">
        <v>0</v>
      </c>
      <c r="B1243" s="126" t="s">
        <v>1487</v>
      </c>
      <c r="C1243" s="126" t="s">
        <v>2</v>
      </c>
      <c r="D1243" s="126" t="s">
        <v>3</v>
      </c>
      <c r="E1243" s="126">
        <v>23.5</v>
      </c>
      <c r="F1243" s="126" t="s">
        <v>88</v>
      </c>
      <c r="G1243" s="108">
        <v>45611</v>
      </c>
      <c r="H1243" s="126" t="s">
        <v>89</v>
      </c>
      <c r="I1243" s="126" t="s">
        <v>8734</v>
      </c>
      <c r="J1243" s="126"/>
      <c r="K1243" s="126" t="s">
        <v>8735</v>
      </c>
      <c r="L1243" s="126" t="s">
        <v>8736</v>
      </c>
      <c r="M1243" s="126" t="s">
        <v>399</v>
      </c>
      <c r="Q1243" s="3">
        <f t="shared" si="39"/>
        <v>23.5</v>
      </c>
      <c r="S1243" s="55" t="s">
        <v>9013</v>
      </c>
      <c r="U1243" s="3" t="str">
        <f t="shared" si="40"/>
        <v/>
      </c>
    </row>
    <row r="1244" spans="1:21" x14ac:dyDescent="0.35">
      <c r="A1244" s="126" t="s">
        <v>0</v>
      </c>
      <c r="B1244" s="126" t="s">
        <v>1487</v>
      </c>
      <c r="C1244" s="126" t="s">
        <v>2</v>
      </c>
      <c r="D1244" s="126" t="s">
        <v>3</v>
      </c>
      <c r="E1244" s="126">
        <v>23.5</v>
      </c>
      <c r="F1244" s="126" t="s">
        <v>88</v>
      </c>
      <c r="G1244" s="108">
        <v>45635</v>
      </c>
      <c r="H1244" s="126" t="s">
        <v>89</v>
      </c>
      <c r="I1244" s="126" t="s">
        <v>8878</v>
      </c>
      <c r="J1244" s="126"/>
      <c r="K1244" s="126" t="s">
        <v>8879</v>
      </c>
      <c r="L1244" s="126" t="s">
        <v>8880</v>
      </c>
      <c r="M1244" s="126" t="s">
        <v>399</v>
      </c>
      <c r="Q1244" s="3">
        <f t="shared" si="39"/>
        <v>23.5</v>
      </c>
      <c r="S1244" s="55" t="s">
        <v>9013</v>
      </c>
      <c r="U1244" s="3" t="str">
        <f t="shared" si="40"/>
        <v/>
      </c>
    </row>
    <row r="1245" spans="1:21" x14ac:dyDescent="0.35">
      <c r="A1245" s="126" t="s">
        <v>35</v>
      </c>
      <c r="B1245" s="126" t="s">
        <v>1411</v>
      </c>
      <c r="C1245" s="126" t="s">
        <v>2</v>
      </c>
      <c r="D1245" s="126" t="s">
        <v>3</v>
      </c>
      <c r="E1245" s="126">
        <v>23.4</v>
      </c>
      <c r="F1245" s="126" t="s">
        <v>88</v>
      </c>
      <c r="G1245" s="108">
        <v>45442</v>
      </c>
      <c r="H1245" s="126" t="s">
        <v>94</v>
      </c>
      <c r="I1245" s="126" t="s">
        <v>7912</v>
      </c>
      <c r="J1245" s="126" t="s">
        <v>7913</v>
      </c>
      <c r="K1245" s="126"/>
      <c r="L1245" s="126"/>
      <c r="M1245" s="126"/>
      <c r="N1245" s="126"/>
      <c r="O1245" s="126" t="s">
        <v>7779</v>
      </c>
      <c r="Q1245" s="3">
        <f t="shared" si="39"/>
        <v>23.4</v>
      </c>
      <c r="U1245" s="3" t="str">
        <f t="shared" si="40"/>
        <v/>
      </c>
    </row>
    <row r="1246" spans="1:21" x14ac:dyDescent="0.35">
      <c r="A1246" s="126" t="s">
        <v>35</v>
      </c>
      <c r="B1246" s="126" t="s">
        <v>933</v>
      </c>
      <c r="C1246" s="126" t="s">
        <v>2</v>
      </c>
      <c r="D1246" s="126" t="s">
        <v>3</v>
      </c>
      <c r="E1246" s="126">
        <v>23.22</v>
      </c>
      <c r="F1246" s="126" t="s">
        <v>88</v>
      </c>
      <c r="G1246" s="108">
        <v>45384</v>
      </c>
      <c r="H1246" s="126" t="s">
        <v>89</v>
      </c>
      <c r="I1246" s="126" t="s">
        <v>7627</v>
      </c>
      <c r="J1246" s="126"/>
      <c r="K1246" s="126" t="s">
        <v>7628</v>
      </c>
      <c r="L1246" s="126" t="s">
        <v>387</v>
      </c>
      <c r="M1246" s="126" t="s">
        <v>7629</v>
      </c>
      <c r="N1246" s="126"/>
      <c r="O1246" s="126"/>
      <c r="Q1246" s="3">
        <f t="shared" si="39"/>
        <v>23.22</v>
      </c>
      <c r="U1246" s="3" t="str">
        <f t="shared" si="40"/>
        <v/>
      </c>
    </row>
    <row r="1247" spans="1:21" x14ac:dyDescent="0.35">
      <c r="A1247" s="126" t="s">
        <v>35</v>
      </c>
      <c r="B1247" s="126" t="s">
        <v>1053</v>
      </c>
      <c r="C1247" s="126" t="s">
        <v>2</v>
      </c>
      <c r="D1247" s="126" t="s">
        <v>3</v>
      </c>
      <c r="E1247" s="126">
        <v>23.07</v>
      </c>
      <c r="F1247" s="126" t="s">
        <v>88</v>
      </c>
      <c r="G1247" s="108">
        <v>45573</v>
      </c>
      <c r="H1247" s="126" t="s">
        <v>94</v>
      </c>
      <c r="I1247" s="126" t="s">
        <v>8543</v>
      </c>
      <c r="J1247" s="126" t="s">
        <v>8544</v>
      </c>
      <c r="K1247" s="126"/>
      <c r="L1247" s="126"/>
      <c r="M1247" s="126"/>
      <c r="N1247" s="126"/>
      <c r="O1247" s="126" t="s">
        <v>8545</v>
      </c>
      <c r="Q1247" s="3">
        <f t="shared" si="39"/>
        <v>23.07</v>
      </c>
      <c r="U1247" s="3" t="str">
        <f t="shared" si="40"/>
        <v/>
      </c>
    </row>
    <row r="1248" spans="1:21" x14ac:dyDescent="0.35">
      <c r="A1248" s="126" t="s">
        <v>35</v>
      </c>
      <c r="B1248" s="126" t="s">
        <v>677</v>
      </c>
      <c r="C1248" s="126" t="s">
        <v>2</v>
      </c>
      <c r="D1248" s="126" t="s">
        <v>3</v>
      </c>
      <c r="E1248" s="126">
        <v>22.9</v>
      </c>
      <c r="F1248" s="126" t="s">
        <v>88</v>
      </c>
      <c r="G1248" s="108">
        <v>45457</v>
      </c>
      <c r="H1248" s="126" t="s">
        <v>94</v>
      </c>
      <c r="I1248" s="126" t="s">
        <v>748</v>
      </c>
      <c r="J1248" s="126" t="s">
        <v>7999</v>
      </c>
      <c r="K1248" s="126"/>
      <c r="L1248" s="126"/>
      <c r="M1248" s="126"/>
      <c r="N1248" s="126"/>
      <c r="O1248" s="126" t="s">
        <v>7493</v>
      </c>
      <c r="Q1248" s="3">
        <f t="shared" si="39"/>
        <v>22.9</v>
      </c>
      <c r="U1248" s="3" t="str">
        <f t="shared" si="40"/>
        <v/>
      </c>
    </row>
    <row r="1249" spans="1:21" x14ac:dyDescent="0.35">
      <c r="A1249" s="126" t="s">
        <v>35</v>
      </c>
      <c r="B1249" s="126" t="s">
        <v>788</v>
      </c>
      <c r="C1249" s="126" t="s">
        <v>2</v>
      </c>
      <c r="D1249" s="126" t="s">
        <v>3</v>
      </c>
      <c r="E1249" s="126">
        <v>22.85</v>
      </c>
      <c r="F1249" s="126" t="s">
        <v>88</v>
      </c>
      <c r="G1249" s="108">
        <v>45387</v>
      </c>
      <c r="H1249" s="126" t="s">
        <v>94</v>
      </c>
      <c r="I1249" s="126" t="s">
        <v>504</v>
      </c>
      <c r="J1249" s="126" t="s">
        <v>505</v>
      </c>
      <c r="K1249" s="126"/>
      <c r="L1249" s="126"/>
      <c r="M1249" s="126"/>
      <c r="N1249" s="126"/>
      <c r="O1249" s="126" t="s">
        <v>583</v>
      </c>
      <c r="Q1249" s="3">
        <f t="shared" si="39"/>
        <v>22.85</v>
      </c>
      <c r="S1249" s="55" t="s">
        <v>9014</v>
      </c>
      <c r="U1249" s="3" t="str">
        <f t="shared" si="40"/>
        <v/>
      </c>
    </row>
    <row r="1250" spans="1:21" x14ac:dyDescent="0.35">
      <c r="A1250" s="126" t="s">
        <v>35</v>
      </c>
      <c r="B1250" s="126" t="s">
        <v>633</v>
      </c>
      <c r="C1250" s="126" t="s">
        <v>2</v>
      </c>
      <c r="D1250" s="126" t="s">
        <v>3</v>
      </c>
      <c r="E1250" s="126">
        <v>22.82</v>
      </c>
      <c r="F1250" s="126" t="s">
        <v>88</v>
      </c>
      <c r="G1250" s="108">
        <v>45511</v>
      </c>
      <c r="H1250" s="126" t="s">
        <v>94</v>
      </c>
      <c r="I1250" s="126" t="s">
        <v>2485</v>
      </c>
      <c r="J1250" s="126" t="s">
        <v>8287</v>
      </c>
      <c r="K1250" s="126"/>
      <c r="L1250" s="126"/>
      <c r="M1250" s="126"/>
      <c r="N1250" s="126"/>
      <c r="O1250" s="126" t="s">
        <v>565</v>
      </c>
      <c r="Q1250" s="3">
        <f t="shared" si="39"/>
        <v>22.82</v>
      </c>
      <c r="S1250" s="55" t="s">
        <v>586</v>
      </c>
      <c r="U1250" s="3" t="str">
        <f t="shared" si="40"/>
        <v/>
      </c>
    </row>
    <row r="1251" spans="1:21" x14ac:dyDescent="0.35">
      <c r="A1251" s="126" t="s">
        <v>35</v>
      </c>
      <c r="B1251" s="126" t="s">
        <v>3466</v>
      </c>
      <c r="C1251" s="126" t="s">
        <v>2</v>
      </c>
      <c r="D1251" s="126" t="s">
        <v>3</v>
      </c>
      <c r="E1251" s="126">
        <v>22.799999999999997</v>
      </c>
      <c r="F1251" s="126" t="s">
        <v>88</v>
      </c>
      <c r="G1251" s="108">
        <v>45504</v>
      </c>
      <c r="H1251" s="126" t="s">
        <v>94</v>
      </c>
      <c r="I1251" s="126" t="s">
        <v>8221</v>
      </c>
      <c r="J1251" s="126" t="s">
        <v>482</v>
      </c>
      <c r="K1251" s="126"/>
      <c r="L1251" s="126"/>
      <c r="M1251" s="126"/>
      <c r="N1251" s="126"/>
      <c r="O1251" s="126" t="s">
        <v>553</v>
      </c>
      <c r="Q1251" s="3">
        <f t="shared" si="39"/>
        <v>22.799999999999997</v>
      </c>
      <c r="S1251" s="55" t="s">
        <v>586</v>
      </c>
      <c r="U1251" s="3" t="str">
        <f t="shared" si="40"/>
        <v/>
      </c>
    </row>
    <row r="1252" spans="1:21" x14ac:dyDescent="0.35">
      <c r="A1252" s="126" t="s">
        <v>35</v>
      </c>
      <c r="B1252" s="126" t="s">
        <v>601</v>
      </c>
      <c r="C1252" s="126" t="s">
        <v>2</v>
      </c>
      <c r="D1252" s="126" t="s">
        <v>3</v>
      </c>
      <c r="E1252" s="126">
        <v>22.73</v>
      </c>
      <c r="F1252" s="126" t="s">
        <v>88</v>
      </c>
      <c r="G1252" s="108">
        <v>45524</v>
      </c>
      <c r="H1252" s="126" t="s">
        <v>94</v>
      </c>
      <c r="I1252" s="126" t="s">
        <v>2935</v>
      </c>
      <c r="J1252" s="126" t="s">
        <v>472</v>
      </c>
      <c r="K1252" s="126"/>
      <c r="L1252" s="126"/>
      <c r="M1252" s="126"/>
      <c r="N1252" s="126"/>
      <c r="O1252" s="126" t="s">
        <v>556</v>
      </c>
      <c r="Q1252" s="3">
        <f t="shared" si="39"/>
        <v>22.73</v>
      </c>
      <c r="U1252" s="3" t="str">
        <f t="shared" si="40"/>
        <v/>
      </c>
    </row>
    <row r="1253" spans="1:21" x14ac:dyDescent="0.35">
      <c r="A1253" s="126" t="s">
        <v>35</v>
      </c>
      <c r="B1253" s="126" t="s">
        <v>3466</v>
      </c>
      <c r="C1253" s="126" t="s">
        <v>2</v>
      </c>
      <c r="D1253" s="126" t="s">
        <v>3</v>
      </c>
      <c r="E1253" s="126">
        <v>22.73</v>
      </c>
      <c r="F1253" s="126" t="s">
        <v>88</v>
      </c>
      <c r="G1253" s="108">
        <v>45629</v>
      </c>
      <c r="H1253" s="126" t="s">
        <v>94</v>
      </c>
      <c r="I1253" s="126" t="s">
        <v>471</v>
      </c>
      <c r="J1253" s="126" t="s">
        <v>8843</v>
      </c>
      <c r="K1253" s="126"/>
      <c r="L1253" s="126"/>
      <c r="M1253" s="126"/>
      <c r="N1253" s="126"/>
      <c r="O1253" s="126" t="s">
        <v>8844</v>
      </c>
      <c r="Q1253" s="3">
        <f t="shared" si="39"/>
        <v>22.73</v>
      </c>
      <c r="U1253" s="3" t="str">
        <f t="shared" si="40"/>
        <v/>
      </c>
    </row>
    <row r="1254" spans="1:21" x14ac:dyDescent="0.35">
      <c r="A1254" s="126" t="s">
        <v>35</v>
      </c>
      <c r="B1254" s="126" t="s">
        <v>1123</v>
      </c>
      <c r="C1254" s="126" t="s">
        <v>2</v>
      </c>
      <c r="D1254" s="126" t="s">
        <v>3</v>
      </c>
      <c r="E1254" s="126">
        <v>22.73</v>
      </c>
      <c r="F1254" s="126" t="s">
        <v>88</v>
      </c>
      <c r="G1254" s="108">
        <v>45645</v>
      </c>
      <c r="H1254" s="126" t="s">
        <v>94</v>
      </c>
      <c r="I1254" s="126" t="s">
        <v>1129</v>
      </c>
      <c r="J1254" s="126" t="s">
        <v>8998</v>
      </c>
      <c r="K1254" s="126"/>
      <c r="L1254" s="126"/>
      <c r="M1254" s="126"/>
      <c r="N1254" s="126"/>
      <c r="O1254" s="126" t="s">
        <v>9000</v>
      </c>
      <c r="Q1254" s="3">
        <f t="shared" si="39"/>
        <v>22.73</v>
      </c>
      <c r="U1254" s="3" t="str">
        <f t="shared" si="40"/>
        <v/>
      </c>
    </row>
    <row r="1255" spans="1:21" x14ac:dyDescent="0.35">
      <c r="A1255" s="126" t="s">
        <v>35</v>
      </c>
      <c r="B1255" s="126" t="s">
        <v>933</v>
      </c>
      <c r="C1255" s="126" t="s">
        <v>2</v>
      </c>
      <c r="D1255" s="126" t="s">
        <v>3</v>
      </c>
      <c r="E1255" s="126">
        <v>22.71</v>
      </c>
      <c r="F1255" s="126" t="s">
        <v>88</v>
      </c>
      <c r="G1255" s="108">
        <v>45635</v>
      </c>
      <c r="H1255" s="126" t="s">
        <v>89</v>
      </c>
      <c r="I1255" s="126" t="s">
        <v>8887</v>
      </c>
      <c r="J1255" s="126"/>
      <c r="K1255" s="126" t="s">
        <v>8891</v>
      </c>
      <c r="L1255" s="126" t="s">
        <v>8889</v>
      </c>
      <c r="M1255" s="126" t="s">
        <v>8890</v>
      </c>
      <c r="N1255" s="126"/>
      <c r="O1255" s="126"/>
      <c r="Q1255" s="3">
        <f t="shared" si="39"/>
        <v>22.71</v>
      </c>
      <c r="U1255" s="3" t="str">
        <f t="shared" si="40"/>
        <v/>
      </c>
    </row>
    <row r="1256" spans="1:21" x14ac:dyDescent="0.35">
      <c r="A1256" s="126" t="s">
        <v>35</v>
      </c>
      <c r="B1256" s="126" t="s">
        <v>6057</v>
      </c>
      <c r="C1256" s="126" t="s">
        <v>2</v>
      </c>
      <c r="D1256" s="126" t="s">
        <v>3</v>
      </c>
      <c r="E1256" s="126">
        <v>22.64</v>
      </c>
      <c r="F1256" s="126" t="s">
        <v>88</v>
      </c>
      <c r="G1256" s="108">
        <v>45524</v>
      </c>
      <c r="H1256" s="126" t="s">
        <v>94</v>
      </c>
      <c r="I1256" s="126" t="s">
        <v>233</v>
      </c>
      <c r="J1256" s="126" t="s">
        <v>8352</v>
      </c>
      <c r="K1256" s="126"/>
      <c r="L1256" s="126"/>
      <c r="M1256" s="126"/>
      <c r="N1256" s="126"/>
      <c r="O1256" s="126" t="s">
        <v>8353</v>
      </c>
      <c r="Q1256" s="3">
        <f t="shared" si="39"/>
        <v>22.64</v>
      </c>
      <c r="U1256" s="3" t="str">
        <f t="shared" si="40"/>
        <v/>
      </c>
    </row>
    <row r="1257" spans="1:21" x14ac:dyDescent="0.35">
      <c r="A1257" s="126" t="s">
        <v>0</v>
      </c>
      <c r="B1257" s="126" t="s">
        <v>642</v>
      </c>
      <c r="C1257" s="126" t="s">
        <v>2</v>
      </c>
      <c r="D1257" s="126" t="s">
        <v>3</v>
      </c>
      <c r="E1257" s="126">
        <v>22.57</v>
      </c>
      <c r="F1257" s="126" t="s">
        <v>88</v>
      </c>
      <c r="G1257" s="108">
        <v>45432</v>
      </c>
      <c r="H1257" s="126" t="s">
        <v>89</v>
      </c>
      <c r="I1257" s="126" t="s">
        <v>7839</v>
      </c>
      <c r="J1257" s="126"/>
      <c r="K1257" s="126" t="s">
        <v>7840</v>
      </c>
      <c r="L1257" s="126" t="s">
        <v>7841</v>
      </c>
      <c r="M1257" s="126" t="s">
        <v>399</v>
      </c>
      <c r="N1257" s="35"/>
      <c r="O1257" s="35"/>
      <c r="Q1257" s="3">
        <f t="shared" si="39"/>
        <v>22.57</v>
      </c>
      <c r="S1257" s="55" t="s">
        <v>9013</v>
      </c>
      <c r="U1257" s="3" t="str">
        <f t="shared" si="40"/>
        <v/>
      </c>
    </row>
    <row r="1258" spans="1:21" x14ac:dyDescent="0.35">
      <c r="A1258" s="126" t="s">
        <v>0</v>
      </c>
      <c r="B1258" s="126" t="s">
        <v>642</v>
      </c>
      <c r="C1258" s="126" t="s">
        <v>2</v>
      </c>
      <c r="D1258" s="126" t="s">
        <v>3</v>
      </c>
      <c r="E1258" s="126">
        <v>22.57</v>
      </c>
      <c r="F1258" s="126" t="s">
        <v>88</v>
      </c>
      <c r="G1258" s="108">
        <v>45454</v>
      </c>
      <c r="H1258" s="126" t="s">
        <v>89</v>
      </c>
      <c r="I1258" s="126" t="s">
        <v>7958</v>
      </c>
      <c r="J1258" s="126"/>
      <c r="K1258" s="126" t="s">
        <v>7959</v>
      </c>
      <c r="L1258" s="126" t="s">
        <v>7960</v>
      </c>
      <c r="M1258" s="126" t="s">
        <v>399</v>
      </c>
      <c r="Q1258" s="3">
        <f t="shared" si="39"/>
        <v>22.57</v>
      </c>
      <c r="S1258" s="55" t="s">
        <v>9013</v>
      </c>
      <c r="U1258" s="3" t="str">
        <f t="shared" si="40"/>
        <v/>
      </c>
    </row>
    <row r="1259" spans="1:21" x14ac:dyDescent="0.35">
      <c r="A1259" s="126" t="s">
        <v>0</v>
      </c>
      <c r="B1259" s="126" t="s">
        <v>642</v>
      </c>
      <c r="C1259" s="126" t="s">
        <v>2</v>
      </c>
      <c r="D1259" s="126" t="s">
        <v>3</v>
      </c>
      <c r="E1259" s="126">
        <v>22.57</v>
      </c>
      <c r="F1259" s="126" t="s">
        <v>88</v>
      </c>
      <c r="G1259" s="108">
        <v>45485</v>
      </c>
      <c r="H1259" s="126" t="s">
        <v>89</v>
      </c>
      <c r="I1259" s="126" t="s">
        <v>8134</v>
      </c>
      <c r="J1259" s="126"/>
      <c r="K1259" s="126" t="s">
        <v>8135</v>
      </c>
      <c r="L1259" s="126" t="s">
        <v>8136</v>
      </c>
      <c r="M1259" s="126" t="s">
        <v>399</v>
      </c>
      <c r="Q1259" s="3">
        <f t="shared" si="39"/>
        <v>22.57</v>
      </c>
      <c r="S1259" s="55" t="s">
        <v>9013</v>
      </c>
      <c r="U1259" s="3" t="str">
        <f t="shared" si="40"/>
        <v/>
      </c>
    </row>
    <row r="1260" spans="1:21" x14ac:dyDescent="0.35">
      <c r="A1260" s="126" t="s">
        <v>0</v>
      </c>
      <c r="B1260" s="126" t="s">
        <v>642</v>
      </c>
      <c r="C1260" s="126" t="s">
        <v>2</v>
      </c>
      <c r="D1260" s="126" t="s">
        <v>3</v>
      </c>
      <c r="E1260" s="126">
        <v>22.57</v>
      </c>
      <c r="F1260" s="126" t="s">
        <v>88</v>
      </c>
      <c r="G1260" s="108">
        <v>45517</v>
      </c>
      <c r="H1260" s="126" t="s">
        <v>89</v>
      </c>
      <c r="I1260" s="126" t="s">
        <v>8320</v>
      </c>
      <c r="J1260" s="126"/>
      <c r="K1260" s="126" t="s">
        <v>8321</v>
      </c>
      <c r="L1260" s="126" t="s">
        <v>8322</v>
      </c>
      <c r="M1260" s="126" t="s">
        <v>399</v>
      </c>
      <c r="Q1260" s="3">
        <f t="shared" si="39"/>
        <v>22.57</v>
      </c>
      <c r="S1260" s="55" t="s">
        <v>9013</v>
      </c>
      <c r="U1260" s="3" t="str">
        <f t="shared" si="40"/>
        <v/>
      </c>
    </row>
    <row r="1261" spans="1:21" x14ac:dyDescent="0.35">
      <c r="A1261" s="126" t="s">
        <v>0</v>
      </c>
      <c r="B1261" s="126" t="s">
        <v>642</v>
      </c>
      <c r="C1261" s="126" t="s">
        <v>2</v>
      </c>
      <c r="D1261" s="126" t="s">
        <v>3</v>
      </c>
      <c r="E1261" s="126">
        <v>22.57</v>
      </c>
      <c r="F1261" s="126" t="s">
        <v>88</v>
      </c>
      <c r="G1261" s="108">
        <v>45551</v>
      </c>
      <c r="H1261" s="126" t="s">
        <v>89</v>
      </c>
      <c r="I1261" s="126" t="s">
        <v>8431</v>
      </c>
      <c r="J1261" s="126"/>
      <c r="K1261" s="126" t="s">
        <v>8432</v>
      </c>
      <c r="L1261" s="126" t="s">
        <v>8433</v>
      </c>
      <c r="M1261" s="126" t="s">
        <v>399</v>
      </c>
      <c r="N1261" s="126"/>
      <c r="O1261" s="126"/>
      <c r="Q1261" s="3">
        <f t="shared" si="39"/>
        <v>22.57</v>
      </c>
      <c r="S1261" s="55" t="s">
        <v>9013</v>
      </c>
      <c r="U1261" s="3" t="str">
        <f t="shared" si="40"/>
        <v/>
      </c>
    </row>
    <row r="1262" spans="1:21" x14ac:dyDescent="0.35">
      <c r="A1262" s="126" t="s">
        <v>0</v>
      </c>
      <c r="B1262" s="126" t="s">
        <v>642</v>
      </c>
      <c r="C1262" s="126" t="s">
        <v>2</v>
      </c>
      <c r="D1262" s="126" t="s">
        <v>3</v>
      </c>
      <c r="E1262" s="126">
        <v>22.57</v>
      </c>
      <c r="F1262" s="126" t="s">
        <v>88</v>
      </c>
      <c r="G1262" s="108">
        <v>45569</v>
      </c>
      <c r="H1262" s="126" t="s">
        <v>89</v>
      </c>
      <c r="I1262" s="126" t="s">
        <v>8521</v>
      </c>
      <c r="J1262" s="126"/>
      <c r="K1262" s="126" t="s">
        <v>8522</v>
      </c>
      <c r="L1262" s="126" t="s">
        <v>8523</v>
      </c>
      <c r="M1262" s="126" t="s">
        <v>399</v>
      </c>
      <c r="Q1262" s="3">
        <f t="shared" si="39"/>
        <v>22.57</v>
      </c>
      <c r="S1262" s="55" t="s">
        <v>9013</v>
      </c>
      <c r="U1262" s="3" t="str">
        <f t="shared" si="40"/>
        <v/>
      </c>
    </row>
    <row r="1263" spans="1:21" x14ac:dyDescent="0.35">
      <c r="A1263" s="126" t="s">
        <v>0</v>
      </c>
      <c r="B1263" s="126" t="s">
        <v>642</v>
      </c>
      <c r="C1263" s="126" t="s">
        <v>2</v>
      </c>
      <c r="D1263" s="126" t="s">
        <v>3</v>
      </c>
      <c r="E1263" s="126">
        <v>22.57</v>
      </c>
      <c r="F1263" s="126" t="s">
        <v>88</v>
      </c>
      <c r="G1263" s="108">
        <v>45611</v>
      </c>
      <c r="H1263" s="126" t="s">
        <v>89</v>
      </c>
      <c r="I1263" s="126" t="s">
        <v>8734</v>
      </c>
      <c r="J1263" s="126"/>
      <c r="K1263" s="126" t="s">
        <v>8735</v>
      </c>
      <c r="L1263" s="126" t="s">
        <v>8736</v>
      </c>
      <c r="M1263" s="126" t="s">
        <v>399</v>
      </c>
      <c r="Q1263" s="3">
        <f t="shared" si="39"/>
        <v>22.57</v>
      </c>
      <c r="S1263" s="55" t="s">
        <v>9013</v>
      </c>
      <c r="U1263" s="3" t="str">
        <f t="shared" si="40"/>
        <v/>
      </c>
    </row>
    <row r="1264" spans="1:21" x14ac:dyDescent="0.35">
      <c r="A1264" s="126" t="s">
        <v>0</v>
      </c>
      <c r="B1264" s="126" t="s">
        <v>642</v>
      </c>
      <c r="C1264" s="126" t="s">
        <v>2</v>
      </c>
      <c r="D1264" s="126" t="s">
        <v>3</v>
      </c>
      <c r="E1264" s="126">
        <v>22.57</v>
      </c>
      <c r="F1264" s="126" t="s">
        <v>88</v>
      </c>
      <c r="G1264" s="108">
        <v>45635</v>
      </c>
      <c r="H1264" s="126" t="s">
        <v>89</v>
      </c>
      <c r="I1264" s="126" t="s">
        <v>8878</v>
      </c>
      <c r="J1264" s="126"/>
      <c r="K1264" s="126" t="s">
        <v>8879</v>
      </c>
      <c r="L1264" s="126" t="s">
        <v>8880</v>
      </c>
      <c r="M1264" s="126" t="s">
        <v>399</v>
      </c>
      <c r="Q1264" s="3">
        <f t="shared" si="39"/>
        <v>22.57</v>
      </c>
      <c r="S1264" s="55" t="s">
        <v>9013</v>
      </c>
      <c r="U1264" s="3" t="str">
        <f t="shared" si="40"/>
        <v/>
      </c>
    </row>
    <row r="1265" spans="1:21" x14ac:dyDescent="0.35">
      <c r="A1265" s="126" t="s">
        <v>0</v>
      </c>
      <c r="B1265" s="126" t="s">
        <v>642</v>
      </c>
      <c r="C1265" s="126" t="s">
        <v>2</v>
      </c>
      <c r="D1265" s="126" t="s">
        <v>3</v>
      </c>
      <c r="E1265" s="126">
        <v>22.56</v>
      </c>
      <c r="F1265" s="126" t="s">
        <v>88</v>
      </c>
      <c r="G1265" s="108">
        <v>45391</v>
      </c>
      <c r="H1265" s="126" t="s">
        <v>89</v>
      </c>
      <c r="I1265" s="126" t="s">
        <v>7691</v>
      </c>
      <c r="J1265" s="126"/>
      <c r="K1265" s="126" t="s">
        <v>7672</v>
      </c>
      <c r="L1265" s="126" t="s">
        <v>7692</v>
      </c>
      <c r="M1265" s="126" t="s">
        <v>399</v>
      </c>
      <c r="N1265" s="35"/>
      <c r="O1265" s="35"/>
      <c r="Q1265" s="3">
        <f t="shared" si="39"/>
        <v>22.56</v>
      </c>
      <c r="S1265" s="55" t="s">
        <v>9013</v>
      </c>
      <c r="U1265" s="3" t="str">
        <f t="shared" si="40"/>
        <v/>
      </c>
    </row>
    <row r="1266" spans="1:21" x14ac:dyDescent="0.35">
      <c r="A1266" s="126" t="s">
        <v>35</v>
      </c>
      <c r="B1266" s="126" t="s">
        <v>1106</v>
      </c>
      <c r="C1266" s="126" t="s">
        <v>2</v>
      </c>
      <c r="D1266" s="126" t="s">
        <v>3</v>
      </c>
      <c r="E1266" s="126">
        <v>22.380000000000003</v>
      </c>
      <c r="F1266" s="126" t="s">
        <v>88</v>
      </c>
      <c r="G1266" s="108">
        <v>45397</v>
      </c>
      <c r="H1266" s="126" t="s">
        <v>89</v>
      </c>
      <c r="I1266" s="126" t="s">
        <v>7727</v>
      </c>
      <c r="J1266" s="126"/>
      <c r="K1266" s="126" t="s">
        <v>440</v>
      </c>
      <c r="L1266" s="126" t="s">
        <v>7728</v>
      </c>
      <c r="M1266" s="126" t="s">
        <v>441</v>
      </c>
      <c r="N1266" s="126"/>
      <c r="O1266" s="126"/>
      <c r="Q1266" s="3">
        <f t="shared" si="39"/>
        <v>22.380000000000003</v>
      </c>
      <c r="U1266" s="3" t="str">
        <f t="shared" si="40"/>
        <v/>
      </c>
    </row>
    <row r="1267" spans="1:21" x14ac:dyDescent="0.35">
      <c r="A1267" s="126" t="s">
        <v>35</v>
      </c>
      <c r="B1267" s="126" t="s">
        <v>1106</v>
      </c>
      <c r="C1267" s="126" t="s">
        <v>2</v>
      </c>
      <c r="D1267" s="126" t="s">
        <v>3</v>
      </c>
      <c r="E1267" s="126">
        <v>22.380000000000003</v>
      </c>
      <c r="F1267" s="126" t="s">
        <v>88</v>
      </c>
      <c r="G1267" s="108">
        <v>45426</v>
      </c>
      <c r="H1267" s="126" t="s">
        <v>89</v>
      </c>
      <c r="I1267" s="126" t="s">
        <v>7820</v>
      </c>
      <c r="J1267" s="126"/>
      <c r="K1267" s="126" t="s">
        <v>440</v>
      </c>
      <c r="L1267" s="126" t="s">
        <v>7821</v>
      </c>
      <c r="M1267" s="126" t="s">
        <v>441</v>
      </c>
      <c r="N1267" s="126"/>
      <c r="O1267" s="126"/>
      <c r="Q1267" s="3">
        <f t="shared" si="39"/>
        <v>22.380000000000003</v>
      </c>
      <c r="U1267" s="3" t="str">
        <f t="shared" si="40"/>
        <v/>
      </c>
    </row>
    <row r="1268" spans="1:21" x14ac:dyDescent="0.35">
      <c r="A1268" s="126" t="s">
        <v>35</v>
      </c>
      <c r="B1268" s="126" t="s">
        <v>677</v>
      </c>
      <c r="C1268" s="126" t="s">
        <v>2</v>
      </c>
      <c r="D1268" s="126" t="s">
        <v>3</v>
      </c>
      <c r="E1268" s="126">
        <v>22.36</v>
      </c>
      <c r="F1268" s="126" t="s">
        <v>88</v>
      </c>
      <c r="G1268" s="108">
        <v>45457</v>
      </c>
      <c r="H1268" s="126" t="s">
        <v>94</v>
      </c>
      <c r="I1268" s="126" t="s">
        <v>748</v>
      </c>
      <c r="J1268" s="126" t="s">
        <v>7864</v>
      </c>
      <c r="K1268" s="126"/>
      <c r="L1268" s="126"/>
      <c r="M1268" s="126"/>
      <c r="N1268" s="126"/>
      <c r="O1268" s="126" t="s">
        <v>7733</v>
      </c>
      <c r="Q1268" s="3">
        <f t="shared" si="39"/>
        <v>22.36</v>
      </c>
      <c r="U1268" s="3" t="str">
        <f t="shared" si="40"/>
        <v/>
      </c>
    </row>
    <row r="1269" spans="1:21" x14ac:dyDescent="0.35">
      <c r="A1269" s="126" t="s">
        <v>35</v>
      </c>
      <c r="B1269" s="126" t="s">
        <v>2226</v>
      </c>
      <c r="C1269" s="126" t="s">
        <v>2</v>
      </c>
      <c r="D1269" s="126" t="s">
        <v>3</v>
      </c>
      <c r="E1269" s="126">
        <v>22.27</v>
      </c>
      <c r="F1269" s="126" t="s">
        <v>88</v>
      </c>
      <c r="G1269" s="108">
        <v>45604</v>
      </c>
      <c r="H1269" s="126" t="s">
        <v>94</v>
      </c>
      <c r="I1269" s="126" t="s">
        <v>335</v>
      </c>
      <c r="J1269" s="126" t="s">
        <v>8698</v>
      </c>
      <c r="K1269" s="126"/>
      <c r="L1269" s="126"/>
      <c r="M1269" s="126"/>
      <c r="N1269" s="126"/>
      <c r="O1269" s="126" t="s">
        <v>532</v>
      </c>
      <c r="Q1269" s="3">
        <f t="shared" si="39"/>
        <v>22.27</v>
      </c>
      <c r="S1269" s="55" t="s">
        <v>9018</v>
      </c>
      <c r="U1269" s="3" t="str">
        <f t="shared" si="40"/>
        <v/>
      </c>
    </row>
    <row r="1270" spans="1:21" x14ac:dyDescent="0.35">
      <c r="A1270" s="126" t="s">
        <v>0</v>
      </c>
      <c r="B1270" s="126" t="s">
        <v>764</v>
      </c>
      <c r="C1270" s="126" t="s">
        <v>2</v>
      </c>
      <c r="D1270" s="126" t="s">
        <v>3</v>
      </c>
      <c r="E1270" s="126">
        <v>22.03</v>
      </c>
      <c r="F1270" s="126" t="s">
        <v>88</v>
      </c>
      <c r="G1270" s="108">
        <v>45432</v>
      </c>
      <c r="H1270" s="126" t="s">
        <v>89</v>
      </c>
      <c r="I1270" s="126" t="s">
        <v>7842</v>
      </c>
      <c r="J1270" s="126"/>
      <c r="K1270" s="126" t="s">
        <v>7840</v>
      </c>
      <c r="L1270" s="126" t="s">
        <v>7843</v>
      </c>
      <c r="M1270" s="126" t="s">
        <v>399</v>
      </c>
      <c r="Q1270" s="3">
        <f t="shared" si="39"/>
        <v>22.03</v>
      </c>
      <c r="S1270" s="55" t="s">
        <v>9013</v>
      </c>
      <c r="U1270" s="3" t="str">
        <f t="shared" si="40"/>
        <v/>
      </c>
    </row>
    <row r="1271" spans="1:21" x14ac:dyDescent="0.35">
      <c r="A1271" s="126" t="s">
        <v>0</v>
      </c>
      <c r="B1271" s="126" t="s">
        <v>1411</v>
      </c>
      <c r="C1271" s="126" t="s">
        <v>2</v>
      </c>
      <c r="D1271" s="126" t="s">
        <v>3</v>
      </c>
      <c r="E1271" s="126">
        <v>22.02</v>
      </c>
      <c r="F1271" s="126" t="s">
        <v>88</v>
      </c>
      <c r="G1271" s="108">
        <v>45517</v>
      </c>
      <c r="H1271" s="126" t="s">
        <v>89</v>
      </c>
      <c r="I1271" s="126" t="s">
        <v>8323</v>
      </c>
      <c r="J1271" s="126"/>
      <c r="K1271" s="126" t="s">
        <v>8321</v>
      </c>
      <c r="L1271" s="126" t="s">
        <v>8324</v>
      </c>
      <c r="M1271" s="126" t="s">
        <v>399</v>
      </c>
      <c r="N1271" s="126"/>
      <c r="O1271" s="126"/>
      <c r="Q1271" s="3">
        <f t="shared" si="39"/>
        <v>22.02</v>
      </c>
      <c r="S1271" s="55" t="s">
        <v>9013</v>
      </c>
      <c r="U1271" s="3" t="str">
        <f t="shared" si="40"/>
        <v/>
      </c>
    </row>
    <row r="1272" spans="1:21" x14ac:dyDescent="0.35">
      <c r="A1272" s="126" t="s">
        <v>0</v>
      </c>
      <c r="B1272" s="126" t="s">
        <v>1411</v>
      </c>
      <c r="C1272" s="126" t="s">
        <v>2</v>
      </c>
      <c r="D1272" s="126" t="s">
        <v>3</v>
      </c>
      <c r="E1272" s="126">
        <v>22.02</v>
      </c>
      <c r="F1272" s="126" t="s">
        <v>88</v>
      </c>
      <c r="G1272" s="108">
        <v>45611</v>
      </c>
      <c r="H1272" s="126" t="s">
        <v>89</v>
      </c>
      <c r="I1272" s="126" t="s">
        <v>8737</v>
      </c>
      <c r="J1272" s="126"/>
      <c r="K1272" s="126" t="s">
        <v>8522</v>
      </c>
      <c r="L1272" s="126" t="s">
        <v>8738</v>
      </c>
      <c r="M1272" s="126" t="s">
        <v>399</v>
      </c>
      <c r="Q1272" s="3">
        <f t="shared" si="39"/>
        <v>22.02</v>
      </c>
      <c r="S1272" s="55" t="s">
        <v>9013</v>
      </c>
      <c r="U1272" s="3" t="str">
        <f t="shared" si="40"/>
        <v/>
      </c>
    </row>
    <row r="1273" spans="1:21" x14ac:dyDescent="0.35">
      <c r="A1273" s="126" t="s">
        <v>0</v>
      </c>
      <c r="B1273" s="126" t="s">
        <v>788</v>
      </c>
      <c r="C1273" s="126" t="s">
        <v>2</v>
      </c>
      <c r="D1273" s="126" t="s">
        <v>3</v>
      </c>
      <c r="E1273" s="126">
        <v>22.01</v>
      </c>
      <c r="F1273" s="126" t="s">
        <v>88</v>
      </c>
      <c r="G1273" s="108">
        <v>45432</v>
      </c>
      <c r="H1273" s="126" t="s">
        <v>89</v>
      </c>
      <c r="I1273" s="126" t="s">
        <v>7842</v>
      </c>
      <c r="J1273" s="126"/>
      <c r="K1273" s="126" t="s">
        <v>7840</v>
      </c>
      <c r="L1273" s="126" t="s">
        <v>7843</v>
      </c>
      <c r="M1273" s="126" t="s">
        <v>399</v>
      </c>
      <c r="Q1273" s="3">
        <f t="shared" si="39"/>
        <v>22.01</v>
      </c>
      <c r="S1273" s="55" t="s">
        <v>9013</v>
      </c>
      <c r="U1273" s="3" t="str">
        <f t="shared" si="40"/>
        <v/>
      </c>
    </row>
    <row r="1274" spans="1:21" x14ac:dyDescent="0.35">
      <c r="A1274" s="126" t="s">
        <v>0</v>
      </c>
      <c r="B1274" s="126" t="s">
        <v>672</v>
      </c>
      <c r="C1274" s="126" t="s">
        <v>2</v>
      </c>
      <c r="D1274" s="126" t="s">
        <v>3</v>
      </c>
      <c r="E1274" s="126">
        <v>22.01</v>
      </c>
      <c r="F1274" s="126" t="s">
        <v>88</v>
      </c>
      <c r="G1274" s="108">
        <v>45432</v>
      </c>
      <c r="H1274" s="126" t="s">
        <v>89</v>
      </c>
      <c r="I1274" s="126" t="s">
        <v>7842</v>
      </c>
      <c r="J1274" s="126"/>
      <c r="K1274" s="126" t="s">
        <v>7840</v>
      </c>
      <c r="L1274" s="126" t="s">
        <v>7843</v>
      </c>
      <c r="M1274" s="126" t="s">
        <v>399</v>
      </c>
      <c r="Q1274" s="3">
        <f t="shared" si="39"/>
        <v>22.01</v>
      </c>
      <c r="S1274" s="55" t="s">
        <v>9013</v>
      </c>
      <c r="U1274" s="3" t="str">
        <f t="shared" si="40"/>
        <v/>
      </c>
    </row>
    <row r="1275" spans="1:21" x14ac:dyDescent="0.35">
      <c r="A1275" s="126" t="s">
        <v>0</v>
      </c>
      <c r="B1275" s="126" t="s">
        <v>5701</v>
      </c>
      <c r="C1275" s="126" t="s">
        <v>2</v>
      </c>
      <c r="D1275" s="126" t="s">
        <v>3</v>
      </c>
      <c r="E1275" s="126">
        <v>22.01</v>
      </c>
      <c r="F1275" s="126" t="s">
        <v>88</v>
      </c>
      <c r="G1275" s="108">
        <v>45432</v>
      </c>
      <c r="H1275" s="126" t="s">
        <v>89</v>
      </c>
      <c r="I1275" s="126" t="s">
        <v>7842</v>
      </c>
      <c r="J1275" s="126"/>
      <c r="K1275" s="126" t="s">
        <v>7840</v>
      </c>
      <c r="L1275" s="126" t="s">
        <v>7843</v>
      </c>
      <c r="M1275" s="126" t="s">
        <v>399</v>
      </c>
      <c r="Q1275" s="3">
        <f t="shared" si="39"/>
        <v>22.01</v>
      </c>
      <c r="S1275" s="55" t="s">
        <v>9013</v>
      </c>
      <c r="U1275" s="3" t="str">
        <f t="shared" si="40"/>
        <v/>
      </c>
    </row>
    <row r="1276" spans="1:21" x14ac:dyDescent="0.35">
      <c r="A1276" s="126" t="s">
        <v>0</v>
      </c>
      <c r="B1276" s="126" t="s">
        <v>788</v>
      </c>
      <c r="C1276" s="126" t="s">
        <v>2</v>
      </c>
      <c r="D1276" s="126" t="s">
        <v>3</v>
      </c>
      <c r="E1276" s="126">
        <v>22.01</v>
      </c>
      <c r="F1276" s="126" t="s">
        <v>88</v>
      </c>
      <c r="G1276" s="108">
        <v>45505</v>
      </c>
      <c r="H1276" s="126" t="s">
        <v>89</v>
      </c>
      <c r="I1276" s="126" t="s">
        <v>8248</v>
      </c>
      <c r="J1276" s="126"/>
      <c r="K1276" s="126" t="s">
        <v>8135</v>
      </c>
      <c r="L1276" s="126" t="s">
        <v>8249</v>
      </c>
      <c r="M1276" s="126" t="s">
        <v>399</v>
      </c>
      <c r="Q1276" s="3">
        <f t="shared" si="39"/>
        <v>22.01</v>
      </c>
      <c r="S1276" s="55" t="s">
        <v>9013</v>
      </c>
      <c r="U1276" s="3" t="str">
        <f t="shared" si="40"/>
        <v/>
      </c>
    </row>
    <row r="1277" spans="1:21" x14ac:dyDescent="0.35">
      <c r="A1277" s="126" t="s">
        <v>0</v>
      </c>
      <c r="B1277" s="126" t="s">
        <v>672</v>
      </c>
      <c r="C1277" s="126" t="s">
        <v>2</v>
      </c>
      <c r="D1277" s="126" t="s">
        <v>3</v>
      </c>
      <c r="E1277" s="126">
        <v>22.01</v>
      </c>
      <c r="F1277" s="126" t="s">
        <v>88</v>
      </c>
      <c r="G1277" s="108">
        <v>45505</v>
      </c>
      <c r="H1277" s="126" t="s">
        <v>89</v>
      </c>
      <c r="I1277" s="126" t="s">
        <v>8248</v>
      </c>
      <c r="J1277" s="126"/>
      <c r="K1277" s="126" t="s">
        <v>8135</v>
      </c>
      <c r="L1277" s="126" t="s">
        <v>8249</v>
      </c>
      <c r="M1277" s="126" t="s">
        <v>399</v>
      </c>
      <c r="Q1277" s="3">
        <f t="shared" si="39"/>
        <v>22.01</v>
      </c>
      <c r="S1277" s="55" t="s">
        <v>9013</v>
      </c>
      <c r="U1277" s="3" t="str">
        <f t="shared" si="40"/>
        <v/>
      </c>
    </row>
    <row r="1278" spans="1:21" x14ac:dyDescent="0.35">
      <c r="A1278" s="126" t="s">
        <v>0</v>
      </c>
      <c r="B1278" s="126" t="s">
        <v>5701</v>
      </c>
      <c r="C1278" s="126" t="s">
        <v>2</v>
      </c>
      <c r="D1278" s="126" t="s">
        <v>3</v>
      </c>
      <c r="E1278" s="126">
        <v>22.01</v>
      </c>
      <c r="F1278" s="126" t="s">
        <v>88</v>
      </c>
      <c r="G1278" s="108">
        <v>45505</v>
      </c>
      <c r="H1278" s="126" t="s">
        <v>89</v>
      </c>
      <c r="I1278" s="126" t="s">
        <v>8248</v>
      </c>
      <c r="J1278" s="126"/>
      <c r="K1278" s="126" t="s">
        <v>8135</v>
      </c>
      <c r="L1278" s="126" t="s">
        <v>8249</v>
      </c>
      <c r="M1278" s="126" t="s">
        <v>399</v>
      </c>
      <c r="Q1278" s="3">
        <f t="shared" si="39"/>
        <v>22.01</v>
      </c>
      <c r="S1278" s="55" t="s">
        <v>9013</v>
      </c>
      <c r="U1278" s="3" t="str">
        <f t="shared" si="40"/>
        <v/>
      </c>
    </row>
    <row r="1279" spans="1:21" x14ac:dyDescent="0.35">
      <c r="A1279" s="126" t="s">
        <v>0</v>
      </c>
      <c r="B1279" s="126" t="s">
        <v>788</v>
      </c>
      <c r="C1279" s="126" t="s">
        <v>2</v>
      </c>
      <c r="D1279" s="126" t="s">
        <v>3</v>
      </c>
      <c r="E1279" s="126">
        <v>22.01</v>
      </c>
      <c r="F1279" s="126" t="s">
        <v>88</v>
      </c>
      <c r="G1279" s="108">
        <v>45517</v>
      </c>
      <c r="H1279" s="126" t="s">
        <v>89</v>
      </c>
      <c r="I1279" s="126" t="s">
        <v>8323</v>
      </c>
      <c r="J1279" s="126"/>
      <c r="K1279" s="126" t="s">
        <v>8321</v>
      </c>
      <c r="L1279" s="126" t="s">
        <v>8324</v>
      </c>
      <c r="M1279" s="126" t="s">
        <v>399</v>
      </c>
      <c r="Q1279" s="3">
        <f t="shared" si="39"/>
        <v>22.01</v>
      </c>
      <c r="S1279" s="55" t="s">
        <v>9013</v>
      </c>
      <c r="U1279" s="3" t="str">
        <f t="shared" si="40"/>
        <v/>
      </c>
    </row>
    <row r="1280" spans="1:21" x14ac:dyDescent="0.35">
      <c r="A1280" s="126" t="s">
        <v>0</v>
      </c>
      <c r="B1280" s="126" t="s">
        <v>672</v>
      </c>
      <c r="C1280" s="126" t="s">
        <v>2</v>
      </c>
      <c r="D1280" s="126" t="s">
        <v>3</v>
      </c>
      <c r="E1280" s="126">
        <v>22.01</v>
      </c>
      <c r="F1280" s="126" t="s">
        <v>88</v>
      </c>
      <c r="G1280" s="108">
        <v>45517</v>
      </c>
      <c r="H1280" s="126" t="s">
        <v>89</v>
      </c>
      <c r="I1280" s="126" t="s">
        <v>8323</v>
      </c>
      <c r="J1280" s="126"/>
      <c r="K1280" s="126" t="s">
        <v>8321</v>
      </c>
      <c r="L1280" s="126" t="s">
        <v>8324</v>
      </c>
      <c r="M1280" s="126" t="s">
        <v>399</v>
      </c>
      <c r="Q1280" s="3">
        <f t="shared" si="39"/>
        <v>22.01</v>
      </c>
      <c r="S1280" s="55" t="s">
        <v>9013</v>
      </c>
      <c r="U1280" s="3" t="str">
        <f t="shared" si="40"/>
        <v/>
      </c>
    </row>
    <row r="1281" spans="1:21" x14ac:dyDescent="0.35">
      <c r="A1281" s="126" t="s">
        <v>0</v>
      </c>
      <c r="B1281" s="126" t="s">
        <v>5701</v>
      </c>
      <c r="C1281" s="126" t="s">
        <v>2</v>
      </c>
      <c r="D1281" s="126" t="s">
        <v>3</v>
      </c>
      <c r="E1281" s="126">
        <v>22.01</v>
      </c>
      <c r="F1281" s="126" t="s">
        <v>88</v>
      </c>
      <c r="G1281" s="108">
        <v>45517</v>
      </c>
      <c r="H1281" s="126" t="s">
        <v>89</v>
      </c>
      <c r="I1281" s="126" t="s">
        <v>8323</v>
      </c>
      <c r="J1281" s="126"/>
      <c r="K1281" s="126" t="s">
        <v>8321</v>
      </c>
      <c r="L1281" s="126" t="s">
        <v>8324</v>
      </c>
      <c r="M1281" s="126" t="s">
        <v>399</v>
      </c>
      <c r="N1281" s="126"/>
      <c r="O1281" s="126"/>
      <c r="Q1281" s="3">
        <f t="shared" si="39"/>
        <v>22.01</v>
      </c>
      <c r="S1281" s="55" t="s">
        <v>9013</v>
      </c>
      <c r="U1281" s="3" t="str">
        <f t="shared" si="40"/>
        <v/>
      </c>
    </row>
    <row r="1282" spans="1:21" x14ac:dyDescent="0.35">
      <c r="A1282" s="126" t="s">
        <v>0</v>
      </c>
      <c r="B1282" s="126" t="s">
        <v>788</v>
      </c>
      <c r="C1282" s="126" t="s">
        <v>2</v>
      </c>
      <c r="D1282" s="126" t="s">
        <v>3</v>
      </c>
      <c r="E1282" s="126">
        <v>22.01</v>
      </c>
      <c r="F1282" s="126" t="s">
        <v>88</v>
      </c>
      <c r="G1282" s="108">
        <v>45569</v>
      </c>
      <c r="H1282" s="126" t="s">
        <v>89</v>
      </c>
      <c r="I1282" s="126" t="s">
        <v>8524</v>
      </c>
      <c r="J1282" s="126"/>
      <c r="K1282" s="126" t="s">
        <v>8525</v>
      </c>
      <c r="L1282" s="126" t="s">
        <v>8526</v>
      </c>
      <c r="M1282" s="126" t="s">
        <v>399</v>
      </c>
      <c r="Q1282" s="3">
        <f t="shared" si="39"/>
        <v>22.01</v>
      </c>
      <c r="S1282" s="55" t="s">
        <v>9013</v>
      </c>
      <c r="U1282" s="3" t="str">
        <f t="shared" si="40"/>
        <v/>
      </c>
    </row>
    <row r="1283" spans="1:21" x14ac:dyDescent="0.35">
      <c r="A1283" s="126" t="s">
        <v>0</v>
      </c>
      <c r="B1283" s="126" t="s">
        <v>672</v>
      </c>
      <c r="C1283" s="126" t="s">
        <v>2</v>
      </c>
      <c r="D1283" s="126" t="s">
        <v>3</v>
      </c>
      <c r="E1283" s="126">
        <v>22.01</v>
      </c>
      <c r="F1283" s="126" t="s">
        <v>88</v>
      </c>
      <c r="G1283" s="108">
        <v>45569</v>
      </c>
      <c r="H1283" s="126" t="s">
        <v>89</v>
      </c>
      <c r="I1283" s="126" t="s">
        <v>8524</v>
      </c>
      <c r="J1283" s="126"/>
      <c r="K1283" s="126" t="s">
        <v>8525</v>
      </c>
      <c r="L1283" s="126" t="s">
        <v>8526</v>
      </c>
      <c r="M1283" s="126" t="s">
        <v>399</v>
      </c>
      <c r="Q1283" s="3">
        <f t="shared" si="39"/>
        <v>22.01</v>
      </c>
      <c r="S1283" s="55" t="s">
        <v>9013</v>
      </c>
      <c r="U1283" s="3" t="str">
        <f t="shared" si="40"/>
        <v/>
      </c>
    </row>
    <row r="1284" spans="1:21" x14ac:dyDescent="0.35">
      <c r="A1284" s="126" t="s">
        <v>0</v>
      </c>
      <c r="B1284" s="126" t="s">
        <v>5701</v>
      </c>
      <c r="C1284" s="126" t="s">
        <v>2</v>
      </c>
      <c r="D1284" s="126" t="s">
        <v>3</v>
      </c>
      <c r="E1284" s="126">
        <v>22.01</v>
      </c>
      <c r="F1284" s="126" t="s">
        <v>88</v>
      </c>
      <c r="G1284" s="108">
        <v>45569</v>
      </c>
      <c r="H1284" s="126" t="s">
        <v>89</v>
      </c>
      <c r="I1284" s="126" t="s">
        <v>8524</v>
      </c>
      <c r="J1284" s="126"/>
      <c r="K1284" s="126" t="s">
        <v>8525</v>
      </c>
      <c r="L1284" s="126" t="s">
        <v>8526</v>
      </c>
      <c r="M1284" s="126" t="s">
        <v>399</v>
      </c>
      <c r="N1284" s="126"/>
      <c r="O1284" s="126"/>
      <c r="Q1284" s="3">
        <f t="shared" si="39"/>
        <v>22.01</v>
      </c>
      <c r="S1284" s="55" t="s">
        <v>9013</v>
      </c>
      <c r="U1284" s="3" t="str">
        <f t="shared" si="40"/>
        <v/>
      </c>
    </row>
    <row r="1285" spans="1:21" x14ac:dyDescent="0.35">
      <c r="A1285" s="126" t="s">
        <v>0</v>
      </c>
      <c r="B1285" s="126" t="s">
        <v>788</v>
      </c>
      <c r="C1285" s="126" t="s">
        <v>2</v>
      </c>
      <c r="D1285" s="126" t="s">
        <v>3</v>
      </c>
      <c r="E1285" s="126">
        <v>22.01</v>
      </c>
      <c r="F1285" s="126" t="s">
        <v>88</v>
      </c>
      <c r="G1285" s="108">
        <v>45611</v>
      </c>
      <c r="H1285" s="126" t="s">
        <v>89</v>
      </c>
      <c r="I1285" s="126" t="s">
        <v>8737</v>
      </c>
      <c r="J1285" s="126"/>
      <c r="K1285" s="126" t="s">
        <v>8522</v>
      </c>
      <c r="L1285" s="126" t="s">
        <v>8738</v>
      </c>
      <c r="M1285" s="126" t="s">
        <v>399</v>
      </c>
      <c r="Q1285" s="3">
        <f t="shared" si="39"/>
        <v>22.01</v>
      </c>
      <c r="S1285" s="55" t="s">
        <v>9013</v>
      </c>
      <c r="U1285" s="3" t="str">
        <f t="shared" si="40"/>
        <v/>
      </c>
    </row>
    <row r="1286" spans="1:21" x14ac:dyDescent="0.35">
      <c r="A1286" s="126" t="s">
        <v>0</v>
      </c>
      <c r="B1286" s="126" t="s">
        <v>5701</v>
      </c>
      <c r="C1286" s="126" t="s">
        <v>2</v>
      </c>
      <c r="D1286" s="126" t="s">
        <v>3</v>
      </c>
      <c r="E1286" s="126">
        <v>22.01</v>
      </c>
      <c r="F1286" s="126" t="s">
        <v>88</v>
      </c>
      <c r="G1286" s="108">
        <v>45611</v>
      </c>
      <c r="H1286" s="126" t="s">
        <v>89</v>
      </c>
      <c r="I1286" s="126" t="s">
        <v>8737</v>
      </c>
      <c r="J1286" s="126"/>
      <c r="K1286" s="126" t="s">
        <v>8522</v>
      </c>
      <c r="L1286" s="126" t="s">
        <v>8738</v>
      </c>
      <c r="M1286" s="126" t="s">
        <v>399</v>
      </c>
      <c r="N1286" s="126"/>
      <c r="O1286" s="126"/>
      <c r="Q1286" s="3">
        <f t="shared" si="39"/>
        <v>22.01</v>
      </c>
      <c r="S1286" s="55" t="s">
        <v>9013</v>
      </c>
      <c r="U1286" s="3" t="str">
        <f t="shared" si="40"/>
        <v/>
      </c>
    </row>
    <row r="1287" spans="1:21" x14ac:dyDescent="0.35">
      <c r="A1287" s="126" t="s">
        <v>0</v>
      </c>
      <c r="B1287" s="126" t="s">
        <v>2629</v>
      </c>
      <c r="C1287" s="126" t="s">
        <v>2</v>
      </c>
      <c r="D1287" s="126" t="s">
        <v>3</v>
      </c>
      <c r="E1287" s="126">
        <v>22</v>
      </c>
      <c r="F1287" s="126" t="s">
        <v>88</v>
      </c>
      <c r="G1287" s="108">
        <v>45432</v>
      </c>
      <c r="H1287" s="126" t="s">
        <v>89</v>
      </c>
      <c r="I1287" s="126" t="s">
        <v>7842</v>
      </c>
      <c r="J1287" s="126"/>
      <c r="K1287" s="126" t="s">
        <v>7840</v>
      </c>
      <c r="L1287" s="126" t="s">
        <v>7843</v>
      </c>
      <c r="M1287" s="126" t="s">
        <v>399</v>
      </c>
      <c r="Q1287" s="3">
        <f t="shared" si="39"/>
        <v>22</v>
      </c>
      <c r="S1287" s="55" t="s">
        <v>9013</v>
      </c>
      <c r="U1287" s="3" t="str">
        <f t="shared" si="40"/>
        <v/>
      </c>
    </row>
    <row r="1288" spans="1:21" x14ac:dyDescent="0.35">
      <c r="A1288" s="126" t="s">
        <v>0</v>
      </c>
      <c r="B1288" s="126" t="s">
        <v>819</v>
      </c>
      <c r="C1288" s="126" t="s">
        <v>2</v>
      </c>
      <c r="D1288" s="126" t="s">
        <v>3</v>
      </c>
      <c r="E1288" s="126">
        <v>22</v>
      </c>
      <c r="F1288" s="126" t="s">
        <v>88</v>
      </c>
      <c r="G1288" s="108">
        <v>45432</v>
      </c>
      <c r="H1288" s="126" t="s">
        <v>89</v>
      </c>
      <c r="I1288" s="126" t="s">
        <v>7842</v>
      </c>
      <c r="J1288" s="126"/>
      <c r="K1288" s="126" t="s">
        <v>7840</v>
      </c>
      <c r="L1288" s="126" t="s">
        <v>7843</v>
      </c>
      <c r="M1288" s="126" t="s">
        <v>399</v>
      </c>
      <c r="Q1288" s="3">
        <f t="shared" ref="Q1288:Q1351" si="41">ABS(E1288)</f>
        <v>22</v>
      </c>
      <c r="S1288" s="55" t="s">
        <v>9013</v>
      </c>
      <c r="U1288" s="3" t="str">
        <f t="shared" ref="U1288:U1351" si="42">IF(T1288="Y",E1288,"")</f>
        <v/>
      </c>
    </row>
    <row r="1289" spans="1:21" x14ac:dyDescent="0.35">
      <c r="A1289" s="126" t="s">
        <v>0</v>
      </c>
      <c r="B1289" s="126" t="s">
        <v>2629</v>
      </c>
      <c r="C1289" s="126" t="s">
        <v>2</v>
      </c>
      <c r="D1289" s="126" t="s">
        <v>3</v>
      </c>
      <c r="E1289" s="126">
        <v>22</v>
      </c>
      <c r="F1289" s="126" t="s">
        <v>88</v>
      </c>
      <c r="G1289" s="108">
        <v>45505</v>
      </c>
      <c r="H1289" s="126" t="s">
        <v>89</v>
      </c>
      <c r="I1289" s="126" t="s">
        <v>8248</v>
      </c>
      <c r="J1289" s="126"/>
      <c r="K1289" s="126" t="s">
        <v>8135</v>
      </c>
      <c r="L1289" s="126" t="s">
        <v>8249</v>
      </c>
      <c r="M1289" s="126" t="s">
        <v>399</v>
      </c>
      <c r="Q1289" s="3">
        <f t="shared" si="41"/>
        <v>22</v>
      </c>
      <c r="S1289" s="55" t="s">
        <v>9013</v>
      </c>
      <c r="U1289" s="3" t="str">
        <f t="shared" si="42"/>
        <v/>
      </c>
    </row>
    <row r="1290" spans="1:21" x14ac:dyDescent="0.35">
      <c r="A1290" s="126" t="s">
        <v>0</v>
      </c>
      <c r="B1290" s="126" t="s">
        <v>2629</v>
      </c>
      <c r="C1290" s="126" t="s">
        <v>2</v>
      </c>
      <c r="D1290" s="126" t="s">
        <v>3</v>
      </c>
      <c r="E1290" s="126">
        <v>22</v>
      </c>
      <c r="F1290" s="126" t="s">
        <v>88</v>
      </c>
      <c r="G1290" s="108">
        <v>45517</v>
      </c>
      <c r="H1290" s="126" t="s">
        <v>89</v>
      </c>
      <c r="I1290" s="126" t="s">
        <v>8323</v>
      </c>
      <c r="J1290" s="126"/>
      <c r="K1290" s="126" t="s">
        <v>8321</v>
      </c>
      <c r="L1290" s="126" t="s">
        <v>8324</v>
      </c>
      <c r="M1290" s="126" t="s">
        <v>399</v>
      </c>
      <c r="Q1290" s="3">
        <f t="shared" si="41"/>
        <v>22</v>
      </c>
      <c r="S1290" s="55" t="s">
        <v>9013</v>
      </c>
      <c r="U1290" s="3" t="str">
        <f t="shared" si="42"/>
        <v/>
      </c>
    </row>
    <row r="1291" spans="1:21" x14ac:dyDescent="0.35">
      <c r="A1291" s="126" t="s">
        <v>0</v>
      </c>
      <c r="B1291" s="126" t="s">
        <v>2629</v>
      </c>
      <c r="C1291" s="126" t="s">
        <v>2</v>
      </c>
      <c r="D1291" s="126" t="s">
        <v>3</v>
      </c>
      <c r="E1291" s="126">
        <v>22</v>
      </c>
      <c r="F1291" s="126" t="s">
        <v>88</v>
      </c>
      <c r="G1291" s="108">
        <v>45569</v>
      </c>
      <c r="H1291" s="126" t="s">
        <v>89</v>
      </c>
      <c r="I1291" s="126" t="s">
        <v>8524</v>
      </c>
      <c r="J1291" s="126"/>
      <c r="K1291" s="126" t="s">
        <v>8525</v>
      </c>
      <c r="L1291" s="126" t="s">
        <v>8526</v>
      </c>
      <c r="M1291" s="126" t="s">
        <v>399</v>
      </c>
      <c r="Q1291" s="3">
        <f t="shared" si="41"/>
        <v>22</v>
      </c>
      <c r="S1291" s="55" t="s">
        <v>9013</v>
      </c>
      <c r="U1291" s="3" t="str">
        <f t="shared" si="42"/>
        <v/>
      </c>
    </row>
    <row r="1292" spans="1:21" x14ac:dyDescent="0.35">
      <c r="A1292" s="126" t="s">
        <v>0</v>
      </c>
      <c r="B1292" s="126" t="s">
        <v>819</v>
      </c>
      <c r="C1292" s="126" t="s">
        <v>2</v>
      </c>
      <c r="D1292" s="126" t="s">
        <v>3</v>
      </c>
      <c r="E1292" s="126">
        <v>22</v>
      </c>
      <c r="F1292" s="126" t="s">
        <v>88</v>
      </c>
      <c r="G1292" s="108">
        <v>45569</v>
      </c>
      <c r="H1292" s="126" t="s">
        <v>89</v>
      </c>
      <c r="I1292" s="126" t="s">
        <v>8524</v>
      </c>
      <c r="J1292" s="126"/>
      <c r="K1292" s="126" t="s">
        <v>8525</v>
      </c>
      <c r="L1292" s="126" t="s">
        <v>8526</v>
      </c>
      <c r="M1292" s="126" t="s">
        <v>399</v>
      </c>
      <c r="N1292" s="126"/>
      <c r="O1292" s="126"/>
      <c r="Q1292" s="3">
        <f t="shared" si="41"/>
        <v>22</v>
      </c>
      <c r="S1292" s="55" t="s">
        <v>9013</v>
      </c>
      <c r="U1292" s="3" t="str">
        <f t="shared" si="42"/>
        <v/>
      </c>
    </row>
    <row r="1293" spans="1:21" x14ac:dyDescent="0.35">
      <c r="A1293" s="126" t="s">
        <v>0</v>
      </c>
      <c r="B1293" s="126" t="s">
        <v>2629</v>
      </c>
      <c r="C1293" s="126" t="s">
        <v>2</v>
      </c>
      <c r="D1293" s="126" t="s">
        <v>3</v>
      </c>
      <c r="E1293" s="126">
        <v>22</v>
      </c>
      <c r="F1293" s="126" t="s">
        <v>88</v>
      </c>
      <c r="G1293" s="108">
        <v>45611</v>
      </c>
      <c r="H1293" s="126" t="s">
        <v>89</v>
      </c>
      <c r="I1293" s="126" t="s">
        <v>8737</v>
      </c>
      <c r="J1293" s="126"/>
      <c r="K1293" s="126" t="s">
        <v>8522</v>
      </c>
      <c r="L1293" s="126" t="s">
        <v>8738</v>
      </c>
      <c r="M1293" s="126" t="s">
        <v>399</v>
      </c>
      <c r="Q1293" s="3">
        <f t="shared" si="41"/>
        <v>22</v>
      </c>
      <c r="S1293" s="55" t="s">
        <v>9013</v>
      </c>
      <c r="U1293" s="3" t="str">
        <f t="shared" si="42"/>
        <v/>
      </c>
    </row>
    <row r="1294" spans="1:21" x14ac:dyDescent="0.35">
      <c r="A1294" s="126" t="s">
        <v>0</v>
      </c>
      <c r="B1294" s="126" t="s">
        <v>819</v>
      </c>
      <c r="C1294" s="126" t="s">
        <v>2</v>
      </c>
      <c r="D1294" s="126" t="s">
        <v>3</v>
      </c>
      <c r="E1294" s="126">
        <v>22</v>
      </c>
      <c r="F1294" s="126" t="s">
        <v>88</v>
      </c>
      <c r="G1294" s="108">
        <v>45611</v>
      </c>
      <c r="H1294" s="126" t="s">
        <v>89</v>
      </c>
      <c r="I1294" s="126" t="s">
        <v>8737</v>
      </c>
      <c r="J1294" s="126"/>
      <c r="K1294" s="126" t="s">
        <v>8522</v>
      </c>
      <c r="L1294" s="126" t="s">
        <v>8738</v>
      </c>
      <c r="M1294" s="126" t="s">
        <v>399</v>
      </c>
      <c r="Q1294" s="3">
        <f t="shared" si="41"/>
        <v>22</v>
      </c>
      <c r="S1294" s="55" t="s">
        <v>9013</v>
      </c>
      <c r="U1294" s="3" t="str">
        <f t="shared" si="42"/>
        <v/>
      </c>
    </row>
    <row r="1295" spans="1:21" x14ac:dyDescent="0.35">
      <c r="A1295" s="126" t="s">
        <v>0</v>
      </c>
      <c r="B1295" s="126" t="s">
        <v>1416</v>
      </c>
      <c r="C1295" s="126" t="s">
        <v>2</v>
      </c>
      <c r="D1295" s="126" t="s">
        <v>3</v>
      </c>
      <c r="E1295" s="126">
        <v>21.99</v>
      </c>
      <c r="F1295" s="126" t="s">
        <v>88</v>
      </c>
      <c r="G1295" s="108">
        <v>45432</v>
      </c>
      <c r="H1295" s="126" t="s">
        <v>89</v>
      </c>
      <c r="I1295" s="126" t="s">
        <v>7842</v>
      </c>
      <c r="J1295" s="126"/>
      <c r="K1295" s="126" t="s">
        <v>7840</v>
      </c>
      <c r="L1295" s="126" t="s">
        <v>7843</v>
      </c>
      <c r="M1295" s="126" t="s">
        <v>399</v>
      </c>
      <c r="Q1295" s="3">
        <f t="shared" si="41"/>
        <v>21.99</v>
      </c>
      <c r="S1295" s="55" t="s">
        <v>9013</v>
      </c>
      <c r="U1295" s="3" t="str">
        <f t="shared" si="42"/>
        <v/>
      </c>
    </row>
    <row r="1296" spans="1:21" x14ac:dyDescent="0.35">
      <c r="A1296" s="126" t="s">
        <v>0</v>
      </c>
      <c r="B1296" s="126" t="s">
        <v>1416</v>
      </c>
      <c r="C1296" s="126" t="s">
        <v>2</v>
      </c>
      <c r="D1296" s="126" t="s">
        <v>3</v>
      </c>
      <c r="E1296" s="126">
        <v>21.99</v>
      </c>
      <c r="F1296" s="126" t="s">
        <v>88</v>
      </c>
      <c r="G1296" s="108">
        <v>45505</v>
      </c>
      <c r="H1296" s="126" t="s">
        <v>89</v>
      </c>
      <c r="I1296" s="126" t="s">
        <v>8248</v>
      </c>
      <c r="J1296" s="126"/>
      <c r="K1296" s="126" t="s">
        <v>8135</v>
      </c>
      <c r="L1296" s="126" t="s">
        <v>8249</v>
      </c>
      <c r="M1296" s="126" t="s">
        <v>399</v>
      </c>
      <c r="Q1296" s="3">
        <f t="shared" si="41"/>
        <v>21.99</v>
      </c>
      <c r="S1296" s="55" t="s">
        <v>9013</v>
      </c>
      <c r="U1296" s="3" t="str">
        <f t="shared" si="42"/>
        <v/>
      </c>
    </row>
    <row r="1297" spans="1:21" x14ac:dyDescent="0.35">
      <c r="A1297" s="126" t="s">
        <v>0</v>
      </c>
      <c r="B1297" s="126" t="s">
        <v>1416</v>
      </c>
      <c r="C1297" s="126" t="s">
        <v>2</v>
      </c>
      <c r="D1297" s="126" t="s">
        <v>3</v>
      </c>
      <c r="E1297" s="126">
        <v>21.99</v>
      </c>
      <c r="F1297" s="126" t="s">
        <v>88</v>
      </c>
      <c r="G1297" s="108">
        <v>45517</v>
      </c>
      <c r="H1297" s="126" t="s">
        <v>89</v>
      </c>
      <c r="I1297" s="126" t="s">
        <v>8323</v>
      </c>
      <c r="J1297" s="126"/>
      <c r="K1297" s="126" t="s">
        <v>8321</v>
      </c>
      <c r="L1297" s="126" t="s">
        <v>8324</v>
      </c>
      <c r="M1297" s="126" t="s">
        <v>399</v>
      </c>
      <c r="Q1297" s="3">
        <f t="shared" si="41"/>
        <v>21.99</v>
      </c>
      <c r="S1297" s="55" t="s">
        <v>9013</v>
      </c>
      <c r="U1297" s="3" t="str">
        <f t="shared" si="42"/>
        <v/>
      </c>
    </row>
    <row r="1298" spans="1:21" x14ac:dyDescent="0.35">
      <c r="A1298" s="126" t="s">
        <v>0</v>
      </c>
      <c r="B1298" s="126" t="s">
        <v>861</v>
      </c>
      <c r="C1298" s="126" t="s">
        <v>2</v>
      </c>
      <c r="D1298" s="126" t="s">
        <v>3</v>
      </c>
      <c r="E1298" s="126">
        <v>21.97</v>
      </c>
      <c r="F1298" s="126" t="s">
        <v>88</v>
      </c>
      <c r="G1298" s="108">
        <v>45432</v>
      </c>
      <c r="H1298" s="126" t="s">
        <v>89</v>
      </c>
      <c r="I1298" s="126" t="s">
        <v>7842</v>
      </c>
      <c r="J1298" s="126"/>
      <c r="K1298" s="126" t="s">
        <v>7840</v>
      </c>
      <c r="L1298" s="126" t="s">
        <v>7843</v>
      </c>
      <c r="M1298" s="126" t="s">
        <v>399</v>
      </c>
      <c r="Q1298" s="3">
        <f t="shared" si="41"/>
        <v>21.97</v>
      </c>
      <c r="S1298" s="55" t="s">
        <v>9013</v>
      </c>
      <c r="U1298" s="3" t="str">
        <f t="shared" si="42"/>
        <v/>
      </c>
    </row>
    <row r="1299" spans="1:21" x14ac:dyDescent="0.35">
      <c r="A1299" s="126" t="s">
        <v>0</v>
      </c>
      <c r="B1299" s="126" t="s">
        <v>2728</v>
      </c>
      <c r="C1299" s="126" t="s">
        <v>2</v>
      </c>
      <c r="D1299" s="126" t="s">
        <v>3</v>
      </c>
      <c r="E1299" s="126">
        <v>21.97</v>
      </c>
      <c r="F1299" s="126" t="s">
        <v>88</v>
      </c>
      <c r="G1299" s="108">
        <v>45432</v>
      </c>
      <c r="H1299" s="126" t="s">
        <v>89</v>
      </c>
      <c r="I1299" s="126" t="s">
        <v>7842</v>
      </c>
      <c r="J1299" s="126"/>
      <c r="K1299" s="126" t="s">
        <v>7840</v>
      </c>
      <c r="L1299" s="126" t="s">
        <v>7843</v>
      </c>
      <c r="M1299" s="126" t="s">
        <v>399</v>
      </c>
      <c r="Q1299" s="3">
        <f t="shared" si="41"/>
        <v>21.97</v>
      </c>
      <c r="S1299" s="55" t="s">
        <v>9013</v>
      </c>
      <c r="U1299" s="3" t="str">
        <f t="shared" si="42"/>
        <v/>
      </c>
    </row>
    <row r="1300" spans="1:21" x14ac:dyDescent="0.35">
      <c r="A1300" s="126" t="s">
        <v>0</v>
      </c>
      <c r="B1300" s="126" t="s">
        <v>861</v>
      </c>
      <c r="C1300" s="126" t="s">
        <v>2</v>
      </c>
      <c r="D1300" s="126" t="s">
        <v>3</v>
      </c>
      <c r="E1300" s="126">
        <v>21.97</v>
      </c>
      <c r="F1300" s="126" t="s">
        <v>88</v>
      </c>
      <c r="G1300" s="108">
        <v>45505</v>
      </c>
      <c r="H1300" s="126" t="s">
        <v>89</v>
      </c>
      <c r="I1300" s="126" t="s">
        <v>8248</v>
      </c>
      <c r="J1300" s="126"/>
      <c r="K1300" s="126" t="s">
        <v>8135</v>
      </c>
      <c r="L1300" s="126" t="s">
        <v>8249</v>
      </c>
      <c r="M1300" s="126" t="s">
        <v>399</v>
      </c>
      <c r="Q1300" s="3">
        <f t="shared" si="41"/>
        <v>21.97</v>
      </c>
      <c r="S1300" s="55" t="s">
        <v>9013</v>
      </c>
      <c r="U1300" s="3" t="str">
        <f t="shared" si="42"/>
        <v/>
      </c>
    </row>
    <row r="1301" spans="1:21" x14ac:dyDescent="0.35">
      <c r="A1301" s="126" t="s">
        <v>0</v>
      </c>
      <c r="B1301" s="126" t="s">
        <v>2728</v>
      </c>
      <c r="C1301" s="126" t="s">
        <v>2</v>
      </c>
      <c r="D1301" s="126" t="s">
        <v>3</v>
      </c>
      <c r="E1301" s="126">
        <v>21.97</v>
      </c>
      <c r="F1301" s="126" t="s">
        <v>88</v>
      </c>
      <c r="G1301" s="108">
        <v>45505</v>
      </c>
      <c r="H1301" s="126" t="s">
        <v>89</v>
      </c>
      <c r="I1301" s="126" t="s">
        <v>8248</v>
      </c>
      <c r="J1301" s="126"/>
      <c r="K1301" s="126" t="s">
        <v>8135</v>
      </c>
      <c r="L1301" s="126" t="s">
        <v>8249</v>
      </c>
      <c r="M1301" s="126" t="s">
        <v>399</v>
      </c>
      <c r="Q1301" s="3">
        <f t="shared" si="41"/>
        <v>21.97</v>
      </c>
      <c r="S1301" s="55" t="s">
        <v>9013</v>
      </c>
      <c r="U1301" s="3" t="str">
        <f t="shared" si="42"/>
        <v/>
      </c>
    </row>
    <row r="1302" spans="1:21" x14ac:dyDescent="0.35">
      <c r="A1302" s="126" t="s">
        <v>0</v>
      </c>
      <c r="B1302" s="126" t="s">
        <v>1487</v>
      </c>
      <c r="C1302" s="126" t="s">
        <v>2</v>
      </c>
      <c r="D1302" s="126" t="s">
        <v>3</v>
      </c>
      <c r="E1302" s="126">
        <v>21.97</v>
      </c>
      <c r="F1302" s="126" t="s">
        <v>88</v>
      </c>
      <c r="G1302" s="108">
        <v>45505</v>
      </c>
      <c r="H1302" s="126" t="s">
        <v>89</v>
      </c>
      <c r="I1302" s="126" t="s">
        <v>8248</v>
      </c>
      <c r="J1302" s="126"/>
      <c r="K1302" s="126" t="s">
        <v>8135</v>
      </c>
      <c r="L1302" s="126" t="s">
        <v>8249</v>
      </c>
      <c r="M1302" s="126" t="s">
        <v>399</v>
      </c>
      <c r="Q1302" s="3">
        <f t="shared" si="41"/>
        <v>21.97</v>
      </c>
      <c r="S1302" s="55" t="s">
        <v>9013</v>
      </c>
      <c r="U1302" s="3" t="str">
        <f t="shared" si="42"/>
        <v/>
      </c>
    </row>
    <row r="1303" spans="1:21" x14ac:dyDescent="0.35">
      <c r="A1303" s="126" t="s">
        <v>0</v>
      </c>
      <c r="B1303" s="126" t="s">
        <v>861</v>
      </c>
      <c r="C1303" s="126" t="s">
        <v>2</v>
      </c>
      <c r="D1303" s="126" t="s">
        <v>3</v>
      </c>
      <c r="E1303" s="126">
        <v>21.97</v>
      </c>
      <c r="F1303" s="126" t="s">
        <v>88</v>
      </c>
      <c r="G1303" s="108">
        <v>45517</v>
      </c>
      <c r="H1303" s="126" t="s">
        <v>89</v>
      </c>
      <c r="I1303" s="126" t="s">
        <v>8323</v>
      </c>
      <c r="J1303" s="126"/>
      <c r="K1303" s="126" t="s">
        <v>8321</v>
      </c>
      <c r="L1303" s="126" t="s">
        <v>8324</v>
      </c>
      <c r="M1303" s="126" t="s">
        <v>399</v>
      </c>
      <c r="Q1303" s="3">
        <f t="shared" si="41"/>
        <v>21.97</v>
      </c>
      <c r="S1303" s="55" t="s">
        <v>9013</v>
      </c>
      <c r="U1303" s="3" t="str">
        <f t="shared" si="42"/>
        <v/>
      </c>
    </row>
    <row r="1304" spans="1:21" x14ac:dyDescent="0.35">
      <c r="A1304" s="126" t="s">
        <v>0</v>
      </c>
      <c r="B1304" s="126" t="s">
        <v>2728</v>
      </c>
      <c r="C1304" s="126" t="s">
        <v>2</v>
      </c>
      <c r="D1304" s="126" t="s">
        <v>3</v>
      </c>
      <c r="E1304" s="126">
        <v>21.97</v>
      </c>
      <c r="F1304" s="126" t="s">
        <v>88</v>
      </c>
      <c r="G1304" s="108">
        <v>45517</v>
      </c>
      <c r="H1304" s="126" t="s">
        <v>89</v>
      </c>
      <c r="I1304" s="126" t="s">
        <v>8323</v>
      </c>
      <c r="J1304" s="126"/>
      <c r="K1304" s="126" t="s">
        <v>8321</v>
      </c>
      <c r="L1304" s="126" t="s">
        <v>8324</v>
      </c>
      <c r="M1304" s="126" t="s">
        <v>399</v>
      </c>
      <c r="Q1304" s="3">
        <f t="shared" si="41"/>
        <v>21.97</v>
      </c>
      <c r="S1304" s="55" t="s">
        <v>9013</v>
      </c>
      <c r="U1304" s="3" t="str">
        <f t="shared" si="42"/>
        <v/>
      </c>
    </row>
    <row r="1305" spans="1:21" x14ac:dyDescent="0.35">
      <c r="A1305" s="126" t="s">
        <v>0</v>
      </c>
      <c r="B1305" s="126" t="s">
        <v>1487</v>
      </c>
      <c r="C1305" s="126" t="s">
        <v>2</v>
      </c>
      <c r="D1305" s="126" t="s">
        <v>3</v>
      </c>
      <c r="E1305" s="126">
        <v>21.97</v>
      </c>
      <c r="F1305" s="126" t="s">
        <v>88</v>
      </c>
      <c r="G1305" s="108">
        <v>45517</v>
      </c>
      <c r="H1305" s="126" t="s">
        <v>89</v>
      </c>
      <c r="I1305" s="126" t="s">
        <v>8323</v>
      </c>
      <c r="J1305" s="126"/>
      <c r="K1305" s="126" t="s">
        <v>8321</v>
      </c>
      <c r="L1305" s="126" t="s">
        <v>8324</v>
      </c>
      <c r="M1305" s="126" t="s">
        <v>399</v>
      </c>
      <c r="N1305" s="126"/>
      <c r="O1305" s="126"/>
      <c r="Q1305" s="3">
        <f t="shared" si="41"/>
        <v>21.97</v>
      </c>
      <c r="S1305" s="55" t="s">
        <v>9013</v>
      </c>
      <c r="U1305" s="3" t="str">
        <f t="shared" si="42"/>
        <v/>
      </c>
    </row>
    <row r="1306" spans="1:21" x14ac:dyDescent="0.35">
      <c r="A1306" s="126" t="s">
        <v>0</v>
      </c>
      <c r="B1306" s="126" t="s">
        <v>861</v>
      </c>
      <c r="C1306" s="126" t="s">
        <v>2</v>
      </c>
      <c r="D1306" s="126" t="s">
        <v>3</v>
      </c>
      <c r="E1306" s="126">
        <v>21.97</v>
      </c>
      <c r="F1306" s="126" t="s">
        <v>88</v>
      </c>
      <c r="G1306" s="108">
        <v>45569</v>
      </c>
      <c r="H1306" s="126" t="s">
        <v>89</v>
      </c>
      <c r="I1306" s="126" t="s">
        <v>8524</v>
      </c>
      <c r="J1306" s="126"/>
      <c r="K1306" s="126" t="s">
        <v>8525</v>
      </c>
      <c r="L1306" s="126" t="s">
        <v>8526</v>
      </c>
      <c r="M1306" s="126" t="s">
        <v>399</v>
      </c>
      <c r="Q1306" s="3">
        <f t="shared" si="41"/>
        <v>21.97</v>
      </c>
      <c r="S1306" s="55" t="s">
        <v>9013</v>
      </c>
      <c r="U1306" s="3" t="str">
        <f t="shared" si="42"/>
        <v/>
      </c>
    </row>
    <row r="1307" spans="1:21" x14ac:dyDescent="0.35">
      <c r="A1307" s="126" t="s">
        <v>0</v>
      </c>
      <c r="B1307" s="126" t="s">
        <v>861</v>
      </c>
      <c r="C1307" s="126" t="s">
        <v>2</v>
      </c>
      <c r="D1307" s="126" t="s">
        <v>3</v>
      </c>
      <c r="E1307" s="126">
        <v>21.97</v>
      </c>
      <c r="F1307" s="126" t="s">
        <v>88</v>
      </c>
      <c r="G1307" s="108">
        <v>45611</v>
      </c>
      <c r="H1307" s="126" t="s">
        <v>89</v>
      </c>
      <c r="I1307" s="126" t="s">
        <v>8737</v>
      </c>
      <c r="J1307" s="126"/>
      <c r="K1307" s="126" t="s">
        <v>8522</v>
      </c>
      <c r="L1307" s="126" t="s">
        <v>8738</v>
      </c>
      <c r="M1307" s="126" t="s">
        <v>399</v>
      </c>
      <c r="Q1307" s="3">
        <f t="shared" si="41"/>
        <v>21.97</v>
      </c>
      <c r="S1307" s="55" t="s">
        <v>9013</v>
      </c>
      <c r="U1307" s="3" t="str">
        <f t="shared" si="42"/>
        <v/>
      </c>
    </row>
    <row r="1308" spans="1:21" x14ac:dyDescent="0.35">
      <c r="A1308" s="126" t="s">
        <v>0</v>
      </c>
      <c r="B1308" s="126" t="s">
        <v>1487</v>
      </c>
      <c r="C1308" s="126" t="s">
        <v>2</v>
      </c>
      <c r="D1308" s="126" t="s">
        <v>3</v>
      </c>
      <c r="E1308" s="126">
        <v>21.97</v>
      </c>
      <c r="F1308" s="126" t="s">
        <v>88</v>
      </c>
      <c r="G1308" s="108">
        <v>45611</v>
      </c>
      <c r="H1308" s="126" t="s">
        <v>89</v>
      </c>
      <c r="I1308" s="126" t="s">
        <v>8737</v>
      </c>
      <c r="J1308" s="126"/>
      <c r="K1308" s="126" t="s">
        <v>8522</v>
      </c>
      <c r="L1308" s="126" t="s">
        <v>8738</v>
      </c>
      <c r="M1308" s="126" t="s">
        <v>399</v>
      </c>
      <c r="N1308" s="126"/>
      <c r="O1308" s="126"/>
      <c r="Q1308" s="3">
        <f t="shared" si="41"/>
        <v>21.97</v>
      </c>
      <c r="S1308" s="55" t="s">
        <v>9013</v>
      </c>
      <c r="U1308" s="3" t="str">
        <f t="shared" si="42"/>
        <v/>
      </c>
    </row>
    <row r="1309" spans="1:21" x14ac:dyDescent="0.35">
      <c r="A1309" s="126" t="s">
        <v>0</v>
      </c>
      <c r="B1309" s="126" t="s">
        <v>909</v>
      </c>
      <c r="C1309" s="126" t="s">
        <v>2</v>
      </c>
      <c r="D1309" s="126" t="s">
        <v>3</v>
      </c>
      <c r="E1309" s="126">
        <v>21.95</v>
      </c>
      <c r="F1309" s="126" t="s">
        <v>88</v>
      </c>
      <c r="G1309" s="108">
        <v>45432</v>
      </c>
      <c r="H1309" s="126" t="s">
        <v>89</v>
      </c>
      <c r="I1309" s="126" t="s">
        <v>7842</v>
      </c>
      <c r="J1309" s="126"/>
      <c r="K1309" s="126" t="s">
        <v>7840</v>
      </c>
      <c r="L1309" s="126" t="s">
        <v>7843</v>
      </c>
      <c r="M1309" s="126" t="s">
        <v>399</v>
      </c>
      <c r="Q1309" s="3">
        <f t="shared" si="41"/>
        <v>21.95</v>
      </c>
      <c r="S1309" s="55" t="s">
        <v>9013</v>
      </c>
      <c r="U1309" s="3" t="str">
        <f t="shared" si="42"/>
        <v/>
      </c>
    </row>
    <row r="1310" spans="1:21" x14ac:dyDescent="0.35">
      <c r="A1310" s="126" t="s">
        <v>0</v>
      </c>
      <c r="B1310" s="126" t="s">
        <v>5426</v>
      </c>
      <c r="C1310" s="126" t="s">
        <v>2</v>
      </c>
      <c r="D1310" s="126" t="s">
        <v>3</v>
      </c>
      <c r="E1310" s="126">
        <v>21.95</v>
      </c>
      <c r="F1310" s="126" t="s">
        <v>88</v>
      </c>
      <c r="G1310" s="108">
        <v>45517</v>
      </c>
      <c r="H1310" s="126" t="s">
        <v>89</v>
      </c>
      <c r="I1310" s="126" t="s">
        <v>8323</v>
      </c>
      <c r="J1310" s="126"/>
      <c r="K1310" s="126" t="s">
        <v>8321</v>
      </c>
      <c r="L1310" s="126" t="s">
        <v>8324</v>
      </c>
      <c r="M1310" s="126" t="s">
        <v>399</v>
      </c>
      <c r="Q1310" s="3">
        <f t="shared" si="41"/>
        <v>21.95</v>
      </c>
      <c r="S1310" s="55" t="s">
        <v>9013</v>
      </c>
      <c r="U1310" s="3" t="str">
        <f t="shared" si="42"/>
        <v/>
      </c>
    </row>
    <row r="1311" spans="1:21" x14ac:dyDescent="0.35">
      <c r="A1311" s="126" t="s">
        <v>0</v>
      </c>
      <c r="B1311" s="126" t="s">
        <v>909</v>
      </c>
      <c r="C1311" s="126" t="s">
        <v>2</v>
      </c>
      <c r="D1311" s="126" t="s">
        <v>3</v>
      </c>
      <c r="E1311" s="126">
        <v>21.95</v>
      </c>
      <c r="F1311" s="126" t="s">
        <v>88</v>
      </c>
      <c r="G1311" s="108">
        <v>45517</v>
      </c>
      <c r="H1311" s="126" t="s">
        <v>89</v>
      </c>
      <c r="I1311" s="126" t="s">
        <v>8323</v>
      </c>
      <c r="J1311" s="126"/>
      <c r="K1311" s="126" t="s">
        <v>8321</v>
      </c>
      <c r="L1311" s="126" t="s">
        <v>8324</v>
      </c>
      <c r="M1311" s="126" t="s">
        <v>399</v>
      </c>
      <c r="N1311" s="126"/>
      <c r="O1311" s="126"/>
      <c r="Q1311" s="3">
        <f t="shared" si="41"/>
        <v>21.95</v>
      </c>
      <c r="S1311" s="55" t="s">
        <v>9013</v>
      </c>
      <c r="U1311" s="3" t="str">
        <f t="shared" si="42"/>
        <v/>
      </c>
    </row>
    <row r="1312" spans="1:21" x14ac:dyDescent="0.35">
      <c r="A1312" s="126" t="s">
        <v>0</v>
      </c>
      <c r="B1312" s="126" t="s">
        <v>909</v>
      </c>
      <c r="C1312" s="126" t="s">
        <v>2</v>
      </c>
      <c r="D1312" s="126" t="s">
        <v>3</v>
      </c>
      <c r="E1312" s="126">
        <v>21.95</v>
      </c>
      <c r="F1312" s="126" t="s">
        <v>88</v>
      </c>
      <c r="G1312" s="108">
        <v>45569</v>
      </c>
      <c r="H1312" s="126" t="s">
        <v>89</v>
      </c>
      <c r="I1312" s="126" t="s">
        <v>8524</v>
      </c>
      <c r="J1312" s="126"/>
      <c r="K1312" s="126" t="s">
        <v>8525</v>
      </c>
      <c r="L1312" s="126" t="s">
        <v>8526</v>
      </c>
      <c r="M1312" s="126" t="s">
        <v>399</v>
      </c>
      <c r="N1312" s="126"/>
      <c r="O1312" s="126"/>
      <c r="Q1312" s="3">
        <f t="shared" si="41"/>
        <v>21.95</v>
      </c>
      <c r="S1312" s="55" t="s">
        <v>9013</v>
      </c>
      <c r="U1312" s="3" t="str">
        <f t="shared" si="42"/>
        <v/>
      </c>
    </row>
    <row r="1313" spans="1:21" x14ac:dyDescent="0.35">
      <c r="A1313" s="126" t="s">
        <v>0</v>
      </c>
      <c r="B1313" s="126" t="s">
        <v>5426</v>
      </c>
      <c r="C1313" s="126" t="s">
        <v>2</v>
      </c>
      <c r="D1313" s="126" t="s">
        <v>3</v>
      </c>
      <c r="E1313" s="126">
        <v>21.95</v>
      </c>
      <c r="F1313" s="126" t="s">
        <v>88</v>
      </c>
      <c r="G1313" s="108">
        <v>45611</v>
      </c>
      <c r="H1313" s="126" t="s">
        <v>89</v>
      </c>
      <c r="I1313" s="126" t="s">
        <v>8737</v>
      </c>
      <c r="J1313" s="126"/>
      <c r="K1313" s="126" t="s">
        <v>8522</v>
      </c>
      <c r="L1313" s="126" t="s">
        <v>8738</v>
      </c>
      <c r="M1313" s="126" t="s">
        <v>399</v>
      </c>
      <c r="Q1313" s="3">
        <f t="shared" si="41"/>
        <v>21.95</v>
      </c>
      <c r="S1313" s="55" t="s">
        <v>9013</v>
      </c>
      <c r="U1313" s="3" t="str">
        <f t="shared" si="42"/>
        <v/>
      </c>
    </row>
    <row r="1314" spans="1:21" x14ac:dyDescent="0.35">
      <c r="A1314" s="126" t="s">
        <v>35</v>
      </c>
      <c r="B1314" s="126" t="s">
        <v>2473</v>
      </c>
      <c r="C1314" s="126" t="s">
        <v>2</v>
      </c>
      <c r="D1314" s="126" t="s">
        <v>3</v>
      </c>
      <c r="E1314" s="126">
        <v>21.92</v>
      </c>
      <c r="F1314" s="126" t="s">
        <v>88</v>
      </c>
      <c r="G1314" s="108">
        <v>45505</v>
      </c>
      <c r="H1314" s="126" t="s">
        <v>89</v>
      </c>
      <c r="I1314" s="126" t="s">
        <v>8262</v>
      </c>
      <c r="J1314" s="126"/>
      <c r="K1314" s="126" t="s">
        <v>8263</v>
      </c>
      <c r="L1314" s="126" t="s">
        <v>8264</v>
      </c>
      <c r="M1314" s="126" t="s">
        <v>439</v>
      </c>
      <c r="Q1314" s="3">
        <f t="shared" si="41"/>
        <v>21.92</v>
      </c>
      <c r="U1314" s="3" t="str">
        <f t="shared" si="42"/>
        <v/>
      </c>
    </row>
    <row r="1315" spans="1:21" x14ac:dyDescent="0.35">
      <c r="A1315" s="126" t="s">
        <v>35</v>
      </c>
      <c r="B1315" s="126" t="s">
        <v>2473</v>
      </c>
      <c r="C1315" s="126" t="s">
        <v>2</v>
      </c>
      <c r="D1315" s="126" t="s">
        <v>3</v>
      </c>
      <c r="E1315" s="126">
        <v>21.92</v>
      </c>
      <c r="F1315" s="126" t="s">
        <v>88</v>
      </c>
      <c r="G1315" s="108">
        <v>45527</v>
      </c>
      <c r="H1315" s="126" t="s">
        <v>89</v>
      </c>
      <c r="I1315" s="126" t="s">
        <v>8356</v>
      </c>
      <c r="J1315" s="126"/>
      <c r="K1315" s="126" t="s">
        <v>8357</v>
      </c>
      <c r="L1315" s="126" t="s">
        <v>8358</v>
      </c>
      <c r="M1315" s="126" t="s">
        <v>439</v>
      </c>
      <c r="N1315" s="126"/>
      <c r="O1315" s="126"/>
      <c r="Q1315" s="3">
        <f t="shared" si="41"/>
        <v>21.92</v>
      </c>
      <c r="U1315" s="3" t="str">
        <f t="shared" si="42"/>
        <v/>
      </c>
    </row>
    <row r="1316" spans="1:21" x14ac:dyDescent="0.35">
      <c r="A1316" s="126" t="s">
        <v>35</v>
      </c>
      <c r="B1316" s="126" t="s">
        <v>2473</v>
      </c>
      <c r="C1316" s="126" t="s">
        <v>2</v>
      </c>
      <c r="D1316" s="126" t="s">
        <v>3</v>
      </c>
      <c r="E1316" s="126">
        <v>21.92</v>
      </c>
      <c r="F1316" s="126" t="s">
        <v>88</v>
      </c>
      <c r="G1316" s="108">
        <v>45555</v>
      </c>
      <c r="H1316" s="126" t="s">
        <v>89</v>
      </c>
      <c r="I1316" s="126" t="s">
        <v>8458</v>
      </c>
      <c r="J1316" s="126"/>
      <c r="K1316" s="126" t="s">
        <v>8459</v>
      </c>
      <c r="L1316" s="126" t="s">
        <v>8460</v>
      </c>
      <c r="M1316" s="126" t="s">
        <v>439</v>
      </c>
      <c r="N1316" s="126"/>
      <c r="O1316" s="126"/>
      <c r="Q1316" s="3">
        <f t="shared" si="41"/>
        <v>21.92</v>
      </c>
      <c r="S1316" s="55" t="s">
        <v>9016</v>
      </c>
      <c r="U1316" s="3" t="str">
        <f t="shared" si="42"/>
        <v/>
      </c>
    </row>
    <row r="1317" spans="1:21" x14ac:dyDescent="0.35">
      <c r="A1317" s="126" t="s">
        <v>35</v>
      </c>
      <c r="B1317" s="126" t="s">
        <v>2473</v>
      </c>
      <c r="C1317" s="126" t="s">
        <v>2</v>
      </c>
      <c r="D1317" s="126" t="s">
        <v>3</v>
      </c>
      <c r="E1317" s="126">
        <v>21.92</v>
      </c>
      <c r="F1317" s="126" t="s">
        <v>88</v>
      </c>
      <c r="G1317" s="108">
        <v>45597</v>
      </c>
      <c r="H1317" s="126" t="s">
        <v>89</v>
      </c>
      <c r="I1317" s="126" t="s">
        <v>8635</v>
      </c>
      <c r="J1317" s="126"/>
      <c r="K1317" s="126" t="s">
        <v>8459</v>
      </c>
      <c r="L1317" s="126" t="s">
        <v>8636</v>
      </c>
      <c r="M1317" s="126" t="s">
        <v>439</v>
      </c>
      <c r="N1317" s="126"/>
      <c r="O1317" s="126"/>
      <c r="Q1317" s="3">
        <f t="shared" si="41"/>
        <v>21.92</v>
      </c>
      <c r="S1317" s="55" t="s">
        <v>9016</v>
      </c>
      <c r="U1317" s="3" t="str">
        <f t="shared" si="42"/>
        <v/>
      </c>
    </row>
    <row r="1318" spans="1:21" x14ac:dyDescent="0.35">
      <c r="A1318" s="126" t="s">
        <v>35</v>
      </c>
      <c r="B1318" s="126" t="s">
        <v>2473</v>
      </c>
      <c r="C1318" s="126" t="s">
        <v>2</v>
      </c>
      <c r="D1318" s="126" t="s">
        <v>3</v>
      </c>
      <c r="E1318" s="126">
        <v>21.92</v>
      </c>
      <c r="F1318" s="126" t="s">
        <v>88</v>
      </c>
      <c r="G1318" s="108">
        <v>45614</v>
      </c>
      <c r="H1318" s="126" t="s">
        <v>89</v>
      </c>
      <c r="I1318" s="126" t="s">
        <v>8745</v>
      </c>
      <c r="J1318" s="126"/>
      <c r="K1318" s="126" t="s">
        <v>8746</v>
      </c>
      <c r="L1318" s="126" t="s">
        <v>8747</v>
      </c>
      <c r="M1318" s="126" t="s">
        <v>439</v>
      </c>
      <c r="N1318" s="126"/>
      <c r="O1318" s="126"/>
      <c r="Q1318" s="3">
        <f t="shared" si="41"/>
        <v>21.92</v>
      </c>
      <c r="S1318" s="55" t="s">
        <v>9016</v>
      </c>
      <c r="U1318" s="3" t="str">
        <f t="shared" si="42"/>
        <v/>
      </c>
    </row>
    <row r="1319" spans="1:21" x14ac:dyDescent="0.35">
      <c r="A1319" s="126" t="s">
        <v>35</v>
      </c>
      <c r="B1319" s="126" t="s">
        <v>6156</v>
      </c>
      <c r="C1319" s="126" t="s">
        <v>2</v>
      </c>
      <c r="D1319" s="126" t="s">
        <v>3</v>
      </c>
      <c r="E1319" s="126">
        <v>21.82</v>
      </c>
      <c r="F1319" s="126" t="s">
        <v>88</v>
      </c>
      <c r="G1319" s="108">
        <v>45404</v>
      </c>
      <c r="H1319" s="126" t="s">
        <v>94</v>
      </c>
      <c r="I1319" s="126" t="s">
        <v>337</v>
      </c>
      <c r="J1319" s="126" t="s">
        <v>434</v>
      </c>
      <c r="K1319" s="126"/>
      <c r="L1319" s="126"/>
      <c r="M1319" s="126"/>
      <c r="N1319" s="126"/>
      <c r="O1319" s="126" t="s">
        <v>529</v>
      </c>
      <c r="Q1319" s="3">
        <f t="shared" si="41"/>
        <v>21.82</v>
      </c>
      <c r="U1319" s="3" t="str">
        <f t="shared" si="42"/>
        <v/>
      </c>
    </row>
    <row r="1320" spans="1:21" x14ac:dyDescent="0.35">
      <c r="A1320" s="126" t="s">
        <v>35</v>
      </c>
      <c r="B1320" s="126" t="s">
        <v>1533</v>
      </c>
      <c r="C1320" s="126" t="s">
        <v>2</v>
      </c>
      <c r="D1320" s="126" t="s">
        <v>3</v>
      </c>
      <c r="E1320" s="126">
        <v>21.82</v>
      </c>
      <c r="F1320" s="126" t="s">
        <v>88</v>
      </c>
      <c r="G1320" s="108">
        <v>45534</v>
      </c>
      <c r="H1320" s="126" t="s">
        <v>94</v>
      </c>
      <c r="I1320" s="126" t="s">
        <v>8377</v>
      </c>
      <c r="J1320" s="126" t="s">
        <v>8378</v>
      </c>
      <c r="K1320" s="126"/>
      <c r="L1320" s="126"/>
      <c r="M1320" s="126"/>
      <c r="N1320" s="126"/>
      <c r="O1320" s="126" t="s">
        <v>8379</v>
      </c>
      <c r="Q1320" s="3">
        <f t="shared" si="41"/>
        <v>21.82</v>
      </c>
      <c r="U1320" s="3" t="str">
        <f t="shared" si="42"/>
        <v/>
      </c>
    </row>
    <row r="1321" spans="1:21" x14ac:dyDescent="0.35">
      <c r="A1321" s="126" t="s">
        <v>35</v>
      </c>
      <c r="B1321" s="126" t="s">
        <v>708</v>
      </c>
      <c r="C1321" s="126" t="s">
        <v>2</v>
      </c>
      <c r="D1321" s="126" t="s">
        <v>3</v>
      </c>
      <c r="E1321" s="126">
        <v>21.82</v>
      </c>
      <c r="F1321" s="126" t="s">
        <v>88</v>
      </c>
      <c r="G1321" s="108">
        <v>45574</v>
      </c>
      <c r="H1321" s="126" t="s">
        <v>94</v>
      </c>
      <c r="I1321" s="126" t="s">
        <v>7875</v>
      </c>
      <c r="J1321" s="126" t="s">
        <v>488</v>
      </c>
      <c r="K1321" s="126"/>
      <c r="L1321" s="126"/>
      <c r="M1321" s="126"/>
      <c r="N1321" s="126"/>
      <c r="O1321" s="126" t="s">
        <v>551</v>
      </c>
      <c r="Q1321" s="3">
        <f t="shared" si="41"/>
        <v>21.82</v>
      </c>
      <c r="S1321" s="55" t="s">
        <v>9014</v>
      </c>
      <c r="U1321" s="3" t="str">
        <f t="shared" si="42"/>
        <v/>
      </c>
    </row>
    <row r="1322" spans="1:21" x14ac:dyDescent="0.35">
      <c r="A1322" s="126" t="s">
        <v>35</v>
      </c>
      <c r="B1322" s="126" t="s">
        <v>708</v>
      </c>
      <c r="C1322" s="126" t="s">
        <v>2</v>
      </c>
      <c r="D1322" s="126" t="s">
        <v>3</v>
      </c>
      <c r="E1322" s="126">
        <v>21.82</v>
      </c>
      <c r="F1322" s="126" t="s">
        <v>88</v>
      </c>
      <c r="G1322" s="108">
        <v>45589</v>
      </c>
      <c r="H1322" s="126" t="s">
        <v>94</v>
      </c>
      <c r="I1322" s="126" t="s">
        <v>467</v>
      </c>
      <c r="J1322" s="126" t="s">
        <v>468</v>
      </c>
      <c r="K1322" s="126"/>
      <c r="L1322" s="126"/>
      <c r="M1322" s="126"/>
      <c r="N1322" s="126"/>
      <c r="O1322" s="126" t="s">
        <v>551</v>
      </c>
      <c r="Q1322" s="3">
        <f t="shared" si="41"/>
        <v>21.82</v>
      </c>
      <c r="S1322" s="55" t="s">
        <v>9014</v>
      </c>
      <c r="U1322" s="3" t="str">
        <f t="shared" si="42"/>
        <v/>
      </c>
    </row>
    <row r="1323" spans="1:21" x14ac:dyDescent="0.35">
      <c r="A1323" s="126" t="s">
        <v>35</v>
      </c>
      <c r="B1323" s="126" t="s">
        <v>740</v>
      </c>
      <c r="C1323" s="126" t="s">
        <v>2</v>
      </c>
      <c r="D1323" s="126" t="s">
        <v>3</v>
      </c>
      <c r="E1323" s="126">
        <v>21.81</v>
      </c>
      <c r="F1323" s="126" t="s">
        <v>88</v>
      </c>
      <c r="G1323" s="108">
        <v>45602</v>
      </c>
      <c r="H1323" s="126" t="s">
        <v>94</v>
      </c>
      <c r="I1323" s="126" t="s">
        <v>425</v>
      </c>
      <c r="J1323" s="126" t="s">
        <v>8672</v>
      </c>
      <c r="K1323" s="126"/>
      <c r="L1323" s="126"/>
      <c r="M1323" s="126"/>
      <c r="N1323" s="126"/>
      <c r="O1323" s="126" t="s">
        <v>8673</v>
      </c>
      <c r="Q1323" s="3">
        <f t="shared" si="41"/>
        <v>21.81</v>
      </c>
      <c r="U1323" s="3" t="str">
        <f t="shared" si="42"/>
        <v/>
      </c>
    </row>
    <row r="1324" spans="1:21" x14ac:dyDescent="0.35">
      <c r="A1324" s="126" t="s">
        <v>0</v>
      </c>
      <c r="B1324" s="126" t="s">
        <v>952</v>
      </c>
      <c r="C1324" s="126" t="s">
        <v>2</v>
      </c>
      <c r="D1324" s="126" t="s">
        <v>3</v>
      </c>
      <c r="E1324" s="126">
        <v>21.79</v>
      </c>
      <c r="F1324" s="126" t="s">
        <v>88</v>
      </c>
      <c r="G1324" s="108">
        <v>45432</v>
      </c>
      <c r="H1324" s="126" t="s">
        <v>89</v>
      </c>
      <c r="I1324" s="126" t="s">
        <v>7839</v>
      </c>
      <c r="J1324" s="126"/>
      <c r="K1324" s="126" t="s">
        <v>7840</v>
      </c>
      <c r="L1324" s="126" t="s">
        <v>7841</v>
      </c>
      <c r="M1324" s="126" t="s">
        <v>399</v>
      </c>
      <c r="N1324" s="35"/>
      <c r="O1324" s="35"/>
      <c r="Q1324" s="3">
        <f t="shared" si="41"/>
        <v>21.79</v>
      </c>
      <c r="S1324" s="55" t="s">
        <v>9013</v>
      </c>
      <c r="U1324" s="3" t="str">
        <f t="shared" si="42"/>
        <v/>
      </c>
    </row>
    <row r="1325" spans="1:21" x14ac:dyDescent="0.35">
      <c r="A1325" s="126" t="s">
        <v>0</v>
      </c>
      <c r="B1325" s="126" t="s">
        <v>952</v>
      </c>
      <c r="C1325" s="126" t="s">
        <v>2</v>
      </c>
      <c r="D1325" s="126" t="s">
        <v>3</v>
      </c>
      <c r="E1325" s="126">
        <v>21.79</v>
      </c>
      <c r="F1325" s="126" t="s">
        <v>88</v>
      </c>
      <c r="G1325" s="108">
        <v>45454</v>
      </c>
      <c r="H1325" s="126" t="s">
        <v>89</v>
      </c>
      <c r="I1325" s="126" t="s">
        <v>7958</v>
      </c>
      <c r="J1325" s="126"/>
      <c r="K1325" s="126" t="s">
        <v>7959</v>
      </c>
      <c r="L1325" s="126" t="s">
        <v>7960</v>
      </c>
      <c r="M1325" s="126" t="s">
        <v>399</v>
      </c>
      <c r="N1325" s="126"/>
      <c r="O1325" s="126"/>
      <c r="Q1325" s="3">
        <f t="shared" si="41"/>
        <v>21.79</v>
      </c>
      <c r="S1325" s="55" t="s">
        <v>9013</v>
      </c>
      <c r="U1325" s="3" t="str">
        <f t="shared" si="42"/>
        <v/>
      </c>
    </row>
    <row r="1326" spans="1:21" x14ac:dyDescent="0.35">
      <c r="A1326" s="126" t="s">
        <v>0</v>
      </c>
      <c r="B1326" s="126" t="s">
        <v>952</v>
      </c>
      <c r="C1326" s="126" t="s">
        <v>2</v>
      </c>
      <c r="D1326" s="126" t="s">
        <v>3</v>
      </c>
      <c r="E1326" s="126">
        <v>21.79</v>
      </c>
      <c r="F1326" s="126" t="s">
        <v>88</v>
      </c>
      <c r="G1326" s="108">
        <v>45485</v>
      </c>
      <c r="H1326" s="126" t="s">
        <v>89</v>
      </c>
      <c r="I1326" s="126" t="s">
        <v>8134</v>
      </c>
      <c r="J1326" s="126"/>
      <c r="K1326" s="126" t="s">
        <v>8135</v>
      </c>
      <c r="L1326" s="126" t="s">
        <v>8136</v>
      </c>
      <c r="M1326" s="126" t="s">
        <v>399</v>
      </c>
      <c r="N1326" s="126"/>
      <c r="O1326" s="126"/>
      <c r="Q1326" s="3">
        <f t="shared" si="41"/>
        <v>21.79</v>
      </c>
      <c r="S1326" s="55" t="s">
        <v>9013</v>
      </c>
      <c r="U1326" s="3" t="str">
        <f t="shared" si="42"/>
        <v/>
      </c>
    </row>
    <row r="1327" spans="1:21" x14ac:dyDescent="0.35">
      <c r="A1327" s="126" t="s">
        <v>0</v>
      </c>
      <c r="B1327" s="126" t="s">
        <v>952</v>
      </c>
      <c r="C1327" s="126" t="s">
        <v>2</v>
      </c>
      <c r="D1327" s="126" t="s">
        <v>3</v>
      </c>
      <c r="E1327" s="126">
        <v>21.79</v>
      </c>
      <c r="F1327" s="126" t="s">
        <v>88</v>
      </c>
      <c r="G1327" s="108">
        <v>45517</v>
      </c>
      <c r="H1327" s="126" t="s">
        <v>89</v>
      </c>
      <c r="I1327" s="126" t="s">
        <v>8320</v>
      </c>
      <c r="J1327" s="126"/>
      <c r="K1327" s="126" t="s">
        <v>8321</v>
      </c>
      <c r="L1327" s="126" t="s">
        <v>8322</v>
      </c>
      <c r="M1327" s="126" t="s">
        <v>399</v>
      </c>
      <c r="Q1327" s="3">
        <f t="shared" si="41"/>
        <v>21.79</v>
      </c>
      <c r="S1327" s="55" t="s">
        <v>9013</v>
      </c>
      <c r="U1327" s="3" t="str">
        <f t="shared" si="42"/>
        <v/>
      </c>
    </row>
    <row r="1328" spans="1:21" x14ac:dyDescent="0.35">
      <c r="A1328" s="126" t="s">
        <v>0</v>
      </c>
      <c r="B1328" s="126" t="s">
        <v>952</v>
      </c>
      <c r="C1328" s="126" t="s">
        <v>2</v>
      </c>
      <c r="D1328" s="126" t="s">
        <v>3</v>
      </c>
      <c r="E1328" s="126">
        <v>21.73</v>
      </c>
      <c r="F1328" s="126" t="s">
        <v>88</v>
      </c>
      <c r="G1328" s="108">
        <v>45391</v>
      </c>
      <c r="H1328" s="126" t="s">
        <v>89</v>
      </c>
      <c r="I1328" s="126" t="s">
        <v>7691</v>
      </c>
      <c r="J1328" s="126"/>
      <c r="K1328" s="126" t="s">
        <v>7672</v>
      </c>
      <c r="L1328" s="126" t="s">
        <v>7692</v>
      </c>
      <c r="M1328" s="126" t="s">
        <v>399</v>
      </c>
      <c r="N1328" s="126"/>
      <c r="O1328" s="126"/>
      <c r="Q1328" s="3">
        <f t="shared" si="41"/>
        <v>21.73</v>
      </c>
      <c r="S1328" s="55" t="s">
        <v>9013</v>
      </c>
      <c r="U1328" s="3" t="str">
        <f t="shared" si="42"/>
        <v/>
      </c>
    </row>
    <row r="1329" spans="1:21" x14ac:dyDescent="0.35">
      <c r="A1329" s="126" t="s">
        <v>35</v>
      </c>
      <c r="B1329" s="126" t="s">
        <v>788</v>
      </c>
      <c r="C1329" s="126" t="s">
        <v>2</v>
      </c>
      <c r="D1329" s="126" t="s">
        <v>3</v>
      </c>
      <c r="E1329" s="126">
        <v>21.64</v>
      </c>
      <c r="F1329" s="126" t="s">
        <v>88</v>
      </c>
      <c r="G1329" s="108">
        <v>45575</v>
      </c>
      <c r="H1329" s="126" t="s">
        <v>94</v>
      </c>
      <c r="I1329" s="126" t="s">
        <v>438</v>
      </c>
      <c r="J1329" s="126" t="s">
        <v>8559</v>
      </c>
      <c r="K1329" s="126"/>
      <c r="L1329" s="126"/>
      <c r="M1329" s="126"/>
      <c r="N1329" s="126"/>
      <c r="O1329" s="126" t="s">
        <v>567</v>
      </c>
      <c r="Q1329" s="3">
        <f t="shared" si="41"/>
        <v>21.64</v>
      </c>
      <c r="S1329" s="55" t="s">
        <v>9014</v>
      </c>
      <c r="U1329" s="3" t="str">
        <f t="shared" si="42"/>
        <v/>
      </c>
    </row>
    <row r="1330" spans="1:21" x14ac:dyDescent="0.35">
      <c r="A1330" s="126" t="s">
        <v>35</v>
      </c>
      <c r="B1330" s="126" t="s">
        <v>6044</v>
      </c>
      <c r="C1330" s="126" t="s">
        <v>2</v>
      </c>
      <c r="D1330" s="126" t="s">
        <v>3</v>
      </c>
      <c r="E1330" s="126">
        <v>21.45</v>
      </c>
      <c r="F1330" s="126" t="s">
        <v>88</v>
      </c>
      <c r="G1330" s="108">
        <v>45404</v>
      </c>
      <c r="H1330" s="126" t="s">
        <v>94</v>
      </c>
      <c r="I1330" s="126" t="s">
        <v>489</v>
      </c>
      <c r="J1330" s="126" t="s">
        <v>7752</v>
      </c>
      <c r="K1330" s="126"/>
      <c r="L1330" s="126"/>
      <c r="M1330" s="126"/>
      <c r="N1330" s="126"/>
      <c r="O1330" s="126" t="s">
        <v>7032</v>
      </c>
      <c r="Q1330" s="3">
        <f t="shared" si="41"/>
        <v>21.45</v>
      </c>
      <c r="S1330" s="55" t="s">
        <v>586</v>
      </c>
      <c r="U1330" s="3" t="str">
        <f t="shared" si="42"/>
        <v/>
      </c>
    </row>
    <row r="1331" spans="1:21" x14ac:dyDescent="0.35">
      <c r="A1331" s="126" t="s">
        <v>35</v>
      </c>
      <c r="B1331" s="126" t="s">
        <v>2226</v>
      </c>
      <c r="C1331" s="126" t="s">
        <v>2</v>
      </c>
      <c r="D1331" s="126" t="s">
        <v>3</v>
      </c>
      <c r="E1331" s="126">
        <v>21.36</v>
      </c>
      <c r="F1331" s="126" t="s">
        <v>88</v>
      </c>
      <c r="G1331" s="108">
        <v>45475</v>
      </c>
      <c r="H1331" s="126" t="s">
        <v>94</v>
      </c>
      <c r="I1331" s="126" t="s">
        <v>335</v>
      </c>
      <c r="J1331" s="126" t="s">
        <v>336</v>
      </c>
      <c r="K1331" s="126"/>
      <c r="L1331" s="126"/>
      <c r="M1331" s="126"/>
      <c r="N1331" s="126"/>
      <c r="O1331" s="126" t="s">
        <v>532</v>
      </c>
      <c r="Q1331" s="3">
        <f t="shared" si="41"/>
        <v>21.36</v>
      </c>
      <c r="U1331" s="3" t="str">
        <f t="shared" si="42"/>
        <v/>
      </c>
    </row>
    <row r="1332" spans="1:21" x14ac:dyDescent="0.35">
      <c r="A1332" s="126" t="s">
        <v>35</v>
      </c>
      <c r="B1332" s="126" t="s">
        <v>1423</v>
      </c>
      <c r="C1332" s="126" t="s">
        <v>2</v>
      </c>
      <c r="D1332" s="126" t="s">
        <v>3</v>
      </c>
      <c r="E1332" s="126">
        <v>21.32</v>
      </c>
      <c r="F1332" s="126" t="s">
        <v>88</v>
      </c>
      <c r="G1332" s="108">
        <v>45594</v>
      </c>
      <c r="H1332" s="126" t="s">
        <v>94</v>
      </c>
      <c r="I1332" s="126" t="s">
        <v>375</v>
      </c>
      <c r="J1332" s="126" t="s">
        <v>8613</v>
      </c>
      <c r="K1332" s="126"/>
      <c r="L1332" s="126"/>
      <c r="M1332" s="126"/>
      <c r="N1332" s="126"/>
      <c r="O1332" s="126" t="s">
        <v>6605</v>
      </c>
      <c r="Q1332" s="3">
        <f t="shared" si="41"/>
        <v>21.32</v>
      </c>
      <c r="U1332" s="3" t="str">
        <f t="shared" si="42"/>
        <v/>
      </c>
    </row>
    <row r="1333" spans="1:21" x14ac:dyDescent="0.35">
      <c r="A1333" s="126" t="s">
        <v>35</v>
      </c>
      <c r="B1333" s="126" t="s">
        <v>852</v>
      </c>
      <c r="C1333" s="126" t="s">
        <v>2</v>
      </c>
      <c r="D1333" s="126" t="s">
        <v>3</v>
      </c>
      <c r="E1333" s="126">
        <v>21.14</v>
      </c>
      <c r="F1333" s="126" t="s">
        <v>88</v>
      </c>
      <c r="G1333" s="108">
        <v>45537</v>
      </c>
      <c r="H1333" s="126" t="s">
        <v>94</v>
      </c>
      <c r="I1333" s="126" t="s">
        <v>6249</v>
      </c>
      <c r="J1333" s="126" t="s">
        <v>7757</v>
      </c>
      <c r="K1333" s="126"/>
      <c r="L1333" s="126"/>
      <c r="M1333" s="126"/>
      <c r="N1333" s="126"/>
      <c r="O1333" s="126" t="s">
        <v>348</v>
      </c>
      <c r="Q1333" s="3">
        <f t="shared" si="41"/>
        <v>21.14</v>
      </c>
      <c r="S1333" s="55" t="s">
        <v>9014</v>
      </c>
      <c r="U1333" s="3" t="str">
        <f t="shared" si="42"/>
        <v/>
      </c>
    </row>
    <row r="1334" spans="1:21" x14ac:dyDescent="0.35">
      <c r="A1334" s="126" t="s">
        <v>35</v>
      </c>
      <c r="B1334" s="126" t="s">
        <v>677</v>
      </c>
      <c r="C1334" s="126" t="s">
        <v>2</v>
      </c>
      <c r="D1334" s="126" t="s">
        <v>3</v>
      </c>
      <c r="E1334" s="126">
        <v>21</v>
      </c>
      <c r="F1334" s="126" t="s">
        <v>88</v>
      </c>
      <c r="G1334" s="108">
        <v>45446</v>
      </c>
      <c r="H1334" s="126" t="s">
        <v>94</v>
      </c>
      <c r="I1334" s="126" t="s">
        <v>7921</v>
      </c>
      <c r="J1334" s="126" t="s">
        <v>332</v>
      </c>
      <c r="K1334" s="126"/>
      <c r="L1334" s="126"/>
      <c r="M1334" s="126"/>
      <c r="N1334" s="126"/>
      <c r="O1334" s="126" t="s">
        <v>564</v>
      </c>
      <c r="Q1334" s="3">
        <f t="shared" si="41"/>
        <v>21</v>
      </c>
      <c r="U1334" s="3" t="str">
        <f t="shared" si="42"/>
        <v/>
      </c>
    </row>
    <row r="1335" spans="1:21" x14ac:dyDescent="0.35">
      <c r="A1335" s="126" t="s">
        <v>35</v>
      </c>
      <c r="B1335" s="126" t="s">
        <v>615</v>
      </c>
      <c r="C1335" s="126" t="s">
        <v>2</v>
      </c>
      <c r="D1335" s="126" t="s">
        <v>3</v>
      </c>
      <c r="E1335" s="126">
        <v>21</v>
      </c>
      <c r="F1335" s="126" t="s">
        <v>88</v>
      </c>
      <c r="G1335" s="108">
        <v>45504</v>
      </c>
      <c r="H1335" s="126" t="s">
        <v>94</v>
      </c>
      <c r="I1335" s="126" t="s">
        <v>8227</v>
      </c>
      <c r="J1335" s="126" t="s">
        <v>8228</v>
      </c>
      <c r="K1335" s="126"/>
      <c r="L1335" s="126"/>
      <c r="M1335" s="126"/>
      <c r="N1335" s="126"/>
      <c r="O1335" s="126" t="s">
        <v>8229</v>
      </c>
      <c r="Q1335" s="3">
        <f t="shared" si="41"/>
        <v>21</v>
      </c>
      <c r="U1335" s="3" t="str">
        <f t="shared" si="42"/>
        <v/>
      </c>
    </row>
    <row r="1336" spans="1:21" x14ac:dyDescent="0.35">
      <c r="A1336" s="126" t="s">
        <v>35</v>
      </c>
      <c r="B1336" s="126" t="s">
        <v>2543</v>
      </c>
      <c r="C1336" s="126" t="s">
        <v>2</v>
      </c>
      <c r="D1336" s="126" t="s">
        <v>3</v>
      </c>
      <c r="E1336" s="126">
        <v>20.9</v>
      </c>
      <c r="F1336" s="126" t="s">
        <v>88</v>
      </c>
      <c r="G1336" s="108">
        <v>45601</v>
      </c>
      <c r="H1336" s="126" t="s">
        <v>94</v>
      </c>
      <c r="I1336" s="126" t="s">
        <v>453</v>
      </c>
      <c r="J1336" s="126" t="s">
        <v>395</v>
      </c>
      <c r="K1336" s="126"/>
      <c r="L1336" s="126"/>
      <c r="M1336" s="126"/>
      <c r="N1336" s="126"/>
      <c r="O1336" s="126" t="s">
        <v>537</v>
      </c>
      <c r="Q1336" s="3">
        <f t="shared" si="41"/>
        <v>20.9</v>
      </c>
      <c r="S1336" s="55" t="s">
        <v>586</v>
      </c>
      <c r="U1336" s="3" t="str">
        <f t="shared" si="42"/>
        <v/>
      </c>
    </row>
    <row r="1337" spans="1:21" x14ac:dyDescent="0.35">
      <c r="A1337" s="126" t="s">
        <v>35</v>
      </c>
      <c r="B1337" s="126" t="s">
        <v>1075</v>
      </c>
      <c r="C1337" s="126" t="s">
        <v>2</v>
      </c>
      <c r="D1337" s="126" t="s">
        <v>3</v>
      </c>
      <c r="E1337" s="126">
        <v>20.8</v>
      </c>
      <c r="F1337" s="126" t="s">
        <v>88</v>
      </c>
      <c r="G1337" s="108">
        <v>45505</v>
      </c>
      <c r="H1337" s="126" t="s">
        <v>89</v>
      </c>
      <c r="I1337" s="126" t="s">
        <v>8258</v>
      </c>
      <c r="J1337" s="126"/>
      <c r="K1337" s="126" t="s">
        <v>400</v>
      </c>
      <c r="L1337" s="126" t="s">
        <v>8259</v>
      </c>
      <c r="M1337" s="126" t="s">
        <v>396</v>
      </c>
      <c r="Q1337" s="3">
        <f t="shared" si="41"/>
        <v>20.8</v>
      </c>
      <c r="S1337" s="55" t="s">
        <v>9016</v>
      </c>
      <c r="U1337" s="3" t="str">
        <f t="shared" si="42"/>
        <v/>
      </c>
    </row>
    <row r="1338" spans="1:21" x14ac:dyDescent="0.35">
      <c r="A1338" s="126" t="s">
        <v>35</v>
      </c>
      <c r="B1338" s="126" t="s">
        <v>3466</v>
      </c>
      <c r="C1338" s="126" t="s">
        <v>2</v>
      </c>
      <c r="D1338" s="126" t="s">
        <v>3</v>
      </c>
      <c r="E1338" s="126">
        <v>20.76</v>
      </c>
      <c r="F1338" s="126" t="s">
        <v>88</v>
      </c>
      <c r="G1338" s="108">
        <v>45607</v>
      </c>
      <c r="H1338" s="126" t="s">
        <v>94</v>
      </c>
      <c r="I1338" s="126" t="s">
        <v>471</v>
      </c>
      <c r="J1338" s="126" t="s">
        <v>472</v>
      </c>
      <c r="K1338" s="126"/>
      <c r="L1338" s="126"/>
      <c r="M1338" s="126"/>
      <c r="N1338" s="126"/>
      <c r="O1338" s="126" t="s">
        <v>699</v>
      </c>
      <c r="Q1338" s="3">
        <f t="shared" si="41"/>
        <v>20.76</v>
      </c>
      <c r="U1338" s="3" t="str">
        <f t="shared" si="42"/>
        <v/>
      </c>
    </row>
    <row r="1339" spans="1:21" x14ac:dyDescent="0.35">
      <c r="A1339" s="126" t="s">
        <v>35</v>
      </c>
      <c r="B1339" s="126" t="s">
        <v>788</v>
      </c>
      <c r="C1339" s="126" t="s">
        <v>2</v>
      </c>
      <c r="D1339" s="126" t="s">
        <v>3</v>
      </c>
      <c r="E1339" s="126">
        <v>20.75</v>
      </c>
      <c r="F1339" s="126" t="s">
        <v>88</v>
      </c>
      <c r="G1339" s="108">
        <v>45643</v>
      </c>
      <c r="H1339" s="126" t="s">
        <v>94</v>
      </c>
      <c r="I1339" s="126" t="s">
        <v>504</v>
      </c>
      <c r="J1339" s="126" t="s">
        <v>8982</v>
      </c>
      <c r="K1339" s="126"/>
      <c r="L1339" s="126"/>
      <c r="M1339" s="126"/>
      <c r="N1339" s="126"/>
      <c r="O1339" s="126" t="s">
        <v>8983</v>
      </c>
      <c r="Q1339" s="3">
        <f t="shared" si="41"/>
        <v>20.75</v>
      </c>
      <c r="U1339" s="3" t="str">
        <f t="shared" si="42"/>
        <v/>
      </c>
    </row>
    <row r="1340" spans="1:21" x14ac:dyDescent="0.35">
      <c r="A1340" s="126" t="s">
        <v>0</v>
      </c>
      <c r="B1340" s="126" t="s">
        <v>953</v>
      </c>
      <c r="C1340" s="126" t="s">
        <v>2</v>
      </c>
      <c r="D1340" s="126" t="s">
        <v>3</v>
      </c>
      <c r="E1340" s="126">
        <v>20.7</v>
      </c>
      <c r="F1340" s="126" t="s">
        <v>88</v>
      </c>
      <c r="G1340" s="108">
        <v>45495</v>
      </c>
      <c r="H1340" s="126" t="s">
        <v>89</v>
      </c>
      <c r="I1340" s="126" t="s">
        <v>8188</v>
      </c>
      <c r="J1340" s="126"/>
      <c r="K1340" s="126" t="s">
        <v>405</v>
      </c>
      <c r="L1340" s="126" t="s">
        <v>8189</v>
      </c>
      <c r="M1340" s="126" t="s">
        <v>322</v>
      </c>
      <c r="N1340" s="126"/>
      <c r="O1340" s="126"/>
      <c r="Q1340" s="3">
        <f t="shared" si="41"/>
        <v>20.7</v>
      </c>
      <c r="U1340" s="3" t="str">
        <f t="shared" si="42"/>
        <v/>
      </c>
    </row>
    <row r="1341" spans="1:21" x14ac:dyDescent="0.35">
      <c r="A1341" s="126" t="s">
        <v>0</v>
      </c>
      <c r="B1341" s="126" t="s">
        <v>953</v>
      </c>
      <c r="C1341" s="126" t="s">
        <v>2</v>
      </c>
      <c r="D1341" s="126" t="s">
        <v>3</v>
      </c>
      <c r="E1341" s="126">
        <v>20.7</v>
      </c>
      <c r="F1341" s="126" t="s">
        <v>88</v>
      </c>
      <c r="G1341" s="108">
        <v>45566</v>
      </c>
      <c r="H1341" s="126" t="s">
        <v>89</v>
      </c>
      <c r="I1341" s="126" t="s">
        <v>8498</v>
      </c>
      <c r="J1341" s="126"/>
      <c r="K1341" s="126" t="s">
        <v>405</v>
      </c>
      <c r="L1341" s="126" t="s">
        <v>8499</v>
      </c>
      <c r="M1341" s="126" t="s">
        <v>322</v>
      </c>
      <c r="N1341" s="126"/>
      <c r="O1341" s="126"/>
      <c r="Q1341" s="3">
        <f t="shared" si="41"/>
        <v>20.7</v>
      </c>
      <c r="U1341" s="3" t="str">
        <f t="shared" si="42"/>
        <v/>
      </c>
    </row>
    <row r="1342" spans="1:21" x14ac:dyDescent="0.35">
      <c r="A1342" s="126" t="s">
        <v>35</v>
      </c>
      <c r="B1342" s="126" t="s">
        <v>788</v>
      </c>
      <c r="C1342" s="126" t="s">
        <v>2</v>
      </c>
      <c r="D1342" s="126" t="s">
        <v>3</v>
      </c>
      <c r="E1342" s="126">
        <v>20.62</v>
      </c>
      <c r="F1342" s="126" t="s">
        <v>88</v>
      </c>
      <c r="G1342" s="108">
        <v>45464</v>
      </c>
      <c r="H1342" s="126" t="s">
        <v>94</v>
      </c>
      <c r="I1342" s="126" t="s">
        <v>438</v>
      </c>
      <c r="J1342" s="126" t="s">
        <v>8038</v>
      </c>
      <c r="K1342" s="126"/>
      <c r="L1342" s="126"/>
      <c r="M1342" s="126"/>
      <c r="N1342" s="126"/>
      <c r="O1342" s="126" t="s">
        <v>567</v>
      </c>
      <c r="Q1342" s="3">
        <f t="shared" si="41"/>
        <v>20.62</v>
      </c>
      <c r="S1342" s="55" t="s">
        <v>9014</v>
      </c>
      <c r="U1342" s="3" t="str">
        <f t="shared" si="42"/>
        <v/>
      </c>
    </row>
    <row r="1343" spans="1:21" x14ac:dyDescent="0.35">
      <c r="A1343" s="126" t="s">
        <v>35</v>
      </c>
      <c r="B1343" s="126" t="s">
        <v>633</v>
      </c>
      <c r="C1343" s="126" t="s">
        <v>2</v>
      </c>
      <c r="D1343" s="126" t="s">
        <v>3</v>
      </c>
      <c r="E1343" s="126">
        <v>20.53</v>
      </c>
      <c r="F1343" s="126" t="s">
        <v>88</v>
      </c>
      <c r="G1343" s="108">
        <v>45637</v>
      </c>
      <c r="H1343" s="126" t="s">
        <v>94</v>
      </c>
      <c r="I1343" s="126" t="s">
        <v>8947</v>
      </c>
      <c r="J1343" s="126" t="s">
        <v>496</v>
      </c>
      <c r="K1343" s="126"/>
      <c r="L1343" s="126"/>
      <c r="M1343" s="126"/>
      <c r="N1343" s="126"/>
      <c r="O1343" s="126" t="s">
        <v>8948</v>
      </c>
      <c r="Q1343" s="3">
        <f t="shared" si="41"/>
        <v>20.53</v>
      </c>
      <c r="S1343" s="55" t="s">
        <v>9014</v>
      </c>
      <c r="U1343" s="3" t="str">
        <f t="shared" si="42"/>
        <v/>
      </c>
    </row>
    <row r="1344" spans="1:21" x14ac:dyDescent="0.35">
      <c r="A1344" s="126" t="s">
        <v>0</v>
      </c>
      <c r="B1344" s="126" t="s">
        <v>969</v>
      </c>
      <c r="C1344" s="126" t="s">
        <v>2</v>
      </c>
      <c r="D1344" s="126" t="s">
        <v>3</v>
      </c>
      <c r="E1344" s="126">
        <v>20.5</v>
      </c>
      <c r="F1344" s="126" t="s">
        <v>88</v>
      </c>
      <c r="G1344" s="108">
        <v>45579</v>
      </c>
      <c r="H1344" s="126" t="s">
        <v>89</v>
      </c>
      <c r="I1344" s="126" t="s">
        <v>8560</v>
      </c>
      <c r="J1344" s="126"/>
      <c r="K1344" s="126" t="s">
        <v>7655</v>
      </c>
      <c r="L1344" s="126" t="s">
        <v>8561</v>
      </c>
      <c r="M1344" s="126" t="s">
        <v>420</v>
      </c>
      <c r="N1344" s="126"/>
      <c r="O1344" s="126"/>
      <c r="Q1344" s="3">
        <f t="shared" si="41"/>
        <v>20.5</v>
      </c>
      <c r="U1344" s="3" t="str">
        <f t="shared" si="42"/>
        <v/>
      </c>
    </row>
    <row r="1345" spans="1:21" x14ac:dyDescent="0.35">
      <c r="A1345" s="126" t="s">
        <v>0</v>
      </c>
      <c r="B1345" s="126" t="s">
        <v>969</v>
      </c>
      <c r="C1345" s="126" t="s">
        <v>2</v>
      </c>
      <c r="D1345" s="126" t="s">
        <v>3</v>
      </c>
      <c r="E1345" s="126">
        <v>20.47</v>
      </c>
      <c r="F1345" s="126" t="s">
        <v>88</v>
      </c>
      <c r="G1345" s="108">
        <v>45495</v>
      </c>
      <c r="H1345" s="126" t="s">
        <v>89</v>
      </c>
      <c r="I1345" s="126" t="s">
        <v>8182</v>
      </c>
      <c r="J1345" s="126"/>
      <c r="K1345" s="126" t="s">
        <v>8183</v>
      </c>
      <c r="L1345" s="126" t="s">
        <v>8184</v>
      </c>
      <c r="M1345" s="126" t="s">
        <v>420</v>
      </c>
      <c r="N1345" s="126"/>
      <c r="O1345" s="126"/>
      <c r="Q1345" s="3">
        <f t="shared" si="41"/>
        <v>20.47</v>
      </c>
      <c r="U1345" s="3" t="str">
        <f t="shared" si="42"/>
        <v/>
      </c>
    </row>
    <row r="1346" spans="1:21" x14ac:dyDescent="0.35">
      <c r="A1346" s="126" t="s">
        <v>35</v>
      </c>
      <c r="B1346" s="126" t="s">
        <v>3422</v>
      </c>
      <c r="C1346" s="126" t="s">
        <v>2</v>
      </c>
      <c r="D1346" s="126" t="s">
        <v>3</v>
      </c>
      <c r="E1346" s="126">
        <v>20.45</v>
      </c>
      <c r="F1346" s="126" t="s">
        <v>88</v>
      </c>
      <c r="G1346" s="108">
        <v>45506</v>
      </c>
      <c r="H1346" s="126" t="s">
        <v>94</v>
      </c>
      <c r="I1346" s="126" t="s">
        <v>4435</v>
      </c>
      <c r="J1346" s="126" t="s">
        <v>7661</v>
      </c>
      <c r="K1346" s="126"/>
      <c r="L1346" s="126"/>
      <c r="M1346" s="126"/>
      <c r="N1346" s="126"/>
      <c r="O1346" s="126" t="s">
        <v>538</v>
      </c>
      <c r="Q1346" s="3">
        <f t="shared" si="41"/>
        <v>20.45</v>
      </c>
      <c r="U1346" s="3" t="str">
        <f t="shared" si="42"/>
        <v/>
      </c>
    </row>
    <row r="1347" spans="1:21" x14ac:dyDescent="0.35">
      <c r="A1347" s="126" t="s">
        <v>35</v>
      </c>
      <c r="B1347" s="126" t="s">
        <v>788</v>
      </c>
      <c r="C1347" s="126" t="s">
        <v>2</v>
      </c>
      <c r="D1347" s="126" t="s">
        <v>3</v>
      </c>
      <c r="E1347" s="126">
        <v>20.34</v>
      </c>
      <c r="F1347" s="126" t="s">
        <v>88</v>
      </c>
      <c r="G1347" s="108">
        <v>45643</v>
      </c>
      <c r="H1347" s="126" t="s">
        <v>94</v>
      </c>
      <c r="I1347" s="126" t="s">
        <v>5123</v>
      </c>
      <c r="J1347" s="126" t="s">
        <v>8982</v>
      </c>
      <c r="K1347" s="126"/>
      <c r="L1347" s="126"/>
      <c r="M1347" s="126"/>
      <c r="N1347" s="126"/>
      <c r="O1347" s="126" t="s">
        <v>8984</v>
      </c>
      <c r="Q1347" s="3">
        <f t="shared" si="41"/>
        <v>20.34</v>
      </c>
      <c r="S1347" s="55" t="s">
        <v>53</v>
      </c>
      <c r="T1347" t="s">
        <v>64</v>
      </c>
      <c r="U1347" s="3">
        <f t="shared" si="42"/>
        <v>20.34</v>
      </c>
    </row>
    <row r="1348" spans="1:21" x14ac:dyDescent="0.35">
      <c r="A1348" s="126" t="s">
        <v>35</v>
      </c>
      <c r="B1348" s="126" t="s">
        <v>893</v>
      </c>
      <c r="C1348" s="126" t="s">
        <v>2</v>
      </c>
      <c r="D1348" s="126" t="s">
        <v>3</v>
      </c>
      <c r="E1348" s="126">
        <v>20.21</v>
      </c>
      <c r="F1348" s="126" t="s">
        <v>88</v>
      </c>
      <c r="G1348" s="108">
        <v>45615</v>
      </c>
      <c r="H1348" s="126" t="s">
        <v>94</v>
      </c>
      <c r="I1348" s="126" t="s">
        <v>457</v>
      </c>
      <c r="J1348" s="126" t="s">
        <v>8416</v>
      </c>
      <c r="K1348" s="126"/>
      <c r="L1348" s="126"/>
      <c r="M1348" s="126"/>
      <c r="N1348" s="126"/>
      <c r="O1348" s="126" t="s">
        <v>544</v>
      </c>
      <c r="Q1348" s="3">
        <f t="shared" si="41"/>
        <v>20.21</v>
      </c>
      <c r="S1348" s="55" t="s">
        <v>586</v>
      </c>
      <c r="U1348" s="3" t="str">
        <f t="shared" si="42"/>
        <v/>
      </c>
    </row>
    <row r="1349" spans="1:21" x14ac:dyDescent="0.35">
      <c r="A1349" s="126" t="s">
        <v>35</v>
      </c>
      <c r="B1349" s="126" t="s">
        <v>852</v>
      </c>
      <c r="C1349" s="126" t="s">
        <v>2</v>
      </c>
      <c r="D1349" s="126" t="s">
        <v>3</v>
      </c>
      <c r="E1349" s="126">
        <v>20.149999999999999</v>
      </c>
      <c r="F1349" s="126" t="s">
        <v>88</v>
      </c>
      <c r="G1349" s="108">
        <v>45635</v>
      </c>
      <c r="H1349" s="126" t="s">
        <v>94</v>
      </c>
      <c r="I1349" s="126" t="s">
        <v>6249</v>
      </c>
      <c r="J1349" s="126" t="s">
        <v>8893</v>
      </c>
      <c r="K1349" s="126"/>
      <c r="L1349" s="126"/>
      <c r="M1349" s="126"/>
      <c r="N1349" s="126"/>
      <c r="O1349" s="126" t="s">
        <v>348</v>
      </c>
      <c r="Q1349" s="3">
        <f t="shared" si="41"/>
        <v>20.149999999999999</v>
      </c>
      <c r="S1349" s="55" t="s">
        <v>9014</v>
      </c>
      <c r="U1349" s="3" t="str">
        <f t="shared" si="42"/>
        <v/>
      </c>
    </row>
    <row r="1350" spans="1:21" x14ac:dyDescent="0.35">
      <c r="A1350" s="126" t="s">
        <v>35</v>
      </c>
      <c r="B1350" s="126" t="s">
        <v>788</v>
      </c>
      <c r="C1350" s="126" t="s">
        <v>2</v>
      </c>
      <c r="D1350" s="126" t="s">
        <v>3</v>
      </c>
      <c r="E1350" s="126">
        <v>20</v>
      </c>
      <c r="F1350" s="126" t="s">
        <v>88</v>
      </c>
      <c r="G1350" s="108">
        <v>45399</v>
      </c>
      <c r="H1350" s="126" t="s">
        <v>94</v>
      </c>
      <c r="I1350" s="126" t="s">
        <v>504</v>
      </c>
      <c r="J1350" s="126" t="s">
        <v>505</v>
      </c>
      <c r="K1350" s="126"/>
      <c r="L1350" s="126"/>
      <c r="M1350" s="126"/>
      <c r="N1350" s="126"/>
      <c r="O1350" s="126" t="s">
        <v>567</v>
      </c>
      <c r="Q1350" s="3">
        <f t="shared" si="41"/>
        <v>20</v>
      </c>
      <c r="S1350" s="55" t="s">
        <v>9014</v>
      </c>
      <c r="U1350" s="3" t="str">
        <f t="shared" si="42"/>
        <v/>
      </c>
    </row>
    <row r="1351" spans="1:21" x14ac:dyDescent="0.35">
      <c r="A1351" s="126" t="s">
        <v>35</v>
      </c>
      <c r="B1351" s="126" t="s">
        <v>4583</v>
      </c>
      <c r="C1351" s="126" t="s">
        <v>2</v>
      </c>
      <c r="D1351" s="126" t="s">
        <v>3</v>
      </c>
      <c r="E1351" s="126">
        <v>20</v>
      </c>
      <c r="F1351" s="126" t="s">
        <v>88</v>
      </c>
      <c r="G1351" s="108">
        <v>45572</v>
      </c>
      <c r="H1351" s="126" t="s">
        <v>94</v>
      </c>
      <c r="I1351" s="126" t="s">
        <v>4427</v>
      </c>
      <c r="J1351" s="126" t="s">
        <v>8536</v>
      </c>
      <c r="K1351" s="126"/>
      <c r="L1351" s="126"/>
      <c r="M1351" s="126"/>
      <c r="N1351" s="126"/>
      <c r="O1351" s="126" t="s">
        <v>2934</v>
      </c>
      <c r="Q1351" s="3">
        <f t="shared" si="41"/>
        <v>20</v>
      </c>
      <c r="S1351" s="55" t="s">
        <v>586</v>
      </c>
      <c r="U1351" s="3" t="str">
        <f t="shared" si="42"/>
        <v/>
      </c>
    </row>
    <row r="1352" spans="1:21" x14ac:dyDescent="0.35">
      <c r="A1352" s="126" t="s">
        <v>35</v>
      </c>
      <c r="B1352" s="126" t="s">
        <v>2226</v>
      </c>
      <c r="C1352" s="126" t="s">
        <v>2</v>
      </c>
      <c r="D1352" s="126" t="s">
        <v>3</v>
      </c>
      <c r="E1352" s="126">
        <v>20</v>
      </c>
      <c r="F1352" s="126" t="s">
        <v>88</v>
      </c>
      <c r="G1352" s="108">
        <v>45635</v>
      </c>
      <c r="H1352" s="126" t="s">
        <v>94</v>
      </c>
      <c r="I1352" s="126" t="s">
        <v>335</v>
      </c>
      <c r="J1352" s="126" t="s">
        <v>336</v>
      </c>
      <c r="K1352" s="126"/>
      <c r="L1352" s="126"/>
      <c r="M1352" s="126"/>
      <c r="N1352" s="126"/>
      <c r="O1352" s="126" t="s">
        <v>532</v>
      </c>
      <c r="Q1352" s="3">
        <f t="shared" ref="Q1352:Q1415" si="43">ABS(E1352)</f>
        <v>20</v>
      </c>
      <c r="U1352" s="3" t="str">
        <f t="shared" ref="U1352:U1415" si="44">IF(T1352="Y",E1352,"")</f>
        <v/>
      </c>
    </row>
    <row r="1353" spans="1:21" x14ac:dyDescent="0.35">
      <c r="A1353" s="126" t="s">
        <v>35</v>
      </c>
      <c r="B1353" s="126" t="s">
        <v>788</v>
      </c>
      <c r="C1353" s="126" t="s">
        <v>2</v>
      </c>
      <c r="D1353" s="126" t="s">
        <v>3</v>
      </c>
      <c r="E1353" s="126">
        <v>19.600000000000001</v>
      </c>
      <c r="F1353" s="126" t="s">
        <v>88</v>
      </c>
      <c r="G1353" s="108">
        <v>45509</v>
      </c>
      <c r="H1353" s="126" t="s">
        <v>94</v>
      </c>
      <c r="I1353" s="126" t="s">
        <v>438</v>
      </c>
      <c r="J1353" s="126" t="s">
        <v>8273</v>
      </c>
      <c r="K1353" s="126"/>
      <c r="L1353" s="126"/>
      <c r="M1353" s="126"/>
      <c r="N1353" s="126"/>
      <c r="O1353" s="126" t="s">
        <v>567</v>
      </c>
      <c r="Q1353" s="3">
        <f t="shared" si="43"/>
        <v>19.600000000000001</v>
      </c>
      <c r="S1353" s="55" t="s">
        <v>9014</v>
      </c>
      <c r="U1353" s="3" t="str">
        <f t="shared" si="44"/>
        <v/>
      </c>
    </row>
    <row r="1354" spans="1:21" x14ac:dyDescent="0.35">
      <c r="A1354" s="126" t="s">
        <v>0</v>
      </c>
      <c r="B1354" s="126" t="s">
        <v>1075</v>
      </c>
      <c r="C1354" s="126" t="s">
        <v>2</v>
      </c>
      <c r="D1354" s="126" t="s">
        <v>3</v>
      </c>
      <c r="E1354" s="126">
        <v>-19.350000000000001</v>
      </c>
      <c r="F1354" s="126" t="s">
        <v>88</v>
      </c>
      <c r="G1354" s="108">
        <v>45602</v>
      </c>
      <c r="H1354" s="126" t="s">
        <v>89</v>
      </c>
      <c r="I1354" s="126" t="s">
        <v>8649</v>
      </c>
      <c r="J1354" s="126"/>
      <c r="K1354" s="126" t="s">
        <v>7880</v>
      </c>
      <c r="L1354" s="126" t="s">
        <v>8650</v>
      </c>
      <c r="M1354" s="126" t="s">
        <v>396</v>
      </c>
      <c r="N1354" s="126"/>
      <c r="O1354" s="126"/>
      <c r="Q1354" s="3">
        <f t="shared" si="43"/>
        <v>19.350000000000001</v>
      </c>
      <c r="S1354" s="55" t="s">
        <v>9016</v>
      </c>
      <c r="U1354" s="3" t="str">
        <f t="shared" si="44"/>
        <v/>
      </c>
    </row>
    <row r="1355" spans="1:21" x14ac:dyDescent="0.35">
      <c r="A1355" s="126" t="s">
        <v>35</v>
      </c>
      <c r="B1355" s="126" t="s">
        <v>2031</v>
      </c>
      <c r="C1355" s="126" t="s">
        <v>2</v>
      </c>
      <c r="D1355" s="126" t="s">
        <v>3</v>
      </c>
      <c r="E1355" s="126">
        <v>19.2</v>
      </c>
      <c r="F1355" s="126" t="s">
        <v>88</v>
      </c>
      <c r="G1355" s="108">
        <v>45617</v>
      </c>
      <c r="H1355" s="126" t="s">
        <v>94</v>
      </c>
      <c r="I1355" s="126" t="s">
        <v>493</v>
      </c>
      <c r="J1355" s="126" t="s">
        <v>8775</v>
      </c>
      <c r="K1355" s="126"/>
      <c r="L1355" s="126"/>
      <c r="M1355" s="126"/>
      <c r="N1355" s="126"/>
      <c r="O1355" s="126" t="s">
        <v>540</v>
      </c>
      <c r="Q1355" s="3">
        <f t="shared" si="43"/>
        <v>19.2</v>
      </c>
      <c r="S1355" s="55" t="s">
        <v>9014</v>
      </c>
      <c r="U1355" s="3" t="str">
        <f t="shared" si="44"/>
        <v/>
      </c>
    </row>
    <row r="1356" spans="1:21" x14ac:dyDescent="0.35">
      <c r="A1356" s="126" t="s">
        <v>35</v>
      </c>
      <c r="B1356" s="126" t="s">
        <v>852</v>
      </c>
      <c r="C1356" s="126" t="s">
        <v>2</v>
      </c>
      <c r="D1356" s="126" t="s">
        <v>3</v>
      </c>
      <c r="E1356" s="126">
        <v>19.010000000000002</v>
      </c>
      <c r="F1356" s="126" t="s">
        <v>88</v>
      </c>
      <c r="G1356" s="108">
        <v>45638</v>
      </c>
      <c r="H1356" s="126" t="s">
        <v>94</v>
      </c>
      <c r="I1356" s="126" t="s">
        <v>6249</v>
      </c>
      <c r="J1356" s="126" t="s">
        <v>8961</v>
      </c>
      <c r="K1356" s="126"/>
      <c r="L1356" s="126"/>
      <c r="M1356" s="126"/>
      <c r="N1356" s="126"/>
      <c r="O1356" s="126" t="s">
        <v>348</v>
      </c>
      <c r="Q1356" s="3">
        <f t="shared" si="43"/>
        <v>19.010000000000002</v>
      </c>
      <c r="S1356" s="55" t="s">
        <v>9014</v>
      </c>
      <c r="U1356" s="3" t="str">
        <f t="shared" si="44"/>
        <v/>
      </c>
    </row>
    <row r="1357" spans="1:21" x14ac:dyDescent="0.35">
      <c r="A1357" s="126" t="s">
        <v>0</v>
      </c>
      <c r="B1357" s="126" t="s">
        <v>969</v>
      </c>
      <c r="C1357" s="126" t="s">
        <v>2</v>
      </c>
      <c r="D1357" s="126" t="s">
        <v>3</v>
      </c>
      <c r="E1357" s="126">
        <v>18.950000000000003</v>
      </c>
      <c r="F1357" s="126" t="s">
        <v>88</v>
      </c>
      <c r="G1357" s="108">
        <v>45574</v>
      </c>
      <c r="H1357" s="126" t="s">
        <v>89</v>
      </c>
      <c r="I1357" s="126" t="s">
        <v>8546</v>
      </c>
      <c r="J1357" s="126"/>
      <c r="K1357" s="126" t="s">
        <v>7655</v>
      </c>
      <c r="L1357" s="126" t="s">
        <v>8547</v>
      </c>
      <c r="M1357" s="126" t="s">
        <v>420</v>
      </c>
      <c r="N1357" s="126"/>
      <c r="O1357" s="126"/>
      <c r="Q1357" s="3">
        <f t="shared" si="43"/>
        <v>18.950000000000003</v>
      </c>
      <c r="U1357" s="3" t="str">
        <f t="shared" si="44"/>
        <v/>
      </c>
    </row>
    <row r="1358" spans="1:21" x14ac:dyDescent="0.35">
      <c r="A1358" s="126" t="s">
        <v>35</v>
      </c>
      <c r="B1358" s="126" t="s">
        <v>601</v>
      </c>
      <c r="C1358" s="126" t="s">
        <v>2</v>
      </c>
      <c r="D1358" s="126" t="s">
        <v>3</v>
      </c>
      <c r="E1358" s="126">
        <v>18.82</v>
      </c>
      <c r="F1358" s="126" t="s">
        <v>88</v>
      </c>
      <c r="G1358" s="108">
        <v>45488</v>
      </c>
      <c r="H1358" s="126" t="s">
        <v>94</v>
      </c>
      <c r="I1358" s="126" t="s">
        <v>2935</v>
      </c>
      <c r="J1358" s="126" t="s">
        <v>8165</v>
      </c>
      <c r="K1358" s="126"/>
      <c r="L1358" s="126"/>
      <c r="M1358" s="126"/>
      <c r="N1358" s="126"/>
      <c r="O1358" s="126" t="s">
        <v>556</v>
      </c>
      <c r="Q1358" s="3">
        <f t="shared" si="43"/>
        <v>18.82</v>
      </c>
      <c r="U1358" s="3" t="str">
        <f t="shared" si="44"/>
        <v/>
      </c>
    </row>
    <row r="1359" spans="1:21" x14ac:dyDescent="0.35">
      <c r="A1359" s="126" t="s">
        <v>35</v>
      </c>
      <c r="B1359" s="126" t="s">
        <v>788</v>
      </c>
      <c r="C1359" s="126" t="s">
        <v>2</v>
      </c>
      <c r="D1359" s="126" t="s">
        <v>3</v>
      </c>
      <c r="E1359" s="126">
        <v>18.79</v>
      </c>
      <c r="F1359" s="126" t="s">
        <v>88</v>
      </c>
      <c r="G1359" s="108">
        <v>45509</v>
      </c>
      <c r="H1359" s="126" t="s">
        <v>94</v>
      </c>
      <c r="I1359" s="126" t="s">
        <v>504</v>
      </c>
      <c r="J1359" s="126" t="s">
        <v>505</v>
      </c>
      <c r="K1359" s="126"/>
      <c r="L1359" s="126"/>
      <c r="M1359" s="126"/>
      <c r="N1359" s="126"/>
      <c r="O1359" s="126" t="s">
        <v>583</v>
      </c>
      <c r="Q1359" s="3">
        <f t="shared" si="43"/>
        <v>18.79</v>
      </c>
      <c r="S1359" s="55" t="s">
        <v>9014</v>
      </c>
      <c r="U1359" s="3" t="str">
        <f t="shared" si="44"/>
        <v/>
      </c>
    </row>
    <row r="1360" spans="1:21" x14ac:dyDescent="0.35">
      <c r="A1360" s="126" t="s">
        <v>35</v>
      </c>
      <c r="B1360" s="126" t="s">
        <v>2226</v>
      </c>
      <c r="C1360" s="126" t="s">
        <v>2</v>
      </c>
      <c r="D1360" s="126" t="s">
        <v>3</v>
      </c>
      <c r="E1360" s="126">
        <v>18.75</v>
      </c>
      <c r="F1360" s="126" t="s">
        <v>88</v>
      </c>
      <c r="G1360" s="108">
        <v>45498</v>
      </c>
      <c r="H1360" s="126" t="s">
        <v>94</v>
      </c>
      <c r="I1360" s="126" t="s">
        <v>335</v>
      </c>
      <c r="J1360" s="126" t="s">
        <v>336</v>
      </c>
      <c r="K1360" s="126"/>
      <c r="L1360" s="126"/>
      <c r="M1360" s="126"/>
      <c r="N1360" s="126"/>
      <c r="O1360" s="126" t="s">
        <v>532</v>
      </c>
      <c r="Q1360" s="3">
        <f t="shared" si="43"/>
        <v>18.75</v>
      </c>
      <c r="U1360" s="3" t="str">
        <f t="shared" si="44"/>
        <v/>
      </c>
    </row>
    <row r="1361" spans="1:21" x14ac:dyDescent="0.35">
      <c r="A1361" s="126" t="s">
        <v>35</v>
      </c>
      <c r="B1361" s="126" t="s">
        <v>788</v>
      </c>
      <c r="C1361" s="126" t="s">
        <v>2</v>
      </c>
      <c r="D1361" s="126" t="s">
        <v>3</v>
      </c>
      <c r="E1361" s="126">
        <v>18.3</v>
      </c>
      <c r="F1361" s="126" t="s">
        <v>88</v>
      </c>
      <c r="G1361" s="108">
        <v>45484</v>
      </c>
      <c r="H1361" s="126" t="s">
        <v>94</v>
      </c>
      <c r="I1361" s="126" t="s">
        <v>504</v>
      </c>
      <c r="J1361" s="126" t="s">
        <v>8132</v>
      </c>
      <c r="K1361" s="126"/>
      <c r="L1361" s="126"/>
      <c r="M1361" s="126"/>
      <c r="N1361" s="126"/>
      <c r="O1361" s="126" t="s">
        <v>8133</v>
      </c>
      <c r="Q1361" s="3">
        <f t="shared" si="43"/>
        <v>18.3</v>
      </c>
      <c r="U1361" s="3" t="str">
        <f t="shared" si="44"/>
        <v/>
      </c>
    </row>
    <row r="1362" spans="1:21" x14ac:dyDescent="0.35">
      <c r="A1362" s="126" t="s">
        <v>35</v>
      </c>
      <c r="B1362" s="126" t="s">
        <v>3466</v>
      </c>
      <c r="C1362" s="126" t="s">
        <v>2</v>
      </c>
      <c r="D1362" s="126" t="s">
        <v>3</v>
      </c>
      <c r="E1362" s="126">
        <v>18.239999999999998</v>
      </c>
      <c r="F1362" s="126" t="s">
        <v>88</v>
      </c>
      <c r="G1362" s="108">
        <v>45607</v>
      </c>
      <c r="H1362" s="126" t="s">
        <v>94</v>
      </c>
      <c r="I1362" s="126" t="s">
        <v>471</v>
      </c>
      <c r="J1362" s="126" t="s">
        <v>472</v>
      </c>
      <c r="K1362" s="126"/>
      <c r="L1362" s="126"/>
      <c r="M1362" s="126"/>
      <c r="N1362" s="126"/>
      <c r="O1362" s="126" t="s">
        <v>553</v>
      </c>
      <c r="Q1362" s="3">
        <f t="shared" si="43"/>
        <v>18.239999999999998</v>
      </c>
      <c r="U1362" s="3" t="str">
        <f t="shared" si="44"/>
        <v/>
      </c>
    </row>
    <row r="1363" spans="1:21" x14ac:dyDescent="0.35">
      <c r="A1363" s="126" t="s">
        <v>0</v>
      </c>
      <c r="B1363" s="126" t="s">
        <v>952</v>
      </c>
      <c r="C1363" s="126" t="s">
        <v>2</v>
      </c>
      <c r="D1363" s="126" t="s">
        <v>3</v>
      </c>
      <c r="E1363" s="126">
        <v>18.23</v>
      </c>
      <c r="F1363" s="126" t="s">
        <v>88</v>
      </c>
      <c r="G1363" s="108">
        <v>45635</v>
      </c>
      <c r="H1363" s="126" t="s">
        <v>89</v>
      </c>
      <c r="I1363" s="126" t="s">
        <v>8878</v>
      </c>
      <c r="J1363" s="126"/>
      <c r="K1363" s="126" t="s">
        <v>8879</v>
      </c>
      <c r="L1363" s="126" t="s">
        <v>8880</v>
      </c>
      <c r="M1363" s="126" t="s">
        <v>399</v>
      </c>
      <c r="Q1363" s="3">
        <f t="shared" si="43"/>
        <v>18.23</v>
      </c>
      <c r="S1363" s="55" t="s">
        <v>9013</v>
      </c>
      <c r="U1363" s="3" t="str">
        <f t="shared" si="44"/>
        <v/>
      </c>
    </row>
    <row r="1364" spans="1:21" x14ac:dyDescent="0.35">
      <c r="A1364" s="126" t="s">
        <v>0</v>
      </c>
      <c r="B1364" s="126" t="s">
        <v>638</v>
      </c>
      <c r="C1364" s="126" t="s">
        <v>2</v>
      </c>
      <c r="D1364" s="126" t="s">
        <v>3</v>
      </c>
      <c r="E1364" s="126">
        <v>18.2</v>
      </c>
      <c r="F1364" s="126" t="s">
        <v>88</v>
      </c>
      <c r="G1364" s="108">
        <v>45432</v>
      </c>
      <c r="H1364" s="126" t="s">
        <v>89</v>
      </c>
      <c r="I1364" s="126" t="s">
        <v>7839</v>
      </c>
      <c r="J1364" s="126"/>
      <c r="K1364" s="126" t="s">
        <v>7840</v>
      </c>
      <c r="L1364" s="126" t="s">
        <v>7841</v>
      </c>
      <c r="M1364" s="126" t="s">
        <v>399</v>
      </c>
      <c r="N1364" s="35"/>
      <c r="O1364" s="35"/>
      <c r="Q1364" s="3">
        <f t="shared" si="43"/>
        <v>18.2</v>
      </c>
      <c r="S1364" s="55" t="s">
        <v>9013</v>
      </c>
      <c r="U1364" s="3" t="str">
        <f t="shared" si="44"/>
        <v/>
      </c>
    </row>
    <row r="1365" spans="1:21" x14ac:dyDescent="0.35">
      <c r="A1365" s="126" t="s">
        <v>0</v>
      </c>
      <c r="B1365" s="126" t="s">
        <v>638</v>
      </c>
      <c r="C1365" s="126" t="s">
        <v>2</v>
      </c>
      <c r="D1365" s="126" t="s">
        <v>3</v>
      </c>
      <c r="E1365" s="126">
        <v>18.2</v>
      </c>
      <c r="F1365" s="126" t="s">
        <v>88</v>
      </c>
      <c r="G1365" s="108">
        <v>45454</v>
      </c>
      <c r="H1365" s="126" t="s">
        <v>89</v>
      </c>
      <c r="I1365" s="126" t="s">
        <v>7958</v>
      </c>
      <c r="J1365" s="126"/>
      <c r="K1365" s="126" t="s">
        <v>7959</v>
      </c>
      <c r="L1365" s="126" t="s">
        <v>7960</v>
      </c>
      <c r="M1365" s="126" t="s">
        <v>399</v>
      </c>
      <c r="N1365" s="126"/>
      <c r="O1365" s="126"/>
      <c r="Q1365" s="3">
        <f t="shared" si="43"/>
        <v>18.2</v>
      </c>
      <c r="S1365" s="55" t="s">
        <v>9013</v>
      </c>
      <c r="U1365" s="3" t="str">
        <f t="shared" si="44"/>
        <v/>
      </c>
    </row>
    <row r="1366" spans="1:21" x14ac:dyDescent="0.35">
      <c r="A1366" s="126" t="s">
        <v>0</v>
      </c>
      <c r="B1366" s="126" t="s">
        <v>638</v>
      </c>
      <c r="C1366" s="126" t="s">
        <v>2</v>
      </c>
      <c r="D1366" s="126" t="s">
        <v>3</v>
      </c>
      <c r="E1366" s="126">
        <v>18.2</v>
      </c>
      <c r="F1366" s="126" t="s">
        <v>88</v>
      </c>
      <c r="G1366" s="108">
        <v>45485</v>
      </c>
      <c r="H1366" s="126" t="s">
        <v>89</v>
      </c>
      <c r="I1366" s="126" t="s">
        <v>8134</v>
      </c>
      <c r="J1366" s="126"/>
      <c r="K1366" s="126" t="s">
        <v>8135</v>
      </c>
      <c r="L1366" s="126" t="s">
        <v>8136</v>
      </c>
      <c r="M1366" s="126" t="s">
        <v>399</v>
      </c>
      <c r="N1366" s="126"/>
      <c r="O1366" s="126"/>
      <c r="Q1366" s="3">
        <f t="shared" si="43"/>
        <v>18.2</v>
      </c>
      <c r="S1366" s="55" t="s">
        <v>9013</v>
      </c>
      <c r="U1366" s="3" t="str">
        <f t="shared" si="44"/>
        <v/>
      </c>
    </row>
    <row r="1367" spans="1:21" x14ac:dyDescent="0.35">
      <c r="A1367" s="126" t="s">
        <v>0</v>
      </c>
      <c r="B1367" s="126" t="s">
        <v>638</v>
      </c>
      <c r="C1367" s="126" t="s">
        <v>2</v>
      </c>
      <c r="D1367" s="126" t="s">
        <v>3</v>
      </c>
      <c r="E1367" s="126">
        <v>18.2</v>
      </c>
      <c r="F1367" s="126" t="s">
        <v>88</v>
      </c>
      <c r="G1367" s="108">
        <v>45517</v>
      </c>
      <c r="H1367" s="126" t="s">
        <v>89</v>
      </c>
      <c r="I1367" s="126" t="s">
        <v>8320</v>
      </c>
      <c r="J1367" s="126"/>
      <c r="K1367" s="126" t="s">
        <v>8321</v>
      </c>
      <c r="L1367" s="126" t="s">
        <v>8322</v>
      </c>
      <c r="M1367" s="126" t="s">
        <v>399</v>
      </c>
      <c r="N1367" s="126"/>
      <c r="O1367" s="126"/>
      <c r="Q1367" s="3">
        <f t="shared" si="43"/>
        <v>18.2</v>
      </c>
      <c r="S1367" s="55" t="s">
        <v>9013</v>
      </c>
      <c r="U1367" s="3" t="str">
        <f t="shared" si="44"/>
        <v/>
      </c>
    </row>
    <row r="1368" spans="1:21" x14ac:dyDescent="0.35">
      <c r="A1368" s="126" t="s">
        <v>0</v>
      </c>
      <c r="B1368" s="126" t="s">
        <v>638</v>
      </c>
      <c r="C1368" s="126" t="s">
        <v>2</v>
      </c>
      <c r="D1368" s="126" t="s">
        <v>3</v>
      </c>
      <c r="E1368" s="126">
        <v>18.2</v>
      </c>
      <c r="F1368" s="126" t="s">
        <v>88</v>
      </c>
      <c r="G1368" s="108">
        <v>45551</v>
      </c>
      <c r="H1368" s="126" t="s">
        <v>89</v>
      </c>
      <c r="I1368" s="126" t="s">
        <v>8431</v>
      </c>
      <c r="J1368" s="126"/>
      <c r="K1368" s="126" t="s">
        <v>8432</v>
      </c>
      <c r="L1368" s="126" t="s">
        <v>8433</v>
      </c>
      <c r="M1368" s="126" t="s">
        <v>399</v>
      </c>
      <c r="N1368" s="126"/>
      <c r="O1368" s="126"/>
      <c r="Q1368" s="3">
        <f t="shared" si="43"/>
        <v>18.2</v>
      </c>
      <c r="S1368" s="55" t="s">
        <v>9013</v>
      </c>
      <c r="U1368" s="3" t="str">
        <f t="shared" si="44"/>
        <v/>
      </c>
    </row>
    <row r="1369" spans="1:21" x14ac:dyDescent="0.35">
      <c r="A1369" s="126" t="s">
        <v>0</v>
      </c>
      <c r="B1369" s="126" t="s">
        <v>638</v>
      </c>
      <c r="C1369" s="126" t="s">
        <v>2</v>
      </c>
      <c r="D1369" s="126" t="s">
        <v>3</v>
      </c>
      <c r="E1369" s="126">
        <v>18.2</v>
      </c>
      <c r="F1369" s="126" t="s">
        <v>88</v>
      </c>
      <c r="G1369" s="108">
        <v>45569</v>
      </c>
      <c r="H1369" s="126" t="s">
        <v>89</v>
      </c>
      <c r="I1369" s="126" t="s">
        <v>8521</v>
      </c>
      <c r="J1369" s="126"/>
      <c r="K1369" s="126" t="s">
        <v>8522</v>
      </c>
      <c r="L1369" s="126" t="s">
        <v>8523</v>
      </c>
      <c r="M1369" s="126" t="s">
        <v>399</v>
      </c>
      <c r="N1369" s="126"/>
      <c r="O1369" s="126"/>
      <c r="Q1369" s="3">
        <f t="shared" si="43"/>
        <v>18.2</v>
      </c>
      <c r="S1369" s="55" t="s">
        <v>9013</v>
      </c>
      <c r="U1369" s="3" t="str">
        <f t="shared" si="44"/>
        <v/>
      </c>
    </row>
    <row r="1370" spans="1:21" x14ac:dyDescent="0.35">
      <c r="A1370" s="126" t="s">
        <v>0</v>
      </c>
      <c r="B1370" s="126" t="s">
        <v>638</v>
      </c>
      <c r="C1370" s="126" t="s">
        <v>2</v>
      </c>
      <c r="D1370" s="126" t="s">
        <v>3</v>
      </c>
      <c r="E1370" s="126">
        <v>18.2</v>
      </c>
      <c r="F1370" s="126" t="s">
        <v>88</v>
      </c>
      <c r="G1370" s="108">
        <v>45611</v>
      </c>
      <c r="H1370" s="126" t="s">
        <v>89</v>
      </c>
      <c r="I1370" s="126" t="s">
        <v>8734</v>
      </c>
      <c r="J1370" s="126"/>
      <c r="K1370" s="126" t="s">
        <v>8522</v>
      </c>
      <c r="L1370" s="126" t="s">
        <v>8736</v>
      </c>
      <c r="M1370" s="126" t="s">
        <v>399</v>
      </c>
      <c r="Q1370" s="3">
        <f t="shared" si="43"/>
        <v>18.2</v>
      </c>
      <c r="S1370" s="55" t="s">
        <v>9013</v>
      </c>
      <c r="U1370" s="3" t="str">
        <f t="shared" si="44"/>
        <v/>
      </c>
    </row>
    <row r="1371" spans="1:21" x14ac:dyDescent="0.35">
      <c r="A1371" s="126" t="s">
        <v>0</v>
      </c>
      <c r="B1371" s="126" t="s">
        <v>638</v>
      </c>
      <c r="C1371" s="126" t="s">
        <v>2</v>
      </c>
      <c r="D1371" s="126" t="s">
        <v>3</v>
      </c>
      <c r="E1371" s="126">
        <v>18.2</v>
      </c>
      <c r="F1371" s="126" t="s">
        <v>88</v>
      </c>
      <c r="G1371" s="108">
        <v>45635</v>
      </c>
      <c r="H1371" s="126" t="s">
        <v>89</v>
      </c>
      <c r="I1371" s="126" t="s">
        <v>8878</v>
      </c>
      <c r="J1371" s="126"/>
      <c r="K1371" s="126" t="s">
        <v>8879</v>
      </c>
      <c r="L1371" s="126" t="s">
        <v>8880</v>
      </c>
      <c r="M1371" s="126" t="s">
        <v>399</v>
      </c>
      <c r="Q1371" s="3">
        <f t="shared" si="43"/>
        <v>18.2</v>
      </c>
      <c r="S1371" s="55" t="s">
        <v>9013</v>
      </c>
      <c r="U1371" s="3" t="str">
        <f t="shared" si="44"/>
        <v/>
      </c>
    </row>
    <row r="1372" spans="1:21" x14ac:dyDescent="0.35">
      <c r="A1372" s="126" t="s">
        <v>0</v>
      </c>
      <c r="B1372" s="126" t="s">
        <v>638</v>
      </c>
      <c r="C1372" s="126" t="s">
        <v>2</v>
      </c>
      <c r="D1372" s="126" t="s">
        <v>3</v>
      </c>
      <c r="E1372" s="126">
        <v>18.18</v>
      </c>
      <c r="F1372" s="126" t="s">
        <v>88</v>
      </c>
      <c r="G1372" s="108">
        <v>45391</v>
      </c>
      <c r="H1372" s="126" t="s">
        <v>89</v>
      </c>
      <c r="I1372" s="126" t="s">
        <v>7691</v>
      </c>
      <c r="J1372" s="126"/>
      <c r="K1372" s="126" t="s">
        <v>7672</v>
      </c>
      <c r="L1372" s="126" t="s">
        <v>7692</v>
      </c>
      <c r="M1372" s="126" t="s">
        <v>399</v>
      </c>
      <c r="N1372" s="126"/>
      <c r="O1372" s="126"/>
      <c r="Q1372" s="3">
        <f t="shared" si="43"/>
        <v>18.18</v>
      </c>
      <c r="S1372" s="55" t="s">
        <v>9013</v>
      </c>
      <c r="U1372" s="3" t="str">
        <f t="shared" si="44"/>
        <v/>
      </c>
    </row>
    <row r="1373" spans="1:21" x14ac:dyDescent="0.35">
      <c r="A1373" s="126" t="s">
        <v>35</v>
      </c>
      <c r="B1373" s="126" t="s">
        <v>1411</v>
      </c>
      <c r="C1373" s="126" t="s">
        <v>2</v>
      </c>
      <c r="D1373" s="126" t="s">
        <v>3</v>
      </c>
      <c r="E1373" s="126">
        <v>18.18</v>
      </c>
      <c r="F1373" s="126" t="s">
        <v>88</v>
      </c>
      <c r="G1373" s="108">
        <v>45504</v>
      </c>
      <c r="H1373" s="126" t="s">
        <v>94</v>
      </c>
      <c r="I1373" s="126" t="s">
        <v>443</v>
      </c>
      <c r="J1373" s="126" t="s">
        <v>8218</v>
      </c>
      <c r="K1373" s="126"/>
      <c r="L1373" s="126"/>
      <c r="M1373" s="126"/>
      <c r="N1373" s="126"/>
      <c r="O1373" s="126" t="s">
        <v>536</v>
      </c>
      <c r="Q1373" s="3">
        <f t="shared" si="43"/>
        <v>18.18</v>
      </c>
      <c r="U1373" s="3" t="str">
        <f t="shared" si="44"/>
        <v/>
      </c>
    </row>
    <row r="1374" spans="1:21" x14ac:dyDescent="0.35">
      <c r="A1374" s="126" t="s">
        <v>35</v>
      </c>
      <c r="B1374" s="126" t="s">
        <v>868</v>
      </c>
      <c r="C1374" s="126" t="s">
        <v>2</v>
      </c>
      <c r="D1374" s="126" t="s">
        <v>3</v>
      </c>
      <c r="E1374" s="126">
        <v>18.18</v>
      </c>
      <c r="F1374" s="126" t="s">
        <v>88</v>
      </c>
      <c r="G1374" s="108">
        <v>45524</v>
      </c>
      <c r="H1374" s="126" t="s">
        <v>94</v>
      </c>
      <c r="I1374" s="126" t="s">
        <v>416</v>
      </c>
      <c r="J1374" s="126" t="s">
        <v>417</v>
      </c>
      <c r="K1374" s="126"/>
      <c r="L1374" s="126"/>
      <c r="M1374" s="126"/>
      <c r="N1374" s="126"/>
      <c r="O1374" s="126" t="s">
        <v>520</v>
      </c>
      <c r="Q1374" s="3">
        <f t="shared" si="43"/>
        <v>18.18</v>
      </c>
      <c r="S1374" s="55" t="s">
        <v>9014</v>
      </c>
      <c r="U1374" s="3" t="str">
        <f t="shared" si="44"/>
        <v/>
      </c>
    </row>
    <row r="1375" spans="1:21" x14ac:dyDescent="0.35">
      <c r="A1375" s="126" t="s">
        <v>35</v>
      </c>
      <c r="B1375" s="126" t="s">
        <v>1533</v>
      </c>
      <c r="C1375" s="126" t="s">
        <v>2</v>
      </c>
      <c r="D1375" s="126" t="s">
        <v>3</v>
      </c>
      <c r="E1375" s="126">
        <v>18.18</v>
      </c>
      <c r="F1375" s="126" t="s">
        <v>88</v>
      </c>
      <c r="G1375" s="108">
        <v>45534</v>
      </c>
      <c r="H1375" s="126" t="s">
        <v>94</v>
      </c>
      <c r="I1375" s="126" t="s">
        <v>424</v>
      </c>
      <c r="J1375" s="126" t="s">
        <v>8380</v>
      </c>
      <c r="K1375" s="126"/>
      <c r="L1375" s="126"/>
      <c r="M1375" s="126"/>
      <c r="N1375" s="126"/>
      <c r="O1375" s="126" t="s">
        <v>523</v>
      </c>
      <c r="Q1375" s="3">
        <f t="shared" si="43"/>
        <v>18.18</v>
      </c>
      <c r="U1375" s="3" t="str">
        <f t="shared" si="44"/>
        <v/>
      </c>
    </row>
    <row r="1376" spans="1:21" x14ac:dyDescent="0.35">
      <c r="A1376" s="126" t="s">
        <v>35</v>
      </c>
      <c r="B1376" s="126" t="s">
        <v>3422</v>
      </c>
      <c r="C1376" s="126" t="s">
        <v>2</v>
      </c>
      <c r="D1376" s="126" t="s">
        <v>3</v>
      </c>
      <c r="E1376" s="126">
        <v>18.18</v>
      </c>
      <c r="F1376" s="126" t="s">
        <v>88</v>
      </c>
      <c r="G1376" s="108">
        <v>45631</v>
      </c>
      <c r="H1376" s="126" t="s">
        <v>94</v>
      </c>
      <c r="I1376" s="126" t="s">
        <v>4333</v>
      </c>
      <c r="J1376" s="126" t="s">
        <v>8859</v>
      </c>
      <c r="K1376" s="126"/>
      <c r="L1376" s="126"/>
      <c r="M1376" s="126"/>
      <c r="N1376" s="126"/>
      <c r="O1376" s="126" t="s">
        <v>8860</v>
      </c>
      <c r="Q1376" s="3">
        <f t="shared" si="43"/>
        <v>18.18</v>
      </c>
      <c r="U1376" s="3" t="str">
        <f t="shared" si="44"/>
        <v/>
      </c>
    </row>
    <row r="1377" spans="1:21" x14ac:dyDescent="0.35">
      <c r="A1377" s="126" t="s">
        <v>35</v>
      </c>
      <c r="B1377" s="126" t="s">
        <v>615</v>
      </c>
      <c r="C1377" s="126" t="s">
        <v>2</v>
      </c>
      <c r="D1377" s="126" t="s">
        <v>3</v>
      </c>
      <c r="E1377" s="126">
        <v>18.14</v>
      </c>
      <c r="F1377" s="126" t="s">
        <v>88</v>
      </c>
      <c r="G1377" s="108">
        <v>45554</v>
      </c>
      <c r="H1377" s="126" t="s">
        <v>94</v>
      </c>
      <c r="I1377" s="126" t="s">
        <v>113</v>
      </c>
      <c r="J1377" s="126" t="s">
        <v>433</v>
      </c>
      <c r="K1377" s="126"/>
      <c r="L1377" s="126"/>
      <c r="M1377" s="126"/>
      <c r="N1377" s="126"/>
      <c r="O1377" s="126" t="s">
        <v>8454</v>
      </c>
      <c r="Q1377" s="3">
        <f t="shared" si="43"/>
        <v>18.14</v>
      </c>
      <c r="S1377" s="55" t="s">
        <v>9025</v>
      </c>
      <c r="U1377" s="3" t="str">
        <f t="shared" si="44"/>
        <v/>
      </c>
    </row>
    <row r="1378" spans="1:21" x14ac:dyDescent="0.35">
      <c r="A1378" s="126" t="s">
        <v>35</v>
      </c>
      <c r="B1378" s="126" t="s">
        <v>6145</v>
      </c>
      <c r="C1378" s="126" t="s">
        <v>2</v>
      </c>
      <c r="D1378" s="126" t="s">
        <v>3</v>
      </c>
      <c r="E1378" s="126">
        <v>18.09</v>
      </c>
      <c r="F1378" s="126" t="s">
        <v>88</v>
      </c>
      <c r="G1378" s="108">
        <v>45511</v>
      </c>
      <c r="H1378" s="126" t="s">
        <v>94</v>
      </c>
      <c r="I1378" s="126" t="s">
        <v>460</v>
      </c>
      <c r="J1378" s="126" t="s">
        <v>332</v>
      </c>
      <c r="K1378" s="126"/>
      <c r="L1378" s="126"/>
      <c r="M1378" s="126"/>
      <c r="N1378" s="126"/>
      <c r="O1378" s="126" t="s">
        <v>8286</v>
      </c>
      <c r="Q1378" s="3">
        <f t="shared" si="43"/>
        <v>18.09</v>
      </c>
      <c r="U1378" s="3" t="str">
        <f t="shared" si="44"/>
        <v/>
      </c>
    </row>
    <row r="1379" spans="1:21" x14ac:dyDescent="0.35">
      <c r="A1379" s="126" t="s">
        <v>35</v>
      </c>
      <c r="B1379" s="126" t="s">
        <v>3422</v>
      </c>
      <c r="C1379" s="126" t="s">
        <v>2</v>
      </c>
      <c r="D1379" s="126" t="s">
        <v>3</v>
      </c>
      <c r="E1379" s="126">
        <v>17.73</v>
      </c>
      <c r="F1379" s="126" t="s">
        <v>88</v>
      </c>
      <c r="G1379" s="108">
        <v>45495</v>
      </c>
      <c r="H1379" s="126" t="s">
        <v>94</v>
      </c>
      <c r="I1379" s="126" t="s">
        <v>459</v>
      </c>
      <c r="J1379" s="126" t="s">
        <v>417</v>
      </c>
      <c r="K1379" s="126"/>
      <c r="L1379" s="126"/>
      <c r="M1379" s="126"/>
      <c r="N1379" s="126"/>
      <c r="O1379" s="126" t="s">
        <v>538</v>
      </c>
      <c r="Q1379" s="3">
        <f t="shared" si="43"/>
        <v>17.73</v>
      </c>
      <c r="S1379" s="55" t="s">
        <v>9014</v>
      </c>
      <c r="U1379" s="3" t="str">
        <f t="shared" si="44"/>
        <v/>
      </c>
    </row>
    <row r="1380" spans="1:21" x14ac:dyDescent="0.35">
      <c r="A1380" s="126" t="s">
        <v>35</v>
      </c>
      <c r="B1380" s="126" t="s">
        <v>2031</v>
      </c>
      <c r="C1380" s="126" t="s">
        <v>2</v>
      </c>
      <c r="D1380" s="126" t="s">
        <v>3</v>
      </c>
      <c r="E1380" s="126">
        <v>17.59</v>
      </c>
      <c r="F1380" s="126" t="s">
        <v>88</v>
      </c>
      <c r="G1380" s="108">
        <v>45565</v>
      </c>
      <c r="H1380" s="126" t="s">
        <v>94</v>
      </c>
      <c r="I1380" s="126" t="s">
        <v>3706</v>
      </c>
      <c r="J1380" s="126" t="s">
        <v>8483</v>
      </c>
      <c r="K1380" s="126"/>
      <c r="L1380" s="126"/>
      <c r="M1380" s="126"/>
      <c r="N1380" s="126"/>
      <c r="O1380" s="126" t="s">
        <v>8484</v>
      </c>
      <c r="Q1380" s="3">
        <f t="shared" si="43"/>
        <v>17.59</v>
      </c>
      <c r="U1380" s="3" t="str">
        <f t="shared" si="44"/>
        <v/>
      </c>
    </row>
    <row r="1381" spans="1:21" x14ac:dyDescent="0.35">
      <c r="A1381" s="126" t="s">
        <v>0</v>
      </c>
      <c r="B1381" s="126" t="s">
        <v>1106</v>
      </c>
      <c r="C1381" s="126" t="s">
        <v>2</v>
      </c>
      <c r="D1381" s="126" t="s">
        <v>3</v>
      </c>
      <c r="E1381" s="126">
        <v>17.579999999999998</v>
      </c>
      <c r="F1381" s="126" t="s">
        <v>88</v>
      </c>
      <c r="G1381" s="108">
        <v>45457</v>
      </c>
      <c r="H1381" s="126" t="s">
        <v>89</v>
      </c>
      <c r="I1381" s="126" t="s">
        <v>7995</v>
      </c>
      <c r="J1381" s="126"/>
      <c r="K1381" s="126" t="s">
        <v>7996</v>
      </c>
      <c r="L1381" s="126" t="s">
        <v>7997</v>
      </c>
      <c r="M1381" s="126" t="s">
        <v>7998</v>
      </c>
      <c r="N1381" s="126"/>
      <c r="O1381" s="126"/>
      <c r="Q1381" s="3">
        <f t="shared" si="43"/>
        <v>17.579999999999998</v>
      </c>
      <c r="S1381" s="55" t="s">
        <v>9013</v>
      </c>
      <c r="U1381" s="3" t="str">
        <f t="shared" si="44"/>
        <v/>
      </c>
    </row>
    <row r="1382" spans="1:21" x14ac:dyDescent="0.35">
      <c r="A1382" s="126" t="s">
        <v>0</v>
      </c>
      <c r="B1382" s="126" t="s">
        <v>2473</v>
      </c>
      <c r="C1382" s="126" t="s">
        <v>2</v>
      </c>
      <c r="D1382" s="126" t="s">
        <v>3</v>
      </c>
      <c r="E1382" s="126">
        <v>17.54</v>
      </c>
      <c r="F1382" s="126" t="s">
        <v>88</v>
      </c>
      <c r="G1382" s="108">
        <v>45457</v>
      </c>
      <c r="H1382" s="126" t="s">
        <v>89</v>
      </c>
      <c r="I1382" s="126" t="s">
        <v>7995</v>
      </c>
      <c r="J1382" s="126"/>
      <c r="K1382" s="126" t="s">
        <v>7996</v>
      </c>
      <c r="L1382" s="126" t="s">
        <v>7997</v>
      </c>
      <c r="M1382" s="126" t="s">
        <v>7998</v>
      </c>
      <c r="N1382" s="126"/>
      <c r="O1382" s="126"/>
      <c r="Q1382" s="3">
        <f t="shared" si="43"/>
        <v>17.54</v>
      </c>
      <c r="S1382" s="55" t="s">
        <v>9013</v>
      </c>
      <c r="U1382" s="3" t="str">
        <f t="shared" si="44"/>
        <v/>
      </c>
    </row>
    <row r="1383" spans="1:21" x14ac:dyDescent="0.35">
      <c r="A1383" s="126" t="s">
        <v>0</v>
      </c>
      <c r="B1383" s="126" t="s">
        <v>698</v>
      </c>
      <c r="C1383" s="126" t="s">
        <v>2</v>
      </c>
      <c r="D1383" s="126" t="s">
        <v>3</v>
      </c>
      <c r="E1383" s="126">
        <v>17.53</v>
      </c>
      <c r="F1383" s="126" t="s">
        <v>88</v>
      </c>
      <c r="G1383" s="108">
        <v>45457</v>
      </c>
      <c r="H1383" s="126" t="s">
        <v>89</v>
      </c>
      <c r="I1383" s="126" t="s">
        <v>7995</v>
      </c>
      <c r="J1383" s="126"/>
      <c r="K1383" s="126" t="s">
        <v>7996</v>
      </c>
      <c r="L1383" s="126" t="s">
        <v>7997</v>
      </c>
      <c r="M1383" s="126" t="s">
        <v>7998</v>
      </c>
      <c r="N1383" s="126"/>
      <c r="O1383" s="126"/>
      <c r="Q1383" s="3">
        <f t="shared" si="43"/>
        <v>17.53</v>
      </c>
      <c r="S1383" s="55" t="s">
        <v>9013</v>
      </c>
      <c r="U1383" s="3" t="str">
        <f t="shared" si="44"/>
        <v/>
      </c>
    </row>
    <row r="1384" spans="1:21" x14ac:dyDescent="0.35">
      <c r="A1384" s="126" t="s">
        <v>35</v>
      </c>
      <c r="B1384" s="126" t="s">
        <v>788</v>
      </c>
      <c r="C1384" s="126" t="s">
        <v>2</v>
      </c>
      <c r="D1384" s="126" t="s">
        <v>3</v>
      </c>
      <c r="E1384" s="126">
        <v>17.489999999999998</v>
      </c>
      <c r="F1384" s="126" t="s">
        <v>88</v>
      </c>
      <c r="G1384" s="108">
        <v>45418</v>
      </c>
      <c r="H1384" s="126" t="s">
        <v>94</v>
      </c>
      <c r="I1384" s="126" t="s">
        <v>504</v>
      </c>
      <c r="J1384" s="126" t="s">
        <v>7797</v>
      </c>
      <c r="K1384" s="126"/>
      <c r="L1384" s="126"/>
      <c r="M1384" s="126"/>
      <c r="N1384" s="126"/>
      <c r="O1384" s="126" t="s">
        <v>583</v>
      </c>
      <c r="Q1384" s="3">
        <f t="shared" si="43"/>
        <v>17.489999999999998</v>
      </c>
      <c r="S1384" s="55" t="s">
        <v>9014</v>
      </c>
      <c r="U1384" s="3" t="str">
        <f t="shared" si="44"/>
        <v/>
      </c>
    </row>
    <row r="1385" spans="1:21" x14ac:dyDescent="0.35">
      <c r="A1385" s="126" t="s">
        <v>35</v>
      </c>
      <c r="B1385" s="126" t="s">
        <v>788</v>
      </c>
      <c r="C1385" s="126" t="s">
        <v>2</v>
      </c>
      <c r="D1385" s="126" t="s">
        <v>3</v>
      </c>
      <c r="E1385" s="126">
        <v>17.45</v>
      </c>
      <c r="F1385" s="126" t="s">
        <v>88</v>
      </c>
      <c r="G1385" s="108">
        <v>45537</v>
      </c>
      <c r="H1385" s="126" t="s">
        <v>94</v>
      </c>
      <c r="I1385" s="126" t="s">
        <v>438</v>
      </c>
      <c r="J1385" s="126" t="s">
        <v>8381</v>
      </c>
      <c r="K1385" s="126"/>
      <c r="L1385" s="126"/>
      <c r="M1385" s="126"/>
      <c r="N1385" s="126"/>
      <c r="O1385" s="126" t="s">
        <v>533</v>
      </c>
      <c r="Q1385" s="3">
        <f t="shared" si="43"/>
        <v>17.45</v>
      </c>
      <c r="S1385" s="55" t="s">
        <v>9014</v>
      </c>
      <c r="U1385" s="3" t="str">
        <f t="shared" si="44"/>
        <v/>
      </c>
    </row>
    <row r="1386" spans="1:21" x14ac:dyDescent="0.35">
      <c r="A1386" s="126" t="s">
        <v>35</v>
      </c>
      <c r="B1386" s="126" t="s">
        <v>953</v>
      </c>
      <c r="C1386" s="126" t="s">
        <v>2</v>
      </c>
      <c r="D1386" s="126" t="s">
        <v>3</v>
      </c>
      <c r="E1386" s="126">
        <v>17.45</v>
      </c>
      <c r="F1386" s="126" t="s">
        <v>88</v>
      </c>
      <c r="G1386" s="108">
        <v>45565</v>
      </c>
      <c r="H1386" s="126" t="s">
        <v>94</v>
      </c>
      <c r="I1386" s="126" t="s">
        <v>7882</v>
      </c>
      <c r="J1386" s="126" t="s">
        <v>8478</v>
      </c>
      <c r="K1386" s="126"/>
      <c r="L1386" s="126"/>
      <c r="M1386" s="126"/>
      <c r="N1386" s="126"/>
      <c r="O1386" s="126" t="s">
        <v>576</v>
      </c>
      <c r="Q1386" s="3">
        <f t="shared" si="43"/>
        <v>17.45</v>
      </c>
      <c r="S1386" s="55" t="s">
        <v>9014</v>
      </c>
      <c r="U1386" s="3" t="str">
        <f t="shared" si="44"/>
        <v/>
      </c>
    </row>
    <row r="1387" spans="1:21" x14ac:dyDescent="0.35">
      <c r="A1387" s="126" t="s">
        <v>0</v>
      </c>
      <c r="B1387" s="126" t="s">
        <v>6394</v>
      </c>
      <c r="C1387" s="126" t="s">
        <v>2</v>
      </c>
      <c r="D1387" s="126" t="s">
        <v>3</v>
      </c>
      <c r="E1387" s="126">
        <v>17.38</v>
      </c>
      <c r="F1387" s="126" t="s">
        <v>88</v>
      </c>
      <c r="G1387" s="108">
        <v>45457</v>
      </c>
      <c r="H1387" s="126" t="s">
        <v>89</v>
      </c>
      <c r="I1387" s="126" t="s">
        <v>7995</v>
      </c>
      <c r="J1387" s="126"/>
      <c r="K1387" s="126" t="s">
        <v>7996</v>
      </c>
      <c r="L1387" s="126" t="s">
        <v>7997</v>
      </c>
      <c r="M1387" s="126" t="s">
        <v>7998</v>
      </c>
      <c r="N1387" s="126"/>
      <c r="O1387" s="126"/>
      <c r="Q1387" s="3">
        <f t="shared" si="43"/>
        <v>17.38</v>
      </c>
      <c r="S1387" s="55" t="s">
        <v>9013</v>
      </c>
      <c r="U1387" s="3" t="str">
        <f t="shared" si="44"/>
        <v/>
      </c>
    </row>
    <row r="1388" spans="1:21" x14ac:dyDescent="0.35">
      <c r="A1388" s="126" t="s">
        <v>35</v>
      </c>
      <c r="B1388" s="126" t="s">
        <v>1075</v>
      </c>
      <c r="C1388" s="126" t="s">
        <v>2</v>
      </c>
      <c r="D1388" s="126" t="s">
        <v>3</v>
      </c>
      <c r="E1388" s="126">
        <v>17.32</v>
      </c>
      <c r="F1388" s="126" t="s">
        <v>88</v>
      </c>
      <c r="G1388" s="108">
        <v>45488</v>
      </c>
      <c r="H1388" s="126" t="s">
        <v>94</v>
      </c>
      <c r="I1388" s="126" t="s">
        <v>8113</v>
      </c>
      <c r="J1388" s="126" t="s">
        <v>433</v>
      </c>
      <c r="K1388" s="126"/>
      <c r="L1388" s="126"/>
      <c r="M1388" s="126"/>
      <c r="N1388" s="126"/>
      <c r="O1388" s="126" t="s">
        <v>8114</v>
      </c>
      <c r="Q1388" s="3">
        <f t="shared" si="43"/>
        <v>17.32</v>
      </c>
      <c r="S1388" s="55" t="s">
        <v>9025</v>
      </c>
      <c r="U1388" s="3" t="str">
        <f t="shared" si="44"/>
        <v/>
      </c>
    </row>
    <row r="1389" spans="1:21" x14ac:dyDescent="0.35">
      <c r="A1389" s="126" t="s">
        <v>35</v>
      </c>
      <c r="B1389" s="126" t="s">
        <v>740</v>
      </c>
      <c r="C1389" s="126" t="s">
        <v>2</v>
      </c>
      <c r="D1389" s="126" t="s">
        <v>3</v>
      </c>
      <c r="E1389" s="126">
        <v>17.27</v>
      </c>
      <c r="F1389" s="126" t="s">
        <v>88</v>
      </c>
      <c r="G1389" s="108">
        <v>45636</v>
      </c>
      <c r="H1389" s="126" t="s">
        <v>94</v>
      </c>
      <c r="I1389" s="126" t="s">
        <v>8917</v>
      </c>
      <c r="J1389" s="126" t="s">
        <v>8173</v>
      </c>
      <c r="K1389" s="126"/>
      <c r="L1389" s="126"/>
      <c r="M1389" s="126"/>
      <c r="N1389" s="126"/>
      <c r="O1389" s="126" t="s">
        <v>8920</v>
      </c>
      <c r="Q1389" s="3">
        <f t="shared" si="43"/>
        <v>17.27</v>
      </c>
      <c r="S1389" s="55" t="s">
        <v>9014</v>
      </c>
      <c r="U1389" s="3" t="str">
        <f t="shared" si="44"/>
        <v/>
      </c>
    </row>
    <row r="1390" spans="1:21" x14ac:dyDescent="0.35">
      <c r="A1390" s="126" t="s">
        <v>0</v>
      </c>
      <c r="B1390" s="126" t="s">
        <v>3466</v>
      </c>
      <c r="C1390" s="126" t="s">
        <v>2</v>
      </c>
      <c r="D1390" s="126" t="s">
        <v>3</v>
      </c>
      <c r="E1390" s="126">
        <v>17.16</v>
      </c>
      <c r="F1390" s="126" t="s">
        <v>88</v>
      </c>
      <c r="G1390" s="108">
        <v>45516</v>
      </c>
      <c r="H1390" s="126" t="s">
        <v>89</v>
      </c>
      <c r="I1390" s="126" t="s">
        <v>8304</v>
      </c>
      <c r="J1390" s="126"/>
      <c r="K1390" s="126" t="s">
        <v>8306</v>
      </c>
      <c r="L1390" s="126" t="s">
        <v>8305</v>
      </c>
      <c r="M1390" s="126" t="s">
        <v>8241</v>
      </c>
      <c r="N1390" s="126"/>
      <c r="O1390" s="126"/>
      <c r="Q1390" s="3">
        <f t="shared" si="43"/>
        <v>17.16</v>
      </c>
      <c r="S1390" s="55" t="s">
        <v>9016</v>
      </c>
      <c r="U1390" s="3" t="str">
        <f t="shared" si="44"/>
        <v/>
      </c>
    </row>
    <row r="1391" spans="1:21" x14ac:dyDescent="0.35">
      <c r="A1391" s="126" t="s">
        <v>35</v>
      </c>
      <c r="B1391" s="126" t="s">
        <v>4622</v>
      </c>
      <c r="C1391" s="126" t="s">
        <v>2</v>
      </c>
      <c r="D1391" s="126" t="s">
        <v>3</v>
      </c>
      <c r="E1391" s="126">
        <v>17.100000000000001</v>
      </c>
      <c r="F1391" s="126" t="s">
        <v>88</v>
      </c>
      <c r="G1391" s="108">
        <v>45387</v>
      </c>
      <c r="H1391" s="126" t="s">
        <v>94</v>
      </c>
      <c r="I1391" s="126" t="s">
        <v>7662</v>
      </c>
      <c r="J1391" s="126" t="s">
        <v>7663</v>
      </c>
      <c r="K1391" s="126"/>
      <c r="L1391" s="126"/>
      <c r="M1391" s="126"/>
      <c r="N1391" s="126"/>
      <c r="O1391" s="126" t="s">
        <v>7664</v>
      </c>
      <c r="Q1391" s="3">
        <f t="shared" si="43"/>
        <v>17.100000000000001</v>
      </c>
      <c r="U1391" s="3" t="str">
        <f t="shared" si="44"/>
        <v/>
      </c>
    </row>
    <row r="1392" spans="1:21" x14ac:dyDescent="0.35">
      <c r="A1392" s="126" t="s">
        <v>35</v>
      </c>
      <c r="B1392" s="126" t="s">
        <v>2543</v>
      </c>
      <c r="C1392" s="126" t="s">
        <v>2</v>
      </c>
      <c r="D1392" s="126" t="s">
        <v>3</v>
      </c>
      <c r="E1392" s="126">
        <v>17.100000000000001</v>
      </c>
      <c r="F1392" s="126" t="s">
        <v>88</v>
      </c>
      <c r="G1392" s="108">
        <v>45534</v>
      </c>
      <c r="H1392" s="126" t="s">
        <v>94</v>
      </c>
      <c r="I1392" s="126" t="s">
        <v>510</v>
      </c>
      <c r="J1392" s="126" t="s">
        <v>511</v>
      </c>
      <c r="K1392" s="126"/>
      <c r="L1392" s="126"/>
      <c r="M1392" s="126"/>
      <c r="N1392" s="126"/>
      <c r="O1392" s="126" t="s">
        <v>537</v>
      </c>
      <c r="Q1392" s="3">
        <f t="shared" si="43"/>
        <v>17.100000000000001</v>
      </c>
      <c r="S1392" s="55" t="s">
        <v>586</v>
      </c>
      <c r="U1392" s="3" t="str">
        <f t="shared" si="44"/>
        <v/>
      </c>
    </row>
    <row r="1393" spans="1:21" x14ac:dyDescent="0.35">
      <c r="A1393" s="126" t="s">
        <v>0</v>
      </c>
      <c r="B1393" s="126" t="s">
        <v>664</v>
      </c>
      <c r="C1393" s="126" t="s">
        <v>2</v>
      </c>
      <c r="D1393" s="126" t="s">
        <v>3</v>
      </c>
      <c r="E1393" s="126">
        <v>17.05</v>
      </c>
      <c r="F1393" s="126" t="s">
        <v>88</v>
      </c>
      <c r="G1393" s="108">
        <v>45457</v>
      </c>
      <c r="H1393" s="126" t="s">
        <v>89</v>
      </c>
      <c r="I1393" s="126" t="s">
        <v>7995</v>
      </c>
      <c r="J1393" s="126"/>
      <c r="K1393" s="126" t="s">
        <v>7996</v>
      </c>
      <c r="L1393" s="126" t="s">
        <v>7997</v>
      </c>
      <c r="M1393" s="126" t="s">
        <v>7998</v>
      </c>
      <c r="N1393" s="126"/>
      <c r="O1393" s="126"/>
      <c r="Q1393" s="3">
        <f t="shared" si="43"/>
        <v>17.05</v>
      </c>
      <c r="S1393" s="55" t="s">
        <v>9013</v>
      </c>
      <c r="U1393" s="3" t="str">
        <f t="shared" si="44"/>
        <v/>
      </c>
    </row>
    <row r="1394" spans="1:21" x14ac:dyDescent="0.35">
      <c r="A1394" s="126" t="s">
        <v>0</v>
      </c>
      <c r="B1394" s="126" t="s">
        <v>6405</v>
      </c>
      <c r="C1394" s="126" t="s">
        <v>2</v>
      </c>
      <c r="D1394" s="126" t="s">
        <v>3</v>
      </c>
      <c r="E1394" s="126">
        <v>17.05</v>
      </c>
      <c r="F1394" s="126" t="s">
        <v>88</v>
      </c>
      <c r="G1394" s="108">
        <v>45457</v>
      </c>
      <c r="H1394" s="126" t="s">
        <v>89</v>
      </c>
      <c r="I1394" s="126" t="s">
        <v>7995</v>
      </c>
      <c r="J1394" s="126"/>
      <c r="K1394" s="126" t="s">
        <v>7996</v>
      </c>
      <c r="L1394" s="126" t="s">
        <v>7997</v>
      </c>
      <c r="M1394" s="126" t="s">
        <v>7998</v>
      </c>
      <c r="N1394" s="126"/>
      <c r="O1394" s="126"/>
      <c r="Q1394" s="3">
        <f t="shared" si="43"/>
        <v>17.05</v>
      </c>
      <c r="S1394" s="55" t="s">
        <v>9013</v>
      </c>
      <c r="U1394" s="3" t="str">
        <f t="shared" si="44"/>
        <v/>
      </c>
    </row>
    <row r="1395" spans="1:21" x14ac:dyDescent="0.35">
      <c r="A1395" s="126" t="s">
        <v>35</v>
      </c>
      <c r="B1395" s="126" t="s">
        <v>2543</v>
      </c>
      <c r="C1395" s="126" t="s">
        <v>2</v>
      </c>
      <c r="D1395" s="126" t="s">
        <v>3</v>
      </c>
      <c r="E1395" s="126">
        <v>17.05</v>
      </c>
      <c r="F1395" s="126" t="s">
        <v>88</v>
      </c>
      <c r="G1395" s="108">
        <v>45524</v>
      </c>
      <c r="H1395" s="126" t="s">
        <v>94</v>
      </c>
      <c r="I1395" s="126" t="s">
        <v>7770</v>
      </c>
      <c r="J1395" s="126" t="s">
        <v>8350</v>
      </c>
      <c r="K1395" s="126"/>
      <c r="L1395" s="126"/>
      <c r="M1395" s="126"/>
      <c r="N1395" s="126"/>
      <c r="O1395" s="126" t="s">
        <v>8351</v>
      </c>
      <c r="Q1395" s="3">
        <f t="shared" si="43"/>
        <v>17.05</v>
      </c>
      <c r="U1395" s="3" t="str">
        <f t="shared" si="44"/>
        <v/>
      </c>
    </row>
    <row r="1396" spans="1:21" x14ac:dyDescent="0.35">
      <c r="A1396" s="126" t="s">
        <v>35</v>
      </c>
      <c r="B1396" s="126" t="s">
        <v>1533</v>
      </c>
      <c r="C1396" s="126" t="s">
        <v>2</v>
      </c>
      <c r="D1396" s="126" t="s">
        <v>3</v>
      </c>
      <c r="E1396" s="126">
        <v>17</v>
      </c>
      <c r="F1396" s="126" t="s">
        <v>88</v>
      </c>
      <c r="G1396" s="108">
        <v>45495</v>
      </c>
      <c r="H1396" s="126" t="s">
        <v>94</v>
      </c>
      <c r="I1396" s="126" t="s">
        <v>424</v>
      </c>
      <c r="J1396" s="126" t="s">
        <v>8209</v>
      </c>
      <c r="K1396" s="126"/>
      <c r="L1396" s="126"/>
      <c r="M1396" s="126"/>
      <c r="N1396" s="126"/>
      <c r="O1396" s="126" t="s">
        <v>8210</v>
      </c>
      <c r="Q1396" s="3">
        <f t="shared" si="43"/>
        <v>17</v>
      </c>
      <c r="U1396" s="3" t="str">
        <f t="shared" si="44"/>
        <v/>
      </c>
    </row>
    <row r="1397" spans="1:21" x14ac:dyDescent="0.35">
      <c r="A1397" s="126" t="s">
        <v>35</v>
      </c>
      <c r="B1397" s="126" t="s">
        <v>2543</v>
      </c>
      <c r="C1397" s="126" t="s">
        <v>2</v>
      </c>
      <c r="D1397" s="126" t="s">
        <v>3</v>
      </c>
      <c r="E1397" s="126">
        <v>16.97</v>
      </c>
      <c r="F1397" s="126" t="s">
        <v>88</v>
      </c>
      <c r="G1397" s="108">
        <v>45607</v>
      </c>
      <c r="H1397" s="126" t="s">
        <v>94</v>
      </c>
      <c r="I1397" s="126" t="s">
        <v>444</v>
      </c>
      <c r="J1397" s="126" t="s">
        <v>445</v>
      </c>
      <c r="K1397" s="126"/>
      <c r="L1397" s="126"/>
      <c r="M1397" s="126"/>
      <c r="N1397" s="126"/>
      <c r="O1397" s="126" t="s">
        <v>537</v>
      </c>
      <c r="Q1397" s="3">
        <f t="shared" si="43"/>
        <v>16.97</v>
      </c>
      <c r="U1397" s="3" t="str">
        <f t="shared" si="44"/>
        <v/>
      </c>
    </row>
    <row r="1398" spans="1:21" x14ac:dyDescent="0.35">
      <c r="A1398" s="126" t="s">
        <v>0</v>
      </c>
      <c r="B1398" s="126" t="s">
        <v>969</v>
      </c>
      <c r="C1398" s="126" t="s">
        <v>2</v>
      </c>
      <c r="D1398" s="126" t="s">
        <v>3</v>
      </c>
      <c r="E1398" s="126">
        <v>16.59</v>
      </c>
      <c r="F1398" s="126" t="s">
        <v>88</v>
      </c>
      <c r="G1398" s="108">
        <v>45393</v>
      </c>
      <c r="H1398" s="126" t="s">
        <v>89</v>
      </c>
      <c r="I1398" s="126" t="s">
        <v>7702</v>
      </c>
      <c r="J1398" s="126"/>
      <c r="K1398" s="126" t="s">
        <v>7655</v>
      </c>
      <c r="L1398" s="126" t="s">
        <v>7703</v>
      </c>
      <c r="M1398" s="126" t="s">
        <v>420</v>
      </c>
      <c r="N1398" s="126"/>
      <c r="O1398" s="126"/>
      <c r="Q1398" s="3">
        <f t="shared" si="43"/>
        <v>16.59</v>
      </c>
      <c r="U1398" s="3" t="str">
        <f t="shared" si="44"/>
        <v/>
      </c>
    </row>
    <row r="1399" spans="1:21" x14ac:dyDescent="0.35">
      <c r="A1399" s="126" t="s">
        <v>35</v>
      </c>
      <c r="B1399" s="126" t="s">
        <v>6044</v>
      </c>
      <c r="C1399" s="126" t="s">
        <v>2</v>
      </c>
      <c r="D1399" s="126" t="s">
        <v>3</v>
      </c>
      <c r="E1399" s="126">
        <v>16.59</v>
      </c>
      <c r="F1399" s="126" t="s">
        <v>88</v>
      </c>
      <c r="G1399" s="108">
        <v>45475</v>
      </c>
      <c r="H1399" s="126" t="s">
        <v>94</v>
      </c>
      <c r="I1399" s="126" t="s">
        <v>489</v>
      </c>
      <c r="J1399" s="126" t="s">
        <v>8105</v>
      </c>
      <c r="K1399" s="126"/>
      <c r="L1399" s="126"/>
      <c r="M1399" s="126"/>
      <c r="N1399" s="126"/>
      <c r="O1399" s="126" t="s">
        <v>7032</v>
      </c>
      <c r="Q1399" s="3">
        <f t="shared" si="43"/>
        <v>16.59</v>
      </c>
      <c r="S1399" s="55" t="s">
        <v>9014</v>
      </c>
      <c r="U1399" s="3" t="str">
        <f t="shared" si="44"/>
        <v/>
      </c>
    </row>
    <row r="1400" spans="1:21" x14ac:dyDescent="0.35">
      <c r="A1400" s="126" t="s">
        <v>35</v>
      </c>
      <c r="B1400" s="126" t="s">
        <v>601</v>
      </c>
      <c r="C1400" s="126" t="s">
        <v>2</v>
      </c>
      <c r="D1400" s="126" t="s">
        <v>3</v>
      </c>
      <c r="E1400" s="126">
        <v>16.59</v>
      </c>
      <c r="F1400" s="126" t="s">
        <v>88</v>
      </c>
      <c r="G1400" s="108">
        <v>45608</v>
      </c>
      <c r="H1400" s="126" t="s">
        <v>94</v>
      </c>
      <c r="I1400" s="126" t="s">
        <v>2935</v>
      </c>
      <c r="J1400" s="126" t="s">
        <v>332</v>
      </c>
      <c r="K1400" s="126"/>
      <c r="L1400" s="126"/>
      <c r="M1400" s="126"/>
      <c r="N1400" s="126"/>
      <c r="O1400" s="126" t="s">
        <v>556</v>
      </c>
      <c r="Q1400" s="3">
        <f t="shared" si="43"/>
        <v>16.59</v>
      </c>
      <c r="U1400" s="3" t="str">
        <f t="shared" si="44"/>
        <v/>
      </c>
    </row>
    <row r="1401" spans="1:21" x14ac:dyDescent="0.35">
      <c r="A1401" s="126" t="s">
        <v>35</v>
      </c>
      <c r="B1401" s="126" t="s">
        <v>708</v>
      </c>
      <c r="C1401" s="126" t="s">
        <v>2</v>
      </c>
      <c r="D1401" s="126" t="s">
        <v>3</v>
      </c>
      <c r="E1401" s="126">
        <v>16.52</v>
      </c>
      <c r="F1401" s="126" t="s">
        <v>88</v>
      </c>
      <c r="G1401" s="108">
        <v>45594</v>
      </c>
      <c r="H1401" s="126" t="s">
        <v>94</v>
      </c>
      <c r="I1401" s="126" t="s">
        <v>8610</v>
      </c>
      <c r="J1401" s="126" t="s">
        <v>8611</v>
      </c>
      <c r="K1401" s="126"/>
      <c r="L1401" s="126"/>
      <c r="M1401" s="126"/>
      <c r="N1401" s="126"/>
      <c r="O1401" s="126" t="s">
        <v>8612</v>
      </c>
      <c r="Q1401" s="3">
        <f t="shared" si="43"/>
        <v>16.52</v>
      </c>
      <c r="U1401" s="3" t="str">
        <f t="shared" si="44"/>
        <v/>
      </c>
    </row>
    <row r="1402" spans="1:21" x14ac:dyDescent="0.35">
      <c r="A1402" s="126" t="s">
        <v>35</v>
      </c>
      <c r="B1402" s="126" t="s">
        <v>788</v>
      </c>
      <c r="C1402" s="126" t="s">
        <v>2</v>
      </c>
      <c r="D1402" s="126" t="s">
        <v>3</v>
      </c>
      <c r="E1402" s="126">
        <v>16.510000000000002</v>
      </c>
      <c r="F1402" s="126" t="s">
        <v>88</v>
      </c>
      <c r="G1402" s="108">
        <v>45642</v>
      </c>
      <c r="H1402" s="126" t="s">
        <v>94</v>
      </c>
      <c r="I1402" s="126" t="s">
        <v>438</v>
      </c>
      <c r="J1402" s="126" t="s">
        <v>8974</v>
      </c>
      <c r="K1402" s="126"/>
      <c r="L1402" s="126"/>
      <c r="M1402" s="126"/>
      <c r="N1402" s="126"/>
      <c r="O1402" s="126" t="s">
        <v>567</v>
      </c>
      <c r="Q1402" s="3">
        <f t="shared" si="43"/>
        <v>16.510000000000002</v>
      </c>
      <c r="S1402" s="55" t="s">
        <v>9014</v>
      </c>
      <c r="U1402" s="3" t="str">
        <f t="shared" si="44"/>
        <v/>
      </c>
    </row>
    <row r="1403" spans="1:21" x14ac:dyDescent="0.35">
      <c r="A1403" s="126" t="s">
        <v>35</v>
      </c>
      <c r="B1403" s="126" t="s">
        <v>788</v>
      </c>
      <c r="C1403" s="126" t="s">
        <v>2</v>
      </c>
      <c r="D1403" s="126" t="s">
        <v>3</v>
      </c>
      <c r="E1403" s="126">
        <v>16.47</v>
      </c>
      <c r="F1403" s="126" t="s">
        <v>88</v>
      </c>
      <c r="G1403" s="108">
        <v>45426</v>
      </c>
      <c r="H1403" s="126" t="s">
        <v>94</v>
      </c>
      <c r="I1403" s="126" t="s">
        <v>438</v>
      </c>
      <c r="J1403" s="126" t="s">
        <v>7822</v>
      </c>
      <c r="K1403" s="126"/>
      <c r="L1403" s="126"/>
      <c r="M1403" s="126"/>
      <c r="N1403" s="126"/>
      <c r="O1403" s="126" t="s">
        <v>567</v>
      </c>
      <c r="Q1403" s="3">
        <f t="shared" si="43"/>
        <v>16.47</v>
      </c>
      <c r="S1403" s="55" t="s">
        <v>9014</v>
      </c>
      <c r="U1403" s="3" t="str">
        <f t="shared" si="44"/>
        <v/>
      </c>
    </row>
    <row r="1404" spans="1:21" x14ac:dyDescent="0.35">
      <c r="A1404" s="126" t="s">
        <v>0</v>
      </c>
      <c r="B1404" s="126" t="s">
        <v>7674</v>
      </c>
      <c r="C1404" s="126" t="s">
        <v>2</v>
      </c>
      <c r="D1404" s="126" t="s">
        <v>3</v>
      </c>
      <c r="E1404" s="126">
        <v>16.309999999999999</v>
      </c>
      <c r="F1404" s="126" t="s">
        <v>88</v>
      </c>
      <c r="G1404" s="108">
        <v>45611</v>
      </c>
      <c r="H1404" s="126" t="s">
        <v>89</v>
      </c>
      <c r="I1404" s="126" t="s">
        <v>8734</v>
      </c>
      <c r="J1404" s="126"/>
      <c r="K1404" s="126" t="s">
        <v>8735</v>
      </c>
      <c r="L1404" s="126" t="s">
        <v>8736</v>
      </c>
      <c r="M1404" s="126" t="s">
        <v>399</v>
      </c>
      <c r="Q1404" s="3">
        <f t="shared" si="43"/>
        <v>16.309999999999999</v>
      </c>
      <c r="S1404" s="55" t="s">
        <v>9013</v>
      </c>
      <c r="U1404" s="3" t="str">
        <f t="shared" si="44"/>
        <v/>
      </c>
    </row>
    <row r="1405" spans="1:21" x14ac:dyDescent="0.35">
      <c r="A1405" s="126" t="s">
        <v>0</v>
      </c>
      <c r="B1405" s="126" t="s">
        <v>7674</v>
      </c>
      <c r="C1405" s="126" t="s">
        <v>2</v>
      </c>
      <c r="D1405" s="126" t="s">
        <v>3</v>
      </c>
      <c r="E1405" s="126">
        <v>16.3</v>
      </c>
      <c r="F1405" s="126" t="s">
        <v>88</v>
      </c>
      <c r="G1405" s="108">
        <v>45635</v>
      </c>
      <c r="H1405" s="126" t="s">
        <v>89</v>
      </c>
      <c r="I1405" s="126" t="s">
        <v>8878</v>
      </c>
      <c r="J1405" s="126"/>
      <c r="K1405" s="126" t="s">
        <v>8879</v>
      </c>
      <c r="L1405" s="126" t="s">
        <v>8880</v>
      </c>
      <c r="M1405" s="126" t="s">
        <v>399</v>
      </c>
      <c r="Q1405" s="3">
        <f t="shared" si="43"/>
        <v>16.3</v>
      </c>
      <c r="S1405" s="55" t="s">
        <v>9013</v>
      </c>
      <c r="U1405" s="3" t="str">
        <f t="shared" si="44"/>
        <v/>
      </c>
    </row>
    <row r="1406" spans="1:21" x14ac:dyDescent="0.35">
      <c r="A1406" s="126" t="s">
        <v>35</v>
      </c>
      <c r="B1406" s="126" t="s">
        <v>1075</v>
      </c>
      <c r="C1406" s="126" t="s">
        <v>2</v>
      </c>
      <c r="D1406" s="126" t="s">
        <v>3</v>
      </c>
      <c r="E1406" s="126">
        <v>16.27</v>
      </c>
      <c r="F1406" s="126" t="s">
        <v>88</v>
      </c>
      <c r="G1406" s="108">
        <v>45538</v>
      </c>
      <c r="H1406" s="126" t="s">
        <v>89</v>
      </c>
      <c r="I1406" s="126" t="s">
        <v>8392</v>
      </c>
      <c r="J1406" s="126"/>
      <c r="K1406" s="126" t="s">
        <v>7880</v>
      </c>
      <c r="L1406" s="126" t="s">
        <v>8393</v>
      </c>
      <c r="M1406" s="126" t="s">
        <v>396</v>
      </c>
      <c r="N1406" s="126"/>
      <c r="O1406" s="126"/>
      <c r="Q1406" s="3">
        <f t="shared" si="43"/>
        <v>16.27</v>
      </c>
      <c r="S1406" s="55" t="s">
        <v>9016</v>
      </c>
      <c r="U1406" s="3" t="str">
        <f t="shared" si="44"/>
        <v/>
      </c>
    </row>
    <row r="1407" spans="1:21" x14ac:dyDescent="0.35">
      <c r="A1407" s="126" t="s">
        <v>35</v>
      </c>
      <c r="B1407" s="126" t="s">
        <v>933</v>
      </c>
      <c r="C1407" s="126" t="s">
        <v>2</v>
      </c>
      <c r="D1407" s="126" t="s">
        <v>3</v>
      </c>
      <c r="E1407" s="126">
        <v>16.23</v>
      </c>
      <c r="F1407" s="126" t="s">
        <v>88</v>
      </c>
      <c r="G1407" s="108">
        <v>45635</v>
      </c>
      <c r="H1407" s="126" t="s">
        <v>89</v>
      </c>
      <c r="I1407" s="126" t="s">
        <v>8887</v>
      </c>
      <c r="J1407" s="126"/>
      <c r="K1407" s="126" t="s">
        <v>8888</v>
      </c>
      <c r="L1407" s="126" t="s">
        <v>8889</v>
      </c>
      <c r="M1407" s="126" t="s">
        <v>8890</v>
      </c>
      <c r="N1407" s="126"/>
      <c r="O1407" s="126"/>
      <c r="Q1407" s="3">
        <f t="shared" si="43"/>
        <v>16.23</v>
      </c>
      <c r="U1407" s="3" t="str">
        <f t="shared" si="44"/>
        <v/>
      </c>
    </row>
    <row r="1408" spans="1:21" x14ac:dyDescent="0.35">
      <c r="A1408" s="126" t="s">
        <v>0</v>
      </c>
      <c r="B1408" s="126" t="s">
        <v>953</v>
      </c>
      <c r="C1408" s="126" t="s">
        <v>2</v>
      </c>
      <c r="D1408" s="126" t="s">
        <v>3</v>
      </c>
      <c r="E1408" s="126">
        <v>16.2</v>
      </c>
      <c r="F1408" s="126" t="s">
        <v>88</v>
      </c>
      <c r="G1408" s="108">
        <v>45434</v>
      </c>
      <c r="H1408" s="126" t="s">
        <v>89</v>
      </c>
      <c r="I1408" s="126" t="s">
        <v>7865</v>
      </c>
      <c r="J1408" s="126"/>
      <c r="K1408" s="126" t="s">
        <v>101</v>
      </c>
      <c r="L1408" s="126" t="s">
        <v>7866</v>
      </c>
      <c r="M1408" s="126" t="s">
        <v>322</v>
      </c>
      <c r="N1408" s="126"/>
      <c r="O1408" s="126"/>
      <c r="Q1408" s="3">
        <f t="shared" si="43"/>
        <v>16.2</v>
      </c>
      <c r="U1408" s="3" t="str">
        <f t="shared" si="44"/>
        <v/>
      </c>
    </row>
    <row r="1409" spans="1:21" x14ac:dyDescent="0.35">
      <c r="A1409" s="126" t="s">
        <v>0</v>
      </c>
      <c r="B1409" s="126" t="s">
        <v>953</v>
      </c>
      <c r="C1409" s="126" t="s">
        <v>2</v>
      </c>
      <c r="D1409" s="126" t="s">
        <v>3</v>
      </c>
      <c r="E1409" s="126">
        <v>16.2</v>
      </c>
      <c r="F1409" s="126" t="s">
        <v>88</v>
      </c>
      <c r="G1409" s="108">
        <v>45467</v>
      </c>
      <c r="H1409" s="126" t="s">
        <v>89</v>
      </c>
      <c r="I1409" s="126" t="s">
        <v>8049</v>
      </c>
      <c r="J1409" s="126"/>
      <c r="K1409" s="126" t="s">
        <v>101</v>
      </c>
      <c r="L1409" s="126" t="s">
        <v>8050</v>
      </c>
      <c r="M1409" s="126" t="s">
        <v>322</v>
      </c>
      <c r="N1409" s="126"/>
      <c r="O1409" s="126"/>
      <c r="Q1409" s="3">
        <f t="shared" si="43"/>
        <v>16.2</v>
      </c>
      <c r="U1409" s="3" t="str">
        <f t="shared" si="44"/>
        <v/>
      </c>
    </row>
    <row r="1410" spans="1:21" x14ac:dyDescent="0.35">
      <c r="A1410" s="126" t="s">
        <v>0</v>
      </c>
      <c r="B1410" s="126" t="s">
        <v>953</v>
      </c>
      <c r="C1410" s="126" t="s">
        <v>2</v>
      </c>
      <c r="D1410" s="126" t="s">
        <v>3</v>
      </c>
      <c r="E1410" s="126">
        <v>16.18</v>
      </c>
      <c r="F1410" s="126" t="s">
        <v>88</v>
      </c>
      <c r="G1410" s="108">
        <v>45397</v>
      </c>
      <c r="H1410" s="126" t="s">
        <v>89</v>
      </c>
      <c r="I1410" s="126" t="s">
        <v>7719</v>
      </c>
      <c r="J1410" s="126"/>
      <c r="K1410" s="126" t="s">
        <v>7720</v>
      </c>
      <c r="L1410" s="126" t="s">
        <v>7721</v>
      </c>
      <c r="M1410" s="126" t="s">
        <v>322</v>
      </c>
      <c r="N1410" s="126"/>
      <c r="O1410" s="126"/>
      <c r="Q1410" s="3">
        <f t="shared" si="43"/>
        <v>16.18</v>
      </c>
      <c r="U1410" s="3" t="str">
        <f t="shared" si="44"/>
        <v/>
      </c>
    </row>
    <row r="1411" spans="1:21" x14ac:dyDescent="0.35">
      <c r="A1411" s="126" t="s">
        <v>35</v>
      </c>
      <c r="B1411" s="126" t="s">
        <v>788</v>
      </c>
      <c r="C1411" s="126" t="s">
        <v>2</v>
      </c>
      <c r="D1411" s="126" t="s">
        <v>3</v>
      </c>
      <c r="E1411" s="126">
        <v>15.82</v>
      </c>
      <c r="F1411" s="126" t="s">
        <v>88</v>
      </c>
      <c r="G1411" s="108">
        <v>45537</v>
      </c>
      <c r="H1411" s="126" t="s">
        <v>94</v>
      </c>
      <c r="I1411" s="126" t="s">
        <v>438</v>
      </c>
      <c r="J1411" s="126" t="s">
        <v>8382</v>
      </c>
      <c r="K1411" s="126"/>
      <c r="L1411" s="126"/>
      <c r="M1411" s="126"/>
      <c r="N1411" s="126"/>
      <c r="O1411" s="126" t="s">
        <v>8383</v>
      </c>
      <c r="Q1411" s="3">
        <f t="shared" si="43"/>
        <v>15.82</v>
      </c>
      <c r="S1411" s="55" t="s">
        <v>9014</v>
      </c>
      <c r="U1411" s="3" t="str">
        <f t="shared" si="44"/>
        <v/>
      </c>
    </row>
    <row r="1412" spans="1:21" x14ac:dyDescent="0.35">
      <c r="A1412" s="126" t="s">
        <v>35</v>
      </c>
      <c r="B1412" s="126" t="s">
        <v>677</v>
      </c>
      <c r="C1412" s="126" t="s">
        <v>2</v>
      </c>
      <c r="D1412" s="126" t="s">
        <v>3</v>
      </c>
      <c r="E1412" s="126">
        <v>15.8</v>
      </c>
      <c r="F1412" s="126" t="s">
        <v>88</v>
      </c>
      <c r="G1412" s="108">
        <v>45607</v>
      </c>
      <c r="H1412" s="126" t="s">
        <v>94</v>
      </c>
      <c r="I1412" s="126" t="s">
        <v>437</v>
      </c>
      <c r="J1412" s="126" t="s">
        <v>8720</v>
      </c>
      <c r="K1412" s="126"/>
      <c r="L1412" s="126"/>
      <c r="M1412" s="126"/>
      <c r="N1412" s="126"/>
      <c r="O1412" s="126" t="s">
        <v>8721</v>
      </c>
      <c r="Q1412" s="3">
        <f t="shared" si="43"/>
        <v>15.8</v>
      </c>
      <c r="U1412" s="3" t="str">
        <f t="shared" si="44"/>
        <v/>
      </c>
    </row>
    <row r="1413" spans="1:21" x14ac:dyDescent="0.35">
      <c r="A1413" s="126" t="s">
        <v>35</v>
      </c>
      <c r="B1413" s="126" t="s">
        <v>915</v>
      </c>
      <c r="C1413" s="126" t="s">
        <v>2</v>
      </c>
      <c r="D1413" s="126" t="s">
        <v>3</v>
      </c>
      <c r="E1413" s="126">
        <v>15.64</v>
      </c>
      <c r="F1413" s="126" t="s">
        <v>88</v>
      </c>
      <c r="G1413" s="108">
        <v>45656</v>
      </c>
      <c r="H1413" s="126" t="s">
        <v>94</v>
      </c>
      <c r="I1413" s="126" t="s">
        <v>7766</v>
      </c>
      <c r="J1413" s="126" t="s">
        <v>9002</v>
      </c>
      <c r="K1413" s="126"/>
      <c r="L1413" s="126"/>
      <c r="M1413" s="126"/>
      <c r="N1413" s="126"/>
      <c r="O1413" s="126" t="s">
        <v>4241</v>
      </c>
      <c r="Q1413" s="3">
        <f t="shared" si="43"/>
        <v>15.64</v>
      </c>
      <c r="U1413" s="3" t="str">
        <f t="shared" si="44"/>
        <v/>
      </c>
    </row>
    <row r="1414" spans="1:21" x14ac:dyDescent="0.35">
      <c r="A1414" s="126" t="s">
        <v>0</v>
      </c>
      <c r="B1414" s="126" t="s">
        <v>868</v>
      </c>
      <c r="C1414" s="126" t="s">
        <v>2</v>
      </c>
      <c r="D1414" s="126" t="s">
        <v>3</v>
      </c>
      <c r="E1414" s="126">
        <v>15.58</v>
      </c>
      <c r="F1414" s="126" t="s">
        <v>88</v>
      </c>
      <c r="G1414" s="108">
        <v>45432</v>
      </c>
      <c r="H1414" s="126" t="s">
        <v>89</v>
      </c>
      <c r="I1414" s="126" t="s">
        <v>7839</v>
      </c>
      <c r="J1414" s="126"/>
      <c r="K1414" s="126" t="s">
        <v>7840</v>
      </c>
      <c r="L1414" s="126" t="s">
        <v>7841</v>
      </c>
      <c r="M1414" s="126" t="s">
        <v>399</v>
      </c>
      <c r="N1414" s="35"/>
      <c r="O1414" s="35"/>
      <c r="Q1414" s="3">
        <f t="shared" si="43"/>
        <v>15.58</v>
      </c>
      <c r="S1414" s="55" t="s">
        <v>9013</v>
      </c>
      <c r="U1414" s="3" t="str">
        <f t="shared" si="44"/>
        <v/>
      </c>
    </row>
    <row r="1415" spans="1:21" x14ac:dyDescent="0.35">
      <c r="A1415" s="126" t="s">
        <v>0</v>
      </c>
      <c r="B1415" s="126" t="s">
        <v>868</v>
      </c>
      <c r="C1415" s="126" t="s">
        <v>2</v>
      </c>
      <c r="D1415" s="126" t="s">
        <v>3</v>
      </c>
      <c r="E1415" s="126">
        <v>15.58</v>
      </c>
      <c r="F1415" s="126" t="s">
        <v>88</v>
      </c>
      <c r="G1415" s="108">
        <v>45454</v>
      </c>
      <c r="H1415" s="126" t="s">
        <v>89</v>
      </c>
      <c r="I1415" s="126" t="s">
        <v>7958</v>
      </c>
      <c r="J1415" s="126"/>
      <c r="K1415" s="126" t="s">
        <v>7959</v>
      </c>
      <c r="L1415" s="126" t="s">
        <v>7960</v>
      </c>
      <c r="M1415" s="126" t="s">
        <v>399</v>
      </c>
      <c r="Q1415" s="3">
        <f t="shared" si="43"/>
        <v>15.58</v>
      </c>
      <c r="S1415" s="55" t="s">
        <v>9013</v>
      </c>
      <c r="U1415" s="3" t="str">
        <f t="shared" si="44"/>
        <v/>
      </c>
    </row>
    <row r="1416" spans="1:21" x14ac:dyDescent="0.35">
      <c r="A1416" s="126" t="s">
        <v>0</v>
      </c>
      <c r="B1416" s="126" t="s">
        <v>868</v>
      </c>
      <c r="C1416" s="126" t="s">
        <v>2</v>
      </c>
      <c r="D1416" s="126" t="s">
        <v>3</v>
      </c>
      <c r="E1416" s="126">
        <v>15.58</v>
      </c>
      <c r="F1416" s="126" t="s">
        <v>88</v>
      </c>
      <c r="G1416" s="108">
        <v>45485</v>
      </c>
      <c r="H1416" s="126" t="s">
        <v>89</v>
      </c>
      <c r="I1416" s="126" t="s">
        <v>8134</v>
      </c>
      <c r="J1416" s="126"/>
      <c r="K1416" s="126" t="s">
        <v>8135</v>
      </c>
      <c r="L1416" s="126" t="s">
        <v>8136</v>
      </c>
      <c r="M1416" s="126" t="s">
        <v>399</v>
      </c>
      <c r="Q1416" s="3">
        <f t="shared" ref="Q1416:Q1479" si="45">ABS(E1416)</f>
        <v>15.58</v>
      </c>
      <c r="S1416" s="55" t="s">
        <v>9013</v>
      </c>
      <c r="U1416" s="3" t="str">
        <f t="shared" ref="U1416:U1479" si="46">IF(T1416="Y",E1416,"")</f>
        <v/>
      </c>
    </row>
    <row r="1417" spans="1:21" x14ac:dyDescent="0.35">
      <c r="A1417" s="126" t="s">
        <v>0</v>
      </c>
      <c r="B1417" s="126" t="s">
        <v>868</v>
      </c>
      <c r="C1417" s="126" t="s">
        <v>2</v>
      </c>
      <c r="D1417" s="126" t="s">
        <v>3</v>
      </c>
      <c r="E1417" s="126">
        <v>15.58</v>
      </c>
      <c r="F1417" s="126" t="s">
        <v>88</v>
      </c>
      <c r="G1417" s="108">
        <v>45517</v>
      </c>
      <c r="H1417" s="126" t="s">
        <v>89</v>
      </c>
      <c r="I1417" s="126" t="s">
        <v>8320</v>
      </c>
      <c r="J1417" s="126"/>
      <c r="K1417" s="126" t="s">
        <v>8321</v>
      </c>
      <c r="L1417" s="126" t="s">
        <v>8322</v>
      </c>
      <c r="M1417" s="126" t="s">
        <v>399</v>
      </c>
      <c r="Q1417" s="3">
        <f t="shared" si="45"/>
        <v>15.58</v>
      </c>
      <c r="S1417" s="55" t="s">
        <v>9013</v>
      </c>
      <c r="U1417" s="3" t="str">
        <f t="shared" si="46"/>
        <v/>
      </c>
    </row>
    <row r="1418" spans="1:21" x14ac:dyDescent="0.35">
      <c r="A1418" s="126" t="s">
        <v>0</v>
      </c>
      <c r="B1418" s="126" t="s">
        <v>868</v>
      </c>
      <c r="C1418" s="126" t="s">
        <v>2</v>
      </c>
      <c r="D1418" s="126" t="s">
        <v>3</v>
      </c>
      <c r="E1418" s="126">
        <v>15.58</v>
      </c>
      <c r="F1418" s="126" t="s">
        <v>88</v>
      </c>
      <c r="G1418" s="108">
        <v>45551</v>
      </c>
      <c r="H1418" s="126" t="s">
        <v>89</v>
      </c>
      <c r="I1418" s="126" t="s">
        <v>8431</v>
      </c>
      <c r="J1418" s="126"/>
      <c r="K1418" s="126" t="s">
        <v>8432</v>
      </c>
      <c r="L1418" s="126" t="s">
        <v>8433</v>
      </c>
      <c r="M1418" s="126" t="s">
        <v>399</v>
      </c>
      <c r="Q1418" s="3">
        <f t="shared" si="45"/>
        <v>15.58</v>
      </c>
      <c r="S1418" s="55" t="s">
        <v>9013</v>
      </c>
      <c r="U1418" s="3" t="str">
        <f t="shared" si="46"/>
        <v/>
      </c>
    </row>
    <row r="1419" spans="1:21" x14ac:dyDescent="0.35">
      <c r="A1419" s="126" t="s">
        <v>0</v>
      </c>
      <c r="B1419" s="126" t="s">
        <v>868</v>
      </c>
      <c r="C1419" s="126" t="s">
        <v>2</v>
      </c>
      <c r="D1419" s="126" t="s">
        <v>3</v>
      </c>
      <c r="E1419" s="126">
        <v>15.58</v>
      </c>
      <c r="F1419" s="126" t="s">
        <v>88</v>
      </c>
      <c r="G1419" s="108">
        <v>45569</v>
      </c>
      <c r="H1419" s="126" t="s">
        <v>89</v>
      </c>
      <c r="I1419" s="126" t="s">
        <v>8521</v>
      </c>
      <c r="J1419" s="126"/>
      <c r="K1419" s="126" t="s">
        <v>8522</v>
      </c>
      <c r="L1419" s="126" t="s">
        <v>8523</v>
      </c>
      <c r="M1419" s="126" t="s">
        <v>399</v>
      </c>
      <c r="Q1419" s="3">
        <f t="shared" si="45"/>
        <v>15.58</v>
      </c>
      <c r="S1419" s="55" t="s">
        <v>9013</v>
      </c>
      <c r="U1419" s="3" t="str">
        <f t="shared" si="46"/>
        <v/>
      </c>
    </row>
    <row r="1420" spans="1:21" x14ac:dyDescent="0.35">
      <c r="A1420" s="126" t="s">
        <v>0</v>
      </c>
      <c r="B1420" s="126" t="s">
        <v>868</v>
      </c>
      <c r="C1420" s="126" t="s">
        <v>2</v>
      </c>
      <c r="D1420" s="126" t="s">
        <v>3</v>
      </c>
      <c r="E1420" s="126">
        <v>15.58</v>
      </c>
      <c r="F1420" s="126" t="s">
        <v>88</v>
      </c>
      <c r="G1420" s="108">
        <v>45611</v>
      </c>
      <c r="H1420" s="126" t="s">
        <v>89</v>
      </c>
      <c r="I1420" s="126" t="s">
        <v>8734</v>
      </c>
      <c r="J1420" s="126"/>
      <c r="K1420" s="126" t="s">
        <v>8735</v>
      </c>
      <c r="L1420" s="126" t="s">
        <v>8736</v>
      </c>
      <c r="M1420" s="126" t="s">
        <v>399</v>
      </c>
      <c r="N1420" s="126"/>
      <c r="O1420" s="126"/>
      <c r="Q1420" s="3">
        <f t="shared" si="45"/>
        <v>15.58</v>
      </c>
      <c r="S1420" s="55" t="s">
        <v>9013</v>
      </c>
      <c r="U1420" s="3" t="str">
        <f t="shared" si="46"/>
        <v/>
      </c>
    </row>
    <row r="1421" spans="1:21" x14ac:dyDescent="0.35">
      <c r="A1421" s="126" t="s">
        <v>0</v>
      </c>
      <c r="B1421" s="126" t="s">
        <v>868</v>
      </c>
      <c r="C1421" s="126" t="s">
        <v>2</v>
      </c>
      <c r="D1421" s="126" t="s">
        <v>3</v>
      </c>
      <c r="E1421" s="126">
        <v>15.58</v>
      </c>
      <c r="F1421" s="126" t="s">
        <v>88</v>
      </c>
      <c r="G1421" s="108">
        <v>45635</v>
      </c>
      <c r="H1421" s="126" t="s">
        <v>89</v>
      </c>
      <c r="I1421" s="126" t="s">
        <v>8878</v>
      </c>
      <c r="J1421" s="126"/>
      <c r="K1421" s="126" t="s">
        <v>8879</v>
      </c>
      <c r="L1421" s="126" t="s">
        <v>8880</v>
      </c>
      <c r="M1421" s="126" t="s">
        <v>399</v>
      </c>
      <c r="Q1421" s="3">
        <f t="shared" si="45"/>
        <v>15.58</v>
      </c>
      <c r="S1421" s="55" t="s">
        <v>9013</v>
      </c>
      <c r="U1421" s="3" t="str">
        <f t="shared" si="46"/>
        <v/>
      </c>
    </row>
    <row r="1422" spans="1:21" x14ac:dyDescent="0.35">
      <c r="A1422" s="126" t="s">
        <v>0</v>
      </c>
      <c r="B1422" s="126" t="s">
        <v>868</v>
      </c>
      <c r="C1422" s="126" t="s">
        <v>2</v>
      </c>
      <c r="D1422" s="126" t="s">
        <v>3</v>
      </c>
      <c r="E1422" s="126">
        <v>15.57</v>
      </c>
      <c r="F1422" s="126" t="s">
        <v>88</v>
      </c>
      <c r="G1422" s="108">
        <v>45391</v>
      </c>
      <c r="H1422" s="126" t="s">
        <v>89</v>
      </c>
      <c r="I1422" s="126" t="s">
        <v>7691</v>
      </c>
      <c r="J1422" s="126"/>
      <c r="K1422" s="126" t="s">
        <v>7672</v>
      </c>
      <c r="L1422" s="126" t="s">
        <v>7692</v>
      </c>
      <c r="M1422" s="126" t="s">
        <v>399</v>
      </c>
      <c r="N1422" s="35"/>
      <c r="O1422" s="35"/>
      <c r="Q1422" s="3">
        <f t="shared" si="45"/>
        <v>15.57</v>
      </c>
      <c r="S1422" s="55" t="s">
        <v>9013</v>
      </c>
      <c r="U1422" s="3" t="str">
        <f t="shared" si="46"/>
        <v/>
      </c>
    </row>
    <row r="1423" spans="1:21" x14ac:dyDescent="0.35">
      <c r="A1423" s="126" t="s">
        <v>35</v>
      </c>
      <c r="B1423" s="126" t="s">
        <v>1053</v>
      </c>
      <c r="C1423" s="126" t="s">
        <v>2</v>
      </c>
      <c r="D1423" s="126" t="s">
        <v>3</v>
      </c>
      <c r="E1423" s="126">
        <v>15.55</v>
      </c>
      <c r="F1423" s="126" t="s">
        <v>88</v>
      </c>
      <c r="G1423" s="108">
        <v>45614</v>
      </c>
      <c r="H1423" s="126" t="s">
        <v>94</v>
      </c>
      <c r="I1423" s="126" t="s">
        <v>8749</v>
      </c>
      <c r="J1423" s="126" t="s">
        <v>8750</v>
      </c>
      <c r="K1423" s="126"/>
      <c r="L1423" s="126"/>
      <c r="M1423" s="126"/>
      <c r="N1423" s="126"/>
      <c r="O1423" s="126" t="s">
        <v>8751</v>
      </c>
      <c r="Q1423" s="3">
        <f t="shared" si="45"/>
        <v>15.55</v>
      </c>
      <c r="S1423" s="55" t="s">
        <v>9041</v>
      </c>
      <c r="U1423" s="3" t="str">
        <f t="shared" si="46"/>
        <v/>
      </c>
    </row>
    <row r="1424" spans="1:21" x14ac:dyDescent="0.35">
      <c r="A1424" s="126" t="s">
        <v>35</v>
      </c>
      <c r="B1424" s="126" t="s">
        <v>1106</v>
      </c>
      <c r="C1424" s="126" t="s">
        <v>2</v>
      </c>
      <c r="D1424" s="126" t="s">
        <v>3</v>
      </c>
      <c r="E1424" s="126">
        <v>15.5</v>
      </c>
      <c r="F1424" s="126" t="s">
        <v>88</v>
      </c>
      <c r="G1424" s="108">
        <v>45615</v>
      </c>
      <c r="H1424" s="126" t="s">
        <v>89</v>
      </c>
      <c r="I1424" s="126" t="s">
        <v>8761</v>
      </c>
      <c r="J1424" s="126"/>
      <c r="K1424" s="126" t="s">
        <v>8415</v>
      </c>
      <c r="L1424" s="126" t="s">
        <v>8762</v>
      </c>
      <c r="M1424" s="126" t="s">
        <v>441</v>
      </c>
      <c r="N1424" s="126"/>
      <c r="O1424" s="126"/>
      <c r="Q1424" s="3">
        <f t="shared" si="45"/>
        <v>15.5</v>
      </c>
      <c r="U1424" s="3" t="str">
        <f t="shared" si="46"/>
        <v/>
      </c>
    </row>
    <row r="1425" spans="1:21" x14ac:dyDescent="0.35">
      <c r="A1425" s="126" t="s">
        <v>35</v>
      </c>
      <c r="B1425" s="126" t="s">
        <v>1106</v>
      </c>
      <c r="C1425" s="126" t="s">
        <v>2</v>
      </c>
      <c r="D1425" s="126" t="s">
        <v>3</v>
      </c>
      <c r="E1425" s="126">
        <v>-15.5</v>
      </c>
      <c r="F1425" s="126" t="s">
        <v>88</v>
      </c>
      <c r="G1425" s="108">
        <v>45623</v>
      </c>
      <c r="H1425" s="126" t="s">
        <v>89</v>
      </c>
      <c r="I1425" s="126" t="s">
        <v>8761</v>
      </c>
      <c r="J1425" s="126"/>
      <c r="K1425" s="126" t="s">
        <v>8415</v>
      </c>
      <c r="L1425" s="126" t="s">
        <v>8762</v>
      </c>
      <c r="M1425" s="126" t="s">
        <v>441</v>
      </c>
      <c r="N1425" s="126"/>
      <c r="O1425" s="126"/>
      <c r="Q1425" s="3">
        <f t="shared" si="45"/>
        <v>15.5</v>
      </c>
      <c r="U1425" s="3" t="str">
        <f t="shared" si="46"/>
        <v/>
      </c>
    </row>
    <row r="1426" spans="1:21" x14ac:dyDescent="0.35">
      <c r="A1426" s="126" t="s">
        <v>35</v>
      </c>
      <c r="B1426" s="126" t="s">
        <v>1106</v>
      </c>
      <c r="C1426" s="126" t="s">
        <v>2</v>
      </c>
      <c r="D1426" s="126" t="s">
        <v>3</v>
      </c>
      <c r="E1426" s="126">
        <v>15.5</v>
      </c>
      <c r="F1426" s="126" t="s">
        <v>88</v>
      </c>
      <c r="G1426" s="108">
        <v>45628</v>
      </c>
      <c r="H1426" s="126" t="s">
        <v>89</v>
      </c>
      <c r="I1426" s="126" t="s">
        <v>8830</v>
      </c>
      <c r="J1426" s="126"/>
      <c r="K1426" s="126" t="s">
        <v>8415</v>
      </c>
      <c r="L1426" s="126" t="s">
        <v>8762</v>
      </c>
      <c r="M1426" s="126" t="s">
        <v>441</v>
      </c>
      <c r="N1426" s="126"/>
      <c r="O1426" s="126"/>
      <c r="Q1426" s="3">
        <f t="shared" si="45"/>
        <v>15.5</v>
      </c>
      <c r="U1426" s="3" t="str">
        <f t="shared" si="46"/>
        <v/>
      </c>
    </row>
    <row r="1427" spans="1:21" x14ac:dyDescent="0.35">
      <c r="A1427" s="126" t="s">
        <v>35</v>
      </c>
      <c r="B1427" s="126" t="s">
        <v>1075</v>
      </c>
      <c r="C1427" s="126" t="s">
        <v>2</v>
      </c>
      <c r="D1427" s="126" t="s">
        <v>3</v>
      </c>
      <c r="E1427" s="126">
        <v>15.46</v>
      </c>
      <c r="F1427" s="126" t="s">
        <v>88</v>
      </c>
      <c r="G1427" s="108">
        <v>45527</v>
      </c>
      <c r="H1427" s="126" t="s">
        <v>89</v>
      </c>
      <c r="I1427" s="126" t="s">
        <v>8354</v>
      </c>
      <c r="J1427" s="126"/>
      <c r="K1427" s="126" t="s">
        <v>7880</v>
      </c>
      <c r="L1427" s="126" t="s">
        <v>8355</v>
      </c>
      <c r="M1427" s="126" t="s">
        <v>396</v>
      </c>
      <c r="N1427" s="126"/>
      <c r="O1427" s="126"/>
      <c r="Q1427" s="3">
        <f t="shared" si="45"/>
        <v>15.46</v>
      </c>
      <c r="S1427" s="55" t="s">
        <v>9016</v>
      </c>
      <c r="U1427" s="3" t="str">
        <f t="shared" si="46"/>
        <v/>
      </c>
    </row>
    <row r="1428" spans="1:21" x14ac:dyDescent="0.35">
      <c r="A1428" s="126" t="s">
        <v>35</v>
      </c>
      <c r="B1428" s="126" t="s">
        <v>788</v>
      </c>
      <c r="C1428" s="126" t="s">
        <v>2</v>
      </c>
      <c r="D1428" s="126" t="s">
        <v>3</v>
      </c>
      <c r="E1428" s="126">
        <v>15.41</v>
      </c>
      <c r="F1428" s="126" t="s">
        <v>88</v>
      </c>
      <c r="G1428" s="108">
        <v>45575</v>
      </c>
      <c r="H1428" s="126" t="s">
        <v>94</v>
      </c>
      <c r="I1428" s="126" t="s">
        <v>3871</v>
      </c>
      <c r="J1428" s="126" t="s">
        <v>8557</v>
      </c>
      <c r="K1428" s="126"/>
      <c r="L1428" s="126"/>
      <c r="M1428" s="126"/>
      <c r="N1428" s="126"/>
      <c r="O1428" s="126" t="s">
        <v>8558</v>
      </c>
      <c r="Q1428" s="3">
        <f t="shared" si="45"/>
        <v>15.41</v>
      </c>
      <c r="U1428" s="3" t="str">
        <f t="shared" si="46"/>
        <v/>
      </c>
    </row>
    <row r="1429" spans="1:21" x14ac:dyDescent="0.35">
      <c r="A1429" s="126" t="s">
        <v>35</v>
      </c>
      <c r="B1429" s="126" t="s">
        <v>1423</v>
      </c>
      <c r="C1429" s="126" t="s">
        <v>2</v>
      </c>
      <c r="D1429" s="126" t="s">
        <v>3</v>
      </c>
      <c r="E1429" s="126">
        <v>15.41</v>
      </c>
      <c r="F1429" s="126" t="s">
        <v>88</v>
      </c>
      <c r="G1429" s="108">
        <v>45581</v>
      </c>
      <c r="H1429" s="126" t="s">
        <v>94</v>
      </c>
      <c r="I1429" s="126" t="s">
        <v>7987</v>
      </c>
      <c r="J1429" s="126" t="s">
        <v>8587</v>
      </c>
      <c r="K1429" s="126"/>
      <c r="L1429" s="126"/>
      <c r="M1429" s="126"/>
      <c r="N1429" s="126"/>
      <c r="O1429" s="126" t="s">
        <v>522</v>
      </c>
      <c r="Q1429" s="3">
        <f t="shared" si="45"/>
        <v>15.41</v>
      </c>
      <c r="U1429" s="3" t="str">
        <f t="shared" si="46"/>
        <v/>
      </c>
    </row>
    <row r="1430" spans="1:21" x14ac:dyDescent="0.35">
      <c r="A1430" s="126" t="s">
        <v>35</v>
      </c>
      <c r="B1430" s="126" t="s">
        <v>6044</v>
      </c>
      <c r="C1430" s="126" t="s">
        <v>2</v>
      </c>
      <c r="D1430" s="126" t="s">
        <v>3</v>
      </c>
      <c r="E1430" s="126">
        <v>15.27</v>
      </c>
      <c r="F1430" s="126" t="s">
        <v>88</v>
      </c>
      <c r="G1430" s="108">
        <v>45425</v>
      </c>
      <c r="H1430" s="126" t="s">
        <v>94</v>
      </c>
      <c r="I1430" s="126" t="s">
        <v>489</v>
      </c>
      <c r="J1430" s="126" t="s">
        <v>7813</v>
      </c>
      <c r="K1430" s="126"/>
      <c r="L1430" s="126"/>
      <c r="M1430" s="126"/>
      <c r="N1430" s="126"/>
      <c r="O1430" s="126" t="s">
        <v>563</v>
      </c>
      <c r="Q1430" s="3">
        <f t="shared" si="45"/>
        <v>15.27</v>
      </c>
      <c r="S1430" s="55" t="s">
        <v>9014</v>
      </c>
      <c r="U1430" s="3" t="str">
        <f t="shared" si="46"/>
        <v/>
      </c>
    </row>
    <row r="1431" spans="1:21" x14ac:dyDescent="0.35">
      <c r="A1431" s="126" t="s">
        <v>35</v>
      </c>
      <c r="B1431" s="126" t="s">
        <v>3466</v>
      </c>
      <c r="C1431" s="126" t="s">
        <v>2</v>
      </c>
      <c r="D1431" s="126" t="s">
        <v>3</v>
      </c>
      <c r="E1431" s="126">
        <v>15.27</v>
      </c>
      <c r="F1431" s="126" t="s">
        <v>88</v>
      </c>
      <c r="G1431" s="108">
        <v>45520</v>
      </c>
      <c r="H1431" s="126" t="s">
        <v>94</v>
      </c>
      <c r="I1431" s="126" t="s">
        <v>471</v>
      </c>
      <c r="J1431" s="126" t="s">
        <v>8339</v>
      </c>
      <c r="K1431" s="126"/>
      <c r="L1431" s="126"/>
      <c r="M1431" s="126"/>
      <c r="N1431" s="126"/>
      <c r="O1431" s="126" t="s">
        <v>8340</v>
      </c>
      <c r="Q1431" s="3">
        <f t="shared" si="45"/>
        <v>15.27</v>
      </c>
      <c r="U1431" s="3" t="str">
        <f t="shared" si="46"/>
        <v/>
      </c>
    </row>
    <row r="1432" spans="1:21" x14ac:dyDescent="0.35">
      <c r="A1432" s="126" t="s">
        <v>0</v>
      </c>
      <c r="B1432" s="126" t="s">
        <v>7674</v>
      </c>
      <c r="C1432" s="126" t="s">
        <v>2</v>
      </c>
      <c r="D1432" s="126" t="s">
        <v>3</v>
      </c>
      <c r="E1432" s="126">
        <v>15.21</v>
      </c>
      <c r="F1432" s="126" t="s">
        <v>88</v>
      </c>
      <c r="G1432" s="108">
        <v>45569</v>
      </c>
      <c r="H1432" s="126" t="s">
        <v>89</v>
      </c>
      <c r="I1432" s="126" t="s">
        <v>8521</v>
      </c>
      <c r="J1432" s="126"/>
      <c r="K1432" s="126" t="s">
        <v>8522</v>
      </c>
      <c r="L1432" s="126" t="s">
        <v>8523</v>
      </c>
      <c r="M1432" s="126" t="s">
        <v>399</v>
      </c>
      <c r="Q1432" s="3">
        <f t="shared" si="45"/>
        <v>15.21</v>
      </c>
      <c r="S1432" s="55" t="s">
        <v>9013</v>
      </c>
      <c r="U1432" s="3" t="str">
        <f t="shared" si="46"/>
        <v/>
      </c>
    </row>
    <row r="1433" spans="1:21" x14ac:dyDescent="0.35">
      <c r="A1433" s="126" t="s">
        <v>35</v>
      </c>
      <c r="B1433" s="126" t="s">
        <v>1480</v>
      </c>
      <c r="C1433" s="126" t="s">
        <v>2</v>
      </c>
      <c r="D1433" s="126" t="s">
        <v>3</v>
      </c>
      <c r="E1433" s="126">
        <v>15.09</v>
      </c>
      <c r="F1433" s="126" t="s">
        <v>88</v>
      </c>
      <c r="G1433" s="108">
        <v>45558</v>
      </c>
      <c r="H1433" s="126" t="s">
        <v>94</v>
      </c>
      <c r="I1433" s="126" t="s">
        <v>326</v>
      </c>
      <c r="J1433" s="126" t="s">
        <v>327</v>
      </c>
      <c r="K1433" s="126"/>
      <c r="L1433" s="126"/>
      <c r="M1433" s="126"/>
      <c r="N1433" s="126"/>
      <c r="O1433" s="126" t="s">
        <v>550</v>
      </c>
      <c r="Q1433" s="3">
        <f t="shared" si="45"/>
        <v>15.09</v>
      </c>
      <c r="U1433" s="3" t="str">
        <f t="shared" si="46"/>
        <v/>
      </c>
    </row>
    <row r="1434" spans="1:21" x14ac:dyDescent="0.35">
      <c r="A1434" s="126" t="s">
        <v>35</v>
      </c>
      <c r="B1434" s="126" t="s">
        <v>615</v>
      </c>
      <c r="C1434" s="126" t="s">
        <v>2</v>
      </c>
      <c r="D1434" s="126" t="s">
        <v>3</v>
      </c>
      <c r="E1434" s="126">
        <v>14.95</v>
      </c>
      <c r="F1434" s="126" t="s">
        <v>88</v>
      </c>
      <c r="G1434" s="108">
        <v>45471</v>
      </c>
      <c r="H1434" s="126" t="s">
        <v>94</v>
      </c>
      <c r="I1434" s="126" t="s">
        <v>2643</v>
      </c>
      <c r="J1434" s="126" t="s">
        <v>6232</v>
      </c>
      <c r="K1434" s="126"/>
      <c r="L1434" s="126"/>
      <c r="M1434" s="126"/>
      <c r="N1434" s="126"/>
      <c r="O1434" s="126" t="s">
        <v>539</v>
      </c>
      <c r="Q1434" s="3">
        <f t="shared" si="45"/>
        <v>14.95</v>
      </c>
      <c r="S1434" s="55" t="s">
        <v>586</v>
      </c>
      <c r="U1434" s="3" t="str">
        <f t="shared" si="46"/>
        <v/>
      </c>
    </row>
    <row r="1435" spans="1:21" x14ac:dyDescent="0.35">
      <c r="A1435" s="126" t="s">
        <v>35</v>
      </c>
      <c r="B1435" s="126" t="s">
        <v>3466</v>
      </c>
      <c r="C1435" s="126" t="s">
        <v>2</v>
      </c>
      <c r="D1435" s="126" t="s">
        <v>3</v>
      </c>
      <c r="E1435" s="126">
        <v>14.82</v>
      </c>
      <c r="F1435" s="126" t="s">
        <v>88</v>
      </c>
      <c r="G1435" s="108">
        <v>45523</v>
      </c>
      <c r="H1435" s="126" t="s">
        <v>94</v>
      </c>
      <c r="I1435" s="126" t="s">
        <v>3665</v>
      </c>
      <c r="J1435" s="126" t="s">
        <v>8346</v>
      </c>
      <c r="K1435" s="126"/>
      <c r="L1435" s="126"/>
      <c r="M1435" s="126"/>
      <c r="N1435" s="126"/>
      <c r="O1435" s="126" t="s">
        <v>8059</v>
      </c>
      <c r="Q1435" s="3">
        <f t="shared" si="45"/>
        <v>14.82</v>
      </c>
      <c r="U1435" s="3" t="str">
        <f t="shared" si="46"/>
        <v/>
      </c>
    </row>
    <row r="1436" spans="1:21" x14ac:dyDescent="0.35">
      <c r="A1436" s="126" t="s">
        <v>35</v>
      </c>
      <c r="B1436" s="126" t="s">
        <v>615</v>
      </c>
      <c r="C1436" s="126" t="s">
        <v>2</v>
      </c>
      <c r="D1436" s="126" t="s">
        <v>3</v>
      </c>
      <c r="E1436" s="126">
        <v>14.68</v>
      </c>
      <c r="F1436" s="126" t="s">
        <v>88</v>
      </c>
      <c r="G1436" s="108">
        <v>45645</v>
      </c>
      <c r="H1436" s="126" t="s">
        <v>94</v>
      </c>
      <c r="I1436" s="126" t="s">
        <v>447</v>
      </c>
      <c r="J1436" s="126" t="s">
        <v>8997</v>
      </c>
      <c r="K1436" s="126"/>
      <c r="L1436" s="126"/>
      <c r="M1436" s="126"/>
      <c r="N1436" s="126"/>
      <c r="O1436" s="126" t="s">
        <v>521</v>
      </c>
      <c r="Q1436" s="3">
        <f t="shared" si="45"/>
        <v>14.68</v>
      </c>
      <c r="U1436" s="3" t="str">
        <f t="shared" si="46"/>
        <v/>
      </c>
    </row>
    <row r="1437" spans="1:21" x14ac:dyDescent="0.35">
      <c r="A1437" s="126" t="s">
        <v>35</v>
      </c>
      <c r="B1437" s="126" t="s">
        <v>788</v>
      </c>
      <c r="C1437" s="126" t="s">
        <v>2</v>
      </c>
      <c r="D1437" s="126" t="s">
        <v>3</v>
      </c>
      <c r="E1437" s="126">
        <v>14.65</v>
      </c>
      <c r="F1437" s="126" t="s">
        <v>88</v>
      </c>
      <c r="G1437" s="108">
        <v>45643</v>
      </c>
      <c r="H1437" s="126" t="s">
        <v>94</v>
      </c>
      <c r="I1437" s="126" t="s">
        <v>504</v>
      </c>
      <c r="J1437" s="126" t="s">
        <v>8961</v>
      </c>
      <c r="K1437" s="126"/>
      <c r="L1437" s="126"/>
      <c r="M1437" s="126"/>
      <c r="N1437" s="126"/>
      <c r="O1437" s="126" t="s">
        <v>567</v>
      </c>
      <c r="Q1437" s="3">
        <f t="shared" si="45"/>
        <v>14.65</v>
      </c>
      <c r="S1437" s="55" t="s">
        <v>9014</v>
      </c>
      <c r="U1437" s="3" t="str">
        <f t="shared" si="46"/>
        <v/>
      </c>
    </row>
    <row r="1438" spans="1:21" x14ac:dyDescent="0.35">
      <c r="A1438" s="126" t="s">
        <v>35</v>
      </c>
      <c r="B1438" s="126" t="s">
        <v>698</v>
      </c>
      <c r="C1438" s="126" t="s">
        <v>2</v>
      </c>
      <c r="D1438" s="126" t="s">
        <v>3</v>
      </c>
      <c r="E1438" s="126">
        <v>14.64</v>
      </c>
      <c r="F1438" s="126" t="s">
        <v>88</v>
      </c>
      <c r="G1438" s="108">
        <v>45427</v>
      </c>
      <c r="H1438" s="126" t="s">
        <v>94</v>
      </c>
      <c r="I1438" s="126" t="s">
        <v>7826</v>
      </c>
      <c r="J1438" s="126" t="s">
        <v>7827</v>
      </c>
      <c r="K1438" s="126"/>
      <c r="L1438" s="126"/>
      <c r="M1438" s="126"/>
      <c r="N1438" s="126"/>
      <c r="O1438" s="126" t="s">
        <v>4712</v>
      </c>
      <c r="Q1438" s="3">
        <f t="shared" si="45"/>
        <v>14.64</v>
      </c>
      <c r="S1438" s="55" t="s">
        <v>9014</v>
      </c>
      <c r="U1438" s="3" t="str">
        <f t="shared" si="46"/>
        <v/>
      </c>
    </row>
    <row r="1439" spans="1:21" x14ac:dyDescent="0.35">
      <c r="A1439" s="126" t="s">
        <v>35</v>
      </c>
      <c r="B1439" s="126" t="s">
        <v>601</v>
      </c>
      <c r="C1439" s="126" t="s">
        <v>2</v>
      </c>
      <c r="D1439" s="126" t="s">
        <v>3</v>
      </c>
      <c r="E1439" s="126">
        <v>14.64</v>
      </c>
      <c r="F1439" s="126" t="s">
        <v>88</v>
      </c>
      <c r="G1439" s="108">
        <v>45565</v>
      </c>
      <c r="H1439" s="126" t="s">
        <v>94</v>
      </c>
      <c r="I1439" s="126" t="s">
        <v>2935</v>
      </c>
      <c r="J1439" s="126" t="s">
        <v>8485</v>
      </c>
      <c r="K1439" s="126"/>
      <c r="L1439" s="126"/>
      <c r="M1439" s="126"/>
      <c r="N1439" s="126"/>
      <c r="O1439" s="126" t="s">
        <v>556</v>
      </c>
      <c r="Q1439" s="3">
        <f t="shared" si="45"/>
        <v>14.64</v>
      </c>
      <c r="U1439" s="3" t="str">
        <f t="shared" si="46"/>
        <v/>
      </c>
    </row>
    <row r="1440" spans="1:21" x14ac:dyDescent="0.35">
      <c r="A1440" s="126" t="s">
        <v>35</v>
      </c>
      <c r="B1440" s="126" t="s">
        <v>6156</v>
      </c>
      <c r="C1440" s="126" t="s">
        <v>2</v>
      </c>
      <c r="D1440" s="126" t="s">
        <v>3</v>
      </c>
      <c r="E1440" s="126">
        <v>14.45</v>
      </c>
      <c r="F1440" s="126" t="s">
        <v>88</v>
      </c>
      <c r="G1440" s="108">
        <v>45404</v>
      </c>
      <c r="H1440" s="126" t="s">
        <v>94</v>
      </c>
      <c r="I1440" s="126" t="s">
        <v>337</v>
      </c>
      <c r="J1440" s="126" t="s">
        <v>7758</v>
      </c>
      <c r="K1440" s="126"/>
      <c r="L1440" s="126"/>
      <c r="M1440" s="126"/>
      <c r="N1440" s="126"/>
      <c r="O1440" s="126" t="s">
        <v>534</v>
      </c>
      <c r="Q1440" s="3">
        <f t="shared" si="45"/>
        <v>14.45</v>
      </c>
      <c r="U1440" s="3" t="str">
        <f t="shared" si="46"/>
        <v/>
      </c>
    </row>
    <row r="1441" spans="1:21" x14ac:dyDescent="0.35">
      <c r="A1441" s="126" t="s">
        <v>35</v>
      </c>
      <c r="B1441" s="126" t="s">
        <v>6156</v>
      </c>
      <c r="C1441" s="126" t="s">
        <v>2</v>
      </c>
      <c r="D1441" s="126" t="s">
        <v>3</v>
      </c>
      <c r="E1441" s="126">
        <v>14.45</v>
      </c>
      <c r="F1441" s="126" t="s">
        <v>88</v>
      </c>
      <c r="G1441" s="108">
        <v>45404</v>
      </c>
      <c r="H1441" s="126" t="s">
        <v>94</v>
      </c>
      <c r="I1441" s="126" t="s">
        <v>337</v>
      </c>
      <c r="J1441" s="126" t="s">
        <v>7759</v>
      </c>
      <c r="K1441" s="126"/>
      <c r="L1441" s="126"/>
      <c r="M1441" s="126"/>
      <c r="N1441" s="126"/>
      <c r="O1441" s="126" t="s">
        <v>534</v>
      </c>
      <c r="Q1441" s="3">
        <f t="shared" si="45"/>
        <v>14.45</v>
      </c>
      <c r="U1441" s="3" t="str">
        <f t="shared" si="46"/>
        <v/>
      </c>
    </row>
    <row r="1442" spans="1:21" x14ac:dyDescent="0.35">
      <c r="A1442" s="126" t="s">
        <v>35</v>
      </c>
      <c r="B1442" s="126" t="s">
        <v>6156</v>
      </c>
      <c r="C1442" s="126" t="s">
        <v>2</v>
      </c>
      <c r="D1442" s="126" t="s">
        <v>3</v>
      </c>
      <c r="E1442" s="126">
        <v>14.45</v>
      </c>
      <c r="F1442" s="126" t="s">
        <v>88</v>
      </c>
      <c r="G1442" s="108">
        <v>45457</v>
      </c>
      <c r="H1442" s="126" t="s">
        <v>94</v>
      </c>
      <c r="I1442" s="126" t="s">
        <v>8002</v>
      </c>
      <c r="J1442" s="126" t="s">
        <v>6560</v>
      </c>
      <c r="K1442" s="126"/>
      <c r="L1442" s="126"/>
      <c r="M1442" s="126"/>
      <c r="N1442" s="126"/>
      <c r="O1442" s="126" t="s">
        <v>534</v>
      </c>
      <c r="Q1442" s="3">
        <f t="shared" si="45"/>
        <v>14.45</v>
      </c>
      <c r="U1442" s="3" t="str">
        <f t="shared" si="46"/>
        <v/>
      </c>
    </row>
    <row r="1443" spans="1:21" x14ac:dyDescent="0.35">
      <c r="A1443" s="126" t="s">
        <v>35</v>
      </c>
      <c r="B1443" s="126" t="s">
        <v>5701</v>
      </c>
      <c r="C1443" s="126" t="s">
        <v>2</v>
      </c>
      <c r="D1443" s="126" t="s">
        <v>3</v>
      </c>
      <c r="E1443" s="126">
        <v>14.42</v>
      </c>
      <c r="F1443" s="126" t="s">
        <v>88</v>
      </c>
      <c r="G1443" s="108">
        <v>45385</v>
      </c>
      <c r="H1443" s="126" t="s">
        <v>94</v>
      </c>
      <c r="I1443" s="126" t="s">
        <v>4230</v>
      </c>
      <c r="J1443" s="126" t="s">
        <v>7647</v>
      </c>
      <c r="K1443" s="126"/>
      <c r="L1443" s="126"/>
      <c r="M1443" s="126"/>
      <c r="N1443" s="126"/>
      <c r="O1443" s="126" t="s">
        <v>7648</v>
      </c>
      <c r="Q1443" s="3">
        <f t="shared" si="45"/>
        <v>14.42</v>
      </c>
      <c r="U1443" s="3" t="str">
        <f t="shared" si="46"/>
        <v/>
      </c>
    </row>
    <row r="1444" spans="1:21" x14ac:dyDescent="0.35">
      <c r="A1444" s="126" t="s">
        <v>35</v>
      </c>
      <c r="B1444" s="126" t="s">
        <v>2543</v>
      </c>
      <c r="C1444" s="126" t="s">
        <v>2</v>
      </c>
      <c r="D1444" s="126" t="s">
        <v>3</v>
      </c>
      <c r="E1444" s="126">
        <v>14.37</v>
      </c>
      <c r="F1444" s="126" t="s">
        <v>88</v>
      </c>
      <c r="G1444" s="108">
        <v>45414</v>
      </c>
      <c r="H1444" s="126" t="s">
        <v>94</v>
      </c>
      <c r="I1444" s="126" t="s">
        <v>510</v>
      </c>
      <c r="J1444" s="126" t="s">
        <v>7785</v>
      </c>
      <c r="K1444" s="126"/>
      <c r="L1444" s="126"/>
      <c r="M1444" s="126"/>
      <c r="N1444" s="126"/>
      <c r="O1444" s="126" t="s">
        <v>569</v>
      </c>
      <c r="Q1444" s="3">
        <f t="shared" si="45"/>
        <v>14.37</v>
      </c>
      <c r="U1444" s="3" t="str">
        <f t="shared" si="46"/>
        <v/>
      </c>
    </row>
    <row r="1445" spans="1:21" x14ac:dyDescent="0.35">
      <c r="A1445" s="126" t="s">
        <v>35</v>
      </c>
      <c r="B1445" s="126" t="s">
        <v>893</v>
      </c>
      <c r="C1445" s="126" t="s">
        <v>2</v>
      </c>
      <c r="D1445" s="126" t="s">
        <v>3</v>
      </c>
      <c r="E1445" s="126">
        <v>14.32</v>
      </c>
      <c r="F1445" s="126" t="s">
        <v>88</v>
      </c>
      <c r="G1445" s="108">
        <v>45581</v>
      </c>
      <c r="H1445" s="126" t="s">
        <v>94</v>
      </c>
      <c r="I1445" s="126" t="s">
        <v>4458</v>
      </c>
      <c r="J1445" s="126" t="s">
        <v>8586</v>
      </c>
      <c r="K1445" s="126"/>
      <c r="L1445" s="126"/>
      <c r="M1445" s="126"/>
      <c r="N1445" s="126"/>
      <c r="O1445" s="126" t="s">
        <v>571</v>
      </c>
      <c r="Q1445" s="3">
        <f t="shared" si="45"/>
        <v>14.32</v>
      </c>
      <c r="U1445" s="3" t="str">
        <f t="shared" si="46"/>
        <v/>
      </c>
    </row>
    <row r="1446" spans="1:21" x14ac:dyDescent="0.35">
      <c r="A1446" s="126" t="s">
        <v>35</v>
      </c>
      <c r="B1446" s="126" t="s">
        <v>788</v>
      </c>
      <c r="C1446" s="126" t="s">
        <v>2</v>
      </c>
      <c r="D1446" s="126" t="s">
        <v>3</v>
      </c>
      <c r="E1446" s="126">
        <v>14.25</v>
      </c>
      <c r="F1446" s="126" t="s">
        <v>88</v>
      </c>
      <c r="G1446" s="108">
        <v>45642</v>
      </c>
      <c r="H1446" s="126" t="s">
        <v>94</v>
      </c>
      <c r="I1446" s="126" t="s">
        <v>438</v>
      </c>
      <c r="J1446" s="126" t="s">
        <v>8973</v>
      </c>
      <c r="K1446" s="126"/>
      <c r="L1446" s="126"/>
      <c r="M1446" s="126"/>
      <c r="N1446" s="126"/>
      <c r="O1446" s="126" t="s">
        <v>567</v>
      </c>
      <c r="Q1446" s="3">
        <f t="shared" si="45"/>
        <v>14.25</v>
      </c>
      <c r="S1446" s="55" t="s">
        <v>9014</v>
      </c>
      <c r="U1446" s="3" t="str">
        <f t="shared" si="46"/>
        <v/>
      </c>
    </row>
    <row r="1447" spans="1:21" x14ac:dyDescent="0.35">
      <c r="A1447" s="126" t="s">
        <v>35</v>
      </c>
      <c r="B1447" s="126" t="s">
        <v>788</v>
      </c>
      <c r="C1447" s="126" t="s">
        <v>2</v>
      </c>
      <c r="D1447" s="126" t="s">
        <v>3</v>
      </c>
      <c r="E1447" s="126">
        <v>14.24</v>
      </c>
      <c r="F1447" s="126" t="s">
        <v>88</v>
      </c>
      <c r="G1447" s="108">
        <v>45572</v>
      </c>
      <c r="H1447" s="126" t="s">
        <v>94</v>
      </c>
      <c r="I1447" s="126" t="s">
        <v>504</v>
      </c>
      <c r="J1447" s="126" t="s">
        <v>8538</v>
      </c>
      <c r="K1447" s="126"/>
      <c r="L1447" s="126"/>
      <c r="M1447" s="126"/>
      <c r="N1447" s="126"/>
      <c r="O1447" s="126" t="s">
        <v>567</v>
      </c>
      <c r="Q1447" s="3">
        <f t="shared" si="45"/>
        <v>14.24</v>
      </c>
      <c r="S1447" s="55" t="s">
        <v>9014</v>
      </c>
      <c r="U1447" s="3" t="str">
        <f t="shared" si="46"/>
        <v/>
      </c>
    </row>
    <row r="1448" spans="1:21" x14ac:dyDescent="0.35">
      <c r="A1448" s="126" t="s">
        <v>35</v>
      </c>
      <c r="B1448" s="126" t="s">
        <v>2226</v>
      </c>
      <c r="C1448" s="126" t="s">
        <v>2</v>
      </c>
      <c r="D1448" s="126" t="s">
        <v>3</v>
      </c>
      <c r="E1448" s="126">
        <v>14.23</v>
      </c>
      <c r="F1448" s="126" t="s">
        <v>88</v>
      </c>
      <c r="G1448" s="108">
        <v>45630</v>
      </c>
      <c r="H1448" s="126" t="s">
        <v>94</v>
      </c>
      <c r="I1448" s="126" t="s">
        <v>238</v>
      </c>
      <c r="J1448" s="126" t="s">
        <v>509</v>
      </c>
      <c r="K1448" s="126"/>
      <c r="L1448" s="126"/>
      <c r="M1448" s="126"/>
      <c r="N1448" s="126"/>
      <c r="O1448" s="126" t="s">
        <v>8845</v>
      </c>
      <c r="Q1448" s="3">
        <f t="shared" si="45"/>
        <v>14.23</v>
      </c>
      <c r="U1448" s="3" t="str">
        <f t="shared" si="46"/>
        <v/>
      </c>
    </row>
    <row r="1449" spans="1:21" x14ac:dyDescent="0.35">
      <c r="A1449" s="126" t="s">
        <v>35</v>
      </c>
      <c r="B1449" s="126" t="s">
        <v>788</v>
      </c>
      <c r="C1449" s="126" t="s">
        <v>2</v>
      </c>
      <c r="D1449" s="126" t="s">
        <v>3</v>
      </c>
      <c r="E1449" s="126">
        <v>14</v>
      </c>
      <c r="F1449" s="126" t="s">
        <v>88</v>
      </c>
      <c r="G1449" s="108">
        <v>45590</v>
      </c>
      <c r="H1449" s="126" t="s">
        <v>94</v>
      </c>
      <c r="I1449" s="126" t="s">
        <v>438</v>
      </c>
      <c r="J1449" s="126" t="s">
        <v>8605</v>
      </c>
      <c r="K1449" s="126"/>
      <c r="L1449" s="126"/>
      <c r="M1449" s="126"/>
      <c r="N1449" s="126"/>
      <c r="O1449" s="126" t="s">
        <v>567</v>
      </c>
      <c r="Q1449" s="3">
        <f t="shared" si="45"/>
        <v>14</v>
      </c>
      <c r="S1449" s="55" t="s">
        <v>9014</v>
      </c>
      <c r="U1449" s="3" t="str">
        <f t="shared" si="46"/>
        <v/>
      </c>
    </row>
    <row r="1450" spans="1:21" x14ac:dyDescent="0.35">
      <c r="A1450" s="126" t="s">
        <v>35</v>
      </c>
      <c r="B1450" s="126" t="s">
        <v>1480</v>
      </c>
      <c r="C1450" s="126" t="s">
        <v>2</v>
      </c>
      <c r="D1450" s="126" t="s">
        <v>3</v>
      </c>
      <c r="E1450" s="126">
        <v>13.88</v>
      </c>
      <c r="F1450" s="126" t="s">
        <v>88</v>
      </c>
      <c r="G1450" s="108">
        <v>45498</v>
      </c>
      <c r="H1450" s="126" t="s">
        <v>94</v>
      </c>
      <c r="I1450" s="126" t="s">
        <v>326</v>
      </c>
      <c r="J1450" s="126" t="s">
        <v>327</v>
      </c>
      <c r="K1450" s="126"/>
      <c r="L1450" s="126"/>
      <c r="M1450" s="126"/>
      <c r="N1450" s="126"/>
      <c r="O1450" s="126" t="s">
        <v>550</v>
      </c>
      <c r="Q1450" s="3">
        <f t="shared" si="45"/>
        <v>13.88</v>
      </c>
      <c r="U1450" s="3" t="str">
        <f t="shared" si="46"/>
        <v/>
      </c>
    </row>
    <row r="1451" spans="1:21" x14ac:dyDescent="0.35">
      <c r="A1451" s="126" t="s">
        <v>35</v>
      </c>
      <c r="B1451" s="126" t="s">
        <v>788</v>
      </c>
      <c r="C1451" s="126" t="s">
        <v>2</v>
      </c>
      <c r="D1451" s="126" t="s">
        <v>3</v>
      </c>
      <c r="E1451" s="126">
        <v>13.79</v>
      </c>
      <c r="F1451" s="126" t="s">
        <v>88</v>
      </c>
      <c r="G1451" s="108">
        <v>45590</v>
      </c>
      <c r="H1451" s="126" t="s">
        <v>94</v>
      </c>
      <c r="I1451" s="126" t="s">
        <v>438</v>
      </c>
      <c r="J1451" s="126" t="s">
        <v>8604</v>
      </c>
      <c r="K1451" s="126"/>
      <c r="L1451" s="126"/>
      <c r="M1451" s="126"/>
      <c r="N1451" s="126"/>
      <c r="O1451" s="126" t="s">
        <v>567</v>
      </c>
      <c r="Q1451" s="3">
        <f t="shared" si="45"/>
        <v>13.79</v>
      </c>
      <c r="S1451" s="55" t="s">
        <v>9014</v>
      </c>
      <c r="U1451" s="3" t="str">
        <f t="shared" si="46"/>
        <v/>
      </c>
    </row>
    <row r="1452" spans="1:21" x14ac:dyDescent="0.35">
      <c r="A1452" s="126" t="s">
        <v>35</v>
      </c>
      <c r="B1452" s="126" t="s">
        <v>3466</v>
      </c>
      <c r="C1452" s="126" t="s">
        <v>2</v>
      </c>
      <c r="D1452" s="126" t="s">
        <v>3</v>
      </c>
      <c r="E1452" s="126">
        <v>13.69</v>
      </c>
      <c r="F1452" s="126" t="s">
        <v>88</v>
      </c>
      <c r="G1452" s="108">
        <v>45580</v>
      </c>
      <c r="H1452" s="126" t="s">
        <v>94</v>
      </c>
      <c r="I1452" s="126" t="s">
        <v>8221</v>
      </c>
      <c r="J1452" s="126" t="s">
        <v>482</v>
      </c>
      <c r="K1452" s="126"/>
      <c r="L1452" s="126"/>
      <c r="M1452" s="126"/>
      <c r="N1452" s="126"/>
      <c r="O1452" s="126" t="s">
        <v>553</v>
      </c>
      <c r="Q1452" s="3">
        <f t="shared" si="45"/>
        <v>13.69</v>
      </c>
      <c r="S1452" s="55" t="s">
        <v>586</v>
      </c>
      <c r="U1452" s="3" t="str">
        <f t="shared" si="46"/>
        <v/>
      </c>
    </row>
    <row r="1453" spans="1:21" x14ac:dyDescent="0.35">
      <c r="A1453" s="126" t="s">
        <v>35</v>
      </c>
      <c r="B1453" s="126" t="s">
        <v>3466</v>
      </c>
      <c r="C1453" s="126" t="s">
        <v>2</v>
      </c>
      <c r="D1453" s="126" t="s">
        <v>3</v>
      </c>
      <c r="E1453" s="126">
        <v>13.69</v>
      </c>
      <c r="F1453" s="126" t="s">
        <v>88</v>
      </c>
      <c r="G1453" s="108">
        <v>45622</v>
      </c>
      <c r="H1453" s="126" t="s">
        <v>94</v>
      </c>
      <c r="I1453" s="126" t="s">
        <v>8221</v>
      </c>
      <c r="J1453" s="126" t="s">
        <v>482</v>
      </c>
      <c r="K1453" s="126"/>
      <c r="L1453" s="126"/>
      <c r="M1453" s="126"/>
      <c r="N1453" s="126"/>
      <c r="O1453" s="126" t="s">
        <v>553</v>
      </c>
      <c r="Q1453" s="3">
        <f t="shared" si="45"/>
        <v>13.69</v>
      </c>
      <c r="S1453" s="55" t="s">
        <v>586</v>
      </c>
      <c r="U1453" s="3" t="str">
        <f t="shared" si="46"/>
        <v/>
      </c>
    </row>
    <row r="1454" spans="1:21" x14ac:dyDescent="0.35">
      <c r="A1454" s="126" t="s">
        <v>35</v>
      </c>
      <c r="B1454" s="126" t="s">
        <v>2543</v>
      </c>
      <c r="C1454" s="126" t="s">
        <v>2</v>
      </c>
      <c r="D1454" s="126" t="s">
        <v>3</v>
      </c>
      <c r="E1454" s="126">
        <v>13.64</v>
      </c>
      <c r="F1454" s="126" t="s">
        <v>88</v>
      </c>
      <c r="G1454" s="108">
        <v>45562</v>
      </c>
      <c r="H1454" s="126" t="s">
        <v>94</v>
      </c>
      <c r="I1454" s="126" t="s">
        <v>453</v>
      </c>
      <c r="J1454" s="126" t="s">
        <v>395</v>
      </c>
      <c r="K1454" s="126"/>
      <c r="L1454" s="126"/>
      <c r="M1454" s="126"/>
      <c r="N1454" s="126"/>
      <c r="O1454" s="126" t="s">
        <v>577</v>
      </c>
      <c r="Q1454" s="3">
        <f t="shared" si="45"/>
        <v>13.64</v>
      </c>
      <c r="S1454" s="55" t="s">
        <v>586</v>
      </c>
      <c r="U1454" s="3" t="str">
        <f t="shared" si="46"/>
        <v/>
      </c>
    </row>
    <row r="1455" spans="1:21" x14ac:dyDescent="0.35">
      <c r="A1455" s="126" t="s">
        <v>35</v>
      </c>
      <c r="B1455" s="126" t="s">
        <v>6156</v>
      </c>
      <c r="C1455" s="126" t="s">
        <v>2</v>
      </c>
      <c r="D1455" s="126" t="s">
        <v>3</v>
      </c>
      <c r="E1455" s="126">
        <v>13.64</v>
      </c>
      <c r="F1455" s="126" t="s">
        <v>88</v>
      </c>
      <c r="G1455" s="108">
        <v>45636</v>
      </c>
      <c r="H1455" s="126" t="s">
        <v>94</v>
      </c>
      <c r="I1455" s="126" t="s">
        <v>337</v>
      </c>
      <c r="J1455" s="126" t="s">
        <v>8915</v>
      </c>
      <c r="K1455" s="126"/>
      <c r="L1455" s="126"/>
      <c r="M1455" s="126"/>
      <c r="N1455" s="126"/>
      <c r="O1455" s="126" t="s">
        <v>8916</v>
      </c>
      <c r="Q1455" s="3">
        <f t="shared" si="45"/>
        <v>13.64</v>
      </c>
      <c r="U1455" s="3" t="str">
        <f t="shared" si="46"/>
        <v/>
      </c>
    </row>
    <row r="1456" spans="1:21" x14ac:dyDescent="0.35">
      <c r="A1456" s="126" t="s">
        <v>35</v>
      </c>
      <c r="B1456" s="126" t="s">
        <v>6044</v>
      </c>
      <c r="C1456" s="126" t="s">
        <v>2</v>
      </c>
      <c r="D1456" s="126" t="s">
        <v>3</v>
      </c>
      <c r="E1456" s="126">
        <v>13.63</v>
      </c>
      <c r="F1456" s="126" t="s">
        <v>88</v>
      </c>
      <c r="G1456" s="108">
        <v>45404</v>
      </c>
      <c r="H1456" s="126" t="s">
        <v>94</v>
      </c>
      <c r="I1456" s="126" t="s">
        <v>247</v>
      </c>
      <c r="J1456" s="126" t="s">
        <v>7750</v>
      </c>
      <c r="K1456" s="126"/>
      <c r="L1456" s="126"/>
      <c r="M1456" s="126"/>
      <c r="N1456" s="126"/>
      <c r="O1456" s="126" t="s">
        <v>7751</v>
      </c>
      <c r="Q1456" s="3">
        <f t="shared" si="45"/>
        <v>13.63</v>
      </c>
      <c r="U1456" s="3" t="str">
        <f t="shared" si="46"/>
        <v/>
      </c>
    </row>
    <row r="1457" spans="1:21" x14ac:dyDescent="0.35">
      <c r="A1457" s="126" t="s">
        <v>0</v>
      </c>
      <c r="B1457" s="126" t="s">
        <v>698</v>
      </c>
      <c r="C1457" s="126" t="s">
        <v>2</v>
      </c>
      <c r="D1457" s="126" t="s">
        <v>3</v>
      </c>
      <c r="E1457" s="126">
        <v>13.5</v>
      </c>
      <c r="F1457" s="126" t="s">
        <v>88</v>
      </c>
      <c r="G1457" s="108">
        <v>45413</v>
      </c>
      <c r="H1457" s="126" t="s">
        <v>89</v>
      </c>
      <c r="I1457" s="126" t="s">
        <v>7780</v>
      </c>
      <c r="J1457" s="126"/>
      <c r="K1457" s="126" t="s">
        <v>401</v>
      </c>
      <c r="L1457" s="126" t="s">
        <v>7781</v>
      </c>
      <c r="M1457" s="126" t="s">
        <v>397</v>
      </c>
      <c r="N1457" s="126"/>
      <c r="O1457" s="126"/>
      <c r="Q1457" s="3">
        <f t="shared" si="45"/>
        <v>13.5</v>
      </c>
      <c r="U1457" s="3" t="str">
        <f t="shared" si="46"/>
        <v/>
      </c>
    </row>
    <row r="1458" spans="1:21" x14ac:dyDescent="0.35">
      <c r="A1458" s="126" t="s">
        <v>0</v>
      </c>
      <c r="B1458" s="126" t="s">
        <v>698</v>
      </c>
      <c r="C1458" s="126" t="s">
        <v>2</v>
      </c>
      <c r="D1458" s="126" t="s">
        <v>3</v>
      </c>
      <c r="E1458" s="126">
        <v>13.5</v>
      </c>
      <c r="F1458" s="126" t="s">
        <v>88</v>
      </c>
      <c r="G1458" s="108">
        <v>45447</v>
      </c>
      <c r="H1458" s="126" t="s">
        <v>89</v>
      </c>
      <c r="I1458" s="126" t="s">
        <v>7931</v>
      </c>
      <c r="J1458" s="126"/>
      <c r="K1458" s="126" t="s">
        <v>101</v>
      </c>
      <c r="L1458" s="126" t="s">
        <v>7932</v>
      </c>
      <c r="M1458" s="126" t="s">
        <v>397</v>
      </c>
      <c r="N1458" s="126"/>
      <c r="O1458" s="126"/>
      <c r="Q1458" s="3">
        <f t="shared" si="45"/>
        <v>13.5</v>
      </c>
      <c r="U1458" s="3" t="str">
        <f t="shared" si="46"/>
        <v/>
      </c>
    </row>
    <row r="1459" spans="1:21" x14ac:dyDescent="0.35">
      <c r="A1459" s="126" t="s">
        <v>0</v>
      </c>
      <c r="B1459" s="126" t="s">
        <v>698</v>
      </c>
      <c r="C1459" s="126" t="s">
        <v>2</v>
      </c>
      <c r="D1459" s="126" t="s">
        <v>3</v>
      </c>
      <c r="E1459" s="126">
        <v>13.5</v>
      </c>
      <c r="F1459" s="126" t="s">
        <v>88</v>
      </c>
      <c r="G1459" s="108">
        <v>45566</v>
      </c>
      <c r="H1459" s="126" t="s">
        <v>89</v>
      </c>
      <c r="I1459" s="126" t="s">
        <v>8496</v>
      </c>
      <c r="J1459" s="126"/>
      <c r="K1459" s="126" t="s">
        <v>8493</v>
      </c>
      <c r="L1459" s="126" t="s">
        <v>8497</v>
      </c>
      <c r="M1459" s="126" t="s">
        <v>8495</v>
      </c>
      <c r="N1459" s="126"/>
      <c r="O1459" s="126"/>
      <c r="Q1459" s="3">
        <f t="shared" si="45"/>
        <v>13.5</v>
      </c>
      <c r="U1459" s="3" t="str">
        <f t="shared" si="46"/>
        <v/>
      </c>
    </row>
    <row r="1460" spans="1:21" x14ac:dyDescent="0.35">
      <c r="A1460" s="126" t="s">
        <v>0</v>
      </c>
      <c r="B1460" s="126" t="s">
        <v>698</v>
      </c>
      <c r="C1460" s="126" t="s">
        <v>2</v>
      </c>
      <c r="D1460" s="126" t="s">
        <v>3</v>
      </c>
      <c r="E1460" s="126">
        <v>13.5</v>
      </c>
      <c r="F1460" s="126" t="s">
        <v>88</v>
      </c>
      <c r="G1460" s="108">
        <v>45586</v>
      </c>
      <c r="H1460" s="126" t="s">
        <v>89</v>
      </c>
      <c r="I1460" s="126" t="s">
        <v>8591</v>
      </c>
      <c r="J1460" s="126"/>
      <c r="K1460" s="126" t="s">
        <v>8592</v>
      </c>
      <c r="L1460" s="126" t="s">
        <v>8593</v>
      </c>
      <c r="M1460" s="126" t="s">
        <v>8495</v>
      </c>
      <c r="N1460" s="126"/>
      <c r="O1460" s="126"/>
      <c r="Q1460" s="3">
        <f t="shared" si="45"/>
        <v>13.5</v>
      </c>
      <c r="U1460" s="3" t="str">
        <f t="shared" si="46"/>
        <v/>
      </c>
    </row>
    <row r="1461" spans="1:21" x14ac:dyDescent="0.35">
      <c r="A1461" s="126" t="s">
        <v>0</v>
      </c>
      <c r="B1461" s="126" t="s">
        <v>698</v>
      </c>
      <c r="C1461" s="126" t="s">
        <v>2</v>
      </c>
      <c r="D1461" s="126" t="s">
        <v>3</v>
      </c>
      <c r="E1461" s="126">
        <v>13.5</v>
      </c>
      <c r="F1461" s="126" t="s">
        <v>88</v>
      </c>
      <c r="G1461" s="108">
        <v>45600</v>
      </c>
      <c r="H1461" s="126" t="s">
        <v>89</v>
      </c>
      <c r="I1461" s="126" t="s">
        <v>8642</v>
      </c>
      <c r="J1461" s="126"/>
      <c r="K1461" s="126" t="s">
        <v>8643</v>
      </c>
      <c r="L1461" s="126" t="s">
        <v>8644</v>
      </c>
      <c r="M1461" s="126" t="s">
        <v>8495</v>
      </c>
      <c r="N1461" s="126"/>
      <c r="O1461" s="126"/>
      <c r="Q1461" s="3">
        <f t="shared" si="45"/>
        <v>13.5</v>
      </c>
      <c r="U1461" s="3" t="str">
        <f t="shared" si="46"/>
        <v/>
      </c>
    </row>
    <row r="1462" spans="1:21" x14ac:dyDescent="0.35">
      <c r="A1462" s="126" t="s">
        <v>35</v>
      </c>
      <c r="B1462" s="126" t="s">
        <v>869</v>
      </c>
      <c r="C1462" s="126" t="s">
        <v>2</v>
      </c>
      <c r="D1462" s="126" t="s">
        <v>3</v>
      </c>
      <c r="E1462" s="126">
        <v>13.27</v>
      </c>
      <c r="F1462" s="126" t="s">
        <v>88</v>
      </c>
      <c r="G1462" s="108">
        <v>45490</v>
      </c>
      <c r="H1462" s="126" t="s">
        <v>94</v>
      </c>
      <c r="I1462" s="126" t="s">
        <v>425</v>
      </c>
      <c r="J1462" s="126" t="s">
        <v>8169</v>
      </c>
      <c r="K1462" s="126"/>
      <c r="L1462" s="126"/>
      <c r="M1462" s="126"/>
      <c r="N1462" s="126"/>
      <c r="O1462" s="126" t="s">
        <v>8170</v>
      </c>
      <c r="Q1462" s="3">
        <f t="shared" si="45"/>
        <v>13.27</v>
      </c>
      <c r="U1462" s="3" t="str">
        <f t="shared" si="46"/>
        <v/>
      </c>
    </row>
    <row r="1463" spans="1:21" x14ac:dyDescent="0.35">
      <c r="A1463" s="126" t="s">
        <v>35</v>
      </c>
      <c r="B1463" s="126" t="s">
        <v>6156</v>
      </c>
      <c r="C1463" s="126" t="s">
        <v>2</v>
      </c>
      <c r="D1463" s="126" t="s">
        <v>3</v>
      </c>
      <c r="E1463" s="126">
        <v>12.97</v>
      </c>
      <c r="F1463" s="126" t="s">
        <v>88</v>
      </c>
      <c r="G1463" s="108">
        <v>45404</v>
      </c>
      <c r="H1463" s="126" t="s">
        <v>94</v>
      </c>
      <c r="I1463" s="126" t="s">
        <v>7760</v>
      </c>
      <c r="J1463" s="126" t="s">
        <v>7761</v>
      </c>
      <c r="K1463" s="126"/>
      <c r="L1463" s="126"/>
      <c r="M1463" s="126"/>
      <c r="N1463" s="126"/>
      <c r="O1463" s="126" t="s">
        <v>1222</v>
      </c>
      <c r="Q1463" s="3">
        <f t="shared" si="45"/>
        <v>12.97</v>
      </c>
      <c r="U1463" s="3" t="str">
        <f t="shared" si="46"/>
        <v/>
      </c>
    </row>
    <row r="1464" spans="1:21" x14ac:dyDescent="0.35">
      <c r="A1464" s="126" t="s">
        <v>35</v>
      </c>
      <c r="B1464" s="126" t="s">
        <v>909</v>
      </c>
      <c r="C1464" s="126" t="s">
        <v>2</v>
      </c>
      <c r="D1464" s="126" t="s">
        <v>3</v>
      </c>
      <c r="E1464" s="126">
        <v>12.73</v>
      </c>
      <c r="F1464" s="126" t="s">
        <v>88</v>
      </c>
      <c r="G1464" s="108">
        <v>45401</v>
      </c>
      <c r="H1464" s="126" t="s">
        <v>94</v>
      </c>
      <c r="I1464" s="126" t="s">
        <v>469</v>
      </c>
      <c r="J1464" s="126" t="s">
        <v>7743</v>
      </c>
      <c r="K1464" s="126"/>
      <c r="L1464" s="126"/>
      <c r="M1464" s="126"/>
      <c r="N1464" s="126"/>
      <c r="O1464" s="126" t="s">
        <v>552</v>
      </c>
      <c r="Q1464" s="3">
        <f t="shared" si="45"/>
        <v>12.73</v>
      </c>
      <c r="U1464" s="3" t="str">
        <f t="shared" si="46"/>
        <v/>
      </c>
    </row>
    <row r="1465" spans="1:21" x14ac:dyDescent="0.35">
      <c r="A1465" s="126" t="s">
        <v>35</v>
      </c>
      <c r="B1465" s="126" t="s">
        <v>5426</v>
      </c>
      <c r="C1465" s="126" t="s">
        <v>2</v>
      </c>
      <c r="D1465" s="126" t="s">
        <v>3</v>
      </c>
      <c r="E1465" s="126">
        <v>12.73</v>
      </c>
      <c r="F1465" s="126" t="s">
        <v>88</v>
      </c>
      <c r="G1465" s="108">
        <v>45484</v>
      </c>
      <c r="H1465" s="126" t="s">
        <v>94</v>
      </c>
      <c r="I1465" s="126" t="s">
        <v>408</v>
      </c>
      <c r="J1465" s="126" t="s">
        <v>409</v>
      </c>
      <c r="K1465" s="126"/>
      <c r="L1465" s="126"/>
      <c r="M1465" s="126"/>
      <c r="N1465" s="126"/>
      <c r="O1465" s="126" t="s">
        <v>8131</v>
      </c>
      <c r="Q1465" s="3">
        <f t="shared" si="45"/>
        <v>12.73</v>
      </c>
      <c r="S1465" s="55" t="s">
        <v>586</v>
      </c>
      <c r="U1465" s="3" t="str">
        <f t="shared" si="46"/>
        <v/>
      </c>
    </row>
    <row r="1466" spans="1:21" x14ac:dyDescent="0.35">
      <c r="A1466" s="126" t="s">
        <v>35</v>
      </c>
      <c r="B1466" s="126" t="s">
        <v>2543</v>
      </c>
      <c r="C1466" s="126" t="s">
        <v>2</v>
      </c>
      <c r="D1466" s="126" t="s">
        <v>3</v>
      </c>
      <c r="E1466" s="126">
        <v>12.73</v>
      </c>
      <c r="F1466" s="126" t="s">
        <v>88</v>
      </c>
      <c r="G1466" s="108">
        <v>45561</v>
      </c>
      <c r="H1466" s="126" t="s">
        <v>94</v>
      </c>
      <c r="I1466" s="126" t="s">
        <v>454</v>
      </c>
      <c r="J1466" s="126" t="s">
        <v>8475</v>
      </c>
      <c r="K1466" s="126"/>
      <c r="L1466" s="126"/>
      <c r="M1466" s="126"/>
      <c r="N1466" s="126"/>
      <c r="O1466" s="126" t="s">
        <v>8476</v>
      </c>
      <c r="Q1466" s="3">
        <f t="shared" si="45"/>
        <v>12.73</v>
      </c>
      <c r="U1466" s="3" t="str">
        <f t="shared" si="46"/>
        <v/>
      </c>
    </row>
    <row r="1467" spans="1:21" x14ac:dyDescent="0.35">
      <c r="A1467" s="126" t="s">
        <v>35</v>
      </c>
      <c r="B1467" s="126" t="s">
        <v>601</v>
      </c>
      <c r="C1467" s="126" t="s">
        <v>2</v>
      </c>
      <c r="D1467" s="126" t="s">
        <v>3</v>
      </c>
      <c r="E1467" s="126">
        <v>12.68</v>
      </c>
      <c r="F1467" s="126" t="s">
        <v>88</v>
      </c>
      <c r="G1467" s="108">
        <v>45446</v>
      </c>
      <c r="H1467" s="126" t="s">
        <v>94</v>
      </c>
      <c r="I1467" s="126" t="s">
        <v>2935</v>
      </c>
      <c r="J1467" s="126" t="s">
        <v>472</v>
      </c>
      <c r="K1467" s="126"/>
      <c r="L1467" s="126"/>
      <c r="M1467" s="126"/>
      <c r="N1467" s="126"/>
      <c r="O1467" s="126" t="s">
        <v>556</v>
      </c>
      <c r="Q1467" s="3">
        <f t="shared" si="45"/>
        <v>12.68</v>
      </c>
      <c r="U1467" s="3" t="str">
        <f t="shared" si="46"/>
        <v/>
      </c>
    </row>
    <row r="1468" spans="1:21" x14ac:dyDescent="0.35">
      <c r="A1468" s="126" t="s">
        <v>35</v>
      </c>
      <c r="B1468" s="126" t="s">
        <v>868</v>
      </c>
      <c r="C1468" s="126" t="s">
        <v>2</v>
      </c>
      <c r="D1468" s="126" t="s">
        <v>3</v>
      </c>
      <c r="E1468" s="126">
        <v>12.68</v>
      </c>
      <c r="F1468" s="126" t="s">
        <v>88</v>
      </c>
      <c r="G1468" s="108">
        <v>45587</v>
      </c>
      <c r="H1468" s="126" t="s">
        <v>94</v>
      </c>
      <c r="I1468" s="126" t="s">
        <v>416</v>
      </c>
      <c r="J1468" s="126" t="s">
        <v>417</v>
      </c>
      <c r="K1468" s="126"/>
      <c r="L1468" s="126"/>
      <c r="M1468" s="126"/>
      <c r="N1468" s="126"/>
      <c r="O1468" s="126" t="s">
        <v>520</v>
      </c>
      <c r="Q1468" s="3">
        <f t="shared" si="45"/>
        <v>12.68</v>
      </c>
      <c r="S1468" s="55" t="s">
        <v>9014</v>
      </c>
      <c r="U1468" s="3" t="str">
        <f t="shared" si="46"/>
        <v/>
      </c>
    </row>
    <row r="1469" spans="1:21" x14ac:dyDescent="0.35">
      <c r="A1469" s="126" t="s">
        <v>0</v>
      </c>
      <c r="B1469" s="126" t="s">
        <v>969</v>
      </c>
      <c r="C1469" s="126" t="s">
        <v>2</v>
      </c>
      <c r="D1469" s="126" t="s">
        <v>3</v>
      </c>
      <c r="E1469" s="126">
        <v>12.6</v>
      </c>
      <c r="F1469" s="126" t="s">
        <v>88</v>
      </c>
      <c r="G1469" s="108">
        <v>45467</v>
      </c>
      <c r="H1469" s="126" t="s">
        <v>89</v>
      </c>
      <c r="I1469" s="126" t="s">
        <v>8042</v>
      </c>
      <c r="J1469" s="126"/>
      <c r="K1469" s="126" t="s">
        <v>8043</v>
      </c>
      <c r="L1469" s="126" t="s">
        <v>8044</v>
      </c>
      <c r="M1469" s="126" t="s">
        <v>420</v>
      </c>
      <c r="N1469" s="126"/>
      <c r="O1469" s="126"/>
      <c r="Q1469" s="3">
        <f t="shared" si="45"/>
        <v>12.6</v>
      </c>
      <c r="U1469" s="3" t="str">
        <f t="shared" si="46"/>
        <v/>
      </c>
    </row>
    <row r="1470" spans="1:21" x14ac:dyDescent="0.35">
      <c r="A1470" s="126" t="s">
        <v>35</v>
      </c>
      <c r="B1470" s="126" t="s">
        <v>2226</v>
      </c>
      <c r="C1470" s="126" t="s">
        <v>2</v>
      </c>
      <c r="D1470" s="126" t="s">
        <v>3</v>
      </c>
      <c r="E1470" s="126">
        <v>12.5</v>
      </c>
      <c r="F1470" s="126" t="s">
        <v>88</v>
      </c>
      <c r="G1470" s="108">
        <v>45427</v>
      </c>
      <c r="H1470" s="126" t="s">
        <v>94</v>
      </c>
      <c r="I1470" s="126" t="s">
        <v>335</v>
      </c>
      <c r="J1470" s="126" t="s">
        <v>336</v>
      </c>
      <c r="K1470" s="126"/>
      <c r="L1470" s="126"/>
      <c r="M1470" s="126"/>
      <c r="N1470" s="126"/>
      <c r="O1470" s="126" t="s">
        <v>532</v>
      </c>
      <c r="Q1470" s="3">
        <f t="shared" si="45"/>
        <v>12.5</v>
      </c>
      <c r="U1470" s="3" t="str">
        <f t="shared" si="46"/>
        <v/>
      </c>
    </row>
    <row r="1471" spans="1:21" x14ac:dyDescent="0.35">
      <c r="A1471" s="126" t="s">
        <v>35</v>
      </c>
      <c r="B1471" s="126" t="s">
        <v>1106</v>
      </c>
      <c r="C1471" s="126" t="s">
        <v>2</v>
      </c>
      <c r="D1471" s="126" t="s">
        <v>3</v>
      </c>
      <c r="E1471" s="126">
        <v>12.48</v>
      </c>
      <c r="F1471" s="126" t="s">
        <v>88</v>
      </c>
      <c r="G1471" s="108">
        <v>45615</v>
      </c>
      <c r="H1471" s="126" t="s">
        <v>89</v>
      </c>
      <c r="I1471" s="126" t="s">
        <v>8761</v>
      </c>
      <c r="J1471" s="126"/>
      <c r="K1471" s="126" t="s">
        <v>8357</v>
      </c>
      <c r="L1471" s="126" t="s">
        <v>8762</v>
      </c>
      <c r="M1471" s="126" t="s">
        <v>441</v>
      </c>
      <c r="N1471" s="126"/>
      <c r="O1471" s="126"/>
      <c r="Q1471" s="3">
        <f t="shared" si="45"/>
        <v>12.48</v>
      </c>
      <c r="U1471" s="3" t="str">
        <f t="shared" si="46"/>
        <v/>
      </c>
    </row>
    <row r="1472" spans="1:21" x14ac:dyDescent="0.35">
      <c r="A1472" s="126" t="s">
        <v>35</v>
      </c>
      <c r="B1472" s="126" t="s">
        <v>1106</v>
      </c>
      <c r="C1472" s="126" t="s">
        <v>2</v>
      </c>
      <c r="D1472" s="126" t="s">
        <v>3</v>
      </c>
      <c r="E1472" s="126">
        <v>-12.48</v>
      </c>
      <c r="F1472" s="126" t="s">
        <v>88</v>
      </c>
      <c r="G1472" s="108">
        <v>45623</v>
      </c>
      <c r="H1472" s="126" t="s">
        <v>89</v>
      </c>
      <c r="I1472" s="126" t="s">
        <v>8761</v>
      </c>
      <c r="J1472" s="126"/>
      <c r="K1472" s="126" t="s">
        <v>8357</v>
      </c>
      <c r="L1472" s="126" t="s">
        <v>8762</v>
      </c>
      <c r="M1472" s="126" t="s">
        <v>441</v>
      </c>
      <c r="N1472" s="126"/>
      <c r="O1472" s="126"/>
      <c r="Q1472" s="3">
        <f t="shared" si="45"/>
        <v>12.48</v>
      </c>
      <c r="U1472" s="3" t="str">
        <f t="shared" si="46"/>
        <v/>
      </c>
    </row>
    <row r="1473" spans="1:21" x14ac:dyDescent="0.35">
      <c r="A1473" s="126" t="s">
        <v>35</v>
      </c>
      <c r="B1473" s="126" t="s">
        <v>1106</v>
      </c>
      <c r="C1473" s="126" t="s">
        <v>2</v>
      </c>
      <c r="D1473" s="126" t="s">
        <v>3</v>
      </c>
      <c r="E1473" s="126">
        <v>12.48</v>
      </c>
      <c r="F1473" s="126" t="s">
        <v>88</v>
      </c>
      <c r="G1473" s="108">
        <v>45628</v>
      </c>
      <c r="H1473" s="126" t="s">
        <v>89</v>
      </c>
      <c r="I1473" s="126" t="s">
        <v>8830</v>
      </c>
      <c r="J1473" s="126"/>
      <c r="K1473" s="126" t="s">
        <v>8357</v>
      </c>
      <c r="L1473" s="126" t="s">
        <v>8762</v>
      </c>
      <c r="M1473" s="126" t="s">
        <v>441</v>
      </c>
      <c r="N1473" s="126"/>
      <c r="O1473" s="126"/>
      <c r="Q1473" s="3">
        <f t="shared" si="45"/>
        <v>12.48</v>
      </c>
      <c r="U1473" s="3" t="str">
        <f t="shared" si="46"/>
        <v/>
      </c>
    </row>
    <row r="1474" spans="1:21" x14ac:dyDescent="0.35">
      <c r="A1474" s="126" t="s">
        <v>35</v>
      </c>
      <c r="B1474" s="126" t="s">
        <v>1106</v>
      </c>
      <c r="C1474" s="126" t="s">
        <v>2</v>
      </c>
      <c r="D1474" s="126" t="s">
        <v>3</v>
      </c>
      <c r="E1474" s="126">
        <v>12.4</v>
      </c>
      <c r="F1474" s="126" t="s">
        <v>88</v>
      </c>
      <c r="G1474" s="108">
        <v>45631</v>
      </c>
      <c r="H1474" s="126" t="s">
        <v>89</v>
      </c>
      <c r="I1474" s="126" t="s">
        <v>8855</v>
      </c>
      <c r="J1474" s="126"/>
      <c r="K1474" s="126" t="s">
        <v>8660</v>
      </c>
      <c r="L1474" s="126" t="s">
        <v>8856</v>
      </c>
      <c r="M1474" s="126" t="s">
        <v>441</v>
      </c>
      <c r="N1474" s="126"/>
      <c r="O1474" s="126"/>
      <c r="Q1474" s="3">
        <f t="shared" si="45"/>
        <v>12.4</v>
      </c>
      <c r="U1474" s="3" t="str">
        <f t="shared" si="46"/>
        <v/>
      </c>
    </row>
    <row r="1475" spans="1:21" x14ac:dyDescent="0.35">
      <c r="A1475" s="126" t="s">
        <v>35</v>
      </c>
      <c r="B1475" s="126" t="s">
        <v>1106</v>
      </c>
      <c r="C1475" s="126" t="s">
        <v>2</v>
      </c>
      <c r="D1475" s="126" t="s">
        <v>3</v>
      </c>
      <c r="E1475" s="126">
        <v>12.39</v>
      </c>
      <c r="F1475" s="126" t="s">
        <v>88</v>
      </c>
      <c r="G1475" s="108">
        <v>45544</v>
      </c>
      <c r="H1475" s="126" t="s">
        <v>89</v>
      </c>
      <c r="I1475" s="126" t="s">
        <v>8412</v>
      </c>
      <c r="J1475" s="126"/>
      <c r="K1475" s="126" t="s">
        <v>8413</v>
      </c>
      <c r="L1475" s="126" t="s">
        <v>8414</v>
      </c>
      <c r="M1475" s="126" t="s">
        <v>441</v>
      </c>
      <c r="N1475" s="126"/>
      <c r="O1475" s="126"/>
      <c r="Q1475" s="3">
        <f t="shared" si="45"/>
        <v>12.39</v>
      </c>
      <c r="U1475" s="3" t="str">
        <f t="shared" si="46"/>
        <v/>
      </c>
    </row>
    <row r="1476" spans="1:21" x14ac:dyDescent="0.35">
      <c r="A1476" s="126" t="s">
        <v>35</v>
      </c>
      <c r="B1476" s="126" t="s">
        <v>1106</v>
      </c>
      <c r="C1476" s="126" t="s">
        <v>2</v>
      </c>
      <c r="D1476" s="126" t="s">
        <v>3</v>
      </c>
      <c r="E1476" s="126">
        <v>12.39</v>
      </c>
      <c r="F1476" s="126" t="s">
        <v>88</v>
      </c>
      <c r="G1476" s="108">
        <v>45601</v>
      </c>
      <c r="H1476" s="126" t="s">
        <v>89</v>
      </c>
      <c r="I1476" s="126" t="s">
        <v>8657</v>
      </c>
      <c r="J1476" s="126"/>
      <c r="K1476" s="126" t="s">
        <v>8660</v>
      </c>
      <c r="L1476" s="126" t="s">
        <v>8659</v>
      </c>
      <c r="M1476" s="126" t="s">
        <v>441</v>
      </c>
      <c r="N1476" s="126"/>
      <c r="O1476" s="126"/>
      <c r="Q1476" s="3">
        <f t="shared" si="45"/>
        <v>12.39</v>
      </c>
      <c r="U1476" s="3" t="str">
        <f t="shared" si="46"/>
        <v/>
      </c>
    </row>
    <row r="1477" spans="1:21" x14ac:dyDescent="0.35">
      <c r="A1477" s="126" t="s">
        <v>35</v>
      </c>
      <c r="B1477" s="126" t="s">
        <v>1106</v>
      </c>
      <c r="C1477" s="126" t="s">
        <v>2</v>
      </c>
      <c r="D1477" s="126" t="s">
        <v>3</v>
      </c>
      <c r="E1477" s="126">
        <v>-12.39</v>
      </c>
      <c r="F1477" s="126" t="s">
        <v>88</v>
      </c>
      <c r="G1477" s="108">
        <v>45623</v>
      </c>
      <c r="H1477" s="126" t="s">
        <v>89</v>
      </c>
      <c r="I1477" s="126" t="s">
        <v>8657</v>
      </c>
      <c r="J1477" s="126"/>
      <c r="K1477" s="126" t="s">
        <v>8660</v>
      </c>
      <c r="L1477" s="126" t="s">
        <v>8659</v>
      </c>
      <c r="M1477" s="126" t="s">
        <v>441</v>
      </c>
      <c r="N1477" s="126"/>
      <c r="O1477" s="126"/>
      <c r="Q1477" s="3">
        <f t="shared" si="45"/>
        <v>12.39</v>
      </c>
      <c r="U1477" s="3" t="str">
        <f t="shared" si="46"/>
        <v/>
      </c>
    </row>
    <row r="1478" spans="1:21" x14ac:dyDescent="0.35">
      <c r="A1478" s="126" t="s">
        <v>35</v>
      </c>
      <c r="B1478" s="126" t="s">
        <v>1106</v>
      </c>
      <c r="C1478" s="126" t="s">
        <v>2</v>
      </c>
      <c r="D1478" s="126" t="s">
        <v>3</v>
      </c>
      <c r="E1478" s="126">
        <v>12.39</v>
      </c>
      <c r="F1478" s="126" t="s">
        <v>88</v>
      </c>
      <c r="G1478" s="108">
        <v>45628</v>
      </c>
      <c r="H1478" s="126" t="s">
        <v>89</v>
      </c>
      <c r="I1478" s="126" t="s">
        <v>8829</v>
      </c>
      <c r="J1478" s="126"/>
      <c r="K1478" s="126" t="s">
        <v>8660</v>
      </c>
      <c r="L1478" s="126" t="s">
        <v>8659</v>
      </c>
      <c r="M1478" s="126" t="s">
        <v>441</v>
      </c>
      <c r="N1478" s="126"/>
      <c r="O1478" s="126"/>
      <c r="Q1478" s="3">
        <f t="shared" si="45"/>
        <v>12.39</v>
      </c>
      <c r="U1478" s="3" t="str">
        <f t="shared" si="46"/>
        <v/>
      </c>
    </row>
    <row r="1479" spans="1:21" x14ac:dyDescent="0.35">
      <c r="A1479" s="126" t="s">
        <v>35</v>
      </c>
      <c r="B1479" s="126" t="s">
        <v>788</v>
      </c>
      <c r="C1479" s="126" t="s">
        <v>2</v>
      </c>
      <c r="D1479" s="126" t="s">
        <v>3</v>
      </c>
      <c r="E1479" s="126">
        <v>12.35</v>
      </c>
      <c r="F1479" s="126" t="s">
        <v>88</v>
      </c>
      <c r="G1479" s="108">
        <v>45607</v>
      </c>
      <c r="H1479" s="126" t="s">
        <v>94</v>
      </c>
      <c r="I1479" s="126" t="s">
        <v>504</v>
      </c>
      <c r="J1479" s="126" t="s">
        <v>505</v>
      </c>
      <c r="K1479" s="126"/>
      <c r="L1479" s="126"/>
      <c r="M1479" s="126"/>
      <c r="N1479" s="126"/>
      <c r="O1479" s="126" t="s">
        <v>567</v>
      </c>
      <c r="Q1479" s="3">
        <f t="shared" si="45"/>
        <v>12.35</v>
      </c>
      <c r="S1479" s="55" t="s">
        <v>9014</v>
      </c>
      <c r="U1479" s="3" t="str">
        <f t="shared" si="46"/>
        <v/>
      </c>
    </row>
    <row r="1480" spans="1:21" x14ac:dyDescent="0.35">
      <c r="A1480" s="126" t="s">
        <v>35</v>
      </c>
      <c r="B1480" s="126" t="s">
        <v>2226</v>
      </c>
      <c r="C1480" s="126" t="s">
        <v>2</v>
      </c>
      <c r="D1480" s="126" t="s">
        <v>3</v>
      </c>
      <c r="E1480" s="126">
        <v>12.32</v>
      </c>
      <c r="F1480" s="126" t="s">
        <v>88</v>
      </c>
      <c r="G1480" s="108">
        <v>45393</v>
      </c>
      <c r="H1480" s="126" t="s">
        <v>94</v>
      </c>
      <c r="I1480" s="126" t="s">
        <v>335</v>
      </c>
      <c r="J1480" s="126" t="s">
        <v>336</v>
      </c>
      <c r="K1480" s="126"/>
      <c r="L1480" s="126"/>
      <c r="M1480" s="126"/>
      <c r="N1480" s="126"/>
      <c r="O1480" s="126" t="s">
        <v>532</v>
      </c>
      <c r="Q1480" s="3">
        <f t="shared" ref="Q1480:Q1543" si="47">ABS(E1480)</f>
        <v>12.32</v>
      </c>
      <c r="U1480" s="3" t="str">
        <f t="shared" ref="U1480:U1543" si="48">IF(T1480="Y",E1480,"")</f>
        <v/>
      </c>
    </row>
    <row r="1481" spans="1:21" x14ac:dyDescent="0.35">
      <c r="A1481" s="126" t="s">
        <v>35</v>
      </c>
      <c r="B1481" s="126" t="s">
        <v>2728</v>
      </c>
      <c r="C1481" s="126" t="s">
        <v>2</v>
      </c>
      <c r="D1481" s="126" t="s">
        <v>3</v>
      </c>
      <c r="E1481" s="126">
        <v>12.27</v>
      </c>
      <c r="F1481" s="126" t="s">
        <v>88</v>
      </c>
      <c r="G1481" s="108">
        <v>45580</v>
      </c>
      <c r="H1481" s="126" t="s">
        <v>94</v>
      </c>
      <c r="I1481" s="126" t="s">
        <v>3025</v>
      </c>
      <c r="J1481" s="126" t="s">
        <v>8569</v>
      </c>
      <c r="K1481" s="126"/>
      <c r="L1481" s="126"/>
      <c r="M1481" s="126"/>
      <c r="N1481" s="126"/>
      <c r="O1481" s="126" t="s">
        <v>519</v>
      </c>
      <c r="Q1481" s="3">
        <f t="shared" si="47"/>
        <v>12.27</v>
      </c>
      <c r="U1481" s="3" t="str">
        <f t="shared" si="48"/>
        <v/>
      </c>
    </row>
    <row r="1482" spans="1:21" x14ac:dyDescent="0.35">
      <c r="A1482" s="126" t="s">
        <v>35</v>
      </c>
      <c r="B1482" s="126" t="s">
        <v>893</v>
      </c>
      <c r="C1482" s="126" t="s">
        <v>2</v>
      </c>
      <c r="D1482" s="126" t="s">
        <v>3</v>
      </c>
      <c r="E1482" s="126">
        <v>12.27</v>
      </c>
      <c r="F1482" s="126" t="s">
        <v>88</v>
      </c>
      <c r="G1482" s="108">
        <v>45635</v>
      </c>
      <c r="H1482" s="126" t="s">
        <v>94</v>
      </c>
      <c r="I1482" s="126" t="s">
        <v>4458</v>
      </c>
      <c r="J1482" s="126" t="s">
        <v>8895</v>
      </c>
      <c r="K1482" s="126"/>
      <c r="L1482" s="126"/>
      <c r="M1482" s="126"/>
      <c r="N1482" s="126"/>
      <c r="O1482" s="126" t="s">
        <v>571</v>
      </c>
      <c r="Q1482" s="3">
        <f t="shared" si="47"/>
        <v>12.27</v>
      </c>
      <c r="U1482" s="3" t="str">
        <f t="shared" si="48"/>
        <v/>
      </c>
    </row>
    <row r="1483" spans="1:21" x14ac:dyDescent="0.35">
      <c r="A1483" s="126" t="s">
        <v>35</v>
      </c>
      <c r="B1483" s="126" t="s">
        <v>953</v>
      </c>
      <c r="C1483" s="126" t="s">
        <v>2</v>
      </c>
      <c r="D1483" s="126" t="s">
        <v>3</v>
      </c>
      <c r="E1483" s="126">
        <v>12.25</v>
      </c>
      <c r="F1483" s="126" t="s">
        <v>88</v>
      </c>
      <c r="G1483" s="108">
        <v>45447</v>
      </c>
      <c r="H1483" s="126" t="s">
        <v>94</v>
      </c>
      <c r="I1483" s="126" t="s">
        <v>7935</v>
      </c>
      <c r="J1483" s="126" t="s">
        <v>7936</v>
      </c>
      <c r="K1483" s="126"/>
      <c r="L1483" s="126"/>
      <c r="M1483" s="126"/>
      <c r="N1483" s="126"/>
      <c r="O1483" s="126" t="s">
        <v>7937</v>
      </c>
      <c r="Q1483" s="3">
        <f t="shared" si="47"/>
        <v>12.25</v>
      </c>
      <c r="U1483" s="3" t="str">
        <f t="shared" si="48"/>
        <v/>
      </c>
    </row>
    <row r="1484" spans="1:21" x14ac:dyDescent="0.35">
      <c r="A1484" s="126" t="s">
        <v>35</v>
      </c>
      <c r="B1484" s="126" t="s">
        <v>1480</v>
      </c>
      <c r="C1484" s="126" t="s">
        <v>2</v>
      </c>
      <c r="D1484" s="126" t="s">
        <v>3</v>
      </c>
      <c r="E1484" s="126">
        <v>11.95</v>
      </c>
      <c r="F1484" s="126" t="s">
        <v>88</v>
      </c>
      <c r="G1484" s="108">
        <v>45436</v>
      </c>
      <c r="H1484" s="126" t="s">
        <v>94</v>
      </c>
      <c r="I1484" s="126" t="s">
        <v>478</v>
      </c>
      <c r="J1484" s="126" t="s">
        <v>7892</v>
      </c>
      <c r="K1484" s="126"/>
      <c r="L1484" s="126"/>
      <c r="M1484" s="126"/>
      <c r="N1484" s="126"/>
      <c r="O1484" s="126" t="s">
        <v>550</v>
      </c>
      <c r="Q1484" s="3">
        <f t="shared" si="47"/>
        <v>11.95</v>
      </c>
      <c r="U1484" s="3" t="str">
        <f t="shared" si="48"/>
        <v/>
      </c>
    </row>
    <row r="1485" spans="1:21" x14ac:dyDescent="0.35">
      <c r="A1485" s="126" t="s">
        <v>35</v>
      </c>
      <c r="B1485" s="126" t="s">
        <v>1280</v>
      </c>
      <c r="C1485" s="126" t="s">
        <v>2</v>
      </c>
      <c r="D1485" s="126" t="s">
        <v>3</v>
      </c>
      <c r="E1485" s="126">
        <v>11.95</v>
      </c>
      <c r="F1485" s="126" t="s">
        <v>88</v>
      </c>
      <c r="G1485" s="108">
        <v>45604</v>
      </c>
      <c r="H1485" s="126" t="s">
        <v>94</v>
      </c>
      <c r="I1485" s="126" t="s">
        <v>8696</v>
      </c>
      <c r="J1485" s="126" t="s">
        <v>391</v>
      </c>
      <c r="K1485" s="126"/>
      <c r="L1485" s="126"/>
      <c r="M1485" s="126"/>
      <c r="N1485" s="126"/>
      <c r="O1485" s="126" t="s">
        <v>6670</v>
      </c>
      <c r="Q1485" s="3">
        <f t="shared" si="47"/>
        <v>11.95</v>
      </c>
      <c r="U1485" s="3" t="str">
        <f t="shared" si="48"/>
        <v/>
      </c>
    </row>
    <row r="1486" spans="1:21" x14ac:dyDescent="0.35">
      <c r="A1486" s="126" t="s">
        <v>35</v>
      </c>
      <c r="B1486" s="126" t="s">
        <v>708</v>
      </c>
      <c r="C1486" s="126" t="s">
        <v>2</v>
      </c>
      <c r="D1486" s="126" t="s">
        <v>3</v>
      </c>
      <c r="E1486" s="126">
        <v>11.82</v>
      </c>
      <c r="F1486" s="126" t="s">
        <v>88</v>
      </c>
      <c r="G1486" s="108">
        <v>45425</v>
      </c>
      <c r="H1486" s="126" t="s">
        <v>94</v>
      </c>
      <c r="I1486" s="126" t="s">
        <v>467</v>
      </c>
      <c r="J1486" s="126" t="s">
        <v>468</v>
      </c>
      <c r="K1486" s="126"/>
      <c r="L1486" s="126"/>
      <c r="M1486" s="126"/>
      <c r="N1486" s="126"/>
      <c r="O1486" s="126" t="s">
        <v>551</v>
      </c>
      <c r="Q1486" s="3">
        <f t="shared" si="47"/>
        <v>11.82</v>
      </c>
      <c r="S1486" s="55" t="s">
        <v>9014</v>
      </c>
      <c r="U1486" s="3" t="str">
        <f t="shared" si="48"/>
        <v/>
      </c>
    </row>
    <row r="1487" spans="1:21" x14ac:dyDescent="0.35">
      <c r="A1487" s="126" t="s">
        <v>35</v>
      </c>
      <c r="B1487" s="126" t="s">
        <v>708</v>
      </c>
      <c r="C1487" s="126" t="s">
        <v>2</v>
      </c>
      <c r="D1487" s="126" t="s">
        <v>3</v>
      </c>
      <c r="E1487" s="126">
        <v>11.82</v>
      </c>
      <c r="F1487" s="126" t="s">
        <v>88</v>
      </c>
      <c r="G1487" s="108">
        <v>45434</v>
      </c>
      <c r="H1487" s="126" t="s">
        <v>94</v>
      </c>
      <c r="I1487" s="126" t="s">
        <v>467</v>
      </c>
      <c r="J1487" s="126" t="s">
        <v>468</v>
      </c>
      <c r="K1487" s="126"/>
      <c r="L1487" s="126"/>
      <c r="M1487" s="126"/>
      <c r="N1487" s="126"/>
      <c r="O1487" s="126" t="s">
        <v>551</v>
      </c>
      <c r="Q1487" s="3">
        <f t="shared" si="47"/>
        <v>11.82</v>
      </c>
      <c r="S1487" s="55" t="s">
        <v>9014</v>
      </c>
      <c r="U1487" s="3" t="str">
        <f t="shared" si="48"/>
        <v/>
      </c>
    </row>
    <row r="1488" spans="1:21" x14ac:dyDescent="0.35">
      <c r="A1488" s="126" t="s">
        <v>0</v>
      </c>
      <c r="B1488" s="126" t="s">
        <v>805</v>
      </c>
      <c r="C1488" s="126" t="s">
        <v>2</v>
      </c>
      <c r="D1488" s="126" t="s">
        <v>3</v>
      </c>
      <c r="E1488" s="126">
        <v>11.67</v>
      </c>
      <c r="F1488" s="126" t="s">
        <v>88</v>
      </c>
      <c r="G1488" s="108">
        <v>45432</v>
      </c>
      <c r="H1488" s="126" t="s">
        <v>89</v>
      </c>
      <c r="I1488" s="126" t="s">
        <v>7839</v>
      </c>
      <c r="J1488" s="126"/>
      <c r="K1488" s="126" t="s">
        <v>7840</v>
      </c>
      <c r="L1488" s="126" t="s">
        <v>7841</v>
      </c>
      <c r="M1488" s="126" t="s">
        <v>399</v>
      </c>
      <c r="N1488" s="35"/>
      <c r="O1488" s="35"/>
      <c r="Q1488" s="3">
        <f t="shared" si="47"/>
        <v>11.67</v>
      </c>
      <c r="S1488" s="55" t="s">
        <v>9013</v>
      </c>
      <c r="U1488" s="3" t="str">
        <f t="shared" si="48"/>
        <v/>
      </c>
    </row>
    <row r="1489" spans="1:21" x14ac:dyDescent="0.35">
      <c r="A1489" s="126" t="s">
        <v>0</v>
      </c>
      <c r="B1489" s="126" t="s">
        <v>805</v>
      </c>
      <c r="C1489" s="126" t="s">
        <v>2</v>
      </c>
      <c r="D1489" s="126" t="s">
        <v>3</v>
      </c>
      <c r="E1489" s="126">
        <v>11.67</v>
      </c>
      <c r="F1489" s="126" t="s">
        <v>88</v>
      </c>
      <c r="G1489" s="108">
        <v>45454</v>
      </c>
      <c r="H1489" s="126" t="s">
        <v>89</v>
      </c>
      <c r="I1489" s="126" t="s">
        <v>7958</v>
      </c>
      <c r="J1489" s="126"/>
      <c r="K1489" s="126" t="s">
        <v>7959</v>
      </c>
      <c r="L1489" s="126" t="s">
        <v>7960</v>
      </c>
      <c r="M1489" s="126" t="s">
        <v>399</v>
      </c>
      <c r="Q1489" s="3">
        <f t="shared" si="47"/>
        <v>11.67</v>
      </c>
      <c r="S1489" s="55" t="s">
        <v>9013</v>
      </c>
      <c r="U1489" s="3" t="str">
        <f t="shared" si="48"/>
        <v/>
      </c>
    </row>
    <row r="1490" spans="1:21" x14ac:dyDescent="0.35">
      <c r="A1490" s="126" t="s">
        <v>0</v>
      </c>
      <c r="B1490" s="126" t="s">
        <v>805</v>
      </c>
      <c r="C1490" s="126" t="s">
        <v>2</v>
      </c>
      <c r="D1490" s="126" t="s">
        <v>3</v>
      </c>
      <c r="E1490" s="126">
        <v>11.67</v>
      </c>
      <c r="F1490" s="126" t="s">
        <v>88</v>
      </c>
      <c r="G1490" s="108">
        <v>45485</v>
      </c>
      <c r="H1490" s="126" t="s">
        <v>89</v>
      </c>
      <c r="I1490" s="126" t="s">
        <v>8134</v>
      </c>
      <c r="J1490" s="126"/>
      <c r="K1490" s="126" t="s">
        <v>8135</v>
      </c>
      <c r="L1490" s="126" t="s">
        <v>8136</v>
      </c>
      <c r="M1490" s="126" t="s">
        <v>399</v>
      </c>
      <c r="Q1490" s="3">
        <f t="shared" si="47"/>
        <v>11.67</v>
      </c>
      <c r="S1490" s="55" t="s">
        <v>9013</v>
      </c>
      <c r="U1490" s="3" t="str">
        <f t="shared" si="48"/>
        <v/>
      </c>
    </row>
    <row r="1491" spans="1:21" x14ac:dyDescent="0.35">
      <c r="A1491" s="126" t="s">
        <v>0</v>
      </c>
      <c r="B1491" s="126" t="s">
        <v>805</v>
      </c>
      <c r="C1491" s="126" t="s">
        <v>2</v>
      </c>
      <c r="D1491" s="126" t="s">
        <v>3</v>
      </c>
      <c r="E1491" s="126">
        <v>11.67</v>
      </c>
      <c r="F1491" s="126" t="s">
        <v>88</v>
      </c>
      <c r="G1491" s="108">
        <v>45517</v>
      </c>
      <c r="H1491" s="126" t="s">
        <v>89</v>
      </c>
      <c r="I1491" s="126" t="s">
        <v>8320</v>
      </c>
      <c r="J1491" s="126"/>
      <c r="K1491" s="126" t="s">
        <v>8321</v>
      </c>
      <c r="L1491" s="126" t="s">
        <v>8322</v>
      </c>
      <c r="M1491" s="126" t="s">
        <v>399</v>
      </c>
      <c r="Q1491" s="3">
        <f t="shared" si="47"/>
        <v>11.67</v>
      </c>
      <c r="S1491" s="55" t="s">
        <v>9013</v>
      </c>
      <c r="U1491" s="3" t="str">
        <f t="shared" si="48"/>
        <v/>
      </c>
    </row>
    <row r="1492" spans="1:21" x14ac:dyDescent="0.35">
      <c r="A1492" s="126" t="s">
        <v>0</v>
      </c>
      <c r="B1492" s="126" t="s">
        <v>805</v>
      </c>
      <c r="C1492" s="126" t="s">
        <v>2</v>
      </c>
      <c r="D1492" s="126" t="s">
        <v>3</v>
      </c>
      <c r="E1492" s="126">
        <v>11.67</v>
      </c>
      <c r="F1492" s="126" t="s">
        <v>88</v>
      </c>
      <c r="G1492" s="108">
        <v>45551</v>
      </c>
      <c r="H1492" s="126" t="s">
        <v>89</v>
      </c>
      <c r="I1492" s="126" t="s">
        <v>8431</v>
      </c>
      <c r="J1492" s="126"/>
      <c r="K1492" s="126" t="s">
        <v>8432</v>
      </c>
      <c r="L1492" s="126" t="s">
        <v>8433</v>
      </c>
      <c r="M1492" s="126" t="s">
        <v>399</v>
      </c>
      <c r="N1492" s="126"/>
      <c r="O1492" s="126"/>
      <c r="Q1492" s="3">
        <f t="shared" si="47"/>
        <v>11.67</v>
      </c>
      <c r="S1492" s="55" t="s">
        <v>9013</v>
      </c>
      <c r="U1492" s="3" t="str">
        <f t="shared" si="48"/>
        <v/>
      </c>
    </row>
    <row r="1493" spans="1:21" x14ac:dyDescent="0.35">
      <c r="A1493" s="126" t="s">
        <v>0</v>
      </c>
      <c r="B1493" s="126" t="s">
        <v>805</v>
      </c>
      <c r="C1493" s="126" t="s">
        <v>2</v>
      </c>
      <c r="D1493" s="126" t="s">
        <v>3</v>
      </c>
      <c r="E1493" s="126">
        <v>11.67</v>
      </c>
      <c r="F1493" s="126" t="s">
        <v>88</v>
      </c>
      <c r="G1493" s="108">
        <v>45569</v>
      </c>
      <c r="H1493" s="126" t="s">
        <v>89</v>
      </c>
      <c r="I1493" s="126" t="s">
        <v>8521</v>
      </c>
      <c r="J1493" s="126"/>
      <c r="K1493" s="126" t="s">
        <v>8522</v>
      </c>
      <c r="L1493" s="126" t="s">
        <v>8523</v>
      </c>
      <c r="M1493" s="126" t="s">
        <v>399</v>
      </c>
      <c r="Q1493" s="3">
        <f t="shared" si="47"/>
        <v>11.67</v>
      </c>
      <c r="S1493" s="55" t="s">
        <v>9013</v>
      </c>
      <c r="U1493" s="3" t="str">
        <f t="shared" si="48"/>
        <v/>
      </c>
    </row>
    <row r="1494" spans="1:21" x14ac:dyDescent="0.35">
      <c r="A1494" s="126" t="s">
        <v>0</v>
      </c>
      <c r="B1494" s="126" t="s">
        <v>805</v>
      </c>
      <c r="C1494" s="126" t="s">
        <v>2</v>
      </c>
      <c r="D1494" s="126" t="s">
        <v>3</v>
      </c>
      <c r="E1494" s="126">
        <v>11.67</v>
      </c>
      <c r="F1494" s="126" t="s">
        <v>88</v>
      </c>
      <c r="G1494" s="108">
        <v>45611</v>
      </c>
      <c r="H1494" s="126" t="s">
        <v>89</v>
      </c>
      <c r="I1494" s="126" t="s">
        <v>8734</v>
      </c>
      <c r="J1494" s="126"/>
      <c r="K1494" s="126" t="s">
        <v>8735</v>
      </c>
      <c r="L1494" s="126" t="s">
        <v>8736</v>
      </c>
      <c r="M1494" s="126" t="s">
        <v>399</v>
      </c>
      <c r="Q1494" s="3">
        <f t="shared" si="47"/>
        <v>11.67</v>
      </c>
      <c r="S1494" s="55" t="s">
        <v>9013</v>
      </c>
      <c r="U1494" s="3" t="str">
        <f t="shared" si="48"/>
        <v/>
      </c>
    </row>
    <row r="1495" spans="1:21" x14ac:dyDescent="0.35">
      <c r="A1495" s="126" t="s">
        <v>0</v>
      </c>
      <c r="B1495" s="126" t="s">
        <v>805</v>
      </c>
      <c r="C1495" s="126" t="s">
        <v>2</v>
      </c>
      <c r="D1495" s="126" t="s">
        <v>3</v>
      </c>
      <c r="E1495" s="126">
        <v>11.67</v>
      </c>
      <c r="F1495" s="126" t="s">
        <v>88</v>
      </c>
      <c r="G1495" s="108">
        <v>45635</v>
      </c>
      <c r="H1495" s="126" t="s">
        <v>89</v>
      </c>
      <c r="I1495" s="126" t="s">
        <v>8878</v>
      </c>
      <c r="J1495" s="126"/>
      <c r="K1495" s="126" t="s">
        <v>8879</v>
      </c>
      <c r="L1495" s="126" t="s">
        <v>8880</v>
      </c>
      <c r="M1495" s="126" t="s">
        <v>399</v>
      </c>
      <c r="Q1495" s="3">
        <f t="shared" si="47"/>
        <v>11.67</v>
      </c>
      <c r="S1495" s="55" t="s">
        <v>9013</v>
      </c>
      <c r="U1495" s="3" t="str">
        <f t="shared" si="48"/>
        <v/>
      </c>
    </row>
    <row r="1496" spans="1:21" x14ac:dyDescent="0.35">
      <c r="A1496" s="126" t="s">
        <v>0</v>
      </c>
      <c r="B1496" s="126" t="s">
        <v>805</v>
      </c>
      <c r="C1496" s="126" t="s">
        <v>2</v>
      </c>
      <c r="D1496" s="126" t="s">
        <v>3</v>
      </c>
      <c r="E1496" s="126">
        <v>11.65</v>
      </c>
      <c r="F1496" s="126" t="s">
        <v>88</v>
      </c>
      <c r="G1496" s="108">
        <v>45391</v>
      </c>
      <c r="H1496" s="126" t="s">
        <v>89</v>
      </c>
      <c r="I1496" s="126" t="s">
        <v>7691</v>
      </c>
      <c r="J1496" s="126"/>
      <c r="K1496" s="126" t="s">
        <v>7672</v>
      </c>
      <c r="L1496" s="126" t="s">
        <v>7692</v>
      </c>
      <c r="M1496" s="126" t="s">
        <v>399</v>
      </c>
      <c r="N1496" s="35"/>
      <c r="O1496" s="35"/>
      <c r="Q1496" s="3">
        <f t="shared" si="47"/>
        <v>11.65</v>
      </c>
      <c r="S1496" s="55" t="s">
        <v>9013</v>
      </c>
      <c r="U1496" s="3" t="str">
        <f t="shared" si="48"/>
        <v/>
      </c>
    </row>
    <row r="1497" spans="1:21" x14ac:dyDescent="0.35">
      <c r="A1497" s="126" t="s">
        <v>35</v>
      </c>
      <c r="B1497" s="126" t="s">
        <v>615</v>
      </c>
      <c r="C1497" s="126" t="s">
        <v>2</v>
      </c>
      <c r="D1497" s="126" t="s">
        <v>3</v>
      </c>
      <c r="E1497" s="126">
        <v>11.41</v>
      </c>
      <c r="F1497" s="126" t="s">
        <v>88</v>
      </c>
      <c r="G1497" s="108">
        <v>45390</v>
      </c>
      <c r="H1497" s="126" t="s">
        <v>94</v>
      </c>
      <c r="I1497" s="126" t="s">
        <v>2863</v>
      </c>
      <c r="J1497" s="126" t="s">
        <v>7685</v>
      </c>
      <c r="K1497" s="126"/>
      <c r="L1497" s="126"/>
      <c r="M1497" s="126"/>
      <c r="N1497" s="126"/>
      <c r="O1497" s="126" t="s">
        <v>573</v>
      </c>
      <c r="Q1497" s="3">
        <f t="shared" si="47"/>
        <v>11.41</v>
      </c>
      <c r="U1497" s="3" t="str">
        <f t="shared" si="48"/>
        <v/>
      </c>
    </row>
    <row r="1498" spans="1:21" x14ac:dyDescent="0.35">
      <c r="A1498" s="126" t="s">
        <v>35</v>
      </c>
      <c r="B1498" s="126" t="s">
        <v>3422</v>
      </c>
      <c r="C1498" s="126" t="s">
        <v>2</v>
      </c>
      <c r="D1498" s="126" t="s">
        <v>3</v>
      </c>
      <c r="E1498" s="126">
        <v>11.36</v>
      </c>
      <c r="F1498" s="126" t="s">
        <v>88</v>
      </c>
      <c r="G1498" s="108">
        <v>45387</v>
      </c>
      <c r="H1498" s="126" t="s">
        <v>94</v>
      </c>
      <c r="I1498" s="126" t="s">
        <v>4435</v>
      </c>
      <c r="J1498" s="126" t="s">
        <v>7661</v>
      </c>
      <c r="K1498" s="126"/>
      <c r="L1498" s="126"/>
      <c r="M1498" s="126"/>
      <c r="N1498" s="126"/>
      <c r="O1498" s="126" t="s">
        <v>538</v>
      </c>
      <c r="Q1498" s="3">
        <f t="shared" si="47"/>
        <v>11.36</v>
      </c>
      <c r="U1498" s="3" t="str">
        <f t="shared" si="48"/>
        <v/>
      </c>
    </row>
    <row r="1499" spans="1:21" x14ac:dyDescent="0.35">
      <c r="A1499" s="126" t="s">
        <v>35</v>
      </c>
      <c r="B1499" s="126" t="s">
        <v>1411</v>
      </c>
      <c r="C1499" s="126" t="s">
        <v>2</v>
      </c>
      <c r="D1499" s="126" t="s">
        <v>3</v>
      </c>
      <c r="E1499" s="126">
        <v>11.36</v>
      </c>
      <c r="F1499" s="126" t="s">
        <v>88</v>
      </c>
      <c r="G1499" s="108">
        <v>45590</v>
      </c>
      <c r="H1499" s="126" t="s">
        <v>94</v>
      </c>
      <c r="I1499" s="126" t="s">
        <v>459</v>
      </c>
      <c r="J1499" s="126" t="s">
        <v>8606</v>
      </c>
      <c r="K1499" s="126"/>
      <c r="L1499" s="126"/>
      <c r="M1499" s="126"/>
      <c r="N1499" s="126"/>
      <c r="O1499" s="126" t="s">
        <v>538</v>
      </c>
      <c r="Q1499" s="3">
        <f t="shared" si="47"/>
        <v>11.36</v>
      </c>
      <c r="U1499" s="3" t="str">
        <f t="shared" si="48"/>
        <v/>
      </c>
    </row>
    <row r="1500" spans="1:21" x14ac:dyDescent="0.35">
      <c r="A1500" s="126" t="s">
        <v>35</v>
      </c>
      <c r="B1500" s="126" t="s">
        <v>2543</v>
      </c>
      <c r="C1500" s="126" t="s">
        <v>2</v>
      </c>
      <c r="D1500" s="126" t="s">
        <v>3</v>
      </c>
      <c r="E1500" s="126">
        <v>11.36</v>
      </c>
      <c r="F1500" s="126" t="s">
        <v>88</v>
      </c>
      <c r="G1500" s="108">
        <v>45607</v>
      </c>
      <c r="H1500" s="126" t="s">
        <v>94</v>
      </c>
      <c r="I1500" s="126" t="s">
        <v>8722</v>
      </c>
      <c r="J1500" s="126" t="s">
        <v>8723</v>
      </c>
      <c r="K1500" s="126"/>
      <c r="L1500" s="126"/>
      <c r="M1500" s="126"/>
      <c r="N1500" s="126"/>
      <c r="O1500" s="126" t="s">
        <v>537</v>
      </c>
      <c r="Q1500" s="3">
        <f t="shared" si="47"/>
        <v>11.36</v>
      </c>
      <c r="U1500" s="3" t="str">
        <f t="shared" si="48"/>
        <v/>
      </c>
    </row>
    <row r="1501" spans="1:21" x14ac:dyDescent="0.35">
      <c r="A1501" s="126" t="s">
        <v>35</v>
      </c>
      <c r="B1501" s="126" t="s">
        <v>915</v>
      </c>
      <c r="C1501" s="126" t="s">
        <v>2</v>
      </c>
      <c r="D1501" s="126" t="s">
        <v>3</v>
      </c>
      <c r="E1501" s="126">
        <v>11.36</v>
      </c>
      <c r="F1501" s="126" t="s">
        <v>88</v>
      </c>
      <c r="G1501" s="108">
        <v>45656</v>
      </c>
      <c r="H1501" s="126" t="s">
        <v>94</v>
      </c>
      <c r="I1501" s="126" t="s">
        <v>7766</v>
      </c>
      <c r="J1501" s="126" t="s">
        <v>9003</v>
      </c>
      <c r="K1501" s="126"/>
      <c r="L1501" s="126"/>
      <c r="M1501" s="126"/>
      <c r="N1501" s="126"/>
      <c r="O1501" s="126" t="s">
        <v>8946</v>
      </c>
      <c r="Q1501" s="3">
        <f t="shared" si="47"/>
        <v>11.36</v>
      </c>
      <c r="U1501" s="3" t="str">
        <f t="shared" si="48"/>
        <v/>
      </c>
    </row>
    <row r="1502" spans="1:21" x14ac:dyDescent="0.35">
      <c r="A1502" s="126" t="s">
        <v>0</v>
      </c>
      <c r="B1502" s="126" t="s">
        <v>969</v>
      </c>
      <c r="C1502" s="126" t="s">
        <v>2</v>
      </c>
      <c r="D1502" s="126" t="s">
        <v>3</v>
      </c>
      <c r="E1502" s="126">
        <v>11.3</v>
      </c>
      <c r="F1502" s="126" t="s">
        <v>88</v>
      </c>
      <c r="G1502" s="108">
        <v>45495</v>
      </c>
      <c r="H1502" s="126" t="s">
        <v>89</v>
      </c>
      <c r="I1502" s="126" t="s">
        <v>8182</v>
      </c>
      <c r="J1502" s="126"/>
      <c r="K1502" s="126" t="s">
        <v>7655</v>
      </c>
      <c r="L1502" s="126" t="s">
        <v>8184</v>
      </c>
      <c r="M1502" s="126" t="s">
        <v>420</v>
      </c>
      <c r="N1502" s="126"/>
      <c r="O1502" s="126"/>
      <c r="Q1502" s="3">
        <f t="shared" si="47"/>
        <v>11.3</v>
      </c>
      <c r="U1502" s="3" t="str">
        <f t="shared" si="48"/>
        <v/>
      </c>
    </row>
    <row r="1503" spans="1:21" x14ac:dyDescent="0.35">
      <c r="A1503" s="126" t="s">
        <v>35</v>
      </c>
      <c r="B1503" s="126" t="s">
        <v>1075</v>
      </c>
      <c r="C1503" s="126" t="s">
        <v>2</v>
      </c>
      <c r="D1503" s="126" t="s">
        <v>3</v>
      </c>
      <c r="E1503" s="126">
        <v>11.29</v>
      </c>
      <c r="F1503" s="126" t="s">
        <v>88</v>
      </c>
      <c r="G1503" s="108">
        <v>45547</v>
      </c>
      <c r="H1503" s="126" t="s">
        <v>89</v>
      </c>
      <c r="I1503" s="126" t="s">
        <v>8423</v>
      </c>
      <c r="J1503" s="126"/>
      <c r="K1503" s="126" t="s">
        <v>7880</v>
      </c>
      <c r="L1503" s="126" t="s">
        <v>8424</v>
      </c>
      <c r="M1503" s="126" t="s">
        <v>396</v>
      </c>
      <c r="N1503" s="126"/>
      <c r="O1503" s="126"/>
      <c r="Q1503" s="3">
        <f t="shared" si="47"/>
        <v>11.29</v>
      </c>
      <c r="S1503" s="55" t="s">
        <v>9016</v>
      </c>
      <c r="U1503" s="3" t="str">
        <f t="shared" si="48"/>
        <v/>
      </c>
    </row>
    <row r="1504" spans="1:21" x14ac:dyDescent="0.35">
      <c r="A1504" s="126" t="s">
        <v>35</v>
      </c>
      <c r="B1504" s="126" t="s">
        <v>4583</v>
      </c>
      <c r="C1504" s="126" t="s">
        <v>2</v>
      </c>
      <c r="D1504" s="126" t="s">
        <v>3</v>
      </c>
      <c r="E1504" s="126">
        <v>11.27</v>
      </c>
      <c r="F1504" s="126" t="s">
        <v>88</v>
      </c>
      <c r="G1504" s="108">
        <v>45470</v>
      </c>
      <c r="H1504" s="126" t="s">
        <v>94</v>
      </c>
      <c r="I1504" s="126" t="s">
        <v>7987</v>
      </c>
      <c r="J1504" s="126" t="s">
        <v>8070</v>
      </c>
      <c r="K1504" s="126"/>
      <c r="L1504" s="126"/>
      <c r="M1504" s="126"/>
      <c r="N1504" s="126"/>
      <c r="O1504" s="126" t="s">
        <v>8067</v>
      </c>
      <c r="Q1504" s="3">
        <f t="shared" si="47"/>
        <v>11.27</v>
      </c>
      <c r="U1504" s="3" t="str">
        <f t="shared" si="48"/>
        <v/>
      </c>
    </row>
    <row r="1505" spans="1:21" x14ac:dyDescent="0.35">
      <c r="A1505" s="126" t="s">
        <v>35</v>
      </c>
      <c r="B1505" s="126" t="s">
        <v>1411</v>
      </c>
      <c r="C1505" s="126" t="s">
        <v>2</v>
      </c>
      <c r="D1505" s="126" t="s">
        <v>3</v>
      </c>
      <c r="E1505" s="126">
        <v>11.23</v>
      </c>
      <c r="F1505" s="126" t="s">
        <v>88</v>
      </c>
      <c r="G1505" s="108">
        <v>45639</v>
      </c>
      <c r="H1505" s="126" t="s">
        <v>94</v>
      </c>
      <c r="I1505" s="126" t="s">
        <v>1158</v>
      </c>
      <c r="J1505" s="126" t="s">
        <v>8971</v>
      </c>
      <c r="K1505" s="126"/>
      <c r="L1505" s="126"/>
      <c r="M1505" s="126"/>
      <c r="N1505" s="126"/>
      <c r="O1505" s="126" t="s">
        <v>536</v>
      </c>
      <c r="Q1505" s="3">
        <f t="shared" si="47"/>
        <v>11.23</v>
      </c>
      <c r="S1505" s="55" t="s">
        <v>9014</v>
      </c>
      <c r="U1505" s="3" t="str">
        <f t="shared" si="48"/>
        <v/>
      </c>
    </row>
    <row r="1506" spans="1:21" x14ac:dyDescent="0.35">
      <c r="A1506" s="126" t="s">
        <v>35</v>
      </c>
      <c r="B1506" s="126" t="s">
        <v>677</v>
      </c>
      <c r="C1506" s="126" t="s">
        <v>2</v>
      </c>
      <c r="D1506" s="126" t="s">
        <v>3</v>
      </c>
      <c r="E1506" s="126">
        <v>11.18</v>
      </c>
      <c r="F1506" s="126" t="s">
        <v>88</v>
      </c>
      <c r="G1506" s="108">
        <v>45399</v>
      </c>
      <c r="H1506" s="126" t="s">
        <v>94</v>
      </c>
      <c r="I1506" s="126" t="s">
        <v>748</v>
      </c>
      <c r="J1506" s="126" t="s">
        <v>7732</v>
      </c>
      <c r="K1506" s="126"/>
      <c r="L1506" s="126"/>
      <c r="M1506" s="126"/>
      <c r="N1506" s="126"/>
      <c r="O1506" s="126" t="s">
        <v>7733</v>
      </c>
      <c r="Q1506" s="3">
        <f t="shared" si="47"/>
        <v>11.18</v>
      </c>
      <c r="U1506" s="3" t="str">
        <f t="shared" si="48"/>
        <v/>
      </c>
    </row>
    <row r="1507" spans="1:21" x14ac:dyDescent="0.35">
      <c r="A1507" s="126" t="s">
        <v>35</v>
      </c>
      <c r="B1507" s="126" t="s">
        <v>677</v>
      </c>
      <c r="C1507" s="126" t="s">
        <v>2</v>
      </c>
      <c r="D1507" s="126" t="s">
        <v>3</v>
      </c>
      <c r="E1507" s="126">
        <v>11.18</v>
      </c>
      <c r="F1507" s="126" t="s">
        <v>88</v>
      </c>
      <c r="G1507" s="108">
        <v>45433</v>
      </c>
      <c r="H1507" s="126" t="s">
        <v>94</v>
      </c>
      <c r="I1507" s="126" t="s">
        <v>748</v>
      </c>
      <c r="J1507" s="126" t="s">
        <v>7864</v>
      </c>
      <c r="K1507" s="126"/>
      <c r="L1507" s="126"/>
      <c r="M1507" s="126"/>
      <c r="N1507" s="126"/>
      <c r="O1507" s="126" t="s">
        <v>7733</v>
      </c>
      <c r="Q1507" s="3">
        <f t="shared" si="47"/>
        <v>11.18</v>
      </c>
      <c r="U1507" s="3" t="str">
        <f t="shared" si="48"/>
        <v/>
      </c>
    </row>
    <row r="1508" spans="1:21" x14ac:dyDescent="0.35">
      <c r="A1508" s="126" t="s">
        <v>35</v>
      </c>
      <c r="B1508" s="126" t="s">
        <v>825</v>
      </c>
      <c r="C1508" s="126" t="s">
        <v>2</v>
      </c>
      <c r="D1508" s="126" t="s">
        <v>3</v>
      </c>
      <c r="E1508" s="126">
        <v>11.06</v>
      </c>
      <c r="F1508" s="126" t="s">
        <v>88</v>
      </c>
      <c r="G1508" s="108">
        <v>45425</v>
      </c>
      <c r="H1508" s="126" t="s">
        <v>94</v>
      </c>
      <c r="I1508" s="126" t="s">
        <v>7688</v>
      </c>
      <c r="J1508" s="126" t="s">
        <v>7814</v>
      </c>
      <c r="K1508" s="126"/>
      <c r="L1508" s="126"/>
      <c r="M1508" s="126"/>
      <c r="N1508" s="126"/>
      <c r="O1508" s="126" t="s">
        <v>7690</v>
      </c>
      <c r="Q1508" s="3">
        <f t="shared" si="47"/>
        <v>11.06</v>
      </c>
      <c r="S1508" s="55" t="s">
        <v>9014</v>
      </c>
      <c r="U1508" s="3" t="str">
        <f t="shared" si="48"/>
        <v/>
      </c>
    </row>
    <row r="1509" spans="1:21" x14ac:dyDescent="0.35">
      <c r="A1509" s="126" t="s">
        <v>35</v>
      </c>
      <c r="B1509" s="126" t="s">
        <v>5426</v>
      </c>
      <c r="C1509" s="126" t="s">
        <v>2</v>
      </c>
      <c r="D1509" s="126" t="s">
        <v>3</v>
      </c>
      <c r="E1509" s="126">
        <v>11.04</v>
      </c>
      <c r="F1509" s="126" t="s">
        <v>88</v>
      </c>
      <c r="G1509" s="108">
        <v>45427</v>
      </c>
      <c r="H1509" s="126" t="s">
        <v>94</v>
      </c>
      <c r="I1509" s="126" t="s">
        <v>475</v>
      </c>
      <c r="J1509" s="126" t="s">
        <v>395</v>
      </c>
      <c r="K1509" s="126"/>
      <c r="L1509" s="126"/>
      <c r="M1509" s="126"/>
      <c r="N1509" s="126"/>
      <c r="O1509" s="126" t="s">
        <v>518</v>
      </c>
      <c r="Q1509" s="3">
        <f t="shared" si="47"/>
        <v>11.04</v>
      </c>
      <c r="S1509" s="55" t="s">
        <v>586</v>
      </c>
      <c r="U1509" s="3" t="str">
        <f t="shared" si="48"/>
        <v/>
      </c>
    </row>
    <row r="1510" spans="1:21" x14ac:dyDescent="0.35">
      <c r="A1510" s="126" t="s">
        <v>0</v>
      </c>
      <c r="B1510" s="126" t="s">
        <v>969</v>
      </c>
      <c r="C1510" s="126" t="s">
        <v>2</v>
      </c>
      <c r="D1510" s="126" t="s">
        <v>3</v>
      </c>
      <c r="E1510" s="126">
        <v>11</v>
      </c>
      <c r="F1510" s="126" t="s">
        <v>88</v>
      </c>
      <c r="G1510" s="108">
        <v>45637</v>
      </c>
      <c r="H1510" s="126" t="s">
        <v>89</v>
      </c>
      <c r="I1510" s="126" t="s">
        <v>8942</v>
      </c>
      <c r="J1510" s="126"/>
      <c r="K1510" s="126" t="s">
        <v>7655</v>
      </c>
      <c r="L1510" s="126" t="s">
        <v>8943</v>
      </c>
      <c r="M1510" s="126" t="s">
        <v>420</v>
      </c>
      <c r="N1510" s="126"/>
      <c r="O1510" s="126"/>
      <c r="Q1510" s="3">
        <f t="shared" si="47"/>
        <v>11</v>
      </c>
      <c r="U1510" s="3" t="str">
        <f t="shared" si="48"/>
        <v/>
      </c>
    </row>
    <row r="1511" spans="1:21" x14ac:dyDescent="0.35">
      <c r="A1511" s="126" t="s">
        <v>35</v>
      </c>
      <c r="B1511" s="126" t="s">
        <v>1411</v>
      </c>
      <c r="C1511" s="126" t="s">
        <v>2</v>
      </c>
      <c r="D1511" s="126" t="s">
        <v>3</v>
      </c>
      <c r="E1511" s="126">
        <v>10.99</v>
      </c>
      <c r="F1511" s="126" t="s">
        <v>88</v>
      </c>
      <c r="G1511" s="108">
        <v>45616</v>
      </c>
      <c r="H1511" s="126" t="s">
        <v>94</v>
      </c>
      <c r="I1511" s="126" t="s">
        <v>7912</v>
      </c>
      <c r="J1511" s="126" t="s">
        <v>7913</v>
      </c>
      <c r="K1511" s="126"/>
      <c r="L1511" s="126"/>
      <c r="M1511" s="126"/>
      <c r="N1511" s="126"/>
      <c r="O1511" s="126" t="s">
        <v>7779</v>
      </c>
      <c r="Q1511" s="3">
        <f t="shared" si="47"/>
        <v>10.99</v>
      </c>
      <c r="U1511" s="3" t="str">
        <f t="shared" si="48"/>
        <v/>
      </c>
    </row>
    <row r="1512" spans="1:21" x14ac:dyDescent="0.35">
      <c r="A1512" s="126" t="s">
        <v>0</v>
      </c>
      <c r="B1512" s="126" t="s">
        <v>3466</v>
      </c>
      <c r="C1512" s="126" t="s">
        <v>2</v>
      </c>
      <c r="D1512" s="126" t="s">
        <v>3</v>
      </c>
      <c r="E1512" s="126">
        <v>10.96</v>
      </c>
      <c r="F1512" s="126" t="s">
        <v>88</v>
      </c>
      <c r="G1512" s="108">
        <v>45516</v>
      </c>
      <c r="H1512" s="126" t="s">
        <v>89</v>
      </c>
      <c r="I1512" s="126" t="s">
        <v>8304</v>
      </c>
      <c r="J1512" s="126"/>
      <c r="K1512" s="126" t="s">
        <v>8239</v>
      </c>
      <c r="L1512" s="126" t="s">
        <v>8305</v>
      </c>
      <c r="M1512" s="126" t="s">
        <v>8241</v>
      </c>
      <c r="N1512" s="126"/>
      <c r="O1512" s="126"/>
      <c r="Q1512" s="3">
        <f t="shared" si="47"/>
        <v>10.96</v>
      </c>
      <c r="S1512" s="55" t="s">
        <v>9016</v>
      </c>
      <c r="U1512" s="3" t="str">
        <f t="shared" si="48"/>
        <v/>
      </c>
    </row>
    <row r="1513" spans="1:21" x14ac:dyDescent="0.35">
      <c r="A1513" s="126" t="s">
        <v>35</v>
      </c>
      <c r="B1513" s="126" t="s">
        <v>708</v>
      </c>
      <c r="C1513" s="126" t="s">
        <v>2</v>
      </c>
      <c r="D1513" s="126" t="s">
        <v>3</v>
      </c>
      <c r="E1513" s="126">
        <v>10.91</v>
      </c>
      <c r="F1513" s="126" t="s">
        <v>88</v>
      </c>
      <c r="G1513" s="108">
        <v>45441</v>
      </c>
      <c r="H1513" s="126" t="s">
        <v>94</v>
      </c>
      <c r="I1513" s="126" t="s">
        <v>467</v>
      </c>
      <c r="J1513" s="126" t="s">
        <v>468</v>
      </c>
      <c r="K1513" s="126"/>
      <c r="L1513" s="126"/>
      <c r="M1513" s="126"/>
      <c r="N1513" s="126"/>
      <c r="O1513" s="126" t="s">
        <v>551</v>
      </c>
      <c r="Q1513" s="3">
        <f t="shared" si="47"/>
        <v>10.91</v>
      </c>
      <c r="S1513" s="55" t="s">
        <v>9014</v>
      </c>
      <c r="U1513" s="3" t="str">
        <f t="shared" si="48"/>
        <v/>
      </c>
    </row>
    <row r="1514" spans="1:21" x14ac:dyDescent="0.35">
      <c r="A1514" s="126" t="s">
        <v>35</v>
      </c>
      <c r="B1514" s="126" t="s">
        <v>6156</v>
      </c>
      <c r="C1514" s="126" t="s">
        <v>2</v>
      </c>
      <c r="D1514" s="126" t="s">
        <v>3</v>
      </c>
      <c r="E1514" s="126">
        <v>10.91</v>
      </c>
      <c r="F1514" s="126" t="s">
        <v>88</v>
      </c>
      <c r="G1514" s="108">
        <v>45446</v>
      </c>
      <c r="H1514" s="126" t="s">
        <v>94</v>
      </c>
      <c r="I1514" s="126" t="s">
        <v>337</v>
      </c>
      <c r="J1514" s="126" t="s">
        <v>434</v>
      </c>
      <c r="K1514" s="126"/>
      <c r="L1514" s="126"/>
      <c r="M1514" s="126"/>
      <c r="N1514" s="126"/>
      <c r="O1514" s="126" t="s">
        <v>529</v>
      </c>
      <c r="Q1514" s="3">
        <f t="shared" si="47"/>
        <v>10.91</v>
      </c>
      <c r="U1514" s="3" t="str">
        <f t="shared" si="48"/>
        <v/>
      </c>
    </row>
    <row r="1515" spans="1:21" x14ac:dyDescent="0.35">
      <c r="A1515" s="126" t="s">
        <v>35</v>
      </c>
      <c r="B1515" s="126" t="s">
        <v>708</v>
      </c>
      <c r="C1515" s="126" t="s">
        <v>2</v>
      </c>
      <c r="D1515" s="126" t="s">
        <v>3</v>
      </c>
      <c r="E1515" s="126">
        <v>10.91</v>
      </c>
      <c r="F1515" s="126" t="s">
        <v>88</v>
      </c>
      <c r="G1515" s="108">
        <v>45447</v>
      </c>
      <c r="H1515" s="126" t="s">
        <v>94</v>
      </c>
      <c r="I1515" s="126" t="s">
        <v>7875</v>
      </c>
      <c r="J1515" s="126" t="s">
        <v>488</v>
      </c>
      <c r="K1515" s="126"/>
      <c r="L1515" s="126"/>
      <c r="M1515" s="126"/>
      <c r="N1515" s="126"/>
      <c r="O1515" s="126" t="s">
        <v>551</v>
      </c>
      <c r="Q1515" s="3">
        <f t="shared" si="47"/>
        <v>10.91</v>
      </c>
      <c r="S1515" s="55" t="s">
        <v>9014</v>
      </c>
      <c r="U1515" s="3" t="str">
        <f t="shared" si="48"/>
        <v/>
      </c>
    </row>
    <row r="1516" spans="1:21" x14ac:dyDescent="0.35">
      <c r="A1516" s="126" t="s">
        <v>35</v>
      </c>
      <c r="B1516" s="126" t="s">
        <v>6156</v>
      </c>
      <c r="C1516" s="126" t="s">
        <v>2</v>
      </c>
      <c r="D1516" s="126" t="s">
        <v>3</v>
      </c>
      <c r="E1516" s="126">
        <v>10.91</v>
      </c>
      <c r="F1516" s="126" t="s">
        <v>88</v>
      </c>
      <c r="G1516" s="108">
        <v>45457</v>
      </c>
      <c r="H1516" s="126" t="s">
        <v>94</v>
      </c>
      <c r="I1516" s="126" t="s">
        <v>337</v>
      </c>
      <c r="J1516" s="126" t="s">
        <v>434</v>
      </c>
      <c r="K1516" s="126"/>
      <c r="L1516" s="126"/>
      <c r="M1516" s="126"/>
      <c r="N1516" s="126"/>
      <c r="O1516" s="126" t="s">
        <v>529</v>
      </c>
      <c r="Q1516" s="3">
        <f t="shared" si="47"/>
        <v>10.91</v>
      </c>
      <c r="U1516" s="3" t="str">
        <f t="shared" si="48"/>
        <v/>
      </c>
    </row>
    <row r="1517" spans="1:21" x14ac:dyDescent="0.35">
      <c r="A1517" s="126" t="s">
        <v>35</v>
      </c>
      <c r="B1517" s="126" t="s">
        <v>708</v>
      </c>
      <c r="C1517" s="126" t="s">
        <v>2</v>
      </c>
      <c r="D1517" s="126" t="s">
        <v>3</v>
      </c>
      <c r="E1517" s="126">
        <v>10.91</v>
      </c>
      <c r="F1517" s="126" t="s">
        <v>88</v>
      </c>
      <c r="G1517" s="108">
        <v>45463</v>
      </c>
      <c r="H1517" s="126" t="s">
        <v>94</v>
      </c>
      <c r="I1517" s="126" t="s">
        <v>8030</v>
      </c>
      <c r="J1517" s="126" t="s">
        <v>8031</v>
      </c>
      <c r="K1517" s="126"/>
      <c r="L1517" s="126"/>
      <c r="M1517" s="126"/>
      <c r="N1517" s="126"/>
      <c r="O1517" s="126" t="s">
        <v>551</v>
      </c>
      <c r="Q1517" s="3">
        <f t="shared" si="47"/>
        <v>10.91</v>
      </c>
      <c r="S1517" s="55" t="s">
        <v>9014</v>
      </c>
      <c r="U1517" s="3" t="str">
        <f t="shared" si="48"/>
        <v/>
      </c>
    </row>
    <row r="1518" spans="1:21" x14ac:dyDescent="0.35">
      <c r="A1518" s="126" t="s">
        <v>35</v>
      </c>
      <c r="B1518" s="126" t="s">
        <v>601</v>
      </c>
      <c r="C1518" s="126" t="s">
        <v>2</v>
      </c>
      <c r="D1518" s="126" t="s">
        <v>3</v>
      </c>
      <c r="E1518" s="126">
        <v>10.91</v>
      </c>
      <c r="F1518" s="126" t="s">
        <v>88</v>
      </c>
      <c r="G1518" s="108">
        <v>45463</v>
      </c>
      <c r="H1518" s="126" t="s">
        <v>94</v>
      </c>
      <c r="I1518" s="126" t="s">
        <v>8032</v>
      </c>
      <c r="J1518" s="126" t="s">
        <v>8033</v>
      </c>
      <c r="K1518" s="126"/>
      <c r="L1518" s="126"/>
      <c r="M1518" s="126"/>
      <c r="N1518" s="126"/>
      <c r="O1518" s="126" t="s">
        <v>8034</v>
      </c>
      <c r="Q1518" s="3">
        <f t="shared" si="47"/>
        <v>10.91</v>
      </c>
      <c r="S1518" s="55" t="s">
        <v>586</v>
      </c>
      <c r="U1518" s="3" t="str">
        <f t="shared" si="48"/>
        <v/>
      </c>
    </row>
    <row r="1519" spans="1:21" x14ac:dyDescent="0.35">
      <c r="A1519" s="126" t="s">
        <v>35</v>
      </c>
      <c r="B1519" s="126" t="s">
        <v>708</v>
      </c>
      <c r="C1519" s="126" t="s">
        <v>2</v>
      </c>
      <c r="D1519" s="126" t="s">
        <v>3</v>
      </c>
      <c r="E1519" s="126">
        <v>10.91</v>
      </c>
      <c r="F1519" s="126" t="s">
        <v>88</v>
      </c>
      <c r="G1519" s="108">
        <v>45481</v>
      </c>
      <c r="H1519" s="126" t="s">
        <v>94</v>
      </c>
      <c r="I1519" s="126" t="s">
        <v>7875</v>
      </c>
      <c r="J1519" s="126" t="s">
        <v>488</v>
      </c>
      <c r="K1519" s="126"/>
      <c r="L1519" s="126"/>
      <c r="M1519" s="126"/>
      <c r="N1519" s="126"/>
      <c r="O1519" s="126" t="s">
        <v>551</v>
      </c>
      <c r="Q1519" s="3">
        <f t="shared" si="47"/>
        <v>10.91</v>
      </c>
      <c r="S1519" s="55" t="s">
        <v>9014</v>
      </c>
      <c r="U1519" s="3" t="str">
        <f t="shared" si="48"/>
        <v/>
      </c>
    </row>
    <row r="1520" spans="1:21" x14ac:dyDescent="0.35">
      <c r="A1520" s="126" t="s">
        <v>35</v>
      </c>
      <c r="B1520" s="126" t="s">
        <v>6156</v>
      </c>
      <c r="C1520" s="126" t="s">
        <v>2</v>
      </c>
      <c r="D1520" s="126" t="s">
        <v>3</v>
      </c>
      <c r="E1520" s="126">
        <v>10.91</v>
      </c>
      <c r="F1520" s="126" t="s">
        <v>88</v>
      </c>
      <c r="G1520" s="108">
        <v>45485</v>
      </c>
      <c r="H1520" s="126" t="s">
        <v>94</v>
      </c>
      <c r="I1520" s="126" t="s">
        <v>337</v>
      </c>
      <c r="J1520" s="126" t="s">
        <v>434</v>
      </c>
      <c r="K1520" s="126"/>
      <c r="L1520" s="126"/>
      <c r="M1520" s="126"/>
      <c r="N1520" s="126"/>
      <c r="O1520" s="126" t="s">
        <v>529</v>
      </c>
      <c r="Q1520" s="3">
        <f t="shared" si="47"/>
        <v>10.91</v>
      </c>
      <c r="U1520" s="3" t="str">
        <f t="shared" si="48"/>
        <v/>
      </c>
    </row>
    <row r="1521" spans="1:21" x14ac:dyDescent="0.35">
      <c r="A1521" s="126" t="s">
        <v>35</v>
      </c>
      <c r="B1521" s="126" t="s">
        <v>708</v>
      </c>
      <c r="C1521" s="126" t="s">
        <v>2</v>
      </c>
      <c r="D1521" s="126" t="s">
        <v>3</v>
      </c>
      <c r="E1521" s="126">
        <v>10.91</v>
      </c>
      <c r="F1521" s="126" t="s">
        <v>88</v>
      </c>
      <c r="G1521" s="108">
        <v>45496</v>
      </c>
      <c r="H1521" s="126" t="s">
        <v>94</v>
      </c>
      <c r="I1521" s="126" t="s">
        <v>467</v>
      </c>
      <c r="J1521" s="126" t="s">
        <v>468</v>
      </c>
      <c r="K1521" s="126"/>
      <c r="L1521" s="126"/>
      <c r="M1521" s="126"/>
      <c r="N1521" s="126"/>
      <c r="O1521" s="126" t="s">
        <v>551</v>
      </c>
      <c r="Q1521" s="3">
        <f t="shared" si="47"/>
        <v>10.91</v>
      </c>
      <c r="S1521" s="55" t="s">
        <v>9014</v>
      </c>
      <c r="U1521" s="3" t="str">
        <f t="shared" si="48"/>
        <v/>
      </c>
    </row>
    <row r="1522" spans="1:21" x14ac:dyDescent="0.35">
      <c r="A1522" s="126" t="s">
        <v>35</v>
      </c>
      <c r="B1522" s="126" t="s">
        <v>868</v>
      </c>
      <c r="C1522" s="126" t="s">
        <v>2</v>
      </c>
      <c r="D1522" s="126" t="s">
        <v>3</v>
      </c>
      <c r="E1522" s="126">
        <v>10.91</v>
      </c>
      <c r="F1522" s="126" t="s">
        <v>88</v>
      </c>
      <c r="G1522" s="108">
        <v>45504</v>
      </c>
      <c r="H1522" s="126" t="s">
        <v>94</v>
      </c>
      <c r="I1522" s="126" t="s">
        <v>2920</v>
      </c>
      <c r="J1522" s="126" t="s">
        <v>417</v>
      </c>
      <c r="K1522" s="126"/>
      <c r="L1522" s="126"/>
      <c r="M1522" s="126"/>
      <c r="N1522" s="126"/>
      <c r="O1522" s="126" t="s">
        <v>2922</v>
      </c>
      <c r="Q1522" s="3">
        <f t="shared" si="47"/>
        <v>10.91</v>
      </c>
      <c r="S1522" s="55" t="s">
        <v>9014</v>
      </c>
      <c r="U1522" s="3" t="str">
        <f t="shared" si="48"/>
        <v/>
      </c>
    </row>
    <row r="1523" spans="1:21" x14ac:dyDescent="0.35">
      <c r="A1523" s="126" t="s">
        <v>35</v>
      </c>
      <c r="B1523" s="126" t="s">
        <v>708</v>
      </c>
      <c r="C1523" s="126" t="s">
        <v>2</v>
      </c>
      <c r="D1523" s="126" t="s">
        <v>3</v>
      </c>
      <c r="E1523" s="126">
        <v>10.91</v>
      </c>
      <c r="F1523" s="126" t="s">
        <v>88</v>
      </c>
      <c r="G1523" s="108">
        <v>45505</v>
      </c>
      <c r="H1523" s="126" t="s">
        <v>94</v>
      </c>
      <c r="I1523" s="126" t="s">
        <v>7875</v>
      </c>
      <c r="J1523" s="126" t="s">
        <v>488</v>
      </c>
      <c r="K1523" s="126"/>
      <c r="L1523" s="126"/>
      <c r="M1523" s="126"/>
      <c r="N1523" s="126"/>
      <c r="O1523" s="126" t="s">
        <v>551</v>
      </c>
      <c r="Q1523" s="3">
        <f t="shared" si="47"/>
        <v>10.91</v>
      </c>
      <c r="S1523" s="55" t="s">
        <v>9014</v>
      </c>
      <c r="U1523" s="3" t="str">
        <f t="shared" si="48"/>
        <v/>
      </c>
    </row>
    <row r="1524" spans="1:21" x14ac:dyDescent="0.35">
      <c r="A1524" s="126" t="s">
        <v>35</v>
      </c>
      <c r="B1524" s="126" t="s">
        <v>708</v>
      </c>
      <c r="C1524" s="126" t="s">
        <v>2</v>
      </c>
      <c r="D1524" s="126" t="s">
        <v>3</v>
      </c>
      <c r="E1524" s="126">
        <v>10.91</v>
      </c>
      <c r="F1524" s="126" t="s">
        <v>88</v>
      </c>
      <c r="G1524" s="108">
        <v>45520</v>
      </c>
      <c r="H1524" s="126" t="s">
        <v>94</v>
      </c>
      <c r="I1524" s="126" t="s">
        <v>467</v>
      </c>
      <c r="J1524" s="126" t="s">
        <v>468</v>
      </c>
      <c r="K1524" s="126"/>
      <c r="L1524" s="126"/>
      <c r="M1524" s="126"/>
      <c r="N1524" s="126"/>
      <c r="O1524" s="126" t="s">
        <v>551</v>
      </c>
      <c r="Q1524" s="3">
        <f t="shared" si="47"/>
        <v>10.91</v>
      </c>
      <c r="S1524" s="55" t="s">
        <v>9014</v>
      </c>
      <c r="U1524" s="3" t="str">
        <f t="shared" si="48"/>
        <v/>
      </c>
    </row>
    <row r="1525" spans="1:21" x14ac:dyDescent="0.35">
      <c r="A1525" s="126" t="s">
        <v>35</v>
      </c>
      <c r="B1525" s="126" t="s">
        <v>708</v>
      </c>
      <c r="C1525" s="126" t="s">
        <v>2</v>
      </c>
      <c r="D1525" s="126" t="s">
        <v>3</v>
      </c>
      <c r="E1525" s="126">
        <v>10.91</v>
      </c>
      <c r="F1525" s="126" t="s">
        <v>88</v>
      </c>
      <c r="G1525" s="108">
        <v>45524</v>
      </c>
      <c r="H1525" s="126" t="s">
        <v>94</v>
      </c>
      <c r="I1525" s="126" t="s">
        <v>467</v>
      </c>
      <c r="J1525" s="126" t="s">
        <v>468</v>
      </c>
      <c r="K1525" s="126"/>
      <c r="L1525" s="126"/>
      <c r="M1525" s="126"/>
      <c r="N1525" s="126"/>
      <c r="O1525" s="126" t="s">
        <v>551</v>
      </c>
      <c r="Q1525" s="3">
        <f t="shared" si="47"/>
        <v>10.91</v>
      </c>
      <c r="S1525" s="55" t="s">
        <v>9014</v>
      </c>
      <c r="U1525" s="3" t="str">
        <f t="shared" si="48"/>
        <v/>
      </c>
    </row>
    <row r="1526" spans="1:21" x14ac:dyDescent="0.35">
      <c r="A1526" s="126" t="s">
        <v>35</v>
      </c>
      <c r="B1526" s="126" t="s">
        <v>6156</v>
      </c>
      <c r="C1526" s="126" t="s">
        <v>2</v>
      </c>
      <c r="D1526" s="126" t="s">
        <v>3</v>
      </c>
      <c r="E1526" s="126">
        <v>10.91</v>
      </c>
      <c r="F1526" s="126" t="s">
        <v>88</v>
      </c>
      <c r="G1526" s="108">
        <v>45524</v>
      </c>
      <c r="H1526" s="126" t="s">
        <v>94</v>
      </c>
      <c r="I1526" s="126" t="s">
        <v>337</v>
      </c>
      <c r="J1526" s="126" t="s">
        <v>434</v>
      </c>
      <c r="K1526" s="126"/>
      <c r="L1526" s="126"/>
      <c r="M1526" s="126"/>
      <c r="N1526" s="126"/>
      <c r="O1526" s="126" t="s">
        <v>529</v>
      </c>
      <c r="Q1526" s="3">
        <f t="shared" si="47"/>
        <v>10.91</v>
      </c>
      <c r="U1526" s="3" t="str">
        <f t="shared" si="48"/>
        <v/>
      </c>
    </row>
    <row r="1527" spans="1:21" x14ac:dyDescent="0.35">
      <c r="A1527" s="126" t="s">
        <v>35</v>
      </c>
      <c r="B1527" s="126" t="s">
        <v>708</v>
      </c>
      <c r="C1527" s="126" t="s">
        <v>2</v>
      </c>
      <c r="D1527" s="126" t="s">
        <v>3</v>
      </c>
      <c r="E1527" s="126">
        <v>10.91</v>
      </c>
      <c r="F1527" s="126" t="s">
        <v>88</v>
      </c>
      <c r="G1527" s="108">
        <v>45544</v>
      </c>
      <c r="H1527" s="126" t="s">
        <v>94</v>
      </c>
      <c r="I1527" s="126" t="s">
        <v>467</v>
      </c>
      <c r="J1527" s="126" t="s">
        <v>468</v>
      </c>
      <c r="K1527" s="126"/>
      <c r="L1527" s="126"/>
      <c r="M1527" s="126"/>
      <c r="N1527" s="126"/>
      <c r="O1527" s="126" t="s">
        <v>551</v>
      </c>
      <c r="Q1527" s="3">
        <f t="shared" si="47"/>
        <v>10.91</v>
      </c>
      <c r="S1527" s="55" t="s">
        <v>9014</v>
      </c>
      <c r="U1527" s="3" t="str">
        <f t="shared" si="48"/>
        <v/>
      </c>
    </row>
    <row r="1528" spans="1:21" x14ac:dyDescent="0.35">
      <c r="A1528" s="126" t="s">
        <v>35</v>
      </c>
      <c r="B1528" s="126" t="s">
        <v>708</v>
      </c>
      <c r="C1528" s="126" t="s">
        <v>2</v>
      </c>
      <c r="D1528" s="126" t="s">
        <v>3</v>
      </c>
      <c r="E1528" s="126">
        <v>10.91</v>
      </c>
      <c r="F1528" s="126" t="s">
        <v>88</v>
      </c>
      <c r="G1528" s="108">
        <v>45554</v>
      </c>
      <c r="H1528" s="126" t="s">
        <v>94</v>
      </c>
      <c r="I1528" s="126" t="s">
        <v>467</v>
      </c>
      <c r="J1528" s="126" t="s">
        <v>468</v>
      </c>
      <c r="K1528" s="126"/>
      <c r="L1528" s="126"/>
      <c r="M1528" s="126"/>
      <c r="N1528" s="126"/>
      <c r="O1528" s="126" t="s">
        <v>551</v>
      </c>
      <c r="Q1528" s="3">
        <f t="shared" si="47"/>
        <v>10.91</v>
      </c>
      <c r="S1528" s="55" t="s">
        <v>9014</v>
      </c>
      <c r="U1528" s="3" t="str">
        <f t="shared" si="48"/>
        <v/>
      </c>
    </row>
    <row r="1529" spans="1:21" x14ac:dyDescent="0.35">
      <c r="A1529" s="126" t="s">
        <v>35</v>
      </c>
      <c r="B1529" s="126" t="s">
        <v>5426</v>
      </c>
      <c r="C1529" s="126" t="s">
        <v>2</v>
      </c>
      <c r="D1529" s="126" t="s">
        <v>3</v>
      </c>
      <c r="E1529" s="126">
        <v>10.91</v>
      </c>
      <c r="F1529" s="126" t="s">
        <v>88</v>
      </c>
      <c r="G1529" s="108">
        <v>45604</v>
      </c>
      <c r="H1529" s="126" t="s">
        <v>94</v>
      </c>
      <c r="I1529" s="126" t="s">
        <v>8425</v>
      </c>
      <c r="J1529" s="126" t="s">
        <v>8692</v>
      </c>
      <c r="K1529" s="126"/>
      <c r="L1529" s="126"/>
      <c r="M1529" s="126"/>
      <c r="N1529" s="126"/>
      <c r="O1529" s="126" t="s">
        <v>8427</v>
      </c>
      <c r="Q1529" s="3">
        <f t="shared" si="47"/>
        <v>10.91</v>
      </c>
      <c r="U1529" s="3" t="str">
        <f t="shared" si="48"/>
        <v/>
      </c>
    </row>
    <row r="1530" spans="1:21" x14ac:dyDescent="0.35">
      <c r="A1530" s="126" t="s">
        <v>35</v>
      </c>
      <c r="B1530" s="126" t="s">
        <v>708</v>
      </c>
      <c r="C1530" s="126" t="s">
        <v>2</v>
      </c>
      <c r="D1530" s="126" t="s">
        <v>3</v>
      </c>
      <c r="E1530" s="126">
        <v>10.91</v>
      </c>
      <c r="F1530" s="126" t="s">
        <v>88</v>
      </c>
      <c r="G1530" s="108">
        <v>45608</v>
      </c>
      <c r="H1530" s="126" t="s">
        <v>94</v>
      </c>
      <c r="I1530" s="126" t="s">
        <v>8724</v>
      </c>
      <c r="J1530" s="126" t="s">
        <v>488</v>
      </c>
      <c r="K1530" s="126"/>
      <c r="L1530" s="126"/>
      <c r="M1530" s="126"/>
      <c r="N1530" s="126"/>
      <c r="O1530" s="126" t="s">
        <v>551</v>
      </c>
      <c r="Q1530" s="3">
        <f t="shared" si="47"/>
        <v>10.91</v>
      </c>
      <c r="S1530" s="55" t="s">
        <v>9014</v>
      </c>
      <c r="U1530" s="3" t="str">
        <f t="shared" si="48"/>
        <v/>
      </c>
    </row>
    <row r="1531" spans="1:21" x14ac:dyDescent="0.35">
      <c r="A1531" s="126" t="s">
        <v>35</v>
      </c>
      <c r="B1531" s="126" t="s">
        <v>708</v>
      </c>
      <c r="C1531" s="126" t="s">
        <v>2</v>
      </c>
      <c r="D1531" s="126" t="s">
        <v>3</v>
      </c>
      <c r="E1531" s="126">
        <v>10.91</v>
      </c>
      <c r="F1531" s="126" t="s">
        <v>88</v>
      </c>
      <c r="G1531" s="108">
        <v>45616</v>
      </c>
      <c r="H1531" s="126" t="s">
        <v>94</v>
      </c>
      <c r="I1531" s="126" t="s">
        <v>7875</v>
      </c>
      <c r="J1531" s="126" t="s">
        <v>488</v>
      </c>
      <c r="K1531" s="126"/>
      <c r="L1531" s="126"/>
      <c r="M1531" s="126"/>
      <c r="N1531" s="126"/>
      <c r="O1531" s="126" t="s">
        <v>551</v>
      </c>
      <c r="Q1531" s="3">
        <f t="shared" si="47"/>
        <v>10.91</v>
      </c>
      <c r="S1531" s="55" t="s">
        <v>9014</v>
      </c>
      <c r="U1531" s="3" t="str">
        <f t="shared" si="48"/>
        <v/>
      </c>
    </row>
    <row r="1532" spans="1:21" x14ac:dyDescent="0.35">
      <c r="A1532" s="126" t="s">
        <v>35</v>
      </c>
      <c r="B1532" s="126" t="s">
        <v>740</v>
      </c>
      <c r="C1532" s="126" t="s">
        <v>2</v>
      </c>
      <c r="D1532" s="126" t="s">
        <v>3</v>
      </c>
      <c r="E1532" s="126">
        <v>10.91</v>
      </c>
      <c r="F1532" s="126" t="s">
        <v>88</v>
      </c>
      <c r="G1532" s="108">
        <v>45636</v>
      </c>
      <c r="H1532" s="126" t="s">
        <v>94</v>
      </c>
      <c r="I1532" s="126" t="s">
        <v>8917</v>
      </c>
      <c r="J1532" s="126" t="s">
        <v>8918</v>
      </c>
      <c r="K1532" s="126"/>
      <c r="L1532" s="126"/>
      <c r="M1532" s="126"/>
      <c r="N1532" s="126"/>
      <c r="O1532" s="126" t="s">
        <v>8919</v>
      </c>
      <c r="Q1532" s="3">
        <f t="shared" si="47"/>
        <v>10.91</v>
      </c>
      <c r="S1532" s="55" t="s">
        <v>586</v>
      </c>
      <c r="U1532" s="3" t="str">
        <f t="shared" si="48"/>
        <v/>
      </c>
    </row>
    <row r="1533" spans="1:21" x14ac:dyDescent="0.35">
      <c r="A1533" s="126" t="s">
        <v>35</v>
      </c>
      <c r="B1533" s="126" t="s">
        <v>740</v>
      </c>
      <c r="C1533" s="126" t="s">
        <v>2</v>
      </c>
      <c r="D1533" s="126" t="s">
        <v>3</v>
      </c>
      <c r="E1533" s="126">
        <v>10.91</v>
      </c>
      <c r="F1533" s="126" t="s">
        <v>88</v>
      </c>
      <c r="G1533" s="108">
        <v>45636</v>
      </c>
      <c r="H1533" s="126" t="s">
        <v>94</v>
      </c>
      <c r="I1533" s="126" t="s">
        <v>8917</v>
      </c>
      <c r="J1533" s="126" t="s">
        <v>8918</v>
      </c>
      <c r="K1533" s="126"/>
      <c r="L1533" s="126"/>
      <c r="M1533" s="126"/>
      <c r="N1533" s="126"/>
      <c r="O1533" s="126" t="s">
        <v>8920</v>
      </c>
      <c r="Q1533" s="3">
        <f t="shared" si="47"/>
        <v>10.91</v>
      </c>
      <c r="S1533" s="55" t="s">
        <v>586</v>
      </c>
      <c r="U1533" s="3" t="str">
        <f t="shared" si="48"/>
        <v/>
      </c>
    </row>
    <row r="1534" spans="1:21" x14ac:dyDescent="0.35">
      <c r="A1534" s="126" t="s">
        <v>35</v>
      </c>
      <c r="B1534" s="126" t="s">
        <v>708</v>
      </c>
      <c r="C1534" s="126" t="s">
        <v>2</v>
      </c>
      <c r="D1534" s="126" t="s">
        <v>3</v>
      </c>
      <c r="E1534" s="126">
        <v>10.91</v>
      </c>
      <c r="F1534" s="126" t="s">
        <v>88</v>
      </c>
      <c r="G1534" s="108">
        <v>45642</v>
      </c>
      <c r="H1534" s="126" t="s">
        <v>94</v>
      </c>
      <c r="I1534" s="126" t="s">
        <v>7875</v>
      </c>
      <c r="J1534" s="126" t="s">
        <v>488</v>
      </c>
      <c r="K1534" s="126"/>
      <c r="L1534" s="126"/>
      <c r="M1534" s="126"/>
      <c r="N1534" s="126"/>
      <c r="O1534" s="126" t="s">
        <v>551</v>
      </c>
      <c r="Q1534" s="3">
        <f t="shared" si="47"/>
        <v>10.91</v>
      </c>
      <c r="S1534" s="55" t="s">
        <v>9014</v>
      </c>
      <c r="U1534" s="3" t="str">
        <f t="shared" si="48"/>
        <v/>
      </c>
    </row>
    <row r="1535" spans="1:21" x14ac:dyDescent="0.35">
      <c r="A1535" s="126" t="s">
        <v>35</v>
      </c>
      <c r="B1535" s="126" t="s">
        <v>708</v>
      </c>
      <c r="C1535" s="126" t="s">
        <v>2</v>
      </c>
      <c r="D1535" s="126" t="s">
        <v>3</v>
      </c>
      <c r="E1535" s="126">
        <v>10.91</v>
      </c>
      <c r="F1535" s="126" t="s">
        <v>88</v>
      </c>
      <c r="G1535" s="108">
        <v>45644</v>
      </c>
      <c r="H1535" s="126" t="s">
        <v>94</v>
      </c>
      <c r="I1535" s="126" t="s">
        <v>7875</v>
      </c>
      <c r="J1535" s="126" t="s">
        <v>488</v>
      </c>
      <c r="K1535" s="126"/>
      <c r="L1535" s="126"/>
      <c r="M1535" s="126"/>
      <c r="N1535" s="126"/>
      <c r="O1535" s="126" t="s">
        <v>551</v>
      </c>
      <c r="Q1535" s="3">
        <f t="shared" si="47"/>
        <v>10.91</v>
      </c>
      <c r="S1535" s="55" t="s">
        <v>9014</v>
      </c>
      <c r="U1535" s="3" t="str">
        <f t="shared" si="48"/>
        <v/>
      </c>
    </row>
    <row r="1536" spans="1:21" x14ac:dyDescent="0.35">
      <c r="A1536" s="126" t="s">
        <v>35</v>
      </c>
      <c r="B1536" s="126" t="s">
        <v>764</v>
      </c>
      <c r="C1536" s="126" t="s">
        <v>2</v>
      </c>
      <c r="D1536" s="126" t="s">
        <v>3</v>
      </c>
      <c r="E1536" s="126">
        <v>10.82</v>
      </c>
      <c r="F1536" s="126" t="s">
        <v>88</v>
      </c>
      <c r="G1536" s="108">
        <v>45517</v>
      </c>
      <c r="H1536" s="126" t="s">
        <v>94</v>
      </c>
      <c r="I1536" s="126" t="s">
        <v>480</v>
      </c>
      <c r="J1536" s="126" t="s">
        <v>445</v>
      </c>
      <c r="K1536" s="126"/>
      <c r="L1536" s="126"/>
      <c r="M1536" s="126"/>
      <c r="N1536" s="126"/>
      <c r="O1536" s="126" t="s">
        <v>8329</v>
      </c>
      <c r="Q1536" s="3">
        <f t="shared" si="47"/>
        <v>10.82</v>
      </c>
      <c r="U1536" s="3" t="str">
        <f t="shared" si="48"/>
        <v/>
      </c>
    </row>
    <row r="1537" spans="1:21" x14ac:dyDescent="0.35">
      <c r="A1537" s="126" t="s">
        <v>35</v>
      </c>
      <c r="B1537" s="126" t="s">
        <v>3422</v>
      </c>
      <c r="C1537" s="126" t="s">
        <v>2</v>
      </c>
      <c r="D1537" s="126" t="s">
        <v>3</v>
      </c>
      <c r="E1537" s="126">
        <v>10.82</v>
      </c>
      <c r="F1537" s="126" t="s">
        <v>88</v>
      </c>
      <c r="G1537" s="108">
        <v>45594</v>
      </c>
      <c r="H1537" s="126" t="s">
        <v>94</v>
      </c>
      <c r="I1537" s="126" t="s">
        <v>459</v>
      </c>
      <c r="J1537" s="126" t="s">
        <v>8609</v>
      </c>
      <c r="K1537" s="126"/>
      <c r="L1537" s="126"/>
      <c r="M1537" s="126"/>
      <c r="N1537" s="126"/>
      <c r="O1537" s="126" t="s">
        <v>538</v>
      </c>
      <c r="Q1537" s="3">
        <f t="shared" si="47"/>
        <v>10.82</v>
      </c>
      <c r="S1537" s="55" t="s">
        <v>9014</v>
      </c>
      <c r="U1537" s="3" t="str">
        <f t="shared" si="48"/>
        <v/>
      </c>
    </row>
    <row r="1538" spans="1:21" x14ac:dyDescent="0.35">
      <c r="A1538" s="126" t="s">
        <v>35</v>
      </c>
      <c r="B1538" s="126" t="s">
        <v>788</v>
      </c>
      <c r="C1538" s="126" t="s">
        <v>2</v>
      </c>
      <c r="D1538" s="126" t="s">
        <v>3</v>
      </c>
      <c r="E1538" s="126">
        <v>10.76</v>
      </c>
      <c r="F1538" s="126" t="s">
        <v>88</v>
      </c>
      <c r="G1538" s="108">
        <v>45643</v>
      </c>
      <c r="H1538" s="126" t="s">
        <v>94</v>
      </c>
      <c r="I1538" s="126" t="s">
        <v>438</v>
      </c>
      <c r="J1538" s="126" t="s">
        <v>8980</v>
      </c>
      <c r="K1538" s="126"/>
      <c r="L1538" s="126"/>
      <c r="M1538" s="126"/>
      <c r="N1538" s="126"/>
      <c r="O1538" s="126" t="s">
        <v>567</v>
      </c>
      <c r="Q1538" s="3">
        <f t="shared" si="47"/>
        <v>10.76</v>
      </c>
      <c r="S1538" s="55" t="s">
        <v>9014</v>
      </c>
      <c r="U1538" s="3" t="str">
        <f t="shared" si="48"/>
        <v/>
      </c>
    </row>
    <row r="1539" spans="1:21" x14ac:dyDescent="0.35">
      <c r="A1539" s="126" t="s">
        <v>35</v>
      </c>
      <c r="B1539" s="126" t="s">
        <v>698</v>
      </c>
      <c r="C1539" s="126" t="s">
        <v>2</v>
      </c>
      <c r="D1539" s="126" t="s">
        <v>3</v>
      </c>
      <c r="E1539" s="126">
        <v>10.55</v>
      </c>
      <c r="F1539" s="126" t="s">
        <v>88</v>
      </c>
      <c r="G1539" s="108">
        <v>45607</v>
      </c>
      <c r="H1539" s="126" t="s">
        <v>94</v>
      </c>
      <c r="I1539" s="126" t="s">
        <v>8710</v>
      </c>
      <c r="J1539" s="126" t="s">
        <v>8714</v>
      </c>
      <c r="K1539" s="126"/>
      <c r="L1539" s="126"/>
      <c r="M1539" s="126"/>
      <c r="N1539" s="126"/>
      <c r="O1539" s="126" t="s">
        <v>4447</v>
      </c>
      <c r="Q1539" s="3">
        <f t="shared" si="47"/>
        <v>10.55</v>
      </c>
      <c r="S1539" s="55" t="s">
        <v>9042</v>
      </c>
      <c r="U1539" s="3" t="str">
        <f t="shared" si="48"/>
        <v/>
      </c>
    </row>
    <row r="1540" spans="1:21" x14ac:dyDescent="0.35">
      <c r="A1540" s="126" t="s">
        <v>35</v>
      </c>
      <c r="B1540" s="126" t="s">
        <v>788</v>
      </c>
      <c r="C1540" s="126" t="s">
        <v>2</v>
      </c>
      <c r="D1540" s="126" t="s">
        <v>3</v>
      </c>
      <c r="E1540" s="126">
        <v>10.5</v>
      </c>
      <c r="F1540" s="126" t="s">
        <v>88</v>
      </c>
      <c r="G1540" s="108">
        <v>45414</v>
      </c>
      <c r="H1540" s="126" t="s">
        <v>94</v>
      </c>
      <c r="I1540" s="126" t="s">
        <v>438</v>
      </c>
      <c r="J1540" s="126" t="s">
        <v>7789</v>
      </c>
      <c r="K1540" s="126"/>
      <c r="L1540" s="126"/>
      <c r="M1540" s="126"/>
      <c r="N1540" s="126"/>
      <c r="O1540" s="126" t="s">
        <v>567</v>
      </c>
      <c r="Q1540" s="3">
        <f t="shared" si="47"/>
        <v>10.5</v>
      </c>
      <c r="S1540" s="55" t="s">
        <v>9014</v>
      </c>
      <c r="U1540" s="3" t="str">
        <f t="shared" si="48"/>
        <v/>
      </c>
    </row>
    <row r="1541" spans="1:21" x14ac:dyDescent="0.35">
      <c r="A1541" s="126" t="s">
        <v>35</v>
      </c>
      <c r="B1541" s="126" t="s">
        <v>1480</v>
      </c>
      <c r="C1541" s="126" t="s">
        <v>2</v>
      </c>
      <c r="D1541" s="126" t="s">
        <v>3</v>
      </c>
      <c r="E1541" s="126">
        <v>10.47</v>
      </c>
      <c r="F1541" s="126" t="s">
        <v>88</v>
      </c>
      <c r="G1541" s="108">
        <v>45415</v>
      </c>
      <c r="H1541" s="126" t="s">
        <v>94</v>
      </c>
      <c r="I1541" s="126" t="s">
        <v>478</v>
      </c>
      <c r="J1541" s="126" t="s">
        <v>7791</v>
      </c>
      <c r="K1541" s="126"/>
      <c r="L1541" s="126"/>
      <c r="M1541" s="126"/>
      <c r="N1541" s="126"/>
      <c r="O1541" s="126" t="s">
        <v>550</v>
      </c>
      <c r="Q1541" s="3">
        <f t="shared" si="47"/>
        <v>10.47</v>
      </c>
      <c r="U1541" s="3" t="str">
        <f t="shared" si="48"/>
        <v/>
      </c>
    </row>
    <row r="1542" spans="1:21" x14ac:dyDescent="0.35">
      <c r="A1542" s="126" t="s">
        <v>35</v>
      </c>
      <c r="B1542" s="126" t="s">
        <v>909</v>
      </c>
      <c r="C1542" s="126" t="s">
        <v>2</v>
      </c>
      <c r="D1542" s="126" t="s">
        <v>3</v>
      </c>
      <c r="E1542" s="126">
        <v>10.45</v>
      </c>
      <c r="F1542" s="126" t="s">
        <v>88</v>
      </c>
      <c r="G1542" s="108">
        <v>45509</v>
      </c>
      <c r="H1542" s="126" t="s">
        <v>94</v>
      </c>
      <c r="I1542" s="126" t="s">
        <v>469</v>
      </c>
      <c r="J1542" s="126" t="s">
        <v>470</v>
      </c>
      <c r="K1542" s="126"/>
      <c r="L1542" s="126"/>
      <c r="M1542" s="126"/>
      <c r="N1542" s="126"/>
      <c r="O1542" s="126" t="s">
        <v>552</v>
      </c>
      <c r="Q1542" s="3">
        <f t="shared" si="47"/>
        <v>10.45</v>
      </c>
      <c r="S1542" s="55" t="s">
        <v>9014</v>
      </c>
      <c r="U1542" s="3" t="str">
        <f t="shared" si="48"/>
        <v/>
      </c>
    </row>
    <row r="1543" spans="1:21" x14ac:dyDescent="0.35">
      <c r="A1543" s="126" t="s">
        <v>35</v>
      </c>
      <c r="B1543" s="126" t="s">
        <v>861</v>
      </c>
      <c r="C1543" s="126" t="s">
        <v>2</v>
      </c>
      <c r="D1543" s="126" t="s">
        <v>3</v>
      </c>
      <c r="E1543" s="126">
        <v>10.18</v>
      </c>
      <c r="F1543" s="126" t="s">
        <v>88</v>
      </c>
      <c r="G1543" s="108">
        <v>45595</v>
      </c>
      <c r="H1543" s="126" t="s">
        <v>94</v>
      </c>
      <c r="I1543" s="126" t="s">
        <v>410</v>
      </c>
      <c r="J1543" s="126" t="s">
        <v>332</v>
      </c>
      <c r="K1543" s="126"/>
      <c r="L1543" s="126"/>
      <c r="M1543" s="126"/>
      <c r="N1543" s="126"/>
      <c r="O1543" s="126" t="s">
        <v>519</v>
      </c>
      <c r="Q1543" s="3">
        <f t="shared" si="47"/>
        <v>10.18</v>
      </c>
      <c r="U1543" s="3" t="str">
        <f t="shared" si="48"/>
        <v/>
      </c>
    </row>
    <row r="1544" spans="1:21" x14ac:dyDescent="0.35">
      <c r="A1544" s="126" t="s">
        <v>35</v>
      </c>
      <c r="B1544" s="126" t="s">
        <v>1075</v>
      </c>
      <c r="C1544" s="126" t="s">
        <v>2</v>
      </c>
      <c r="D1544" s="126" t="s">
        <v>3</v>
      </c>
      <c r="E1544" s="126">
        <v>10.17</v>
      </c>
      <c r="F1544" s="126" t="s">
        <v>88</v>
      </c>
      <c r="G1544" s="108">
        <v>45476</v>
      </c>
      <c r="H1544" s="126" t="s">
        <v>94</v>
      </c>
      <c r="I1544" s="126" t="s">
        <v>8113</v>
      </c>
      <c r="J1544" s="126" t="s">
        <v>433</v>
      </c>
      <c r="K1544" s="126"/>
      <c r="L1544" s="126"/>
      <c r="M1544" s="126"/>
      <c r="N1544" s="126"/>
      <c r="O1544" s="126" t="s">
        <v>8114</v>
      </c>
      <c r="Q1544" s="3">
        <f t="shared" ref="Q1544:Q1607" si="49">ABS(E1544)</f>
        <v>10.17</v>
      </c>
      <c r="S1544" s="55" t="s">
        <v>9025</v>
      </c>
      <c r="U1544" s="3" t="str">
        <f t="shared" ref="U1544:U1607" si="50">IF(T1544="Y",E1544,"")</f>
        <v/>
      </c>
    </row>
    <row r="1545" spans="1:21" x14ac:dyDescent="0.35">
      <c r="A1545" s="126" t="s">
        <v>35</v>
      </c>
      <c r="B1545" s="126" t="s">
        <v>861</v>
      </c>
      <c r="C1545" s="126" t="s">
        <v>2</v>
      </c>
      <c r="D1545" s="126" t="s">
        <v>3</v>
      </c>
      <c r="E1545" s="126">
        <v>10</v>
      </c>
      <c r="F1545" s="126" t="s">
        <v>88</v>
      </c>
      <c r="G1545" s="108">
        <v>45384</v>
      </c>
      <c r="H1545" s="126" t="s">
        <v>94</v>
      </c>
      <c r="I1545" s="126" t="s">
        <v>410</v>
      </c>
      <c r="J1545" s="126" t="s">
        <v>7638</v>
      </c>
      <c r="K1545" s="126"/>
      <c r="L1545" s="126"/>
      <c r="M1545" s="126"/>
      <c r="N1545" s="126"/>
      <c r="O1545" s="126" t="s">
        <v>519</v>
      </c>
      <c r="Q1545" s="3">
        <f t="shared" si="49"/>
        <v>10</v>
      </c>
      <c r="U1545" s="3" t="str">
        <f t="shared" si="50"/>
        <v/>
      </c>
    </row>
    <row r="1546" spans="1:21" x14ac:dyDescent="0.35">
      <c r="A1546" s="126" t="s">
        <v>35</v>
      </c>
      <c r="B1546" s="126" t="s">
        <v>708</v>
      </c>
      <c r="C1546" s="126" t="s">
        <v>2</v>
      </c>
      <c r="D1546" s="126" t="s">
        <v>3</v>
      </c>
      <c r="E1546" s="126">
        <v>10</v>
      </c>
      <c r="F1546" s="126" t="s">
        <v>88</v>
      </c>
      <c r="G1546" s="108">
        <v>45387</v>
      </c>
      <c r="H1546" s="126" t="s">
        <v>94</v>
      </c>
      <c r="I1546" s="126" t="s">
        <v>467</v>
      </c>
      <c r="J1546" s="126" t="s">
        <v>468</v>
      </c>
      <c r="K1546" s="126"/>
      <c r="L1546" s="126"/>
      <c r="M1546" s="126"/>
      <c r="N1546" s="126"/>
      <c r="O1546" s="126" t="s">
        <v>551</v>
      </c>
      <c r="Q1546" s="3">
        <f t="shared" si="49"/>
        <v>10</v>
      </c>
      <c r="S1546" s="55" t="s">
        <v>9014</v>
      </c>
      <c r="U1546" s="3" t="str">
        <f t="shared" si="50"/>
        <v/>
      </c>
    </row>
    <row r="1547" spans="1:21" x14ac:dyDescent="0.35">
      <c r="A1547" s="126" t="s">
        <v>35</v>
      </c>
      <c r="B1547" s="126" t="s">
        <v>708</v>
      </c>
      <c r="C1547" s="126" t="s">
        <v>2</v>
      </c>
      <c r="D1547" s="126" t="s">
        <v>3</v>
      </c>
      <c r="E1547" s="126">
        <v>10</v>
      </c>
      <c r="F1547" s="126" t="s">
        <v>88</v>
      </c>
      <c r="G1547" s="108">
        <v>45390</v>
      </c>
      <c r="H1547" s="126" t="s">
        <v>94</v>
      </c>
      <c r="I1547" s="126" t="s">
        <v>467</v>
      </c>
      <c r="J1547" s="126" t="s">
        <v>468</v>
      </c>
      <c r="K1547" s="126"/>
      <c r="L1547" s="126"/>
      <c r="M1547" s="126"/>
      <c r="N1547" s="126"/>
      <c r="O1547" s="126" t="s">
        <v>551</v>
      </c>
      <c r="Q1547" s="3">
        <f t="shared" si="49"/>
        <v>10</v>
      </c>
      <c r="S1547" s="55" t="s">
        <v>9014</v>
      </c>
      <c r="U1547" s="3" t="str">
        <f t="shared" si="50"/>
        <v/>
      </c>
    </row>
    <row r="1548" spans="1:21" x14ac:dyDescent="0.35">
      <c r="A1548" s="126" t="s">
        <v>35</v>
      </c>
      <c r="B1548" s="126" t="s">
        <v>708</v>
      </c>
      <c r="C1548" s="126" t="s">
        <v>2</v>
      </c>
      <c r="D1548" s="126" t="s">
        <v>3</v>
      </c>
      <c r="E1548" s="126">
        <v>10</v>
      </c>
      <c r="F1548" s="126" t="s">
        <v>88</v>
      </c>
      <c r="G1548" s="108">
        <v>45419</v>
      </c>
      <c r="H1548" s="126" t="s">
        <v>94</v>
      </c>
      <c r="I1548" s="126" t="s">
        <v>487</v>
      </c>
      <c r="J1548" s="126" t="s">
        <v>488</v>
      </c>
      <c r="K1548" s="126"/>
      <c r="L1548" s="126"/>
      <c r="M1548" s="126"/>
      <c r="N1548" s="126"/>
      <c r="O1548" s="126" t="s">
        <v>551</v>
      </c>
      <c r="Q1548" s="3">
        <f t="shared" si="49"/>
        <v>10</v>
      </c>
      <c r="S1548" s="55" t="s">
        <v>9014</v>
      </c>
      <c r="U1548" s="3" t="str">
        <f t="shared" si="50"/>
        <v/>
      </c>
    </row>
    <row r="1549" spans="1:21" x14ac:dyDescent="0.35">
      <c r="A1549" s="126" t="s">
        <v>35</v>
      </c>
      <c r="B1549" s="126" t="s">
        <v>708</v>
      </c>
      <c r="C1549" s="126" t="s">
        <v>2</v>
      </c>
      <c r="D1549" s="126" t="s">
        <v>3</v>
      </c>
      <c r="E1549" s="126">
        <v>10</v>
      </c>
      <c r="F1549" s="126" t="s">
        <v>88</v>
      </c>
      <c r="G1549" s="108">
        <v>45420</v>
      </c>
      <c r="H1549" s="126" t="s">
        <v>94</v>
      </c>
      <c r="I1549" s="126" t="s">
        <v>467</v>
      </c>
      <c r="J1549" s="126" t="s">
        <v>468</v>
      </c>
      <c r="K1549" s="126"/>
      <c r="L1549" s="126"/>
      <c r="M1549" s="126"/>
      <c r="N1549" s="126"/>
      <c r="O1549" s="126" t="s">
        <v>551</v>
      </c>
      <c r="Q1549" s="3">
        <f t="shared" si="49"/>
        <v>10</v>
      </c>
      <c r="S1549" s="55" t="s">
        <v>9014</v>
      </c>
      <c r="U1549" s="3" t="str">
        <f t="shared" si="50"/>
        <v/>
      </c>
    </row>
    <row r="1550" spans="1:21" x14ac:dyDescent="0.35">
      <c r="A1550" s="126" t="s">
        <v>35</v>
      </c>
      <c r="B1550" s="126" t="s">
        <v>1106</v>
      </c>
      <c r="C1550" s="126" t="s">
        <v>2</v>
      </c>
      <c r="D1550" s="126" t="s">
        <v>3</v>
      </c>
      <c r="E1550" s="126">
        <v>9.99</v>
      </c>
      <c r="F1550" s="126" t="s">
        <v>88</v>
      </c>
      <c r="G1550" s="108">
        <v>45490</v>
      </c>
      <c r="H1550" s="126" t="s">
        <v>89</v>
      </c>
      <c r="I1550" s="126" t="s">
        <v>8166</v>
      </c>
      <c r="J1550" s="126"/>
      <c r="K1550" s="126" t="s">
        <v>8167</v>
      </c>
      <c r="L1550" s="126" t="s">
        <v>8168</v>
      </c>
      <c r="M1550" s="126" t="s">
        <v>441</v>
      </c>
      <c r="N1550" s="126"/>
      <c r="O1550" s="126"/>
      <c r="Q1550" s="3">
        <f t="shared" si="49"/>
        <v>9.99</v>
      </c>
      <c r="U1550" s="3" t="str">
        <f t="shared" si="50"/>
        <v/>
      </c>
    </row>
    <row r="1551" spans="1:21" x14ac:dyDescent="0.35">
      <c r="A1551" s="126" t="s">
        <v>35</v>
      </c>
      <c r="B1551" s="126" t="s">
        <v>1106</v>
      </c>
      <c r="C1551" s="126" t="s">
        <v>2</v>
      </c>
      <c r="D1551" s="126" t="s">
        <v>3</v>
      </c>
      <c r="E1551" s="126">
        <v>9.99</v>
      </c>
      <c r="F1551" s="126" t="s">
        <v>88</v>
      </c>
      <c r="G1551" s="108">
        <v>45544</v>
      </c>
      <c r="H1551" s="126" t="s">
        <v>89</v>
      </c>
      <c r="I1551" s="126" t="s">
        <v>8412</v>
      </c>
      <c r="J1551" s="126"/>
      <c r="K1551" s="126" t="s">
        <v>8415</v>
      </c>
      <c r="L1551" s="126" t="s">
        <v>8414</v>
      </c>
      <c r="M1551" s="126" t="s">
        <v>441</v>
      </c>
      <c r="N1551" s="126"/>
      <c r="O1551" s="126"/>
      <c r="Q1551" s="3">
        <f t="shared" si="49"/>
        <v>9.99</v>
      </c>
      <c r="U1551" s="3" t="str">
        <f t="shared" si="50"/>
        <v/>
      </c>
    </row>
    <row r="1552" spans="1:21" x14ac:dyDescent="0.35">
      <c r="A1552" s="126" t="s">
        <v>35</v>
      </c>
      <c r="B1552" s="126" t="s">
        <v>1106</v>
      </c>
      <c r="C1552" s="126" t="s">
        <v>2</v>
      </c>
      <c r="D1552" s="126" t="s">
        <v>3</v>
      </c>
      <c r="E1552" s="126">
        <v>9.99</v>
      </c>
      <c r="F1552" s="126" t="s">
        <v>88</v>
      </c>
      <c r="G1552" s="108">
        <v>45601</v>
      </c>
      <c r="H1552" s="126" t="s">
        <v>89</v>
      </c>
      <c r="I1552" s="126" t="s">
        <v>8657</v>
      </c>
      <c r="J1552" s="126"/>
      <c r="K1552" s="126" t="s">
        <v>8658</v>
      </c>
      <c r="L1552" s="126" t="s">
        <v>8659</v>
      </c>
      <c r="M1552" s="126" t="s">
        <v>441</v>
      </c>
      <c r="N1552" s="126"/>
      <c r="O1552" s="126"/>
      <c r="Q1552" s="3">
        <f t="shared" si="49"/>
        <v>9.99</v>
      </c>
      <c r="U1552" s="3" t="str">
        <f t="shared" si="50"/>
        <v/>
      </c>
    </row>
    <row r="1553" spans="1:21" x14ac:dyDescent="0.35">
      <c r="A1553" s="126" t="s">
        <v>35</v>
      </c>
      <c r="B1553" s="126" t="s">
        <v>1106</v>
      </c>
      <c r="C1553" s="126" t="s">
        <v>2</v>
      </c>
      <c r="D1553" s="126" t="s">
        <v>3</v>
      </c>
      <c r="E1553" s="126">
        <v>-9.99</v>
      </c>
      <c r="F1553" s="126" t="s">
        <v>88</v>
      </c>
      <c r="G1553" s="108">
        <v>45623</v>
      </c>
      <c r="H1553" s="126" t="s">
        <v>89</v>
      </c>
      <c r="I1553" s="126" t="s">
        <v>8657</v>
      </c>
      <c r="J1553" s="126"/>
      <c r="K1553" s="126" t="s">
        <v>8658</v>
      </c>
      <c r="L1553" s="126" t="s">
        <v>8659</v>
      </c>
      <c r="M1553" s="126" t="s">
        <v>441</v>
      </c>
      <c r="N1553" s="126"/>
      <c r="O1553" s="126"/>
      <c r="Q1553" s="3">
        <f t="shared" si="49"/>
        <v>9.99</v>
      </c>
      <c r="U1553" s="3" t="str">
        <f t="shared" si="50"/>
        <v/>
      </c>
    </row>
    <row r="1554" spans="1:21" x14ac:dyDescent="0.35">
      <c r="A1554" s="126" t="s">
        <v>35</v>
      </c>
      <c r="B1554" s="126" t="s">
        <v>1106</v>
      </c>
      <c r="C1554" s="126" t="s">
        <v>2</v>
      </c>
      <c r="D1554" s="126" t="s">
        <v>3</v>
      </c>
      <c r="E1554" s="126">
        <v>9.99</v>
      </c>
      <c r="F1554" s="126" t="s">
        <v>88</v>
      </c>
      <c r="G1554" s="108">
        <v>45628</v>
      </c>
      <c r="H1554" s="126" t="s">
        <v>89</v>
      </c>
      <c r="I1554" s="126" t="s">
        <v>8829</v>
      </c>
      <c r="J1554" s="126"/>
      <c r="K1554" s="126" t="s">
        <v>8658</v>
      </c>
      <c r="L1554" s="126" t="s">
        <v>8659</v>
      </c>
      <c r="M1554" s="126" t="s">
        <v>441</v>
      </c>
      <c r="N1554" s="126"/>
      <c r="O1554" s="126"/>
      <c r="Q1554" s="3">
        <f t="shared" si="49"/>
        <v>9.99</v>
      </c>
      <c r="U1554" s="3" t="str">
        <f t="shared" si="50"/>
        <v/>
      </c>
    </row>
    <row r="1555" spans="1:21" x14ac:dyDescent="0.35">
      <c r="A1555" s="126" t="s">
        <v>35</v>
      </c>
      <c r="B1555" s="126" t="s">
        <v>788</v>
      </c>
      <c r="C1555" s="126" t="s">
        <v>2</v>
      </c>
      <c r="D1555" s="126" t="s">
        <v>3</v>
      </c>
      <c r="E1555" s="126">
        <v>9.98</v>
      </c>
      <c r="F1555" s="126" t="s">
        <v>88</v>
      </c>
      <c r="G1555" s="108">
        <v>45464</v>
      </c>
      <c r="H1555" s="126" t="s">
        <v>94</v>
      </c>
      <c r="I1555" s="126" t="s">
        <v>438</v>
      </c>
      <c r="J1555" s="126" t="s">
        <v>8037</v>
      </c>
      <c r="K1555" s="126"/>
      <c r="L1555" s="126"/>
      <c r="M1555" s="126"/>
      <c r="N1555" s="126"/>
      <c r="O1555" s="126" t="s">
        <v>567</v>
      </c>
      <c r="Q1555" s="3">
        <f t="shared" si="49"/>
        <v>9.98</v>
      </c>
      <c r="S1555" s="55" t="s">
        <v>9014</v>
      </c>
      <c r="U1555" s="3" t="str">
        <f t="shared" si="50"/>
        <v/>
      </c>
    </row>
    <row r="1556" spans="1:21" x14ac:dyDescent="0.35">
      <c r="A1556" s="126" t="s">
        <v>35</v>
      </c>
      <c r="B1556" s="126" t="s">
        <v>868</v>
      </c>
      <c r="C1556" s="126" t="s">
        <v>2</v>
      </c>
      <c r="D1556" s="126" t="s">
        <v>3</v>
      </c>
      <c r="E1556" s="126">
        <v>9.91</v>
      </c>
      <c r="F1556" s="126" t="s">
        <v>88</v>
      </c>
      <c r="G1556" s="108">
        <v>45488</v>
      </c>
      <c r="H1556" s="126" t="s">
        <v>94</v>
      </c>
      <c r="I1556" s="126" t="s">
        <v>2920</v>
      </c>
      <c r="J1556" s="126" t="s">
        <v>417</v>
      </c>
      <c r="K1556" s="126"/>
      <c r="L1556" s="126"/>
      <c r="M1556" s="126"/>
      <c r="N1556" s="126"/>
      <c r="O1556" s="126" t="s">
        <v>7924</v>
      </c>
      <c r="Q1556" s="3">
        <f t="shared" si="49"/>
        <v>9.91</v>
      </c>
      <c r="S1556" s="55" t="s">
        <v>9014</v>
      </c>
      <c r="U1556" s="3" t="str">
        <f t="shared" si="50"/>
        <v/>
      </c>
    </row>
    <row r="1557" spans="1:21" x14ac:dyDescent="0.35">
      <c r="A1557" s="126" t="s">
        <v>35</v>
      </c>
      <c r="B1557" s="126" t="s">
        <v>3422</v>
      </c>
      <c r="C1557" s="126" t="s">
        <v>2</v>
      </c>
      <c r="D1557" s="126" t="s">
        <v>3</v>
      </c>
      <c r="E1557" s="126">
        <v>9.6</v>
      </c>
      <c r="F1557" s="126" t="s">
        <v>88</v>
      </c>
      <c r="G1557" s="108">
        <v>45439</v>
      </c>
      <c r="H1557" s="126" t="s">
        <v>94</v>
      </c>
      <c r="I1557" s="126" t="s">
        <v>4435</v>
      </c>
      <c r="J1557" s="126" t="s">
        <v>7661</v>
      </c>
      <c r="K1557" s="126"/>
      <c r="L1557" s="126"/>
      <c r="M1557" s="126"/>
      <c r="N1557" s="126"/>
      <c r="O1557" s="126" t="s">
        <v>538</v>
      </c>
      <c r="Q1557" s="3">
        <f t="shared" si="49"/>
        <v>9.6</v>
      </c>
      <c r="U1557" s="3" t="str">
        <f t="shared" si="50"/>
        <v/>
      </c>
    </row>
    <row r="1558" spans="1:21" x14ac:dyDescent="0.35">
      <c r="A1558" s="126" t="s">
        <v>35</v>
      </c>
      <c r="B1558" s="126" t="s">
        <v>708</v>
      </c>
      <c r="C1558" s="126" t="s">
        <v>2</v>
      </c>
      <c r="D1558" s="126" t="s">
        <v>3</v>
      </c>
      <c r="E1558" s="126">
        <v>9.5500000000000007</v>
      </c>
      <c r="F1558" s="126" t="s">
        <v>88</v>
      </c>
      <c r="G1558" s="108">
        <v>45467</v>
      </c>
      <c r="H1558" s="126" t="s">
        <v>94</v>
      </c>
      <c r="I1558" s="126" t="s">
        <v>7665</v>
      </c>
      <c r="J1558" s="126" t="s">
        <v>8060</v>
      </c>
      <c r="K1558" s="126"/>
      <c r="L1558" s="126"/>
      <c r="M1558" s="126"/>
      <c r="N1558" s="126"/>
      <c r="O1558" s="126" t="s">
        <v>551</v>
      </c>
      <c r="Q1558" s="3">
        <f t="shared" si="49"/>
        <v>9.5500000000000007</v>
      </c>
      <c r="S1558" s="55" t="s">
        <v>9014</v>
      </c>
      <c r="U1558" s="3" t="str">
        <f t="shared" si="50"/>
        <v/>
      </c>
    </row>
    <row r="1559" spans="1:21" x14ac:dyDescent="0.35">
      <c r="A1559" s="126" t="s">
        <v>35</v>
      </c>
      <c r="B1559" s="126" t="s">
        <v>708</v>
      </c>
      <c r="C1559" s="126" t="s">
        <v>2</v>
      </c>
      <c r="D1559" s="126" t="s">
        <v>3</v>
      </c>
      <c r="E1559" s="126">
        <v>9.5500000000000007</v>
      </c>
      <c r="F1559" s="126" t="s">
        <v>88</v>
      </c>
      <c r="G1559" s="108">
        <v>45482</v>
      </c>
      <c r="H1559" s="126" t="s">
        <v>94</v>
      </c>
      <c r="I1559" s="126" t="s">
        <v>487</v>
      </c>
      <c r="J1559" s="126" t="s">
        <v>488</v>
      </c>
      <c r="K1559" s="126"/>
      <c r="L1559" s="126"/>
      <c r="M1559" s="126"/>
      <c r="N1559" s="126"/>
      <c r="O1559" s="126" t="s">
        <v>551</v>
      </c>
      <c r="Q1559" s="3">
        <f t="shared" si="49"/>
        <v>9.5500000000000007</v>
      </c>
      <c r="S1559" s="55" t="s">
        <v>9014</v>
      </c>
      <c r="U1559" s="3" t="str">
        <f t="shared" si="50"/>
        <v/>
      </c>
    </row>
    <row r="1560" spans="1:21" x14ac:dyDescent="0.35">
      <c r="A1560" s="126" t="s">
        <v>35</v>
      </c>
      <c r="B1560" s="126" t="s">
        <v>708</v>
      </c>
      <c r="C1560" s="126" t="s">
        <v>2</v>
      </c>
      <c r="D1560" s="126" t="s">
        <v>3</v>
      </c>
      <c r="E1560" s="126">
        <v>9.5500000000000007</v>
      </c>
      <c r="F1560" s="126" t="s">
        <v>88</v>
      </c>
      <c r="G1560" s="108">
        <v>45489</v>
      </c>
      <c r="H1560" s="126" t="s">
        <v>94</v>
      </c>
      <c r="I1560" s="126" t="s">
        <v>487</v>
      </c>
      <c r="J1560" s="126" t="s">
        <v>488</v>
      </c>
      <c r="K1560" s="126"/>
      <c r="L1560" s="126"/>
      <c r="M1560" s="126"/>
      <c r="N1560" s="126"/>
      <c r="O1560" s="126" t="s">
        <v>551</v>
      </c>
      <c r="Q1560" s="3">
        <f t="shared" si="49"/>
        <v>9.5500000000000007</v>
      </c>
      <c r="S1560" s="55" t="s">
        <v>9014</v>
      </c>
      <c r="U1560" s="3" t="str">
        <f t="shared" si="50"/>
        <v/>
      </c>
    </row>
    <row r="1561" spans="1:21" x14ac:dyDescent="0.35">
      <c r="A1561" s="126" t="s">
        <v>35</v>
      </c>
      <c r="B1561" s="126" t="s">
        <v>1533</v>
      </c>
      <c r="C1561" s="126" t="s">
        <v>2</v>
      </c>
      <c r="D1561" s="126" t="s">
        <v>3</v>
      </c>
      <c r="E1561" s="126">
        <v>9.5500000000000007</v>
      </c>
      <c r="F1561" s="126" t="s">
        <v>88</v>
      </c>
      <c r="G1561" s="108">
        <v>45505</v>
      </c>
      <c r="H1561" s="126" t="s">
        <v>94</v>
      </c>
      <c r="I1561" s="126" t="s">
        <v>424</v>
      </c>
      <c r="J1561" s="126" t="s">
        <v>8209</v>
      </c>
      <c r="K1561" s="126"/>
      <c r="L1561" s="126"/>
      <c r="M1561" s="126"/>
      <c r="N1561" s="126"/>
      <c r="O1561" s="126" t="s">
        <v>523</v>
      </c>
      <c r="Q1561" s="3">
        <f t="shared" si="49"/>
        <v>9.5500000000000007</v>
      </c>
      <c r="U1561" s="3" t="str">
        <f t="shared" si="50"/>
        <v/>
      </c>
    </row>
    <row r="1562" spans="1:21" x14ac:dyDescent="0.35">
      <c r="A1562" s="126" t="s">
        <v>35</v>
      </c>
      <c r="B1562" s="126" t="s">
        <v>708</v>
      </c>
      <c r="C1562" s="126" t="s">
        <v>2</v>
      </c>
      <c r="D1562" s="126" t="s">
        <v>3</v>
      </c>
      <c r="E1562" s="126">
        <v>9.5500000000000007</v>
      </c>
      <c r="F1562" s="126" t="s">
        <v>88</v>
      </c>
      <c r="G1562" s="108">
        <v>45539</v>
      </c>
      <c r="H1562" s="126" t="s">
        <v>94</v>
      </c>
      <c r="I1562" s="126" t="s">
        <v>487</v>
      </c>
      <c r="J1562" s="126" t="s">
        <v>488</v>
      </c>
      <c r="K1562" s="126"/>
      <c r="L1562" s="126"/>
      <c r="M1562" s="126"/>
      <c r="N1562" s="126"/>
      <c r="O1562" s="126" t="s">
        <v>551</v>
      </c>
      <c r="Q1562" s="3">
        <f t="shared" si="49"/>
        <v>9.5500000000000007</v>
      </c>
      <c r="S1562" s="55" t="s">
        <v>9014</v>
      </c>
      <c r="U1562" s="3" t="str">
        <f t="shared" si="50"/>
        <v/>
      </c>
    </row>
    <row r="1563" spans="1:21" x14ac:dyDescent="0.35">
      <c r="A1563" s="126" t="s">
        <v>35</v>
      </c>
      <c r="B1563" s="126" t="s">
        <v>708</v>
      </c>
      <c r="C1563" s="126" t="s">
        <v>2</v>
      </c>
      <c r="D1563" s="126" t="s">
        <v>3</v>
      </c>
      <c r="E1563" s="126">
        <v>9.5500000000000007</v>
      </c>
      <c r="F1563" s="126" t="s">
        <v>88</v>
      </c>
      <c r="G1563" s="108">
        <v>45608</v>
      </c>
      <c r="H1563" s="126" t="s">
        <v>94</v>
      </c>
      <c r="I1563" s="126" t="s">
        <v>467</v>
      </c>
      <c r="J1563" s="126" t="s">
        <v>468</v>
      </c>
      <c r="K1563" s="126"/>
      <c r="L1563" s="126"/>
      <c r="M1563" s="126"/>
      <c r="N1563" s="126"/>
      <c r="O1563" s="126" t="s">
        <v>551</v>
      </c>
      <c r="Q1563" s="3">
        <f t="shared" si="49"/>
        <v>9.5500000000000007</v>
      </c>
      <c r="S1563" s="55" t="s">
        <v>9014</v>
      </c>
      <c r="U1563" s="3" t="str">
        <f t="shared" si="50"/>
        <v/>
      </c>
    </row>
    <row r="1564" spans="1:21" x14ac:dyDescent="0.35">
      <c r="A1564" s="126" t="s">
        <v>0</v>
      </c>
      <c r="B1564" s="126" t="s">
        <v>969</v>
      </c>
      <c r="C1564" s="126" t="s">
        <v>2</v>
      </c>
      <c r="D1564" s="126" t="s">
        <v>3</v>
      </c>
      <c r="E1564" s="126">
        <v>9.5</v>
      </c>
      <c r="F1564" s="126" t="s">
        <v>88</v>
      </c>
      <c r="G1564" s="108">
        <v>45510</v>
      </c>
      <c r="H1564" s="126" t="s">
        <v>89</v>
      </c>
      <c r="I1564" s="126" t="s">
        <v>8280</v>
      </c>
      <c r="J1564" s="126"/>
      <c r="K1564" s="126" t="s">
        <v>7655</v>
      </c>
      <c r="L1564" s="126" t="s">
        <v>8281</v>
      </c>
      <c r="M1564" s="126" t="s">
        <v>420</v>
      </c>
      <c r="N1564" s="126"/>
      <c r="O1564" s="126"/>
      <c r="Q1564" s="3">
        <f t="shared" si="49"/>
        <v>9.5</v>
      </c>
      <c r="U1564" s="3" t="str">
        <f t="shared" si="50"/>
        <v/>
      </c>
    </row>
    <row r="1565" spans="1:21" x14ac:dyDescent="0.35">
      <c r="A1565" s="126" t="s">
        <v>0</v>
      </c>
      <c r="B1565" s="126" t="s">
        <v>969</v>
      </c>
      <c r="C1565" s="126" t="s">
        <v>2</v>
      </c>
      <c r="D1565" s="126" t="s">
        <v>3</v>
      </c>
      <c r="E1565" s="126">
        <v>9.5</v>
      </c>
      <c r="F1565" s="126" t="s">
        <v>88</v>
      </c>
      <c r="G1565" s="108">
        <v>45510</v>
      </c>
      <c r="H1565" s="126" t="s">
        <v>89</v>
      </c>
      <c r="I1565" s="126" t="s">
        <v>8282</v>
      </c>
      <c r="J1565" s="126"/>
      <c r="K1565" s="126" t="s">
        <v>7655</v>
      </c>
      <c r="L1565" s="126" t="s">
        <v>8283</v>
      </c>
      <c r="M1565" s="126" t="s">
        <v>420</v>
      </c>
      <c r="N1565" s="126"/>
      <c r="O1565" s="126"/>
      <c r="Q1565" s="3">
        <f t="shared" si="49"/>
        <v>9.5</v>
      </c>
      <c r="U1565" s="3" t="str">
        <f t="shared" si="50"/>
        <v/>
      </c>
    </row>
    <row r="1566" spans="1:21" x14ac:dyDescent="0.35">
      <c r="A1566" s="126" t="s">
        <v>0</v>
      </c>
      <c r="B1566" s="126" t="s">
        <v>969</v>
      </c>
      <c r="C1566" s="126" t="s">
        <v>2</v>
      </c>
      <c r="D1566" s="126" t="s">
        <v>3</v>
      </c>
      <c r="E1566" s="126">
        <v>-9.5</v>
      </c>
      <c r="F1566" s="126" t="s">
        <v>88</v>
      </c>
      <c r="G1566" s="108">
        <v>45511</v>
      </c>
      <c r="H1566" s="126" t="s">
        <v>89</v>
      </c>
      <c r="I1566" s="126" t="s">
        <v>8280</v>
      </c>
      <c r="J1566" s="126"/>
      <c r="K1566" s="126" t="s">
        <v>7655</v>
      </c>
      <c r="L1566" s="126" t="s">
        <v>8281</v>
      </c>
      <c r="M1566" s="126" t="s">
        <v>420</v>
      </c>
      <c r="N1566" s="126"/>
      <c r="O1566" s="126"/>
      <c r="Q1566" s="3">
        <f t="shared" si="49"/>
        <v>9.5</v>
      </c>
      <c r="U1566" s="3" t="str">
        <f t="shared" si="50"/>
        <v/>
      </c>
    </row>
    <row r="1567" spans="1:21" x14ac:dyDescent="0.35">
      <c r="A1567" s="126" t="s">
        <v>0</v>
      </c>
      <c r="B1567" s="126" t="s">
        <v>969</v>
      </c>
      <c r="C1567" s="126" t="s">
        <v>2</v>
      </c>
      <c r="D1567" s="126" t="s">
        <v>3</v>
      </c>
      <c r="E1567" s="126">
        <v>9.5</v>
      </c>
      <c r="F1567" s="126" t="s">
        <v>88</v>
      </c>
      <c r="G1567" s="108">
        <v>45566</v>
      </c>
      <c r="H1567" s="126" t="s">
        <v>89</v>
      </c>
      <c r="I1567" s="126" t="s">
        <v>8490</v>
      </c>
      <c r="J1567" s="126"/>
      <c r="K1567" s="126" t="s">
        <v>7655</v>
      </c>
      <c r="L1567" s="126" t="s">
        <v>8491</v>
      </c>
      <c r="M1567" s="126" t="s">
        <v>420</v>
      </c>
      <c r="N1567" s="126"/>
      <c r="O1567" s="126"/>
      <c r="Q1567" s="3">
        <f t="shared" si="49"/>
        <v>9.5</v>
      </c>
      <c r="U1567" s="3" t="str">
        <f t="shared" si="50"/>
        <v/>
      </c>
    </row>
    <row r="1568" spans="1:21" x14ac:dyDescent="0.35">
      <c r="A1568" s="126" t="s">
        <v>35</v>
      </c>
      <c r="B1568" s="126" t="s">
        <v>677</v>
      </c>
      <c r="C1568" s="126" t="s">
        <v>2</v>
      </c>
      <c r="D1568" s="126" t="s">
        <v>3</v>
      </c>
      <c r="E1568" s="126">
        <v>9.36</v>
      </c>
      <c r="F1568" s="126" t="s">
        <v>88</v>
      </c>
      <c r="G1568" s="108">
        <v>45414</v>
      </c>
      <c r="H1568" s="126" t="s">
        <v>94</v>
      </c>
      <c r="I1568" s="126" t="s">
        <v>437</v>
      </c>
      <c r="J1568" s="126" t="s">
        <v>465</v>
      </c>
      <c r="K1568" s="126"/>
      <c r="L1568" s="126"/>
      <c r="M1568" s="126"/>
      <c r="N1568" s="126"/>
      <c r="O1568" s="126" t="s">
        <v>548</v>
      </c>
      <c r="Q1568" s="3">
        <f t="shared" si="49"/>
        <v>9.36</v>
      </c>
      <c r="S1568" s="55" t="s">
        <v>9014</v>
      </c>
      <c r="U1568" s="3" t="str">
        <f t="shared" si="50"/>
        <v/>
      </c>
    </row>
    <row r="1569" spans="1:21" x14ac:dyDescent="0.35">
      <c r="A1569" s="126" t="s">
        <v>35</v>
      </c>
      <c r="B1569" s="126" t="s">
        <v>2226</v>
      </c>
      <c r="C1569" s="126" t="s">
        <v>2</v>
      </c>
      <c r="D1569" s="126" t="s">
        <v>3</v>
      </c>
      <c r="E1569" s="126">
        <v>9.32</v>
      </c>
      <c r="F1569" s="126" t="s">
        <v>88</v>
      </c>
      <c r="G1569" s="108">
        <v>45476</v>
      </c>
      <c r="H1569" s="126" t="s">
        <v>94</v>
      </c>
      <c r="I1569" s="126" t="s">
        <v>335</v>
      </c>
      <c r="J1569" s="126" t="s">
        <v>336</v>
      </c>
      <c r="K1569" s="126"/>
      <c r="L1569" s="126"/>
      <c r="M1569" s="126"/>
      <c r="N1569" s="126"/>
      <c r="O1569" s="126" t="s">
        <v>532</v>
      </c>
      <c r="Q1569" s="3">
        <f t="shared" si="49"/>
        <v>9.32</v>
      </c>
      <c r="U1569" s="3" t="str">
        <f t="shared" si="50"/>
        <v/>
      </c>
    </row>
    <row r="1570" spans="1:21" x14ac:dyDescent="0.35">
      <c r="A1570" s="126" t="s">
        <v>35</v>
      </c>
      <c r="B1570" s="126" t="s">
        <v>2543</v>
      </c>
      <c r="C1570" s="126" t="s">
        <v>2</v>
      </c>
      <c r="D1570" s="126" t="s">
        <v>3</v>
      </c>
      <c r="E1570" s="126">
        <v>9.19</v>
      </c>
      <c r="F1570" s="126" t="s">
        <v>88</v>
      </c>
      <c r="G1570" s="108">
        <v>45495</v>
      </c>
      <c r="H1570" s="126" t="s">
        <v>94</v>
      </c>
      <c r="I1570" s="126" t="s">
        <v>7771</v>
      </c>
      <c r="J1570" s="126" t="s">
        <v>395</v>
      </c>
      <c r="K1570" s="126"/>
      <c r="L1570" s="126"/>
      <c r="M1570" s="126"/>
      <c r="N1570" s="126"/>
      <c r="O1570" s="126" t="s">
        <v>559</v>
      </c>
      <c r="Q1570" s="3">
        <f t="shared" si="49"/>
        <v>9.19</v>
      </c>
      <c r="S1570" s="55" t="s">
        <v>586</v>
      </c>
      <c r="U1570" s="3" t="str">
        <f t="shared" si="50"/>
        <v/>
      </c>
    </row>
    <row r="1571" spans="1:21" x14ac:dyDescent="0.35">
      <c r="A1571" s="126" t="s">
        <v>35</v>
      </c>
      <c r="B1571" s="126" t="s">
        <v>2543</v>
      </c>
      <c r="C1571" s="126" t="s">
        <v>2</v>
      </c>
      <c r="D1571" s="126" t="s">
        <v>3</v>
      </c>
      <c r="E1571" s="126">
        <v>9.19</v>
      </c>
      <c r="F1571" s="126" t="s">
        <v>88</v>
      </c>
      <c r="G1571" s="108">
        <v>45594</v>
      </c>
      <c r="H1571" s="126" t="s">
        <v>94</v>
      </c>
      <c r="I1571" s="126" t="s">
        <v>456</v>
      </c>
      <c r="J1571" s="126" t="s">
        <v>417</v>
      </c>
      <c r="K1571" s="126"/>
      <c r="L1571" s="126"/>
      <c r="M1571" s="126"/>
      <c r="N1571" s="126"/>
      <c r="O1571" s="126" t="s">
        <v>559</v>
      </c>
      <c r="Q1571" s="3">
        <f t="shared" si="49"/>
        <v>9.19</v>
      </c>
      <c r="S1571" s="55" t="s">
        <v>9014</v>
      </c>
      <c r="U1571" s="3" t="str">
        <f t="shared" si="50"/>
        <v/>
      </c>
    </row>
    <row r="1572" spans="1:21" x14ac:dyDescent="0.35">
      <c r="A1572" s="126" t="s">
        <v>35</v>
      </c>
      <c r="B1572" s="126" t="s">
        <v>2543</v>
      </c>
      <c r="C1572" s="126" t="s">
        <v>2</v>
      </c>
      <c r="D1572" s="126" t="s">
        <v>3</v>
      </c>
      <c r="E1572" s="126">
        <v>9.19</v>
      </c>
      <c r="F1572" s="126" t="s">
        <v>88</v>
      </c>
      <c r="G1572" s="108">
        <v>45623</v>
      </c>
      <c r="H1572" s="126" t="s">
        <v>94</v>
      </c>
      <c r="I1572" s="126" t="s">
        <v>8800</v>
      </c>
      <c r="J1572" s="126" t="s">
        <v>8801</v>
      </c>
      <c r="K1572" s="126"/>
      <c r="L1572" s="126"/>
      <c r="M1572" s="126"/>
      <c r="N1572" s="126"/>
      <c r="O1572" s="126" t="s">
        <v>559</v>
      </c>
      <c r="Q1572" s="3">
        <f t="shared" si="49"/>
        <v>9.19</v>
      </c>
      <c r="S1572" s="55" t="s">
        <v>9014</v>
      </c>
      <c r="U1572" s="3" t="str">
        <f t="shared" si="50"/>
        <v/>
      </c>
    </row>
    <row r="1573" spans="1:21" x14ac:dyDescent="0.35">
      <c r="A1573" s="126" t="s">
        <v>35</v>
      </c>
      <c r="B1573" s="126" t="s">
        <v>788</v>
      </c>
      <c r="C1573" s="126" t="s">
        <v>2</v>
      </c>
      <c r="D1573" s="126" t="s">
        <v>3</v>
      </c>
      <c r="E1573" s="126">
        <v>9.15</v>
      </c>
      <c r="F1573" s="126" t="s">
        <v>88</v>
      </c>
      <c r="G1573" s="108">
        <v>45517</v>
      </c>
      <c r="H1573" s="126" t="s">
        <v>94</v>
      </c>
      <c r="I1573" s="126" t="s">
        <v>438</v>
      </c>
      <c r="J1573" s="126" t="s">
        <v>8331</v>
      </c>
      <c r="K1573" s="126"/>
      <c r="L1573" s="126"/>
      <c r="M1573" s="126"/>
      <c r="N1573" s="126"/>
      <c r="O1573" s="126" t="s">
        <v>568</v>
      </c>
      <c r="Q1573" s="3">
        <f t="shared" si="49"/>
        <v>9.15</v>
      </c>
      <c r="S1573" s="55" t="s">
        <v>9014</v>
      </c>
      <c r="U1573" s="3" t="str">
        <f t="shared" si="50"/>
        <v/>
      </c>
    </row>
    <row r="1574" spans="1:21" x14ac:dyDescent="0.35">
      <c r="A1574" s="126" t="s">
        <v>0</v>
      </c>
      <c r="B1574" s="126" t="s">
        <v>707</v>
      </c>
      <c r="C1574" s="126" t="s">
        <v>2</v>
      </c>
      <c r="D1574" s="126" t="s">
        <v>3</v>
      </c>
      <c r="E1574" s="126">
        <v>9.1</v>
      </c>
      <c r="F1574" s="126" t="s">
        <v>88</v>
      </c>
      <c r="G1574" s="108">
        <v>45391</v>
      </c>
      <c r="H1574" s="126" t="s">
        <v>89</v>
      </c>
      <c r="I1574" s="126" t="s">
        <v>7691</v>
      </c>
      <c r="J1574" s="126"/>
      <c r="K1574" s="126" t="s">
        <v>7672</v>
      </c>
      <c r="L1574" s="126" t="s">
        <v>7692</v>
      </c>
      <c r="M1574" s="126" t="s">
        <v>399</v>
      </c>
      <c r="N1574" s="35"/>
      <c r="O1574" s="35"/>
      <c r="Q1574" s="3">
        <f t="shared" si="49"/>
        <v>9.1</v>
      </c>
      <c r="S1574" s="55" t="s">
        <v>9013</v>
      </c>
      <c r="U1574" s="3" t="str">
        <f t="shared" si="50"/>
        <v/>
      </c>
    </row>
    <row r="1575" spans="1:21" x14ac:dyDescent="0.35">
      <c r="A1575" s="126" t="s">
        <v>0</v>
      </c>
      <c r="B1575" s="126" t="s">
        <v>707</v>
      </c>
      <c r="C1575" s="126" t="s">
        <v>2</v>
      </c>
      <c r="D1575" s="126" t="s">
        <v>3</v>
      </c>
      <c r="E1575" s="126">
        <v>9.1</v>
      </c>
      <c r="F1575" s="126" t="s">
        <v>88</v>
      </c>
      <c r="G1575" s="108">
        <v>45432</v>
      </c>
      <c r="H1575" s="126" t="s">
        <v>89</v>
      </c>
      <c r="I1575" s="126" t="s">
        <v>7839</v>
      </c>
      <c r="J1575" s="126"/>
      <c r="K1575" s="126" t="s">
        <v>7840</v>
      </c>
      <c r="L1575" s="126" t="s">
        <v>7841</v>
      </c>
      <c r="M1575" s="126" t="s">
        <v>399</v>
      </c>
      <c r="N1575" s="35"/>
      <c r="O1575" s="35"/>
      <c r="Q1575" s="3">
        <f t="shared" si="49"/>
        <v>9.1</v>
      </c>
      <c r="S1575" s="55" t="s">
        <v>9013</v>
      </c>
      <c r="U1575" s="3" t="str">
        <f t="shared" si="50"/>
        <v/>
      </c>
    </row>
    <row r="1576" spans="1:21" x14ac:dyDescent="0.35">
      <c r="A1576" s="126" t="s">
        <v>0</v>
      </c>
      <c r="B1576" s="126" t="s">
        <v>707</v>
      </c>
      <c r="C1576" s="126" t="s">
        <v>2</v>
      </c>
      <c r="D1576" s="126" t="s">
        <v>3</v>
      </c>
      <c r="E1576" s="126">
        <v>9.1</v>
      </c>
      <c r="F1576" s="126" t="s">
        <v>88</v>
      </c>
      <c r="G1576" s="108">
        <v>45454</v>
      </c>
      <c r="H1576" s="126" t="s">
        <v>89</v>
      </c>
      <c r="I1576" s="126" t="s">
        <v>7958</v>
      </c>
      <c r="J1576" s="126"/>
      <c r="K1576" s="126" t="s">
        <v>7959</v>
      </c>
      <c r="L1576" s="126" t="s">
        <v>7960</v>
      </c>
      <c r="M1576" s="126" t="s">
        <v>399</v>
      </c>
      <c r="Q1576" s="3">
        <f t="shared" si="49"/>
        <v>9.1</v>
      </c>
      <c r="S1576" s="55" t="s">
        <v>9013</v>
      </c>
      <c r="U1576" s="3" t="str">
        <f t="shared" si="50"/>
        <v/>
      </c>
    </row>
    <row r="1577" spans="1:21" x14ac:dyDescent="0.35">
      <c r="A1577" s="126" t="s">
        <v>0</v>
      </c>
      <c r="B1577" s="126" t="s">
        <v>707</v>
      </c>
      <c r="C1577" s="126" t="s">
        <v>2</v>
      </c>
      <c r="D1577" s="126" t="s">
        <v>3</v>
      </c>
      <c r="E1577" s="126">
        <v>9.1</v>
      </c>
      <c r="F1577" s="126" t="s">
        <v>88</v>
      </c>
      <c r="G1577" s="108">
        <v>45485</v>
      </c>
      <c r="H1577" s="126" t="s">
        <v>89</v>
      </c>
      <c r="I1577" s="126" t="s">
        <v>8134</v>
      </c>
      <c r="J1577" s="126"/>
      <c r="K1577" s="126" t="s">
        <v>8135</v>
      </c>
      <c r="L1577" s="126" t="s">
        <v>8136</v>
      </c>
      <c r="M1577" s="126" t="s">
        <v>399</v>
      </c>
      <c r="Q1577" s="3">
        <f t="shared" si="49"/>
        <v>9.1</v>
      </c>
      <c r="S1577" s="55" t="s">
        <v>9013</v>
      </c>
      <c r="U1577" s="3" t="str">
        <f t="shared" si="50"/>
        <v/>
      </c>
    </row>
    <row r="1578" spans="1:21" x14ac:dyDescent="0.35">
      <c r="A1578" s="126" t="s">
        <v>0</v>
      </c>
      <c r="B1578" s="126" t="s">
        <v>707</v>
      </c>
      <c r="C1578" s="126" t="s">
        <v>2</v>
      </c>
      <c r="D1578" s="126" t="s">
        <v>3</v>
      </c>
      <c r="E1578" s="126">
        <v>9.1</v>
      </c>
      <c r="F1578" s="126" t="s">
        <v>88</v>
      </c>
      <c r="G1578" s="108">
        <v>45517</v>
      </c>
      <c r="H1578" s="126" t="s">
        <v>89</v>
      </c>
      <c r="I1578" s="126" t="s">
        <v>8320</v>
      </c>
      <c r="J1578" s="126"/>
      <c r="K1578" s="126" t="s">
        <v>8321</v>
      </c>
      <c r="L1578" s="126" t="s">
        <v>8322</v>
      </c>
      <c r="M1578" s="126" t="s">
        <v>399</v>
      </c>
      <c r="Q1578" s="3">
        <f t="shared" si="49"/>
        <v>9.1</v>
      </c>
      <c r="S1578" s="55" t="s">
        <v>9013</v>
      </c>
      <c r="U1578" s="3" t="str">
        <f t="shared" si="50"/>
        <v/>
      </c>
    </row>
    <row r="1579" spans="1:21" x14ac:dyDescent="0.35">
      <c r="A1579" s="126" t="s">
        <v>0</v>
      </c>
      <c r="B1579" s="126" t="s">
        <v>707</v>
      </c>
      <c r="C1579" s="126" t="s">
        <v>2</v>
      </c>
      <c r="D1579" s="126" t="s">
        <v>3</v>
      </c>
      <c r="E1579" s="126">
        <v>9.1</v>
      </c>
      <c r="F1579" s="126" t="s">
        <v>88</v>
      </c>
      <c r="G1579" s="108">
        <v>45551</v>
      </c>
      <c r="H1579" s="126" t="s">
        <v>89</v>
      </c>
      <c r="I1579" s="126" t="s">
        <v>8431</v>
      </c>
      <c r="J1579" s="126"/>
      <c r="K1579" s="126" t="s">
        <v>8432</v>
      </c>
      <c r="L1579" s="126" t="s">
        <v>8433</v>
      </c>
      <c r="M1579" s="126" t="s">
        <v>399</v>
      </c>
      <c r="N1579" s="126"/>
      <c r="O1579" s="126"/>
      <c r="Q1579" s="3">
        <f t="shared" si="49"/>
        <v>9.1</v>
      </c>
      <c r="S1579" s="55" t="s">
        <v>9013</v>
      </c>
      <c r="U1579" s="3" t="str">
        <f t="shared" si="50"/>
        <v/>
      </c>
    </row>
    <row r="1580" spans="1:21" x14ac:dyDescent="0.35">
      <c r="A1580" s="126" t="s">
        <v>0</v>
      </c>
      <c r="B1580" s="126" t="s">
        <v>707</v>
      </c>
      <c r="C1580" s="126" t="s">
        <v>2</v>
      </c>
      <c r="D1580" s="126" t="s">
        <v>3</v>
      </c>
      <c r="E1580" s="126">
        <v>9.1</v>
      </c>
      <c r="F1580" s="126" t="s">
        <v>88</v>
      </c>
      <c r="G1580" s="108">
        <v>45569</v>
      </c>
      <c r="H1580" s="126" t="s">
        <v>89</v>
      </c>
      <c r="I1580" s="126" t="s">
        <v>8521</v>
      </c>
      <c r="J1580" s="126"/>
      <c r="K1580" s="126" t="s">
        <v>8522</v>
      </c>
      <c r="L1580" s="126" t="s">
        <v>8523</v>
      </c>
      <c r="M1580" s="126" t="s">
        <v>399</v>
      </c>
      <c r="Q1580" s="3">
        <f t="shared" si="49"/>
        <v>9.1</v>
      </c>
      <c r="S1580" s="55" t="s">
        <v>9013</v>
      </c>
      <c r="U1580" s="3" t="str">
        <f t="shared" si="50"/>
        <v/>
      </c>
    </row>
    <row r="1581" spans="1:21" x14ac:dyDescent="0.35">
      <c r="A1581" s="126" t="s">
        <v>0</v>
      </c>
      <c r="B1581" s="126" t="s">
        <v>707</v>
      </c>
      <c r="C1581" s="126" t="s">
        <v>2</v>
      </c>
      <c r="D1581" s="126" t="s">
        <v>3</v>
      </c>
      <c r="E1581" s="126">
        <v>9.1</v>
      </c>
      <c r="F1581" s="126" t="s">
        <v>88</v>
      </c>
      <c r="G1581" s="108">
        <v>45611</v>
      </c>
      <c r="H1581" s="126" t="s">
        <v>89</v>
      </c>
      <c r="I1581" s="126" t="s">
        <v>8734</v>
      </c>
      <c r="J1581" s="126"/>
      <c r="K1581" s="126" t="s">
        <v>8735</v>
      </c>
      <c r="L1581" s="126" t="s">
        <v>8736</v>
      </c>
      <c r="M1581" s="126" t="s">
        <v>399</v>
      </c>
      <c r="Q1581" s="3">
        <f t="shared" si="49"/>
        <v>9.1</v>
      </c>
      <c r="S1581" s="55" t="s">
        <v>9013</v>
      </c>
      <c r="U1581" s="3" t="str">
        <f t="shared" si="50"/>
        <v/>
      </c>
    </row>
    <row r="1582" spans="1:21" x14ac:dyDescent="0.35">
      <c r="A1582" s="126" t="s">
        <v>0</v>
      </c>
      <c r="B1582" s="126" t="s">
        <v>707</v>
      </c>
      <c r="C1582" s="126" t="s">
        <v>2</v>
      </c>
      <c r="D1582" s="126" t="s">
        <v>3</v>
      </c>
      <c r="E1582" s="126">
        <v>9.1</v>
      </c>
      <c r="F1582" s="126" t="s">
        <v>88</v>
      </c>
      <c r="G1582" s="108">
        <v>45635</v>
      </c>
      <c r="H1582" s="126" t="s">
        <v>89</v>
      </c>
      <c r="I1582" s="126" t="s">
        <v>8878</v>
      </c>
      <c r="J1582" s="126"/>
      <c r="K1582" s="126" t="s">
        <v>8879</v>
      </c>
      <c r="L1582" s="126" t="s">
        <v>8880</v>
      </c>
      <c r="M1582" s="126" t="s">
        <v>399</v>
      </c>
      <c r="Q1582" s="3">
        <f t="shared" si="49"/>
        <v>9.1</v>
      </c>
      <c r="S1582" s="55" t="s">
        <v>9013</v>
      </c>
      <c r="U1582" s="3" t="str">
        <f t="shared" si="50"/>
        <v/>
      </c>
    </row>
    <row r="1583" spans="1:21" x14ac:dyDescent="0.35">
      <c r="A1583" s="126" t="s">
        <v>35</v>
      </c>
      <c r="B1583" s="126" t="s">
        <v>5426</v>
      </c>
      <c r="C1583" s="126" t="s">
        <v>2</v>
      </c>
      <c r="D1583" s="126" t="s">
        <v>3</v>
      </c>
      <c r="E1583" s="126">
        <v>9.09</v>
      </c>
      <c r="F1583" s="126" t="s">
        <v>88</v>
      </c>
      <c r="G1583" s="108">
        <v>45391</v>
      </c>
      <c r="H1583" s="126" t="s">
        <v>94</v>
      </c>
      <c r="I1583" s="126" t="s">
        <v>475</v>
      </c>
      <c r="J1583" s="126" t="s">
        <v>409</v>
      </c>
      <c r="K1583" s="126"/>
      <c r="L1583" s="126"/>
      <c r="M1583" s="126"/>
      <c r="N1583" s="126"/>
      <c r="O1583" s="126" t="s">
        <v>7698</v>
      </c>
      <c r="Q1583" s="3">
        <f t="shared" si="49"/>
        <v>9.09</v>
      </c>
      <c r="S1583" s="55" t="s">
        <v>586</v>
      </c>
      <c r="U1583" s="3" t="str">
        <f t="shared" si="50"/>
        <v/>
      </c>
    </row>
    <row r="1584" spans="1:21" x14ac:dyDescent="0.35">
      <c r="A1584" s="126" t="s">
        <v>35</v>
      </c>
      <c r="B1584" s="126" t="s">
        <v>2543</v>
      </c>
      <c r="C1584" s="126" t="s">
        <v>2</v>
      </c>
      <c r="D1584" s="126" t="s">
        <v>3</v>
      </c>
      <c r="E1584" s="126">
        <v>9.09</v>
      </c>
      <c r="F1584" s="126" t="s">
        <v>88</v>
      </c>
      <c r="G1584" s="108">
        <v>45406</v>
      </c>
      <c r="H1584" s="126" t="s">
        <v>94</v>
      </c>
      <c r="I1584" s="126" t="s">
        <v>7771</v>
      </c>
      <c r="J1584" s="126" t="s">
        <v>7772</v>
      </c>
      <c r="K1584" s="126"/>
      <c r="L1584" s="126"/>
      <c r="M1584" s="126"/>
      <c r="N1584" s="126"/>
      <c r="O1584" s="126" t="s">
        <v>559</v>
      </c>
      <c r="Q1584" s="3">
        <f t="shared" si="49"/>
        <v>9.09</v>
      </c>
      <c r="S1584" s="55" t="s">
        <v>9014</v>
      </c>
      <c r="U1584" s="3" t="str">
        <f t="shared" si="50"/>
        <v/>
      </c>
    </row>
    <row r="1585" spans="1:21" x14ac:dyDescent="0.35">
      <c r="A1585" s="126" t="s">
        <v>35</v>
      </c>
      <c r="B1585" s="126" t="s">
        <v>868</v>
      </c>
      <c r="C1585" s="126" t="s">
        <v>2</v>
      </c>
      <c r="D1585" s="126" t="s">
        <v>3</v>
      </c>
      <c r="E1585" s="126">
        <v>9.09</v>
      </c>
      <c r="F1585" s="126" t="s">
        <v>88</v>
      </c>
      <c r="G1585" s="108">
        <v>45554</v>
      </c>
      <c r="H1585" s="126" t="s">
        <v>94</v>
      </c>
      <c r="I1585" s="126" t="s">
        <v>416</v>
      </c>
      <c r="J1585" s="126" t="s">
        <v>417</v>
      </c>
      <c r="K1585" s="126"/>
      <c r="L1585" s="126"/>
      <c r="M1585" s="126"/>
      <c r="N1585" s="126"/>
      <c r="O1585" s="126" t="s">
        <v>520</v>
      </c>
      <c r="Q1585" s="3">
        <f t="shared" si="49"/>
        <v>9.09</v>
      </c>
      <c r="S1585" s="55" t="s">
        <v>9014</v>
      </c>
      <c r="U1585" s="3" t="str">
        <f t="shared" si="50"/>
        <v/>
      </c>
    </row>
    <row r="1586" spans="1:21" x14ac:dyDescent="0.35">
      <c r="A1586" s="126" t="s">
        <v>35</v>
      </c>
      <c r="B1586" s="126" t="s">
        <v>868</v>
      </c>
      <c r="C1586" s="126" t="s">
        <v>2</v>
      </c>
      <c r="D1586" s="126" t="s">
        <v>3</v>
      </c>
      <c r="E1586" s="126">
        <v>9.09</v>
      </c>
      <c r="F1586" s="126" t="s">
        <v>88</v>
      </c>
      <c r="G1586" s="108">
        <v>45565</v>
      </c>
      <c r="H1586" s="126" t="s">
        <v>94</v>
      </c>
      <c r="I1586" s="126" t="s">
        <v>416</v>
      </c>
      <c r="J1586" s="126" t="s">
        <v>417</v>
      </c>
      <c r="K1586" s="126"/>
      <c r="L1586" s="126"/>
      <c r="M1586" s="126"/>
      <c r="N1586" s="126"/>
      <c r="O1586" s="126" t="s">
        <v>572</v>
      </c>
      <c r="Q1586" s="3">
        <f t="shared" si="49"/>
        <v>9.09</v>
      </c>
      <c r="S1586" s="55" t="s">
        <v>9014</v>
      </c>
      <c r="U1586" s="3" t="str">
        <f t="shared" si="50"/>
        <v/>
      </c>
    </row>
    <row r="1587" spans="1:21" x14ac:dyDescent="0.35">
      <c r="A1587" s="126" t="s">
        <v>35</v>
      </c>
      <c r="B1587" s="126" t="s">
        <v>1533</v>
      </c>
      <c r="C1587" s="126" t="s">
        <v>2</v>
      </c>
      <c r="D1587" s="126" t="s">
        <v>3</v>
      </c>
      <c r="E1587" s="126">
        <v>9.09</v>
      </c>
      <c r="F1587" s="126" t="s">
        <v>88</v>
      </c>
      <c r="G1587" s="108">
        <v>45609</v>
      </c>
      <c r="H1587" s="126" t="s">
        <v>94</v>
      </c>
      <c r="I1587" s="126" t="s">
        <v>474</v>
      </c>
      <c r="J1587" s="126" t="s">
        <v>8730</v>
      </c>
      <c r="K1587" s="126"/>
      <c r="L1587" s="126"/>
      <c r="M1587" s="126"/>
      <c r="N1587" s="126"/>
      <c r="O1587" s="126" t="s">
        <v>8731</v>
      </c>
      <c r="Q1587" s="3">
        <f t="shared" si="49"/>
        <v>9.09</v>
      </c>
      <c r="U1587" s="3" t="str">
        <f t="shared" si="50"/>
        <v/>
      </c>
    </row>
    <row r="1588" spans="1:21" x14ac:dyDescent="0.35">
      <c r="A1588" s="126" t="s">
        <v>35</v>
      </c>
      <c r="B1588" s="126" t="s">
        <v>909</v>
      </c>
      <c r="C1588" s="126" t="s">
        <v>2</v>
      </c>
      <c r="D1588" s="126" t="s">
        <v>3</v>
      </c>
      <c r="E1588" s="126">
        <v>9.09</v>
      </c>
      <c r="F1588" s="126" t="s">
        <v>88</v>
      </c>
      <c r="G1588" s="108">
        <v>45637</v>
      </c>
      <c r="H1588" s="126" t="s">
        <v>94</v>
      </c>
      <c r="I1588" s="126" t="s">
        <v>8944</v>
      </c>
      <c r="J1588" s="126" t="s">
        <v>6264</v>
      </c>
      <c r="K1588" s="126"/>
      <c r="L1588" s="126"/>
      <c r="M1588" s="126"/>
      <c r="N1588" s="126"/>
      <c r="O1588" s="126" t="s">
        <v>3017</v>
      </c>
      <c r="Q1588" s="3">
        <f t="shared" si="49"/>
        <v>9.09</v>
      </c>
      <c r="U1588" s="3" t="str">
        <f t="shared" si="50"/>
        <v/>
      </c>
    </row>
    <row r="1589" spans="1:21" x14ac:dyDescent="0.35">
      <c r="A1589" s="126" t="s">
        <v>35</v>
      </c>
      <c r="B1589" s="126" t="s">
        <v>852</v>
      </c>
      <c r="C1589" s="126" t="s">
        <v>2</v>
      </c>
      <c r="D1589" s="126" t="s">
        <v>3</v>
      </c>
      <c r="E1589" s="126">
        <v>8.94</v>
      </c>
      <c r="F1589" s="126" t="s">
        <v>88</v>
      </c>
      <c r="G1589" s="108">
        <v>45404</v>
      </c>
      <c r="H1589" s="126" t="s">
        <v>94</v>
      </c>
      <c r="I1589" s="126" t="s">
        <v>6249</v>
      </c>
      <c r="J1589" s="126" t="s">
        <v>7757</v>
      </c>
      <c r="K1589" s="126"/>
      <c r="L1589" s="126"/>
      <c r="M1589" s="126"/>
      <c r="N1589" s="126"/>
      <c r="O1589" s="126" t="s">
        <v>348</v>
      </c>
      <c r="Q1589" s="3">
        <f t="shared" si="49"/>
        <v>8.94</v>
      </c>
      <c r="S1589" s="55" t="s">
        <v>9014</v>
      </c>
      <c r="U1589" s="3" t="str">
        <f t="shared" si="50"/>
        <v/>
      </c>
    </row>
    <row r="1590" spans="1:21" x14ac:dyDescent="0.35">
      <c r="A1590" s="126" t="s">
        <v>35</v>
      </c>
      <c r="B1590" s="126" t="s">
        <v>708</v>
      </c>
      <c r="C1590" s="126" t="s">
        <v>2</v>
      </c>
      <c r="D1590" s="126" t="s">
        <v>3</v>
      </c>
      <c r="E1590" s="126">
        <v>8.64</v>
      </c>
      <c r="F1590" s="126" t="s">
        <v>88</v>
      </c>
      <c r="G1590" s="108">
        <v>45387</v>
      </c>
      <c r="H1590" s="126" t="s">
        <v>94</v>
      </c>
      <c r="I1590" s="126" t="s">
        <v>487</v>
      </c>
      <c r="J1590" s="126" t="s">
        <v>488</v>
      </c>
      <c r="K1590" s="126"/>
      <c r="L1590" s="126"/>
      <c r="M1590" s="126"/>
      <c r="N1590" s="126"/>
      <c r="O1590" s="126" t="s">
        <v>551</v>
      </c>
      <c r="Q1590" s="3">
        <f t="shared" si="49"/>
        <v>8.64</v>
      </c>
      <c r="S1590" s="55" t="s">
        <v>9014</v>
      </c>
      <c r="U1590" s="3" t="str">
        <f t="shared" si="50"/>
        <v/>
      </c>
    </row>
    <row r="1591" spans="1:21" x14ac:dyDescent="0.35">
      <c r="A1591" s="126" t="s">
        <v>35</v>
      </c>
      <c r="B1591" s="126" t="s">
        <v>3422</v>
      </c>
      <c r="C1591" s="126" t="s">
        <v>2</v>
      </c>
      <c r="D1591" s="126" t="s">
        <v>3</v>
      </c>
      <c r="E1591" s="126">
        <v>8.64</v>
      </c>
      <c r="F1591" s="126" t="s">
        <v>88</v>
      </c>
      <c r="G1591" s="108">
        <v>45426</v>
      </c>
      <c r="H1591" s="126" t="s">
        <v>94</v>
      </c>
      <c r="I1591" s="126" t="s">
        <v>4435</v>
      </c>
      <c r="J1591" s="126" t="s">
        <v>7661</v>
      </c>
      <c r="K1591" s="126"/>
      <c r="L1591" s="126"/>
      <c r="M1591" s="126"/>
      <c r="N1591" s="126"/>
      <c r="O1591" s="126" t="s">
        <v>538</v>
      </c>
      <c r="Q1591" s="3">
        <f t="shared" si="49"/>
        <v>8.64</v>
      </c>
      <c r="U1591" s="3" t="str">
        <f t="shared" si="50"/>
        <v/>
      </c>
    </row>
    <row r="1592" spans="1:21" x14ac:dyDescent="0.35">
      <c r="A1592" s="126" t="s">
        <v>35</v>
      </c>
      <c r="B1592" s="126" t="s">
        <v>633</v>
      </c>
      <c r="C1592" s="126" t="s">
        <v>2</v>
      </c>
      <c r="D1592" s="126" t="s">
        <v>3</v>
      </c>
      <c r="E1592" s="126">
        <v>8.5500000000000007</v>
      </c>
      <c r="F1592" s="126" t="s">
        <v>88</v>
      </c>
      <c r="G1592" s="108">
        <v>45504</v>
      </c>
      <c r="H1592" s="126" t="s">
        <v>94</v>
      </c>
      <c r="I1592" s="126" t="s">
        <v>8219</v>
      </c>
      <c r="J1592" s="126" t="s">
        <v>8220</v>
      </c>
      <c r="K1592" s="126"/>
      <c r="L1592" s="126"/>
      <c r="M1592" s="126"/>
      <c r="N1592" s="126"/>
      <c r="O1592" s="126" t="s">
        <v>565</v>
      </c>
      <c r="Q1592" s="3">
        <f t="shared" si="49"/>
        <v>8.5500000000000007</v>
      </c>
      <c r="S1592" s="55" t="s">
        <v>9014</v>
      </c>
      <c r="U1592" s="3" t="str">
        <f t="shared" si="50"/>
        <v/>
      </c>
    </row>
    <row r="1593" spans="1:21" x14ac:dyDescent="0.35">
      <c r="A1593" s="126" t="s">
        <v>0</v>
      </c>
      <c r="B1593" s="126" t="s">
        <v>728</v>
      </c>
      <c r="C1593" s="126" t="s">
        <v>2</v>
      </c>
      <c r="D1593" s="126" t="s">
        <v>3</v>
      </c>
      <c r="E1593" s="126">
        <v>8.5400000000000009</v>
      </c>
      <c r="F1593" s="126" t="s">
        <v>88</v>
      </c>
      <c r="G1593" s="108">
        <v>45611</v>
      </c>
      <c r="H1593" s="126" t="s">
        <v>89</v>
      </c>
      <c r="I1593" s="126" t="s">
        <v>8734</v>
      </c>
      <c r="J1593" s="126"/>
      <c r="K1593" s="126" t="s">
        <v>8522</v>
      </c>
      <c r="L1593" s="126" t="s">
        <v>8736</v>
      </c>
      <c r="M1593" s="126" t="s">
        <v>399</v>
      </c>
      <c r="Q1593" s="3">
        <f t="shared" si="49"/>
        <v>8.5400000000000009</v>
      </c>
      <c r="S1593" s="55" t="s">
        <v>9013</v>
      </c>
      <c r="U1593" s="3" t="str">
        <f t="shared" si="50"/>
        <v/>
      </c>
    </row>
    <row r="1594" spans="1:21" x14ac:dyDescent="0.35">
      <c r="A1594" s="126" t="s">
        <v>0</v>
      </c>
      <c r="B1594" s="126" t="s">
        <v>728</v>
      </c>
      <c r="C1594" s="126" t="s">
        <v>2</v>
      </c>
      <c r="D1594" s="126" t="s">
        <v>3</v>
      </c>
      <c r="E1594" s="126">
        <v>8.5400000000000009</v>
      </c>
      <c r="F1594" s="126" t="s">
        <v>88</v>
      </c>
      <c r="G1594" s="108">
        <v>45635</v>
      </c>
      <c r="H1594" s="126" t="s">
        <v>89</v>
      </c>
      <c r="I1594" s="126" t="s">
        <v>8878</v>
      </c>
      <c r="J1594" s="126"/>
      <c r="K1594" s="126" t="s">
        <v>8879</v>
      </c>
      <c r="L1594" s="126" t="s">
        <v>8880</v>
      </c>
      <c r="M1594" s="126" t="s">
        <v>399</v>
      </c>
      <c r="Q1594" s="3">
        <f t="shared" si="49"/>
        <v>8.5400000000000009</v>
      </c>
      <c r="S1594" s="55" t="s">
        <v>9013</v>
      </c>
      <c r="U1594" s="3" t="str">
        <f t="shared" si="50"/>
        <v/>
      </c>
    </row>
    <row r="1595" spans="1:21" x14ac:dyDescent="0.35">
      <c r="A1595" s="126" t="s">
        <v>35</v>
      </c>
      <c r="B1595" s="126" t="s">
        <v>893</v>
      </c>
      <c r="C1595" s="126" t="s">
        <v>2</v>
      </c>
      <c r="D1595" s="126" t="s">
        <v>3</v>
      </c>
      <c r="E1595" s="126">
        <v>8.4499999999999993</v>
      </c>
      <c r="F1595" s="126" t="s">
        <v>88</v>
      </c>
      <c r="G1595" s="108">
        <v>45401</v>
      </c>
      <c r="H1595" s="126" t="s">
        <v>94</v>
      </c>
      <c r="I1595" s="126" t="s">
        <v>4458</v>
      </c>
      <c r="J1595" s="126" t="s">
        <v>309</v>
      </c>
      <c r="K1595" s="126"/>
      <c r="L1595" s="126"/>
      <c r="M1595" s="126"/>
      <c r="N1595" s="126"/>
      <c r="O1595" s="126" t="s">
        <v>571</v>
      </c>
      <c r="Q1595" s="3">
        <f t="shared" si="49"/>
        <v>8.4499999999999993</v>
      </c>
      <c r="S1595" s="55" t="s">
        <v>9014</v>
      </c>
      <c r="U1595" s="3" t="str">
        <f t="shared" si="50"/>
        <v/>
      </c>
    </row>
    <row r="1596" spans="1:21" x14ac:dyDescent="0.35">
      <c r="A1596" s="126" t="s">
        <v>35</v>
      </c>
      <c r="B1596" s="126" t="s">
        <v>615</v>
      </c>
      <c r="C1596" s="126" t="s">
        <v>2</v>
      </c>
      <c r="D1596" s="126" t="s">
        <v>3</v>
      </c>
      <c r="E1596" s="126">
        <v>8.4499999999999993</v>
      </c>
      <c r="F1596" s="126" t="s">
        <v>88</v>
      </c>
      <c r="G1596" s="108">
        <v>45432</v>
      </c>
      <c r="H1596" s="126" t="s">
        <v>94</v>
      </c>
      <c r="I1596" s="126" t="s">
        <v>421</v>
      </c>
      <c r="J1596" s="126" t="s">
        <v>422</v>
      </c>
      <c r="K1596" s="126"/>
      <c r="L1596" s="126"/>
      <c r="M1596" s="126"/>
      <c r="N1596" s="126"/>
      <c r="O1596" s="126" t="s">
        <v>539</v>
      </c>
      <c r="Q1596" s="3">
        <f t="shared" si="49"/>
        <v>8.4499999999999993</v>
      </c>
      <c r="S1596" s="55" t="s">
        <v>9014</v>
      </c>
      <c r="U1596" s="3" t="str">
        <f t="shared" si="50"/>
        <v/>
      </c>
    </row>
    <row r="1597" spans="1:21" x14ac:dyDescent="0.35">
      <c r="A1597" s="126" t="s">
        <v>35</v>
      </c>
      <c r="B1597" s="126" t="s">
        <v>1075</v>
      </c>
      <c r="C1597" s="126" t="s">
        <v>2</v>
      </c>
      <c r="D1597" s="126" t="s">
        <v>3</v>
      </c>
      <c r="E1597" s="126">
        <v>8.2899999999999991</v>
      </c>
      <c r="F1597" s="126" t="s">
        <v>88</v>
      </c>
      <c r="G1597" s="108">
        <v>45597</v>
      </c>
      <c r="H1597" s="126" t="s">
        <v>89</v>
      </c>
      <c r="I1597" s="126" t="s">
        <v>8631</v>
      </c>
      <c r="J1597" s="126"/>
      <c r="K1597" s="126" t="s">
        <v>7880</v>
      </c>
      <c r="L1597" s="126" t="s">
        <v>8632</v>
      </c>
      <c r="M1597" s="126" t="s">
        <v>396</v>
      </c>
      <c r="N1597" s="126"/>
      <c r="O1597" s="126"/>
      <c r="Q1597" s="3">
        <f t="shared" si="49"/>
        <v>8.2899999999999991</v>
      </c>
      <c r="S1597" s="55" t="s">
        <v>9016</v>
      </c>
      <c r="U1597" s="3" t="str">
        <f t="shared" si="50"/>
        <v/>
      </c>
    </row>
    <row r="1598" spans="1:21" x14ac:dyDescent="0.35">
      <c r="A1598" s="126" t="s">
        <v>35</v>
      </c>
      <c r="B1598" s="126" t="s">
        <v>1075</v>
      </c>
      <c r="C1598" s="126" t="s">
        <v>2</v>
      </c>
      <c r="D1598" s="126" t="s">
        <v>3</v>
      </c>
      <c r="E1598" s="126">
        <v>8.2899999999999991</v>
      </c>
      <c r="F1598" s="126" t="s">
        <v>88</v>
      </c>
      <c r="G1598" s="108">
        <v>45604</v>
      </c>
      <c r="H1598" s="126" t="s">
        <v>89</v>
      </c>
      <c r="I1598" s="126" t="s">
        <v>8690</v>
      </c>
      <c r="J1598" s="126"/>
      <c r="K1598" s="126" t="s">
        <v>7880</v>
      </c>
      <c r="L1598" s="126" t="s">
        <v>8691</v>
      </c>
      <c r="M1598" s="126" t="s">
        <v>396</v>
      </c>
      <c r="N1598" s="126"/>
      <c r="O1598" s="126"/>
      <c r="Q1598" s="3">
        <f t="shared" si="49"/>
        <v>8.2899999999999991</v>
      </c>
      <c r="S1598" s="55" t="s">
        <v>9016</v>
      </c>
      <c r="U1598" s="3" t="str">
        <f t="shared" si="50"/>
        <v/>
      </c>
    </row>
    <row r="1599" spans="1:21" x14ac:dyDescent="0.35">
      <c r="A1599" s="126" t="s">
        <v>35</v>
      </c>
      <c r="B1599" s="126" t="s">
        <v>2728</v>
      </c>
      <c r="C1599" s="126" t="s">
        <v>2</v>
      </c>
      <c r="D1599" s="126" t="s">
        <v>3</v>
      </c>
      <c r="E1599" s="126">
        <v>8.27</v>
      </c>
      <c r="F1599" s="126" t="s">
        <v>88</v>
      </c>
      <c r="G1599" s="108">
        <v>45441</v>
      </c>
      <c r="H1599" s="126" t="s">
        <v>94</v>
      </c>
      <c r="I1599" s="126" t="s">
        <v>3025</v>
      </c>
      <c r="J1599" s="126" t="s">
        <v>307</v>
      </c>
      <c r="K1599" s="126"/>
      <c r="L1599" s="126"/>
      <c r="M1599" s="126"/>
      <c r="N1599" s="126"/>
      <c r="O1599" s="126" t="s">
        <v>519</v>
      </c>
      <c r="Q1599" s="3">
        <f t="shared" si="49"/>
        <v>8.27</v>
      </c>
      <c r="S1599" s="55" t="s">
        <v>9014</v>
      </c>
      <c r="U1599" s="3" t="str">
        <f t="shared" si="50"/>
        <v/>
      </c>
    </row>
    <row r="1600" spans="1:21" x14ac:dyDescent="0.35">
      <c r="A1600" s="126" t="s">
        <v>35</v>
      </c>
      <c r="B1600" s="126" t="s">
        <v>698</v>
      </c>
      <c r="C1600" s="126" t="s">
        <v>2</v>
      </c>
      <c r="D1600" s="126" t="s">
        <v>3</v>
      </c>
      <c r="E1600" s="126">
        <v>8.18</v>
      </c>
      <c r="F1600" s="126" t="s">
        <v>88</v>
      </c>
      <c r="G1600" s="108">
        <v>45422</v>
      </c>
      <c r="H1600" s="126" t="s">
        <v>94</v>
      </c>
      <c r="I1600" s="126" t="s">
        <v>2634</v>
      </c>
      <c r="J1600" s="126" t="s">
        <v>7808</v>
      </c>
      <c r="K1600" s="126"/>
      <c r="L1600" s="126"/>
      <c r="M1600" s="126"/>
      <c r="N1600" s="126"/>
      <c r="O1600" s="126" t="s">
        <v>4712</v>
      </c>
      <c r="Q1600" s="3">
        <f t="shared" si="49"/>
        <v>8.18</v>
      </c>
      <c r="S1600" s="55" t="s">
        <v>586</v>
      </c>
      <c r="U1600" s="3" t="str">
        <f t="shared" si="50"/>
        <v/>
      </c>
    </row>
    <row r="1601" spans="1:21" x14ac:dyDescent="0.35">
      <c r="A1601" s="126" t="s">
        <v>35</v>
      </c>
      <c r="B1601" s="126" t="s">
        <v>1533</v>
      </c>
      <c r="C1601" s="126" t="s">
        <v>2</v>
      </c>
      <c r="D1601" s="126" t="s">
        <v>3</v>
      </c>
      <c r="E1601" s="126">
        <v>8.18</v>
      </c>
      <c r="F1601" s="126" t="s">
        <v>88</v>
      </c>
      <c r="G1601" s="108">
        <v>45643</v>
      </c>
      <c r="H1601" s="126" t="s">
        <v>94</v>
      </c>
      <c r="I1601" s="126" t="s">
        <v>8440</v>
      </c>
      <c r="J1601" s="126" t="s">
        <v>307</v>
      </c>
      <c r="K1601" s="126"/>
      <c r="L1601" s="126"/>
      <c r="M1601" s="126"/>
      <c r="N1601" s="126"/>
      <c r="O1601" s="126" t="s">
        <v>8987</v>
      </c>
      <c r="Q1601" s="3">
        <f t="shared" si="49"/>
        <v>8.18</v>
      </c>
      <c r="S1601" s="55" t="s">
        <v>9014</v>
      </c>
      <c r="U1601" s="3" t="str">
        <f t="shared" si="50"/>
        <v/>
      </c>
    </row>
    <row r="1602" spans="1:21" x14ac:dyDescent="0.35">
      <c r="A1602" s="126" t="s">
        <v>35</v>
      </c>
      <c r="B1602" s="126" t="s">
        <v>868</v>
      </c>
      <c r="C1602" s="126" t="s">
        <v>2</v>
      </c>
      <c r="D1602" s="126" t="s">
        <v>3</v>
      </c>
      <c r="E1602" s="126">
        <v>8.14</v>
      </c>
      <c r="F1602" s="126" t="s">
        <v>88</v>
      </c>
      <c r="G1602" s="108">
        <v>45414</v>
      </c>
      <c r="H1602" s="126" t="s">
        <v>94</v>
      </c>
      <c r="I1602" s="126" t="s">
        <v>416</v>
      </c>
      <c r="J1602" s="126" t="s">
        <v>417</v>
      </c>
      <c r="K1602" s="126"/>
      <c r="L1602" s="126"/>
      <c r="M1602" s="126"/>
      <c r="N1602" s="126"/>
      <c r="O1602" s="126" t="s">
        <v>520</v>
      </c>
      <c r="Q1602" s="3">
        <f t="shared" si="49"/>
        <v>8.14</v>
      </c>
      <c r="S1602" s="55" t="s">
        <v>9014</v>
      </c>
      <c r="U1602" s="3" t="str">
        <f t="shared" si="50"/>
        <v/>
      </c>
    </row>
    <row r="1603" spans="1:21" x14ac:dyDescent="0.35">
      <c r="A1603" s="126" t="s">
        <v>35</v>
      </c>
      <c r="B1603" s="126" t="s">
        <v>868</v>
      </c>
      <c r="C1603" s="126" t="s">
        <v>2</v>
      </c>
      <c r="D1603" s="126" t="s">
        <v>3</v>
      </c>
      <c r="E1603" s="126">
        <v>8.14</v>
      </c>
      <c r="F1603" s="126" t="s">
        <v>88</v>
      </c>
      <c r="G1603" s="108">
        <v>45488</v>
      </c>
      <c r="H1603" s="126" t="s">
        <v>94</v>
      </c>
      <c r="I1603" s="126" t="s">
        <v>416</v>
      </c>
      <c r="J1603" s="126" t="s">
        <v>417</v>
      </c>
      <c r="K1603" s="126"/>
      <c r="L1603" s="126"/>
      <c r="M1603" s="126"/>
      <c r="N1603" s="126"/>
      <c r="O1603" s="126" t="s">
        <v>520</v>
      </c>
      <c r="Q1603" s="3">
        <f t="shared" si="49"/>
        <v>8.14</v>
      </c>
      <c r="S1603" s="55" t="s">
        <v>9014</v>
      </c>
      <c r="U1603" s="3" t="str">
        <f t="shared" si="50"/>
        <v/>
      </c>
    </row>
    <row r="1604" spans="1:21" x14ac:dyDescent="0.35">
      <c r="A1604" s="126" t="s">
        <v>35</v>
      </c>
      <c r="B1604" s="126" t="s">
        <v>3422</v>
      </c>
      <c r="C1604" s="126" t="s">
        <v>2</v>
      </c>
      <c r="D1604" s="126" t="s">
        <v>3</v>
      </c>
      <c r="E1604" s="126">
        <v>7.98</v>
      </c>
      <c r="F1604" s="126" t="s">
        <v>88</v>
      </c>
      <c r="G1604" s="108">
        <v>45412</v>
      </c>
      <c r="H1604" s="126" t="s">
        <v>94</v>
      </c>
      <c r="I1604" s="126" t="s">
        <v>459</v>
      </c>
      <c r="J1604" s="126" t="s">
        <v>417</v>
      </c>
      <c r="K1604" s="126"/>
      <c r="L1604" s="126"/>
      <c r="M1604" s="126"/>
      <c r="N1604" s="126"/>
      <c r="O1604" s="126" t="s">
        <v>7779</v>
      </c>
      <c r="Q1604" s="3">
        <f t="shared" si="49"/>
        <v>7.98</v>
      </c>
      <c r="S1604" s="55" t="s">
        <v>9014</v>
      </c>
      <c r="U1604" s="3" t="str">
        <f t="shared" si="50"/>
        <v/>
      </c>
    </row>
    <row r="1605" spans="1:21" x14ac:dyDescent="0.35">
      <c r="A1605" s="126" t="s">
        <v>35</v>
      </c>
      <c r="B1605" s="126" t="s">
        <v>868</v>
      </c>
      <c r="C1605" s="126" t="s">
        <v>2</v>
      </c>
      <c r="D1605" s="126" t="s">
        <v>3</v>
      </c>
      <c r="E1605" s="126">
        <v>7.91</v>
      </c>
      <c r="F1605" s="126" t="s">
        <v>88</v>
      </c>
      <c r="G1605" s="108">
        <v>45544</v>
      </c>
      <c r="H1605" s="126" t="s">
        <v>94</v>
      </c>
      <c r="I1605" s="126" t="s">
        <v>2920</v>
      </c>
      <c r="J1605" s="126" t="s">
        <v>417</v>
      </c>
      <c r="K1605" s="126"/>
      <c r="L1605" s="126"/>
      <c r="M1605" s="126"/>
      <c r="N1605" s="126"/>
      <c r="O1605" s="126" t="s">
        <v>8420</v>
      </c>
      <c r="Q1605" s="3">
        <f t="shared" si="49"/>
        <v>7.91</v>
      </c>
      <c r="S1605" s="55" t="s">
        <v>9014</v>
      </c>
      <c r="U1605" s="3" t="str">
        <f t="shared" si="50"/>
        <v/>
      </c>
    </row>
    <row r="1606" spans="1:21" x14ac:dyDescent="0.35">
      <c r="A1606" s="126" t="s">
        <v>35</v>
      </c>
      <c r="B1606" s="126" t="s">
        <v>764</v>
      </c>
      <c r="C1606" s="126" t="s">
        <v>2</v>
      </c>
      <c r="D1606" s="126" t="s">
        <v>3</v>
      </c>
      <c r="E1606" s="126">
        <v>7.91</v>
      </c>
      <c r="F1606" s="126" t="s">
        <v>88</v>
      </c>
      <c r="G1606" s="108">
        <v>45635</v>
      </c>
      <c r="H1606" s="126" t="s">
        <v>94</v>
      </c>
      <c r="I1606" s="126" t="s">
        <v>480</v>
      </c>
      <c r="J1606" s="126" t="s">
        <v>8892</v>
      </c>
      <c r="K1606" s="126"/>
      <c r="L1606" s="126"/>
      <c r="M1606" s="126"/>
      <c r="N1606" s="126"/>
      <c r="O1606" s="126" t="s">
        <v>8340</v>
      </c>
      <c r="Q1606" s="3">
        <f t="shared" si="49"/>
        <v>7.91</v>
      </c>
      <c r="U1606" s="3" t="str">
        <f t="shared" si="50"/>
        <v/>
      </c>
    </row>
    <row r="1607" spans="1:21" x14ac:dyDescent="0.35">
      <c r="A1607" s="126" t="s">
        <v>0</v>
      </c>
      <c r="B1607" s="126" t="s">
        <v>7575</v>
      </c>
      <c r="C1607" s="126" t="s">
        <v>2</v>
      </c>
      <c r="D1607" s="126" t="s">
        <v>3</v>
      </c>
      <c r="E1607" s="126">
        <v>7.62</v>
      </c>
      <c r="F1607" s="126" t="s">
        <v>88</v>
      </c>
      <c r="G1607" s="108">
        <v>45432</v>
      </c>
      <c r="H1607" s="126" t="s">
        <v>89</v>
      </c>
      <c r="I1607" s="126" t="s">
        <v>7839</v>
      </c>
      <c r="J1607" s="126"/>
      <c r="K1607" s="126" t="s">
        <v>7840</v>
      </c>
      <c r="L1607" s="126" t="s">
        <v>7841</v>
      </c>
      <c r="M1607" s="126" t="s">
        <v>399</v>
      </c>
      <c r="N1607" s="35"/>
      <c r="O1607" s="35"/>
      <c r="Q1607" s="3">
        <f t="shared" si="49"/>
        <v>7.62</v>
      </c>
      <c r="S1607" s="55" t="s">
        <v>9013</v>
      </c>
      <c r="U1607" s="3" t="str">
        <f t="shared" si="50"/>
        <v/>
      </c>
    </row>
    <row r="1608" spans="1:21" x14ac:dyDescent="0.35">
      <c r="A1608" s="126" t="s">
        <v>0</v>
      </c>
      <c r="B1608" s="126" t="s">
        <v>7575</v>
      </c>
      <c r="C1608" s="126" t="s">
        <v>2</v>
      </c>
      <c r="D1608" s="126" t="s">
        <v>3</v>
      </c>
      <c r="E1608" s="126">
        <v>7.62</v>
      </c>
      <c r="F1608" s="126" t="s">
        <v>88</v>
      </c>
      <c r="G1608" s="108">
        <v>45454</v>
      </c>
      <c r="H1608" s="126" t="s">
        <v>89</v>
      </c>
      <c r="I1608" s="126" t="s">
        <v>7958</v>
      </c>
      <c r="J1608" s="126"/>
      <c r="K1608" s="126" t="s">
        <v>7959</v>
      </c>
      <c r="L1608" s="126" t="s">
        <v>7960</v>
      </c>
      <c r="M1608" s="126" t="s">
        <v>399</v>
      </c>
      <c r="N1608" s="126"/>
      <c r="O1608" s="126"/>
      <c r="Q1608" s="3">
        <f t="shared" ref="Q1608:Q1671" si="51">ABS(E1608)</f>
        <v>7.62</v>
      </c>
      <c r="S1608" s="55" t="s">
        <v>9013</v>
      </c>
      <c r="U1608" s="3" t="str">
        <f t="shared" ref="U1608:U1671" si="52">IF(T1608="Y",E1608,"")</f>
        <v/>
      </c>
    </row>
    <row r="1609" spans="1:21" x14ac:dyDescent="0.35">
      <c r="A1609" s="126" t="s">
        <v>0</v>
      </c>
      <c r="B1609" s="126" t="s">
        <v>7575</v>
      </c>
      <c r="C1609" s="126" t="s">
        <v>2</v>
      </c>
      <c r="D1609" s="126" t="s">
        <v>3</v>
      </c>
      <c r="E1609" s="126">
        <v>7.62</v>
      </c>
      <c r="F1609" s="126" t="s">
        <v>88</v>
      </c>
      <c r="G1609" s="108">
        <v>45485</v>
      </c>
      <c r="H1609" s="126" t="s">
        <v>89</v>
      </c>
      <c r="I1609" s="126" t="s">
        <v>8134</v>
      </c>
      <c r="J1609" s="126"/>
      <c r="K1609" s="126" t="s">
        <v>8135</v>
      </c>
      <c r="L1609" s="126" t="s">
        <v>8136</v>
      </c>
      <c r="M1609" s="126" t="s">
        <v>399</v>
      </c>
      <c r="N1609" s="126"/>
      <c r="O1609" s="126"/>
      <c r="Q1609" s="3">
        <f t="shared" si="51"/>
        <v>7.62</v>
      </c>
      <c r="S1609" s="55" t="s">
        <v>9013</v>
      </c>
      <c r="U1609" s="3" t="str">
        <f t="shared" si="52"/>
        <v/>
      </c>
    </row>
    <row r="1610" spans="1:21" x14ac:dyDescent="0.35">
      <c r="A1610" s="126" t="s">
        <v>0</v>
      </c>
      <c r="B1610" s="126" t="s">
        <v>7575</v>
      </c>
      <c r="C1610" s="126" t="s">
        <v>2</v>
      </c>
      <c r="D1610" s="126" t="s">
        <v>3</v>
      </c>
      <c r="E1610" s="126">
        <v>7.62</v>
      </c>
      <c r="F1610" s="126" t="s">
        <v>88</v>
      </c>
      <c r="G1610" s="108">
        <v>45517</v>
      </c>
      <c r="H1610" s="126" t="s">
        <v>89</v>
      </c>
      <c r="I1610" s="126" t="s">
        <v>8320</v>
      </c>
      <c r="J1610" s="126"/>
      <c r="K1610" s="126" t="s">
        <v>8321</v>
      </c>
      <c r="L1610" s="126" t="s">
        <v>8322</v>
      </c>
      <c r="M1610" s="126" t="s">
        <v>399</v>
      </c>
      <c r="Q1610" s="3">
        <f t="shared" si="51"/>
        <v>7.62</v>
      </c>
      <c r="S1610" s="55" t="s">
        <v>9013</v>
      </c>
      <c r="U1610" s="3" t="str">
        <f t="shared" si="52"/>
        <v/>
      </c>
    </row>
    <row r="1611" spans="1:21" x14ac:dyDescent="0.35">
      <c r="A1611" s="126" t="s">
        <v>0</v>
      </c>
      <c r="B1611" s="126" t="s">
        <v>7575</v>
      </c>
      <c r="C1611" s="126" t="s">
        <v>2</v>
      </c>
      <c r="D1611" s="126" t="s">
        <v>3</v>
      </c>
      <c r="E1611" s="126">
        <v>7.62</v>
      </c>
      <c r="F1611" s="126" t="s">
        <v>88</v>
      </c>
      <c r="G1611" s="108">
        <v>45551</v>
      </c>
      <c r="H1611" s="126" t="s">
        <v>89</v>
      </c>
      <c r="I1611" s="126" t="s">
        <v>8431</v>
      </c>
      <c r="J1611" s="126"/>
      <c r="K1611" s="126" t="s">
        <v>8432</v>
      </c>
      <c r="L1611" s="126" t="s">
        <v>8433</v>
      </c>
      <c r="M1611" s="126" t="s">
        <v>399</v>
      </c>
      <c r="N1611" s="126"/>
      <c r="O1611" s="126"/>
      <c r="Q1611" s="3">
        <f t="shared" si="51"/>
        <v>7.62</v>
      </c>
      <c r="S1611" s="55" t="s">
        <v>9013</v>
      </c>
      <c r="U1611" s="3" t="str">
        <f t="shared" si="52"/>
        <v/>
      </c>
    </row>
    <row r="1612" spans="1:21" x14ac:dyDescent="0.35">
      <c r="A1612" s="126" t="s">
        <v>0</v>
      </c>
      <c r="B1612" s="126" t="s">
        <v>7575</v>
      </c>
      <c r="C1612" s="126" t="s">
        <v>2</v>
      </c>
      <c r="D1612" s="126" t="s">
        <v>3</v>
      </c>
      <c r="E1612" s="126">
        <v>7.62</v>
      </c>
      <c r="F1612" s="126" t="s">
        <v>88</v>
      </c>
      <c r="G1612" s="108">
        <v>45569</v>
      </c>
      <c r="H1612" s="126" t="s">
        <v>89</v>
      </c>
      <c r="I1612" s="126" t="s">
        <v>8521</v>
      </c>
      <c r="J1612" s="126"/>
      <c r="K1612" s="126" t="s">
        <v>8522</v>
      </c>
      <c r="L1612" s="126" t="s">
        <v>8523</v>
      </c>
      <c r="M1612" s="126" t="s">
        <v>399</v>
      </c>
      <c r="Q1612" s="3">
        <f t="shared" si="51"/>
        <v>7.62</v>
      </c>
      <c r="S1612" s="55" t="s">
        <v>9013</v>
      </c>
      <c r="U1612" s="3" t="str">
        <f t="shared" si="52"/>
        <v/>
      </c>
    </row>
    <row r="1613" spans="1:21" x14ac:dyDescent="0.35">
      <c r="A1613" s="126" t="s">
        <v>0</v>
      </c>
      <c r="B1613" s="126" t="s">
        <v>7575</v>
      </c>
      <c r="C1613" s="126" t="s">
        <v>2</v>
      </c>
      <c r="D1613" s="126" t="s">
        <v>3</v>
      </c>
      <c r="E1613" s="126">
        <v>7.62</v>
      </c>
      <c r="F1613" s="126" t="s">
        <v>88</v>
      </c>
      <c r="G1613" s="108">
        <v>45611</v>
      </c>
      <c r="H1613" s="126" t="s">
        <v>89</v>
      </c>
      <c r="I1613" s="126" t="s">
        <v>8734</v>
      </c>
      <c r="J1613" s="126"/>
      <c r="K1613" s="126" t="s">
        <v>8522</v>
      </c>
      <c r="L1613" s="126" t="s">
        <v>8736</v>
      </c>
      <c r="M1613" s="126" t="s">
        <v>399</v>
      </c>
      <c r="Q1613" s="3">
        <f t="shared" si="51"/>
        <v>7.62</v>
      </c>
      <c r="S1613" s="55" t="s">
        <v>9013</v>
      </c>
      <c r="U1613" s="3" t="str">
        <f t="shared" si="52"/>
        <v/>
      </c>
    </row>
    <row r="1614" spans="1:21" x14ac:dyDescent="0.35">
      <c r="A1614" s="126" t="s">
        <v>0</v>
      </c>
      <c r="B1614" s="126" t="s">
        <v>7575</v>
      </c>
      <c r="C1614" s="126" t="s">
        <v>2</v>
      </c>
      <c r="D1614" s="126" t="s">
        <v>3</v>
      </c>
      <c r="E1614" s="126">
        <v>7.62</v>
      </c>
      <c r="F1614" s="126" t="s">
        <v>88</v>
      </c>
      <c r="G1614" s="108">
        <v>45635</v>
      </c>
      <c r="H1614" s="126" t="s">
        <v>89</v>
      </c>
      <c r="I1614" s="126" t="s">
        <v>8878</v>
      </c>
      <c r="J1614" s="126"/>
      <c r="K1614" s="126" t="s">
        <v>8879</v>
      </c>
      <c r="L1614" s="126" t="s">
        <v>8880</v>
      </c>
      <c r="M1614" s="126" t="s">
        <v>399</v>
      </c>
      <c r="Q1614" s="3">
        <f t="shared" si="51"/>
        <v>7.62</v>
      </c>
      <c r="S1614" s="55" t="s">
        <v>9013</v>
      </c>
      <c r="U1614" s="3" t="str">
        <f t="shared" si="52"/>
        <v/>
      </c>
    </row>
    <row r="1615" spans="1:21" x14ac:dyDescent="0.35">
      <c r="A1615" s="126" t="s">
        <v>0</v>
      </c>
      <c r="B1615" s="126" t="s">
        <v>7575</v>
      </c>
      <c r="C1615" s="126" t="s">
        <v>2</v>
      </c>
      <c r="D1615" s="126" t="s">
        <v>3</v>
      </c>
      <c r="E1615" s="126">
        <v>7.6</v>
      </c>
      <c r="F1615" s="126" t="s">
        <v>88</v>
      </c>
      <c r="G1615" s="108">
        <v>45391</v>
      </c>
      <c r="H1615" s="126" t="s">
        <v>89</v>
      </c>
      <c r="I1615" s="126" t="s">
        <v>7691</v>
      </c>
      <c r="J1615" s="126"/>
      <c r="K1615" s="126" t="s">
        <v>7672</v>
      </c>
      <c r="L1615" s="126" t="s">
        <v>7692</v>
      </c>
      <c r="M1615" s="126" t="s">
        <v>399</v>
      </c>
      <c r="N1615" s="126"/>
      <c r="O1615" s="126"/>
      <c r="Q1615" s="3">
        <f t="shared" si="51"/>
        <v>7.6</v>
      </c>
      <c r="S1615" s="55" t="s">
        <v>9013</v>
      </c>
      <c r="U1615" s="3" t="str">
        <f t="shared" si="52"/>
        <v/>
      </c>
    </row>
    <row r="1616" spans="1:21" x14ac:dyDescent="0.35">
      <c r="A1616" s="126" t="s">
        <v>35</v>
      </c>
      <c r="B1616" s="126" t="s">
        <v>1533</v>
      </c>
      <c r="C1616" s="126" t="s">
        <v>2</v>
      </c>
      <c r="D1616" s="126" t="s">
        <v>3</v>
      </c>
      <c r="E1616" s="126">
        <v>7.6</v>
      </c>
      <c r="F1616" s="126" t="s">
        <v>88</v>
      </c>
      <c r="G1616" s="108">
        <v>45428</v>
      </c>
      <c r="H1616" s="126" t="s">
        <v>94</v>
      </c>
      <c r="I1616" s="126" t="s">
        <v>474</v>
      </c>
      <c r="J1616" s="126" t="s">
        <v>332</v>
      </c>
      <c r="K1616" s="126"/>
      <c r="L1616" s="126"/>
      <c r="M1616" s="126"/>
      <c r="N1616" s="126"/>
      <c r="O1616" s="126" t="s">
        <v>557</v>
      </c>
      <c r="Q1616" s="3">
        <f t="shared" si="51"/>
        <v>7.6</v>
      </c>
      <c r="U1616" s="3" t="str">
        <f t="shared" si="52"/>
        <v/>
      </c>
    </row>
    <row r="1617" spans="1:21" x14ac:dyDescent="0.35">
      <c r="A1617" s="126" t="s">
        <v>0</v>
      </c>
      <c r="B1617" s="126" t="s">
        <v>969</v>
      </c>
      <c r="C1617" s="126" t="s">
        <v>2</v>
      </c>
      <c r="D1617" s="126" t="s">
        <v>3</v>
      </c>
      <c r="E1617" s="126">
        <v>7.55</v>
      </c>
      <c r="F1617" s="126" t="s">
        <v>88</v>
      </c>
      <c r="G1617" s="108">
        <v>45386</v>
      </c>
      <c r="H1617" s="126" t="s">
        <v>89</v>
      </c>
      <c r="I1617" s="126" t="s">
        <v>7649</v>
      </c>
      <c r="J1617" s="126"/>
      <c r="K1617" s="126" t="s">
        <v>7650</v>
      </c>
      <c r="L1617" s="126" t="s">
        <v>7651</v>
      </c>
      <c r="M1617" s="126" t="s">
        <v>420</v>
      </c>
      <c r="N1617" s="126"/>
      <c r="O1617" s="126"/>
      <c r="Q1617" s="3">
        <f t="shared" si="51"/>
        <v>7.55</v>
      </c>
      <c r="U1617" s="3" t="str">
        <f t="shared" si="52"/>
        <v/>
      </c>
    </row>
    <row r="1618" spans="1:21" x14ac:dyDescent="0.35">
      <c r="A1618" s="126" t="s">
        <v>35</v>
      </c>
      <c r="B1618" s="126" t="s">
        <v>1075</v>
      </c>
      <c r="C1618" s="126" t="s">
        <v>2</v>
      </c>
      <c r="D1618" s="126" t="s">
        <v>3</v>
      </c>
      <c r="E1618" s="126">
        <v>7.5</v>
      </c>
      <c r="F1618" s="126" t="s">
        <v>88</v>
      </c>
      <c r="G1618" s="108">
        <v>45516</v>
      </c>
      <c r="H1618" s="126" t="s">
        <v>89</v>
      </c>
      <c r="I1618" s="126" t="s">
        <v>8307</v>
      </c>
      <c r="J1618" s="126"/>
      <c r="K1618" s="126" t="s">
        <v>7880</v>
      </c>
      <c r="L1618" s="126" t="s">
        <v>8309</v>
      </c>
      <c r="M1618" s="126" t="s">
        <v>396</v>
      </c>
      <c r="N1618" s="126"/>
      <c r="O1618" s="126"/>
      <c r="Q1618" s="3">
        <f t="shared" si="51"/>
        <v>7.5</v>
      </c>
      <c r="S1618" s="55" t="s">
        <v>9016</v>
      </c>
      <c r="U1618" s="3" t="str">
        <f t="shared" si="52"/>
        <v/>
      </c>
    </row>
    <row r="1619" spans="1:21" x14ac:dyDescent="0.35">
      <c r="A1619" s="126" t="s">
        <v>35</v>
      </c>
      <c r="B1619" s="126" t="s">
        <v>2226</v>
      </c>
      <c r="C1619" s="126" t="s">
        <v>2</v>
      </c>
      <c r="D1619" s="126" t="s">
        <v>3</v>
      </c>
      <c r="E1619" s="126">
        <v>7.5</v>
      </c>
      <c r="F1619" s="126" t="s">
        <v>88</v>
      </c>
      <c r="G1619" s="108">
        <v>45524</v>
      </c>
      <c r="H1619" s="126" t="s">
        <v>94</v>
      </c>
      <c r="I1619" s="126" t="s">
        <v>335</v>
      </c>
      <c r="J1619" s="126" t="s">
        <v>336</v>
      </c>
      <c r="K1619" s="126"/>
      <c r="L1619" s="126"/>
      <c r="M1619" s="126"/>
      <c r="N1619" s="126"/>
      <c r="O1619" s="126" t="s">
        <v>532</v>
      </c>
      <c r="Q1619" s="3">
        <f t="shared" si="51"/>
        <v>7.5</v>
      </c>
      <c r="U1619" s="3" t="str">
        <f t="shared" si="52"/>
        <v/>
      </c>
    </row>
    <row r="1620" spans="1:21" x14ac:dyDescent="0.35">
      <c r="A1620" s="126" t="s">
        <v>0</v>
      </c>
      <c r="B1620" s="126" t="s">
        <v>728</v>
      </c>
      <c r="C1620" s="126" t="s">
        <v>2</v>
      </c>
      <c r="D1620" s="126" t="s">
        <v>3</v>
      </c>
      <c r="E1620" s="126">
        <v>7.44</v>
      </c>
      <c r="F1620" s="126" t="s">
        <v>88</v>
      </c>
      <c r="G1620" s="108">
        <v>45569</v>
      </c>
      <c r="H1620" s="126" t="s">
        <v>89</v>
      </c>
      <c r="I1620" s="126" t="s">
        <v>8521</v>
      </c>
      <c r="J1620" s="126"/>
      <c r="K1620" s="126" t="s">
        <v>8522</v>
      </c>
      <c r="L1620" s="126" t="s">
        <v>8523</v>
      </c>
      <c r="M1620" s="126" t="s">
        <v>399</v>
      </c>
      <c r="Q1620" s="3">
        <f t="shared" si="51"/>
        <v>7.44</v>
      </c>
      <c r="S1620" s="55" t="s">
        <v>9013</v>
      </c>
      <c r="U1620" s="3" t="str">
        <f t="shared" si="52"/>
        <v/>
      </c>
    </row>
    <row r="1621" spans="1:21" x14ac:dyDescent="0.35">
      <c r="A1621" s="126" t="s">
        <v>0</v>
      </c>
      <c r="B1621" s="126" t="s">
        <v>6400</v>
      </c>
      <c r="C1621" s="126" t="s">
        <v>2</v>
      </c>
      <c r="D1621" s="126" t="s">
        <v>3</v>
      </c>
      <c r="E1621" s="126">
        <v>7.37</v>
      </c>
      <c r="F1621" s="126" t="s">
        <v>88</v>
      </c>
      <c r="G1621" s="108">
        <v>45551</v>
      </c>
      <c r="H1621" s="126" t="s">
        <v>89</v>
      </c>
      <c r="I1621" s="126" t="s">
        <v>8431</v>
      </c>
      <c r="J1621" s="126"/>
      <c r="K1621" s="126" t="s">
        <v>8432</v>
      </c>
      <c r="L1621" s="126" t="s">
        <v>8433</v>
      </c>
      <c r="M1621" s="126" t="s">
        <v>399</v>
      </c>
      <c r="N1621" s="126"/>
      <c r="O1621" s="126"/>
      <c r="Q1621" s="3">
        <f t="shared" si="51"/>
        <v>7.37</v>
      </c>
      <c r="S1621" s="55" t="s">
        <v>9013</v>
      </c>
      <c r="U1621" s="3" t="str">
        <f t="shared" si="52"/>
        <v/>
      </c>
    </row>
    <row r="1622" spans="1:21" x14ac:dyDescent="0.35">
      <c r="A1622" s="126" t="s">
        <v>35</v>
      </c>
      <c r="B1622" s="126" t="s">
        <v>698</v>
      </c>
      <c r="C1622" s="126" t="s">
        <v>2</v>
      </c>
      <c r="D1622" s="126" t="s">
        <v>3</v>
      </c>
      <c r="E1622" s="126">
        <v>7.35</v>
      </c>
      <c r="F1622" s="126" t="s">
        <v>88</v>
      </c>
      <c r="G1622" s="108">
        <v>45607</v>
      </c>
      <c r="H1622" s="126" t="s">
        <v>94</v>
      </c>
      <c r="I1622" s="126" t="s">
        <v>8710</v>
      </c>
      <c r="J1622" s="126" t="s">
        <v>8713</v>
      </c>
      <c r="K1622" s="126"/>
      <c r="L1622" s="126"/>
      <c r="M1622" s="126"/>
      <c r="N1622" s="126"/>
      <c r="O1622" s="126" t="s">
        <v>4447</v>
      </c>
      <c r="Q1622" s="3">
        <f t="shared" si="51"/>
        <v>7.35</v>
      </c>
      <c r="S1622" s="55" t="s">
        <v>9014</v>
      </c>
      <c r="U1622" s="3" t="str">
        <f t="shared" si="52"/>
        <v/>
      </c>
    </row>
    <row r="1623" spans="1:21" x14ac:dyDescent="0.35">
      <c r="A1623" s="126" t="s">
        <v>35</v>
      </c>
      <c r="B1623" s="126" t="s">
        <v>698</v>
      </c>
      <c r="C1623" s="126" t="s">
        <v>2</v>
      </c>
      <c r="D1623" s="126" t="s">
        <v>3</v>
      </c>
      <c r="E1623" s="126">
        <v>7.35</v>
      </c>
      <c r="F1623" s="126" t="s">
        <v>88</v>
      </c>
      <c r="G1623" s="108">
        <v>45615</v>
      </c>
      <c r="H1623" s="126" t="s">
        <v>94</v>
      </c>
      <c r="I1623" s="126" t="s">
        <v>8710</v>
      </c>
      <c r="J1623" s="126" t="s">
        <v>8763</v>
      </c>
      <c r="K1623" s="126"/>
      <c r="L1623" s="126"/>
      <c r="M1623" s="126"/>
      <c r="N1623" s="126"/>
      <c r="O1623" s="126" t="s">
        <v>4447</v>
      </c>
      <c r="Q1623" s="3">
        <f t="shared" si="51"/>
        <v>7.35</v>
      </c>
      <c r="S1623" s="55" t="s">
        <v>9014</v>
      </c>
      <c r="U1623" s="3" t="str">
        <f t="shared" si="52"/>
        <v/>
      </c>
    </row>
    <row r="1624" spans="1:21" x14ac:dyDescent="0.35">
      <c r="A1624" s="126" t="s">
        <v>35</v>
      </c>
      <c r="B1624" s="126" t="s">
        <v>601</v>
      </c>
      <c r="C1624" s="126" t="s">
        <v>2</v>
      </c>
      <c r="D1624" s="126" t="s">
        <v>3</v>
      </c>
      <c r="E1624" s="126">
        <v>7.27</v>
      </c>
      <c r="F1624" s="126" t="s">
        <v>88</v>
      </c>
      <c r="G1624" s="108">
        <v>45446</v>
      </c>
      <c r="H1624" s="126" t="s">
        <v>94</v>
      </c>
      <c r="I1624" s="126" t="s">
        <v>2935</v>
      </c>
      <c r="J1624" s="126" t="s">
        <v>7927</v>
      </c>
      <c r="K1624" s="126"/>
      <c r="L1624" s="126"/>
      <c r="M1624" s="126"/>
      <c r="N1624" s="126"/>
      <c r="O1624" s="126" t="s">
        <v>556</v>
      </c>
      <c r="Q1624" s="3">
        <f t="shared" si="51"/>
        <v>7.27</v>
      </c>
      <c r="U1624" s="3" t="str">
        <f t="shared" si="52"/>
        <v/>
      </c>
    </row>
    <row r="1625" spans="1:21" x14ac:dyDescent="0.35">
      <c r="A1625" s="126" t="s">
        <v>35</v>
      </c>
      <c r="B1625" s="126" t="s">
        <v>3422</v>
      </c>
      <c r="C1625" s="126" t="s">
        <v>2</v>
      </c>
      <c r="D1625" s="126" t="s">
        <v>3</v>
      </c>
      <c r="E1625" s="126">
        <v>7.27</v>
      </c>
      <c r="F1625" s="126" t="s">
        <v>88</v>
      </c>
      <c r="G1625" s="108">
        <v>45530</v>
      </c>
      <c r="H1625" s="126" t="s">
        <v>94</v>
      </c>
      <c r="I1625" s="126" t="s">
        <v>459</v>
      </c>
      <c r="J1625" s="126" t="s">
        <v>8368</v>
      </c>
      <c r="K1625" s="126"/>
      <c r="L1625" s="126"/>
      <c r="M1625" s="126"/>
      <c r="N1625" s="126"/>
      <c r="O1625" s="126" t="s">
        <v>1295</v>
      </c>
      <c r="Q1625" s="3">
        <f t="shared" si="51"/>
        <v>7.27</v>
      </c>
      <c r="U1625" s="3" t="str">
        <f t="shared" si="52"/>
        <v/>
      </c>
    </row>
    <row r="1626" spans="1:21" x14ac:dyDescent="0.35">
      <c r="A1626" s="126" t="s">
        <v>35</v>
      </c>
      <c r="B1626" s="126" t="s">
        <v>1491</v>
      </c>
      <c r="C1626" s="126" t="s">
        <v>2</v>
      </c>
      <c r="D1626" s="126" t="s">
        <v>3</v>
      </c>
      <c r="E1626" s="126">
        <v>7.27</v>
      </c>
      <c r="F1626" s="126" t="s">
        <v>88</v>
      </c>
      <c r="G1626" s="108">
        <v>45567</v>
      </c>
      <c r="H1626" s="126" t="s">
        <v>94</v>
      </c>
      <c r="I1626" s="126" t="s">
        <v>8514</v>
      </c>
      <c r="J1626" s="126" t="s">
        <v>8515</v>
      </c>
      <c r="K1626" s="126"/>
      <c r="L1626" s="126"/>
      <c r="M1626" s="126"/>
      <c r="N1626" s="126"/>
      <c r="O1626" s="126" t="s">
        <v>8516</v>
      </c>
      <c r="Q1626" s="3">
        <f t="shared" si="51"/>
        <v>7.27</v>
      </c>
      <c r="S1626" s="55" t="s">
        <v>9014</v>
      </c>
      <c r="U1626" s="3" t="str">
        <f t="shared" si="52"/>
        <v/>
      </c>
    </row>
    <row r="1627" spans="1:21" x14ac:dyDescent="0.35">
      <c r="A1627" s="126" t="s">
        <v>35</v>
      </c>
      <c r="B1627" s="126" t="s">
        <v>764</v>
      </c>
      <c r="C1627" s="126" t="s">
        <v>2</v>
      </c>
      <c r="D1627" s="126" t="s">
        <v>3</v>
      </c>
      <c r="E1627" s="126">
        <v>6.91</v>
      </c>
      <c r="F1627" s="126" t="s">
        <v>88</v>
      </c>
      <c r="G1627" s="108">
        <v>45635</v>
      </c>
      <c r="H1627" s="126" t="s">
        <v>94</v>
      </c>
      <c r="I1627" s="126" t="s">
        <v>480</v>
      </c>
      <c r="J1627" s="126" t="s">
        <v>465</v>
      </c>
      <c r="K1627" s="126"/>
      <c r="L1627" s="126"/>
      <c r="M1627" s="126"/>
      <c r="N1627" s="126"/>
      <c r="O1627" s="126" t="s">
        <v>8329</v>
      </c>
      <c r="Q1627" s="3">
        <f t="shared" si="51"/>
        <v>6.91</v>
      </c>
      <c r="S1627" s="55" t="s">
        <v>9014</v>
      </c>
      <c r="U1627" s="3" t="str">
        <f t="shared" si="52"/>
        <v/>
      </c>
    </row>
    <row r="1628" spans="1:21" x14ac:dyDescent="0.35">
      <c r="A1628" s="126" t="s">
        <v>35</v>
      </c>
      <c r="B1628" s="126" t="s">
        <v>1533</v>
      </c>
      <c r="C1628" s="126" t="s">
        <v>2</v>
      </c>
      <c r="D1628" s="126" t="s">
        <v>3</v>
      </c>
      <c r="E1628" s="126">
        <v>6.84</v>
      </c>
      <c r="F1628" s="126" t="s">
        <v>88</v>
      </c>
      <c r="G1628" s="108">
        <v>45495</v>
      </c>
      <c r="H1628" s="126" t="s">
        <v>94</v>
      </c>
      <c r="I1628" s="126" t="s">
        <v>424</v>
      </c>
      <c r="J1628" s="126" t="s">
        <v>8208</v>
      </c>
      <c r="K1628" s="126"/>
      <c r="L1628" s="126"/>
      <c r="M1628" s="126"/>
      <c r="N1628" s="126"/>
      <c r="O1628" s="126" t="s">
        <v>523</v>
      </c>
      <c r="Q1628" s="3">
        <f t="shared" si="51"/>
        <v>6.84</v>
      </c>
      <c r="S1628" s="55" t="s">
        <v>586</v>
      </c>
      <c r="U1628" s="3" t="str">
        <f t="shared" si="52"/>
        <v/>
      </c>
    </row>
    <row r="1629" spans="1:21" x14ac:dyDescent="0.35">
      <c r="A1629" s="126" t="s">
        <v>35</v>
      </c>
      <c r="B1629" s="126" t="s">
        <v>868</v>
      </c>
      <c r="C1629" s="126" t="s">
        <v>2</v>
      </c>
      <c r="D1629" s="126" t="s">
        <v>3</v>
      </c>
      <c r="E1629" s="126">
        <v>6.82</v>
      </c>
      <c r="F1629" s="126" t="s">
        <v>88</v>
      </c>
      <c r="G1629" s="108">
        <v>45394</v>
      </c>
      <c r="H1629" s="126" t="s">
        <v>94</v>
      </c>
      <c r="I1629" s="126" t="s">
        <v>416</v>
      </c>
      <c r="J1629" s="126" t="s">
        <v>417</v>
      </c>
      <c r="K1629" s="126"/>
      <c r="L1629" s="126"/>
      <c r="M1629" s="126"/>
      <c r="N1629" s="126"/>
      <c r="O1629" s="126" t="s">
        <v>520</v>
      </c>
      <c r="Q1629" s="3">
        <f t="shared" si="51"/>
        <v>6.82</v>
      </c>
      <c r="S1629" s="55" t="s">
        <v>9014</v>
      </c>
      <c r="U1629" s="3" t="str">
        <f t="shared" si="52"/>
        <v/>
      </c>
    </row>
    <row r="1630" spans="1:21" x14ac:dyDescent="0.35">
      <c r="A1630" s="126" t="s">
        <v>0</v>
      </c>
      <c r="B1630" s="126" t="s">
        <v>728</v>
      </c>
      <c r="C1630" s="126" t="s">
        <v>2</v>
      </c>
      <c r="D1630" s="126" t="s">
        <v>3</v>
      </c>
      <c r="E1630" s="126">
        <v>6.74</v>
      </c>
      <c r="F1630" s="126" t="s">
        <v>88</v>
      </c>
      <c r="G1630" s="108">
        <v>45391</v>
      </c>
      <c r="H1630" s="126" t="s">
        <v>89</v>
      </c>
      <c r="I1630" s="126" t="s">
        <v>7691</v>
      </c>
      <c r="J1630" s="126"/>
      <c r="K1630" s="126" t="s">
        <v>7672</v>
      </c>
      <c r="L1630" s="126" t="s">
        <v>7692</v>
      </c>
      <c r="M1630" s="126" t="s">
        <v>399</v>
      </c>
      <c r="N1630" s="126"/>
      <c r="O1630" s="126"/>
      <c r="Q1630" s="3">
        <f t="shared" si="51"/>
        <v>6.74</v>
      </c>
      <c r="S1630" s="55" t="s">
        <v>9013</v>
      </c>
      <c r="U1630" s="3" t="str">
        <f t="shared" si="52"/>
        <v/>
      </c>
    </row>
    <row r="1631" spans="1:21" x14ac:dyDescent="0.35">
      <c r="A1631" s="126" t="s">
        <v>0</v>
      </c>
      <c r="B1631" s="126" t="s">
        <v>728</v>
      </c>
      <c r="C1631" s="126" t="s">
        <v>2</v>
      </c>
      <c r="D1631" s="126" t="s">
        <v>3</v>
      </c>
      <c r="E1631" s="126">
        <v>6.74</v>
      </c>
      <c r="F1631" s="126" t="s">
        <v>88</v>
      </c>
      <c r="G1631" s="108">
        <v>45432</v>
      </c>
      <c r="H1631" s="126" t="s">
        <v>89</v>
      </c>
      <c r="I1631" s="126" t="s">
        <v>7839</v>
      </c>
      <c r="J1631" s="126"/>
      <c r="K1631" s="126" t="s">
        <v>7840</v>
      </c>
      <c r="L1631" s="126" t="s">
        <v>7841</v>
      </c>
      <c r="M1631" s="126" t="s">
        <v>399</v>
      </c>
      <c r="N1631" s="35"/>
      <c r="O1631" s="35"/>
      <c r="Q1631" s="3">
        <f t="shared" si="51"/>
        <v>6.74</v>
      </c>
      <c r="S1631" s="55" t="s">
        <v>9013</v>
      </c>
      <c r="U1631" s="3" t="str">
        <f t="shared" si="52"/>
        <v/>
      </c>
    </row>
    <row r="1632" spans="1:21" x14ac:dyDescent="0.35">
      <c r="A1632" s="126" t="s">
        <v>0</v>
      </c>
      <c r="B1632" s="126" t="s">
        <v>728</v>
      </c>
      <c r="C1632" s="126" t="s">
        <v>2</v>
      </c>
      <c r="D1632" s="126" t="s">
        <v>3</v>
      </c>
      <c r="E1632" s="126">
        <v>6.74</v>
      </c>
      <c r="F1632" s="126" t="s">
        <v>88</v>
      </c>
      <c r="G1632" s="108">
        <v>45454</v>
      </c>
      <c r="H1632" s="126" t="s">
        <v>89</v>
      </c>
      <c r="I1632" s="126" t="s">
        <v>7958</v>
      </c>
      <c r="J1632" s="126"/>
      <c r="K1632" s="126" t="s">
        <v>7959</v>
      </c>
      <c r="L1632" s="126" t="s">
        <v>7960</v>
      </c>
      <c r="M1632" s="126" t="s">
        <v>399</v>
      </c>
      <c r="N1632" s="126"/>
      <c r="O1632" s="126"/>
      <c r="Q1632" s="3">
        <f t="shared" si="51"/>
        <v>6.74</v>
      </c>
      <c r="S1632" s="55" t="s">
        <v>9013</v>
      </c>
      <c r="U1632" s="3" t="str">
        <f t="shared" si="52"/>
        <v/>
      </c>
    </row>
    <row r="1633" spans="1:21" x14ac:dyDescent="0.35">
      <c r="A1633" s="126" t="s">
        <v>0</v>
      </c>
      <c r="B1633" s="126" t="s">
        <v>728</v>
      </c>
      <c r="C1633" s="126" t="s">
        <v>2</v>
      </c>
      <c r="D1633" s="126" t="s">
        <v>3</v>
      </c>
      <c r="E1633" s="126">
        <v>6.74</v>
      </c>
      <c r="F1633" s="126" t="s">
        <v>88</v>
      </c>
      <c r="G1633" s="108">
        <v>45485</v>
      </c>
      <c r="H1633" s="126" t="s">
        <v>89</v>
      </c>
      <c r="I1633" s="126" t="s">
        <v>8134</v>
      </c>
      <c r="J1633" s="126"/>
      <c r="K1633" s="126" t="s">
        <v>8135</v>
      </c>
      <c r="L1633" s="126" t="s">
        <v>8136</v>
      </c>
      <c r="M1633" s="126" t="s">
        <v>399</v>
      </c>
      <c r="N1633" s="126"/>
      <c r="O1633" s="126"/>
      <c r="Q1633" s="3">
        <f t="shared" si="51"/>
        <v>6.74</v>
      </c>
      <c r="S1633" s="55" t="s">
        <v>9013</v>
      </c>
      <c r="U1633" s="3" t="str">
        <f t="shared" si="52"/>
        <v/>
      </c>
    </row>
    <row r="1634" spans="1:21" x14ac:dyDescent="0.35">
      <c r="A1634" s="126" t="s">
        <v>0</v>
      </c>
      <c r="B1634" s="126" t="s">
        <v>728</v>
      </c>
      <c r="C1634" s="126" t="s">
        <v>2</v>
      </c>
      <c r="D1634" s="126" t="s">
        <v>3</v>
      </c>
      <c r="E1634" s="126">
        <v>6.74</v>
      </c>
      <c r="F1634" s="126" t="s">
        <v>88</v>
      </c>
      <c r="G1634" s="108">
        <v>45517</v>
      </c>
      <c r="H1634" s="126" t="s">
        <v>89</v>
      </c>
      <c r="I1634" s="126" t="s">
        <v>8320</v>
      </c>
      <c r="J1634" s="126"/>
      <c r="K1634" s="126" t="s">
        <v>8321</v>
      </c>
      <c r="L1634" s="126" t="s">
        <v>8322</v>
      </c>
      <c r="M1634" s="126" t="s">
        <v>399</v>
      </c>
      <c r="Q1634" s="3">
        <f t="shared" si="51"/>
        <v>6.74</v>
      </c>
      <c r="S1634" s="55" t="s">
        <v>9013</v>
      </c>
      <c r="U1634" s="3" t="str">
        <f t="shared" si="52"/>
        <v/>
      </c>
    </row>
    <row r="1635" spans="1:21" x14ac:dyDescent="0.35">
      <c r="A1635" s="126" t="s">
        <v>0</v>
      </c>
      <c r="B1635" s="126" t="s">
        <v>728</v>
      </c>
      <c r="C1635" s="126" t="s">
        <v>2</v>
      </c>
      <c r="D1635" s="126" t="s">
        <v>3</v>
      </c>
      <c r="E1635" s="126">
        <v>6.74</v>
      </c>
      <c r="F1635" s="126" t="s">
        <v>88</v>
      </c>
      <c r="G1635" s="108">
        <v>45551</v>
      </c>
      <c r="H1635" s="126" t="s">
        <v>89</v>
      </c>
      <c r="I1635" s="126" t="s">
        <v>8431</v>
      </c>
      <c r="J1635" s="126"/>
      <c r="K1635" s="126" t="s">
        <v>8432</v>
      </c>
      <c r="L1635" s="126" t="s">
        <v>8433</v>
      </c>
      <c r="M1635" s="126" t="s">
        <v>399</v>
      </c>
      <c r="N1635" s="126"/>
      <c r="O1635" s="126"/>
      <c r="Q1635" s="3">
        <f t="shared" si="51"/>
        <v>6.74</v>
      </c>
      <c r="S1635" s="55" t="s">
        <v>9013</v>
      </c>
      <c r="U1635" s="3" t="str">
        <f t="shared" si="52"/>
        <v/>
      </c>
    </row>
    <row r="1636" spans="1:21" x14ac:dyDescent="0.35">
      <c r="A1636" s="126" t="s">
        <v>35</v>
      </c>
      <c r="B1636" s="126" t="s">
        <v>868</v>
      </c>
      <c r="C1636" s="126" t="s">
        <v>2</v>
      </c>
      <c r="D1636" s="126" t="s">
        <v>3</v>
      </c>
      <c r="E1636" s="126">
        <v>6.73</v>
      </c>
      <c r="F1636" s="126" t="s">
        <v>88</v>
      </c>
      <c r="G1636" s="108">
        <v>45635</v>
      </c>
      <c r="H1636" s="126" t="s">
        <v>94</v>
      </c>
      <c r="I1636" s="126" t="s">
        <v>416</v>
      </c>
      <c r="J1636" s="126" t="s">
        <v>417</v>
      </c>
      <c r="K1636" s="126"/>
      <c r="L1636" s="126"/>
      <c r="M1636" s="126"/>
      <c r="N1636" s="126"/>
      <c r="O1636" s="126" t="s">
        <v>572</v>
      </c>
      <c r="Q1636" s="3">
        <f t="shared" si="51"/>
        <v>6.73</v>
      </c>
      <c r="S1636" s="55" t="s">
        <v>9014</v>
      </c>
      <c r="U1636" s="3" t="str">
        <f t="shared" si="52"/>
        <v/>
      </c>
    </row>
    <row r="1637" spans="1:21" x14ac:dyDescent="0.35">
      <c r="A1637" s="126" t="s">
        <v>35</v>
      </c>
      <c r="B1637" s="126" t="s">
        <v>5426</v>
      </c>
      <c r="C1637" s="126" t="s">
        <v>2</v>
      </c>
      <c r="D1637" s="126" t="s">
        <v>3</v>
      </c>
      <c r="E1637" s="126">
        <v>6.62</v>
      </c>
      <c r="F1637" s="126" t="s">
        <v>88</v>
      </c>
      <c r="G1637" s="108">
        <v>45461</v>
      </c>
      <c r="H1637" s="126" t="s">
        <v>94</v>
      </c>
      <c r="I1637" s="126" t="s">
        <v>8008</v>
      </c>
      <c r="J1637" s="126" t="s">
        <v>8009</v>
      </c>
      <c r="K1637" s="126"/>
      <c r="L1637" s="126"/>
      <c r="M1637" s="126"/>
      <c r="N1637" s="126"/>
      <c r="O1637" s="126" t="s">
        <v>8010</v>
      </c>
      <c r="Q1637" s="3">
        <f t="shared" si="51"/>
        <v>6.62</v>
      </c>
      <c r="U1637" s="3" t="str">
        <f t="shared" si="52"/>
        <v/>
      </c>
    </row>
    <row r="1638" spans="1:21" x14ac:dyDescent="0.35">
      <c r="A1638" s="126" t="s">
        <v>35</v>
      </c>
      <c r="B1638" s="126" t="s">
        <v>601</v>
      </c>
      <c r="C1638" s="126" t="s">
        <v>2</v>
      </c>
      <c r="D1638" s="126" t="s">
        <v>3</v>
      </c>
      <c r="E1638" s="126">
        <v>6.55</v>
      </c>
      <c r="F1638" s="126" t="s">
        <v>88</v>
      </c>
      <c r="G1638" s="108">
        <v>45425</v>
      </c>
      <c r="H1638" s="126" t="s">
        <v>94</v>
      </c>
      <c r="I1638" s="126" t="s">
        <v>2935</v>
      </c>
      <c r="J1638" s="126" t="s">
        <v>472</v>
      </c>
      <c r="K1638" s="126"/>
      <c r="L1638" s="126"/>
      <c r="M1638" s="126"/>
      <c r="N1638" s="126"/>
      <c r="O1638" s="126" t="s">
        <v>556</v>
      </c>
      <c r="Q1638" s="3">
        <f t="shared" si="51"/>
        <v>6.55</v>
      </c>
      <c r="U1638" s="3" t="str">
        <f t="shared" si="52"/>
        <v/>
      </c>
    </row>
    <row r="1639" spans="1:21" x14ac:dyDescent="0.35">
      <c r="A1639" s="126" t="s">
        <v>35</v>
      </c>
      <c r="B1639" s="126" t="s">
        <v>825</v>
      </c>
      <c r="C1639" s="126" t="s">
        <v>2</v>
      </c>
      <c r="D1639" s="126" t="s">
        <v>3</v>
      </c>
      <c r="E1639" s="126">
        <v>6.55</v>
      </c>
      <c r="F1639" s="126" t="s">
        <v>88</v>
      </c>
      <c r="G1639" s="108">
        <v>45565</v>
      </c>
      <c r="H1639" s="126" t="s">
        <v>94</v>
      </c>
      <c r="I1639" s="126" t="s">
        <v>448</v>
      </c>
      <c r="J1639" s="126" t="s">
        <v>8479</v>
      </c>
      <c r="K1639" s="126"/>
      <c r="L1639" s="126"/>
      <c r="M1639" s="126"/>
      <c r="N1639" s="126"/>
      <c r="O1639" s="126" t="s">
        <v>564</v>
      </c>
      <c r="Q1639" s="3">
        <f t="shared" si="51"/>
        <v>6.55</v>
      </c>
      <c r="U1639" s="3" t="str">
        <f t="shared" si="52"/>
        <v/>
      </c>
    </row>
    <row r="1640" spans="1:21" x14ac:dyDescent="0.35">
      <c r="A1640" s="126" t="s">
        <v>35</v>
      </c>
      <c r="B1640" s="126" t="s">
        <v>3422</v>
      </c>
      <c r="C1640" s="126" t="s">
        <v>2</v>
      </c>
      <c r="D1640" s="126" t="s">
        <v>3</v>
      </c>
      <c r="E1640" s="126">
        <v>6.5</v>
      </c>
      <c r="F1640" s="126" t="s">
        <v>88</v>
      </c>
      <c r="G1640" s="108">
        <v>45411</v>
      </c>
      <c r="H1640" s="126" t="s">
        <v>94</v>
      </c>
      <c r="I1640" s="126" t="s">
        <v>4435</v>
      </c>
      <c r="J1640" s="126" t="s">
        <v>7661</v>
      </c>
      <c r="K1640" s="126"/>
      <c r="L1640" s="126"/>
      <c r="M1640" s="126"/>
      <c r="N1640" s="126"/>
      <c r="O1640" s="126" t="s">
        <v>538</v>
      </c>
      <c r="Q1640" s="3">
        <f t="shared" si="51"/>
        <v>6.5</v>
      </c>
      <c r="U1640" s="3" t="str">
        <f t="shared" si="52"/>
        <v/>
      </c>
    </row>
    <row r="1641" spans="1:21" x14ac:dyDescent="0.35">
      <c r="A1641" s="126" t="s">
        <v>35</v>
      </c>
      <c r="B1641" s="126" t="s">
        <v>3422</v>
      </c>
      <c r="C1641" s="126" t="s">
        <v>2</v>
      </c>
      <c r="D1641" s="126" t="s">
        <v>3</v>
      </c>
      <c r="E1641" s="126">
        <v>6.5</v>
      </c>
      <c r="F1641" s="126" t="s">
        <v>88</v>
      </c>
      <c r="G1641" s="108">
        <v>45520</v>
      </c>
      <c r="H1641" s="126" t="s">
        <v>94</v>
      </c>
      <c r="I1641" s="126" t="s">
        <v>4435</v>
      </c>
      <c r="J1641" s="126" t="s">
        <v>7661</v>
      </c>
      <c r="K1641" s="126"/>
      <c r="L1641" s="126"/>
      <c r="M1641" s="126"/>
      <c r="N1641" s="126"/>
      <c r="O1641" s="126" t="s">
        <v>538</v>
      </c>
      <c r="Q1641" s="3">
        <f t="shared" si="51"/>
        <v>6.5</v>
      </c>
      <c r="U1641" s="3" t="str">
        <f t="shared" si="52"/>
        <v/>
      </c>
    </row>
    <row r="1642" spans="1:21" x14ac:dyDescent="0.35">
      <c r="A1642" s="126" t="s">
        <v>35</v>
      </c>
      <c r="B1642" s="126" t="s">
        <v>3422</v>
      </c>
      <c r="C1642" s="126" t="s">
        <v>2</v>
      </c>
      <c r="D1642" s="126" t="s">
        <v>3</v>
      </c>
      <c r="E1642" s="126">
        <v>6.5</v>
      </c>
      <c r="F1642" s="126" t="s">
        <v>88</v>
      </c>
      <c r="G1642" s="108">
        <v>45539</v>
      </c>
      <c r="H1642" s="126" t="s">
        <v>94</v>
      </c>
      <c r="I1642" s="126" t="s">
        <v>4435</v>
      </c>
      <c r="J1642" s="126" t="s">
        <v>7661</v>
      </c>
      <c r="K1642" s="126"/>
      <c r="L1642" s="126"/>
      <c r="M1642" s="126"/>
      <c r="N1642" s="126"/>
      <c r="O1642" s="126" t="s">
        <v>538</v>
      </c>
      <c r="Q1642" s="3">
        <f t="shared" si="51"/>
        <v>6.5</v>
      </c>
      <c r="U1642" s="3" t="str">
        <f t="shared" si="52"/>
        <v/>
      </c>
    </row>
    <row r="1643" spans="1:21" x14ac:dyDescent="0.35">
      <c r="A1643" s="126" t="s">
        <v>35</v>
      </c>
      <c r="B1643" s="126" t="s">
        <v>3422</v>
      </c>
      <c r="C1643" s="126" t="s">
        <v>2</v>
      </c>
      <c r="D1643" s="126" t="s">
        <v>3</v>
      </c>
      <c r="E1643" s="126">
        <v>6.5</v>
      </c>
      <c r="F1643" s="126" t="s">
        <v>88</v>
      </c>
      <c r="G1643" s="108">
        <v>45583</v>
      </c>
      <c r="H1643" s="126" t="s">
        <v>94</v>
      </c>
      <c r="I1643" s="126" t="s">
        <v>4435</v>
      </c>
      <c r="J1643" s="126" t="s">
        <v>7661</v>
      </c>
      <c r="K1643" s="126"/>
      <c r="L1643" s="126"/>
      <c r="M1643" s="126"/>
      <c r="N1643" s="126"/>
      <c r="O1643" s="126" t="s">
        <v>538</v>
      </c>
      <c r="Q1643" s="3">
        <f t="shared" si="51"/>
        <v>6.5</v>
      </c>
      <c r="U1643" s="3" t="str">
        <f t="shared" si="52"/>
        <v/>
      </c>
    </row>
    <row r="1644" spans="1:21" x14ac:dyDescent="0.35">
      <c r="A1644" s="126" t="s">
        <v>35</v>
      </c>
      <c r="B1644" s="126" t="s">
        <v>969</v>
      </c>
      <c r="C1644" s="126" t="s">
        <v>2</v>
      </c>
      <c r="D1644" s="126" t="s">
        <v>3</v>
      </c>
      <c r="E1644" s="126">
        <v>6.36</v>
      </c>
      <c r="F1644" s="126" t="s">
        <v>88</v>
      </c>
      <c r="G1644" s="108">
        <v>45443</v>
      </c>
      <c r="H1644" s="126" t="s">
        <v>94</v>
      </c>
      <c r="I1644" s="126" t="s">
        <v>425</v>
      </c>
      <c r="J1644" s="126" t="s">
        <v>7914</v>
      </c>
      <c r="K1644" s="126"/>
      <c r="L1644" s="126"/>
      <c r="M1644" s="126"/>
      <c r="N1644" s="126"/>
      <c r="O1644" s="126" t="s">
        <v>7915</v>
      </c>
      <c r="Q1644" s="3">
        <f t="shared" si="51"/>
        <v>6.36</v>
      </c>
      <c r="U1644" s="3" t="str">
        <f t="shared" si="52"/>
        <v/>
      </c>
    </row>
    <row r="1645" spans="1:21" x14ac:dyDescent="0.35">
      <c r="A1645" s="126" t="s">
        <v>35</v>
      </c>
      <c r="B1645" s="126" t="s">
        <v>3422</v>
      </c>
      <c r="C1645" s="126" t="s">
        <v>2</v>
      </c>
      <c r="D1645" s="126" t="s">
        <v>3</v>
      </c>
      <c r="E1645" s="126">
        <v>6.36</v>
      </c>
      <c r="F1645" s="126" t="s">
        <v>88</v>
      </c>
      <c r="G1645" s="108">
        <v>45495</v>
      </c>
      <c r="H1645" s="126" t="s">
        <v>94</v>
      </c>
      <c r="I1645" s="126" t="s">
        <v>459</v>
      </c>
      <c r="J1645" s="126" t="s">
        <v>8206</v>
      </c>
      <c r="K1645" s="126"/>
      <c r="L1645" s="126"/>
      <c r="M1645" s="126"/>
      <c r="N1645" s="126"/>
      <c r="O1645" s="126" t="s">
        <v>538</v>
      </c>
      <c r="Q1645" s="3">
        <f t="shared" si="51"/>
        <v>6.36</v>
      </c>
      <c r="U1645" s="3" t="str">
        <f t="shared" si="52"/>
        <v/>
      </c>
    </row>
    <row r="1646" spans="1:21" x14ac:dyDescent="0.35">
      <c r="A1646" s="126" t="s">
        <v>35</v>
      </c>
      <c r="B1646" s="126" t="s">
        <v>1075</v>
      </c>
      <c r="C1646" s="126" t="s">
        <v>2</v>
      </c>
      <c r="D1646" s="126" t="s">
        <v>3</v>
      </c>
      <c r="E1646" s="126">
        <v>6.3</v>
      </c>
      <c r="F1646" s="126" t="s">
        <v>88</v>
      </c>
      <c r="G1646" s="108">
        <v>45474</v>
      </c>
      <c r="H1646" s="126" t="s">
        <v>89</v>
      </c>
      <c r="I1646" s="126" t="s">
        <v>8071</v>
      </c>
      <c r="J1646" s="126"/>
      <c r="K1646" s="126" t="s">
        <v>7880</v>
      </c>
      <c r="L1646" s="126" t="s">
        <v>8072</v>
      </c>
      <c r="M1646" s="126" t="s">
        <v>396</v>
      </c>
      <c r="N1646" s="126"/>
      <c r="O1646" s="126"/>
      <c r="Q1646" s="3">
        <f t="shared" si="51"/>
        <v>6.3</v>
      </c>
      <c r="S1646" s="55" t="s">
        <v>9016</v>
      </c>
      <c r="U1646" s="3" t="str">
        <f t="shared" si="52"/>
        <v/>
      </c>
    </row>
    <row r="1647" spans="1:21" x14ac:dyDescent="0.35">
      <c r="A1647" s="126" t="s">
        <v>35</v>
      </c>
      <c r="B1647" s="126" t="s">
        <v>868</v>
      </c>
      <c r="C1647" s="126" t="s">
        <v>2</v>
      </c>
      <c r="D1647" s="126" t="s">
        <v>3</v>
      </c>
      <c r="E1647" s="126">
        <v>6.27</v>
      </c>
      <c r="F1647" s="126" t="s">
        <v>88</v>
      </c>
      <c r="G1647" s="108">
        <v>45404</v>
      </c>
      <c r="H1647" s="126" t="s">
        <v>94</v>
      </c>
      <c r="I1647" s="126" t="s">
        <v>416</v>
      </c>
      <c r="J1647" s="126" t="s">
        <v>417</v>
      </c>
      <c r="K1647" s="126"/>
      <c r="L1647" s="126"/>
      <c r="M1647" s="126"/>
      <c r="N1647" s="126"/>
      <c r="O1647" s="126" t="s">
        <v>572</v>
      </c>
      <c r="Q1647" s="3">
        <f t="shared" si="51"/>
        <v>6.27</v>
      </c>
      <c r="S1647" s="55" t="s">
        <v>9014</v>
      </c>
      <c r="U1647" s="3" t="str">
        <f t="shared" si="52"/>
        <v/>
      </c>
    </row>
    <row r="1648" spans="1:21" x14ac:dyDescent="0.35">
      <c r="A1648" s="126" t="s">
        <v>35</v>
      </c>
      <c r="B1648" s="126" t="s">
        <v>2226</v>
      </c>
      <c r="C1648" s="126" t="s">
        <v>2</v>
      </c>
      <c r="D1648" s="126" t="s">
        <v>3</v>
      </c>
      <c r="E1648" s="126">
        <v>6.25</v>
      </c>
      <c r="F1648" s="126" t="s">
        <v>88</v>
      </c>
      <c r="G1648" s="108">
        <v>45427</v>
      </c>
      <c r="H1648" s="126" t="s">
        <v>94</v>
      </c>
      <c r="I1648" s="126" t="s">
        <v>335</v>
      </c>
      <c r="J1648" s="126" t="s">
        <v>336</v>
      </c>
      <c r="K1648" s="126"/>
      <c r="L1648" s="126"/>
      <c r="M1648" s="126"/>
      <c r="N1648" s="126"/>
      <c r="O1648" s="126" t="s">
        <v>7825</v>
      </c>
      <c r="Q1648" s="3">
        <f t="shared" si="51"/>
        <v>6.25</v>
      </c>
      <c r="U1648" s="3" t="str">
        <f t="shared" si="52"/>
        <v/>
      </c>
    </row>
    <row r="1649" spans="1:21" x14ac:dyDescent="0.35">
      <c r="A1649" s="126" t="s">
        <v>35</v>
      </c>
      <c r="B1649" s="126" t="s">
        <v>2226</v>
      </c>
      <c r="C1649" s="126" t="s">
        <v>2</v>
      </c>
      <c r="D1649" s="126" t="s">
        <v>3</v>
      </c>
      <c r="E1649" s="126">
        <v>6.25</v>
      </c>
      <c r="F1649" s="126" t="s">
        <v>88</v>
      </c>
      <c r="G1649" s="108">
        <v>45432</v>
      </c>
      <c r="H1649" s="126" t="s">
        <v>94</v>
      </c>
      <c r="I1649" s="126" t="s">
        <v>335</v>
      </c>
      <c r="J1649" s="126" t="s">
        <v>336</v>
      </c>
      <c r="K1649" s="126"/>
      <c r="L1649" s="126"/>
      <c r="M1649" s="126"/>
      <c r="N1649" s="126"/>
      <c r="O1649" s="126" t="s">
        <v>532</v>
      </c>
      <c r="Q1649" s="3">
        <f t="shared" si="51"/>
        <v>6.25</v>
      </c>
      <c r="U1649" s="3" t="str">
        <f t="shared" si="52"/>
        <v/>
      </c>
    </row>
    <row r="1650" spans="1:21" x14ac:dyDescent="0.35">
      <c r="A1650" s="126" t="s">
        <v>35</v>
      </c>
      <c r="B1650" s="126" t="s">
        <v>2226</v>
      </c>
      <c r="C1650" s="126" t="s">
        <v>2</v>
      </c>
      <c r="D1650" s="126" t="s">
        <v>3</v>
      </c>
      <c r="E1650" s="126">
        <v>6.25</v>
      </c>
      <c r="F1650" s="126" t="s">
        <v>88</v>
      </c>
      <c r="G1650" s="108">
        <v>45436</v>
      </c>
      <c r="H1650" s="126" t="s">
        <v>94</v>
      </c>
      <c r="I1650" s="126" t="s">
        <v>335</v>
      </c>
      <c r="J1650" s="126" t="s">
        <v>336</v>
      </c>
      <c r="K1650" s="126"/>
      <c r="L1650" s="126"/>
      <c r="M1650" s="126"/>
      <c r="N1650" s="126"/>
      <c r="O1650" s="126" t="s">
        <v>532</v>
      </c>
      <c r="Q1650" s="3">
        <f t="shared" si="51"/>
        <v>6.25</v>
      </c>
      <c r="U1650" s="3" t="str">
        <f t="shared" si="52"/>
        <v/>
      </c>
    </row>
    <row r="1651" spans="1:21" x14ac:dyDescent="0.35">
      <c r="A1651" s="126" t="s">
        <v>35</v>
      </c>
      <c r="B1651" s="126" t="s">
        <v>2226</v>
      </c>
      <c r="C1651" s="126" t="s">
        <v>2</v>
      </c>
      <c r="D1651" s="126" t="s">
        <v>3</v>
      </c>
      <c r="E1651" s="126">
        <v>6.25</v>
      </c>
      <c r="F1651" s="126" t="s">
        <v>88</v>
      </c>
      <c r="G1651" s="108">
        <v>45461</v>
      </c>
      <c r="H1651" s="126" t="s">
        <v>94</v>
      </c>
      <c r="I1651" s="126" t="s">
        <v>335</v>
      </c>
      <c r="J1651" s="126" t="s">
        <v>336</v>
      </c>
      <c r="K1651" s="126"/>
      <c r="L1651" s="126"/>
      <c r="M1651" s="126"/>
      <c r="N1651" s="126"/>
      <c r="O1651" s="126" t="s">
        <v>532</v>
      </c>
      <c r="Q1651" s="3">
        <f t="shared" si="51"/>
        <v>6.25</v>
      </c>
      <c r="U1651" s="3" t="str">
        <f t="shared" si="52"/>
        <v/>
      </c>
    </row>
    <row r="1652" spans="1:21" x14ac:dyDescent="0.35">
      <c r="A1652" s="126" t="s">
        <v>35</v>
      </c>
      <c r="B1652" s="126" t="s">
        <v>2226</v>
      </c>
      <c r="C1652" s="126" t="s">
        <v>2</v>
      </c>
      <c r="D1652" s="126" t="s">
        <v>3</v>
      </c>
      <c r="E1652" s="126">
        <v>6.25</v>
      </c>
      <c r="F1652" s="126" t="s">
        <v>88</v>
      </c>
      <c r="G1652" s="108">
        <v>45519</v>
      </c>
      <c r="H1652" s="126" t="s">
        <v>94</v>
      </c>
      <c r="I1652" s="126" t="s">
        <v>335</v>
      </c>
      <c r="J1652" s="126" t="s">
        <v>336</v>
      </c>
      <c r="K1652" s="126"/>
      <c r="L1652" s="126"/>
      <c r="M1652" s="126"/>
      <c r="N1652" s="126"/>
      <c r="O1652" s="126" t="s">
        <v>532</v>
      </c>
      <c r="Q1652" s="3">
        <f t="shared" si="51"/>
        <v>6.25</v>
      </c>
      <c r="U1652" s="3" t="str">
        <f t="shared" si="52"/>
        <v/>
      </c>
    </row>
    <row r="1653" spans="1:21" x14ac:dyDescent="0.35">
      <c r="A1653" s="126" t="s">
        <v>35</v>
      </c>
      <c r="B1653" s="126" t="s">
        <v>2226</v>
      </c>
      <c r="C1653" s="126" t="s">
        <v>2</v>
      </c>
      <c r="D1653" s="126" t="s">
        <v>3</v>
      </c>
      <c r="E1653" s="126">
        <v>6.25</v>
      </c>
      <c r="F1653" s="126" t="s">
        <v>88</v>
      </c>
      <c r="G1653" s="108">
        <v>45565</v>
      </c>
      <c r="H1653" s="126" t="s">
        <v>94</v>
      </c>
      <c r="I1653" s="126" t="s">
        <v>335</v>
      </c>
      <c r="J1653" s="126" t="s">
        <v>336</v>
      </c>
      <c r="K1653" s="126"/>
      <c r="L1653" s="126"/>
      <c r="M1653" s="126"/>
      <c r="N1653" s="126"/>
      <c r="O1653" s="126" t="s">
        <v>532</v>
      </c>
      <c r="Q1653" s="3">
        <f t="shared" si="51"/>
        <v>6.25</v>
      </c>
      <c r="U1653" s="3" t="str">
        <f t="shared" si="52"/>
        <v/>
      </c>
    </row>
    <row r="1654" spans="1:21" x14ac:dyDescent="0.35">
      <c r="A1654" s="126" t="s">
        <v>35</v>
      </c>
      <c r="B1654" s="126" t="s">
        <v>5426</v>
      </c>
      <c r="C1654" s="126" t="s">
        <v>2</v>
      </c>
      <c r="D1654" s="126" t="s">
        <v>3</v>
      </c>
      <c r="E1654" s="126">
        <v>6</v>
      </c>
      <c r="F1654" s="126" t="s">
        <v>88</v>
      </c>
      <c r="G1654" s="108">
        <v>45405</v>
      </c>
      <c r="H1654" s="126" t="s">
        <v>94</v>
      </c>
      <c r="I1654" s="126" t="s">
        <v>475</v>
      </c>
      <c r="J1654" s="126" t="s">
        <v>409</v>
      </c>
      <c r="K1654" s="126"/>
      <c r="L1654" s="126"/>
      <c r="M1654" s="126"/>
      <c r="N1654" s="126"/>
      <c r="O1654" s="126" t="s">
        <v>7697</v>
      </c>
      <c r="Q1654" s="3">
        <f t="shared" si="51"/>
        <v>6</v>
      </c>
      <c r="S1654" s="55" t="s">
        <v>586</v>
      </c>
      <c r="U1654" s="3" t="str">
        <f t="shared" si="52"/>
        <v/>
      </c>
    </row>
    <row r="1655" spans="1:21" x14ac:dyDescent="0.35">
      <c r="A1655" s="126" t="s">
        <v>35</v>
      </c>
      <c r="B1655" s="126" t="s">
        <v>1411</v>
      </c>
      <c r="C1655" s="126" t="s">
        <v>2</v>
      </c>
      <c r="D1655" s="126" t="s">
        <v>3</v>
      </c>
      <c r="E1655" s="126">
        <v>6</v>
      </c>
      <c r="F1655" s="126" t="s">
        <v>88</v>
      </c>
      <c r="G1655" s="108">
        <v>45517</v>
      </c>
      <c r="H1655" s="126" t="s">
        <v>94</v>
      </c>
      <c r="I1655" s="126" t="s">
        <v>443</v>
      </c>
      <c r="J1655" s="126" t="s">
        <v>332</v>
      </c>
      <c r="K1655" s="126"/>
      <c r="L1655" s="126"/>
      <c r="M1655" s="126"/>
      <c r="N1655" s="126"/>
      <c r="O1655" s="126" t="s">
        <v>536</v>
      </c>
      <c r="Q1655" s="3">
        <f t="shared" si="51"/>
        <v>6</v>
      </c>
      <c r="U1655" s="3" t="str">
        <f t="shared" si="52"/>
        <v/>
      </c>
    </row>
    <row r="1656" spans="1:21" x14ac:dyDescent="0.35">
      <c r="A1656" s="126" t="s">
        <v>35</v>
      </c>
      <c r="B1656" s="126" t="s">
        <v>615</v>
      </c>
      <c r="C1656" s="126" t="s">
        <v>2</v>
      </c>
      <c r="D1656" s="126" t="s">
        <v>3</v>
      </c>
      <c r="E1656" s="126">
        <v>5.95</v>
      </c>
      <c r="F1656" s="126" t="s">
        <v>88</v>
      </c>
      <c r="G1656" s="108">
        <v>45504</v>
      </c>
      <c r="H1656" s="126" t="s">
        <v>94</v>
      </c>
      <c r="I1656" s="126" t="s">
        <v>421</v>
      </c>
      <c r="J1656" s="126" t="s">
        <v>422</v>
      </c>
      <c r="K1656" s="126"/>
      <c r="L1656" s="126"/>
      <c r="M1656" s="126"/>
      <c r="N1656" s="126"/>
      <c r="O1656" s="126" t="s">
        <v>521</v>
      </c>
      <c r="Q1656" s="3">
        <f t="shared" si="51"/>
        <v>5.95</v>
      </c>
      <c r="S1656" s="55" t="s">
        <v>9014</v>
      </c>
      <c r="U1656" s="3" t="str">
        <f t="shared" si="52"/>
        <v/>
      </c>
    </row>
    <row r="1657" spans="1:21" x14ac:dyDescent="0.35">
      <c r="A1657" s="126" t="s">
        <v>35</v>
      </c>
      <c r="B1657" s="126" t="s">
        <v>615</v>
      </c>
      <c r="C1657" s="126" t="s">
        <v>2</v>
      </c>
      <c r="D1657" s="126" t="s">
        <v>3</v>
      </c>
      <c r="E1657" s="126">
        <v>5.95</v>
      </c>
      <c r="F1657" s="126" t="s">
        <v>88</v>
      </c>
      <c r="G1657" s="108">
        <v>45523</v>
      </c>
      <c r="H1657" s="126" t="s">
        <v>94</v>
      </c>
      <c r="I1657" s="126" t="s">
        <v>421</v>
      </c>
      <c r="J1657" s="126" t="s">
        <v>422</v>
      </c>
      <c r="K1657" s="126"/>
      <c r="L1657" s="126"/>
      <c r="M1657" s="126"/>
      <c r="N1657" s="126"/>
      <c r="O1657" s="126" t="s">
        <v>521</v>
      </c>
      <c r="Q1657" s="3">
        <f t="shared" si="51"/>
        <v>5.95</v>
      </c>
      <c r="S1657" s="55" t="s">
        <v>9014</v>
      </c>
      <c r="U1657" s="3" t="str">
        <f t="shared" si="52"/>
        <v/>
      </c>
    </row>
    <row r="1658" spans="1:21" x14ac:dyDescent="0.35">
      <c r="A1658" s="126" t="s">
        <v>35</v>
      </c>
      <c r="B1658" s="126" t="s">
        <v>615</v>
      </c>
      <c r="C1658" s="126" t="s">
        <v>2</v>
      </c>
      <c r="D1658" s="126" t="s">
        <v>3</v>
      </c>
      <c r="E1658" s="126">
        <v>5.95</v>
      </c>
      <c r="F1658" s="126" t="s">
        <v>88</v>
      </c>
      <c r="G1658" s="108">
        <v>45554</v>
      </c>
      <c r="H1658" s="126" t="s">
        <v>94</v>
      </c>
      <c r="I1658" s="126" t="s">
        <v>421</v>
      </c>
      <c r="J1658" s="126" t="s">
        <v>422</v>
      </c>
      <c r="K1658" s="126"/>
      <c r="L1658" s="126"/>
      <c r="M1658" s="126"/>
      <c r="N1658" s="126"/>
      <c r="O1658" s="126" t="s">
        <v>521</v>
      </c>
      <c r="Q1658" s="3">
        <f t="shared" si="51"/>
        <v>5.95</v>
      </c>
      <c r="S1658" s="55" t="s">
        <v>9014</v>
      </c>
      <c r="U1658" s="3" t="str">
        <f t="shared" si="52"/>
        <v/>
      </c>
    </row>
    <row r="1659" spans="1:21" x14ac:dyDescent="0.35">
      <c r="A1659" s="126" t="s">
        <v>35</v>
      </c>
      <c r="B1659" s="126" t="s">
        <v>3422</v>
      </c>
      <c r="C1659" s="126" t="s">
        <v>2</v>
      </c>
      <c r="D1659" s="126" t="s">
        <v>3</v>
      </c>
      <c r="E1659" s="126">
        <v>5.92</v>
      </c>
      <c r="F1659" s="126" t="s">
        <v>88</v>
      </c>
      <c r="G1659" s="108">
        <v>45555</v>
      </c>
      <c r="H1659" s="126" t="s">
        <v>94</v>
      </c>
      <c r="I1659" s="126" t="s">
        <v>4435</v>
      </c>
      <c r="J1659" s="126" t="s">
        <v>8463</v>
      </c>
      <c r="K1659" s="126"/>
      <c r="L1659" s="126"/>
      <c r="M1659" s="126"/>
      <c r="N1659" s="126"/>
      <c r="O1659" s="126" t="s">
        <v>8464</v>
      </c>
      <c r="Q1659" s="3">
        <f t="shared" si="51"/>
        <v>5.92</v>
      </c>
      <c r="U1659" s="3" t="str">
        <f t="shared" si="52"/>
        <v/>
      </c>
    </row>
    <row r="1660" spans="1:21" x14ac:dyDescent="0.35">
      <c r="A1660" s="126" t="s">
        <v>35</v>
      </c>
      <c r="B1660" s="126" t="s">
        <v>615</v>
      </c>
      <c r="C1660" s="126" t="s">
        <v>2</v>
      </c>
      <c r="D1660" s="126" t="s">
        <v>3</v>
      </c>
      <c r="E1660" s="126">
        <v>5.91</v>
      </c>
      <c r="F1660" s="126" t="s">
        <v>88</v>
      </c>
      <c r="G1660" s="108">
        <v>45477</v>
      </c>
      <c r="H1660" s="126" t="s">
        <v>94</v>
      </c>
      <c r="I1660" s="126" t="s">
        <v>426</v>
      </c>
      <c r="J1660" s="126" t="s">
        <v>8125</v>
      </c>
      <c r="K1660" s="126"/>
      <c r="L1660" s="126"/>
      <c r="M1660" s="126"/>
      <c r="N1660" s="126"/>
      <c r="O1660" s="126" t="s">
        <v>539</v>
      </c>
      <c r="Q1660" s="3">
        <f t="shared" si="51"/>
        <v>5.91</v>
      </c>
      <c r="U1660" s="3" t="str">
        <f t="shared" si="52"/>
        <v/>
      </c>
    </row>
    <row r="1661" spans="1:21" x14ac:dyDescent="0.35">
      <c r="A1661" s="126" t="s">
        <v>35</v>
      </c>
      <c r="B1661" s="126" t="s">
        <v>3422</v>
      </c>
      <c r="C1661" s="126" t="s">
        <v>2</v>
      </c>
      <c r="D1661" s="126" t="s">
        <v>3</v>
      </c>
      <c r="E1661" s="126">
        <v>5.91</v>
      </c>
      <c r="F1661" s="126" t="s">
        <v>88</v>
      </c>
      <c r="G1661" s="108">
        <v>45608</v>
      </c>
      <c r="H1661" s="126" t="s">
        <v>94</v>
      </c>
      <c r="I1661" s="126" t="s">
        <v>459</v>
      </c>
      <c r="J1661" s="126" t="s">
        <v>417</v>
      </c>
      <c r="K1661" s="126"/>
      <c r="L1661" s="126"/>
      <c r="M1661" s="126"/>
      <c r="N1661" s="126"/>
      <c r="O1661" s="126" t="s">
        <v>538</v>
      </c>
      <c r="Q1661" s="3">
        <f t="shared" si="51"/>
        <v>5.91</v>
      </c>
      <c r="S1661" s="55" t="s">
        <v>9014</v>
      </c>
      <c r="U1661" s="3" t="str">
        <f t="shared" si="52"/>
        <v/>
      </c>
    </row>
    <row r="1662" spans="1:21" x14ac:dyDescent="0.35">
      <c r="A1662" s="126" t="s">
        <v>35</v>
      </c>
      <c r="B1662" s="126" t="s">
        <v>3422</v>
      </c>
      <c r="C1662" s="126" t="s">
        <v>2</v>
      </c>
      <c r="D1662" s="126" t="s">
        <v>3</v>
      </c>
      <c r="E1662" s="126">
        <v>5.91</v>
      </c>
      <c r="F1662" s="126" t="s">
        <v>88</v>
      </c>
      <c r="G1662" s="108">
        <v>45628</v>
      </c>
      <c r="H1662" s="126" t="s">
        <v>94</v>
      </c>
      <c r="I1662" s="126" t="s">
        <v>459</v>
      </c>
      <c r="J1662" s="126" t="s">
        <v>417</v>
      </c>
      <c r="K1662" s="126"/>
      <c r="L1662" s="126"/>
      <c r="M1662" s="126"/>
      <c r="N1662" s="126"/>
      <c r="O1662" s="126" t="s">
        <v>538</v>
      </c>
      <c r="Q1662" s="3">
        <f t="shared" si="51"/>
        <v>5.91</v>
      </c>
      <c r="S1662" s="55" t="s">
        <v>9014</v>
      </c>
      <c r="U1662" s="3" t="str">
        <f t="shared" si="52"/>
        <v/>
      </c>
    </row>
    <row r="1663" spans="1:21" x14ac:dyDescent="0.35">
      <c r="A1663" s="126" t="s">
        <v>35</v>
      </c>
      <c r="B1663" s="126" t="s">
        <v>698</v>
      </c>
      <c r="C1663" s="126" t="s">
        <v>2</v>
      </c>
      <c r="D1663" s="126" t="s">
        <v>3</v>
      </c>
      <c r="E1663" s="126">
        <v>5.86</v>
      </c>
      <c r="F1663" s="126" t="s">
        <v>88</v>
      </c>
      <c r="G1663" s="108">
        <v>45407</v>
      </c>
      <c r="H1663" s="126" t="s">
        <v>94</v>
      </c>
      <c r="I1663" s="126" t="s">
        <v>2634</v>
      </c>
      <c r="J1663" s="126"/>
      <c r="K1663" s="126"/>
      <c r="L1663" s="126"/>
      <c r="M1663" s="126"/>
      <c r="N1663" s="126"/>
      <c r="O1663" s="126"/>
      <c r="Q1663" s="3">
        <f t="shared" si="51"/>
        <v>5.86</v>
      </c>
      <c r="U1663" s="3" t="str">
        <f t="shared" si="52"/>
        <v/>
      </c>
    </row>
    <row r="1664" spans="1:21" x14ac:dyDescent="0.35">
      <c r="A1664" s="126" t="s">
        <v>35</v>
      </c>
      <c r="B1664" s="126" t="s">
        <v>677</v>
      </c>
      <c r="C1664" s="126" t="s">
        <v>2</v>
      </c>
      <c r="D1664" s="126" t="s">
        <v>3</v>
      </c>
      <c r="E1664" s="126">
        <v>5.6</v>
      </c>
      <c r="F1664" s="126" t="s">
        <v>88</v>
      </c>
      <c r="G1664" s="108">
        <v>45602</v>
      </c>
      <c r="H1664" s="126" t="s">
        <v>94</v>
      </c>
      <c r="I1664" s="126" t="s">
        <v>436</v>
      </c>
      <c r="J1664" s="126" t="s">
        <v>464</v>
      </c>
      <c r="K1664" s="126"/>
      <c r="L1664" s="126"/>
      <c r="M1664" s="126"/>
      <c r="N1664" s="126"/>
      <c r="O1664" s="126" t="s">
        <v>531</v>
      </c>
      <c r="Q1664" s="3">
        <f t="shared" si="51"/>
        <v>5.6</v>
      </c>
      <c r="U1664" s="3" t="str">
        <f t="shared" si="52"/>
        <v/>
      </c>
    </row>
    <row r="1665" spans="1:21" x14ac:dyDescent="0.35">
      <c r="A1665" s="126" t="s">
        <v>35</v>
      </c>
      <c r="B1665" s="126" t="s">
        <v>825</v>
      </c>
      <c r="C1665" s="126" t="s">
        <v>2</v>
      </c>
      <c r="D1665" s="126" t="s">
        <v>3</v>
      </c>
      <c r="E1665" s="126">
        <v>5.53</v>
      </c>
      <c r="F1665" s="126" t="s">
        <v>88</v>
      </c>
      <c r="G1665" s="108">
        <v>45390</v>
      </c>
      <c r="H1665" s="126" t="s">
        <v>94</v>
      </c>
      <c r="I1665" s="126" t="s">
        <v>7688</v>
      </c>
      <c r="J1665" s="126" t="s">
        <v>7689</v>
      </c>
      <c r="K1665" s="126"/>
      <c r="L1665" s="126"/>
      <c r="M1665" s="126"/>
      <c r="N1665" s="126"/>
      <c r="O1665" s="126" t="s">
        <v>7690</v>
      </c>
      <c r="Q1665" s="3">
        <f t="shared" si="51"/>
        <v>5.53</v>
      </c>
      <c r="S1665" s="55" t="s">
        <v>9014</v>
      </c>
      <c r="U1665" s="3" t="str">
        <f t="shared" si="52"/>
        <v/>
      </c>
    </row>
    <row r="1666" spans="1:21" x14ac:dyDescent="0.35">
      <c r="A1666" s="126" t="s">
        <v>35</v>
      </c>
      <c r="B1666" s="126" t="s">
        <v>788</v>
      </c>
      <c r="C1666" s="126" t="s">
        <v>2</v>
      </c>
      <c r="D1666" s="126" t="s">
        <v>3</v>
      </c>
      <c r="E1666" s="126">
        <v>5.51</v>
      </c>
      <c r="F1666" s="126" t="s">
        <v>88</v>
      </c>
      <c r="G1666" s="108">
        <v>45646</v>
      </c>
      <c r="H1666" s="126" t="s">
        <v>94</v>
      </c>
      <c r="I1666" s="126" t="s">
        <v>438</v>
      </c>
      <c r="J1666" s="126" t="s">
        <v>9001</v>
      </c>
      <c r="K1666" s="126"/>
      <c r="L1666" s="126"/>
      <c r="M1666" s="126"/>
      <c r="N1666" s="126"/>
      <c r="O1666" s="126" t="s">
        <v>567</v>
      </c>
      <c r="Q1666" s="3">
        <f t="shared" si="51"/>
        <v>5.51</v>
      </c>
      <c r="U1666" s="3" t="str">
        <f t="shared" si="52"/>
        <v/>
      </c>
    </row>
    <row r="1667" spans="1:21" x14ac:dyDescent="0.35">
      <c r="A1667" s="126" t="s">
        <v>0</v>
      </c>
      <c r="B1667" s="126" t="s">
        <v>5980</v>
      </c>
      <c r="C1667" s="126" t="s">
        <v>2</v>
      </c>
      <c r="D1667" s="126" t="s">
        <v>3</v>
      </c>
      <c r="E1667" s="126">
        <v>5.47</v>
      </c>
      <c r="F1667" s="126" t="s">
        <v>88</v>
      </c>
      <c r="G1667" s="108">
        <v>45391</v>
      </c>
      <c r="H1667" s="126" t="s">
        <v>89</v>
      </c>
      <c r="I1667" s="126" t="s">
        <v>7691</v>
      </c>
      <c r="J1667" s="126"/>
      <c r="K1667" s="126" t="s">
        <v>7672</v>
      </c>
      <c r="L1667" s="126" t="s">
        <v>7692</v>
      </c>
      <c r="M1667" s="126" t="s">
        <v>399</v>
      </c>
      <c r="N1667" s="126"/>
      <c r="O1667" s="126"/>
      <c r="Q1667" s="3">
        <f t="shared" si="51"/>
        <v>5.47</v>
      </c>
      <c r="S1667" s="55" t="s">
        <v>9013</v>
      </c>
      <c r="U1667" s="3" t="str">
        <f t="shared" si="52"/>
        <v/>
      </c>
    </row>
    <row r="1668" spans="1:21" x14ac:dyDescent="0.35">
      <c r="A1668" s="126" t="s">
        <v>35</v>
      </c>
      <c r="B1668" s="126" t="s">
        <v>788</v>
      </c>
      <c r="C1668" s="126" t="s">
        <v>2</v>
      </c>
      <c r="D1668" s="126" t="s">
        <v>3</v>
      </c>
      <c r="E1668" s="126">
        <v>5.46</v>
      </c>
      <c r="F1668" s="126" t="s">
        <v>88</v>
      </c>
      <c r="G1668" s="108">
        <v>45635</v>
      </c>
      <c r="H1668" s="126" t="s">
        <v>94</v>
      </c>
      <c r="I1668" s="126" t="s">
        <v>438</v>
      </c>
      <c r="J1668" s="126" t="s">
        <v>8894</v>
      </c>
      <c r="K1668" s="126"/>
      <c r="L1668" s="126"/>
      <c r="M1668" s="126"/>
      <c r="N1668" s="126"/>
      <c r="O1668" s="126" t="s">
        <v>567</v>
      </c>
      <c r="Q1668" s="3">
        <f t="shared" si="51"/>
        <v>5.46</v>
      </c>
      <c r="U1668" s="3" t="str">
        <f t="shared" si="52"/>
        <v/>
      </c>
    </row>
    <row r="1669" spans="1:21" x14ac:dyDescent="0.35">
      <c r="A1669" s="126" t="s">
        <v>0</v>
      </c>
      <c r="B1669" s="126" t="s">
        <v>618</v>
      </c>
      <c r="C1669" s="126" t="s">
        <v>2</v>
      </c>
      <c r="D1669" s="126" t="s">
        <v>3</v>
      </c>
      <c r="E1669" s="126">
        <v>5.45</v>
      </c>
      <c r="F1669" s="126" t="s">
        <v>88</v>
      </c>
      <c r="G1669" s="108">
        <v>45391</v>
      </c>
      <c r="H1669" s="126" t="s">
        <v>89</v>
      </c>
      <c r="I1669" s="126" t="s">
        <v>7691</v>
      </c>
      <c r="J1669" s="126"/>
      <c r="K1669" s="126" t="s">
        <v>7672</v>
      </c>
      <c r="L1669" s="126" t="s">
        <v>7692</v>
      </c>
      <c r="M1669" s="126" t="s">
        <v>399</v>
      </c>
      <c r="N1669" s="126"/>
      <c r="O1669" s="126"/>
      <c r="Q1669" s="3">
        <f t="shared" si="51"/>
        <v>5.45</v>
      </c>
      <c r="S1669" s="55" t="s">
        <v>9013</v>
      </c>
      <c r="U1669" s="3" t="str">
        <f t="shared" si="52"/>
        <v/>
      </c>
    </row>
    <row r="1670" spans="1:21" x14ac:dyDescent="0.35">
      <c r="A1670" s="126" t="s">
        <v>0</v>
      </c>
      <c r="B1670" s="126" t="s">
        <v>618</v>
      </c>
      <c r="C1670" s="126" t="s">
        <v>2</v>
      </c>
      <c r="D1670" s="126" t="s">
        <v>3</v>
      </c>
      <c r="E1670" s="126">
        <v>5.45</v>
      </c>
      <c r="F1670" s="126" t="s">
        <v>88</v>
      </c>
      <c r="G1670" s="108">
        <v>45432</v>
      </c>
      <c r="H1670" s="126" t="s">
        <v>89</v>
      </c>
      <c r="I1670" s="126" t="s">
        <v>7839</v>
      </c>
      <c r="J1670" s="126"/>
      <c r="K1670" s="126" t="s">
        <v>7840</v>
      </c>
      <c r="L1670" s="126" t="s">
        <v>7841</v>
      </c>
      <c r="M1670" s="126" t="s">
        <v>399</v>
      </c>
      <c r="N1670" s="35"/>
      <c r="O1670" s="35"/>
      <c r="Q1670" s="3">
        <f t="shared" si="51"/>
        <v>5.45</v>
      </c>
      <c r="S1670" s="55" t="s">
        <v>9013</v>
      </c>
      <c r="U1670" s="3" t="str">
        <f t="shared" si="52"/>
        <v/>
      </c>
    </row>
    <row r="1671" spans="1:21" x14ac:dyDescent="0.35">
      <c r="A1671" s="126" t="s">
        <v>0</v>
      </c>
      <c r="B1671" s="126" t="s">
        <v>618</v>
      </c>
      <c r="C1671" s="126" t="s">
        <v>2</v>
      </c>
      <c r="D1671" s="126" t="s">
        <v>3</v>
      </c>
      <c r="E1671" s="126">
        <v>5.45</v>
      </c>
      <c r="F1671" s="126" t="s">
        <v>88</v>
      </c>
      <c r="G1671" s="108">
        <v>45454</v>
      </c>
      <c r="H1671" s="126" t="s">
        <v>89</v>
      </c>
      <c r="I1671" s="126" t="s">
        <v>7958</v>
      </c>
      <c r="J1671" s="126"/>
      <c r="K1671" s="126" t="s">
        <v>7959</v>
      </c>
      <c r="L1671" s="126" t="s">
        <v>7960</v>
      </c>
      <c r="M1671" s="126" t="s">
        <v>399</v>
      </c>
      <c r="N1671" s="126"/>
      <c r="O1671" s="126"/>
      <c r="Q1671" s="3">
        <f t="shared" si="51"/>
        <v>5.45</v>
      </c>
      <c r="S1671" s="55" t="s">
        <v>9013</v>
      </c>
      <c r="U1671" s="3" t="str">
        <f t="shared" si="52"/>
        <v/>
      </c>
    </row>
    <row r="1672" spans="1:21" x14ac:dyDescent="0.35">
      <c r="A1672" s="126" t="s">
        <v>35</v>
      </c>
      <c r="B1672" s="126" t="s">
        <v>1069</v>
      </c>
      <c r="C1672" s="126" t="s">
        <v>2</v>
      </c>
      <c r="D1672" s="126" t="s">
        <v>3</v>
      </c>
      <c r="E1672" s="126">
        <v>5.45</v>
      </c>
      <c r="F1672" s="126" t="s">
        <v>88</v>
      </c>
      <c r="G1672" s="108">
        <v>45476</v>
      </c>
      <c r="H1672" s="126" t="s">
        <v>94</v>
      </c>
      <c r="I1672" s="126" t="s">
        <v>1014</v>
      </c>
      <c r="J1672" s="126" t="s">
        <v>8112</v>
      </c>
      <c r="K1672" s="126"/>
      <c r="L1672" s="126"/>
      <c r="M1672" s="126"/>
      <c r="N1672" s="126"/>
      <c r="O1672" s="126" t="s">
        <v>7793</v>
      </c>
      <c r="Q1672" s="3">
        <f t="shared" ref="Q1672:Q1735" si="53">ABS(E1672)</f>
        <v>5.45</v>
      </c>
      <c r="U1672" s="3" t="str">
        <f t="shared" ref="U1672:U1735" si="54">IF(T1672="Y",E1672,"")</f>
        <v/>
      </c>
    </row>
    <row r="1673" spans="1:21" x14ac:dyDescent="0.35">
      <c r="A1673" s="126" t="s">
        <v>0</v>
      </c>
      <c r="B1673" s="126" t="s">
        <v>618</v>
      </c>
      <c r="C1673" s="126" t="s">
        <v>2</v>
      </c>
      <c r="D1673" s="126" t="s">
        <v>3</v>
      </c>
      <c r="E1673" s="126">
        <v>5.45</v>
      </c>
      <c r="F1673" s="126" t="s">
        <v>88</v>
      </c>
      <c r="G1673" s="108">
        <v>45485</v>
      </c>
      <c r="H1673" s="126" t="s">
        <v>89</v>
      </c>
      <c r="I1673" s="126" t="s">
        <v>8134</v>
      </c>
      <c r="J1673" s="126"/>
      <c r="K1673" s="126" t="s">
        <v>8135</v>
      </c>
      <c r="L1673" s="126" t="s">
        <v>8136</v>
      </c>
      <c r="M1673" s="126" t="s">
        <v>399</v>
      </c>
      <c r="N1673" s="126"/>
      <c r="O1673" s="126"/>
      <c r="Q1673" s="3">
        <f t="shared" si="53"/>
        <v>5.45</v>
      </c>
      <c r="S1673" s="55" t="s">
        <v>9013</v>
      </c>
      <c r="U1673" s="3" t="str">
        <f t="shared" si="54"/>
        <v/>
      </c>
    </row>
    <row r="1674" spans="1:21" x14ac:dyDescent="0.35">
      <c r="A1674" s="126" t="s">
        <v>35</v>
      </c>
      <c r="B1674" s="126" t="s">
        <v>909</v>
      </c>
      <c r="C1674" s="126" t="s">
        <v>2</v>
      </c>
      <c r="D1674" s="126" t="s">
        <v>3</v>
      </c>
      <c r="E1674" s="126">
        <v>5.45</v>
      </c>
      <c r="F1674" s="126" t="s">
        <v>88</v>
      </c>
      <c r="G1674" s="108">
        <v>45509</v>
      </c>
      <c r="H1674" s="126" t="s">
        <v>94</v>
      </c>
      <c r="I1674" s="126" t="s">
        <v>3020</v>
      </c>
      <c r="J1674" s="126" t="s">
        <v>8276</v>
      </c>
      <c r="K1674" s="126"/>
      <c r="L1674" s="126"/>
      <c r="M1674" s="126"/>
      <c r="N1674" s="126"/>
      <c r="O1674" s="126" t="s">
        <v>3017</v>
      </c>
      <c r="Q1674" s="3">
        <f t="shared" si="53"/>
        <v>5.45</v>
      </c>
      <c r="U1674" s="3" t="str">
        <f t="shared" si="54"/>
        <v/>
      </c>
    </row>
    <row r="1675" spans="1:21" x14ac:dyDescent="0.35">
      <c r="A1675" s="126" t="s">
        <v>0</v>
      </c>
      <c r="B1675" s="126" t="s">
        <v>618</v>
      </c>
      <c r="C1675" s="126" t="s">
        <v>2</v>
      </c>
      <c r="D1675" s="126" t="s">
        <v>3</v>
      </c>
      <c r="E1675" s="126">
        <v>5.45</v>
      </c>
      <c r="F1675" s="126" t="s">
        <v>88</v>
      </c>
      <c r="G1675" s="108">
        <v>45517</v>
      </c>
      <c r="H1675" s="126" t="s">
        <v>89</v>
      </c>
      <c r="I1675" s="126" t="s">
        <v>8320</v>
      </c>
      <c r="J1675" s="126"/>
      <c r="K1675" s="126" t="s">
        <v>8321</v>
      </c>
      <c r="L1675" s="126" t="s">
        <v>8322</v>
      </c>
      <c r="M1675" s="126" t="s">
        <v>399</v>
      </c>
      <c r="Q1675" s="3">
        <f t="shared" si="53"/>
        <v>5.45</v>
      </c>
      <c r="S1675" s="55" t="s">
        <v>9013</v>
      </c>
      <c r="U1675" s="3" t="str">
        <f t="shared" si="54"/>
        <v/>
      </c>
    </row>
    <row r="1676" spans="1:21" x14ac:dyDescent="0.35">
      <c r="A1676" s="126" t="s">
        <v>0</v>
      </c>
      <c r="B1676" s="126" t="s">
        <v>618</v>
      </c>
      <c r="C1676" s="126" t="s">
        <v>2</v>
      </c>
      <c r="D1676" s="126" t="s">
        <v>3</v>
      </c>
      <c r="E1676" s="126">
        <v>5.45</v>
      </c>
      <c r="F1676" s="126" t="s">
        <v>88</v>
      </c>
      <c r="G1676" s="108">
        <v>45551</v>
      </c>
      <c r="H1676" s="126" t="s">
        <v>89</v>
      </c>
      <c r="I1676" s="126" t="s">
        <v>8431</v>
      </c>
      <c r="J1676" s="126"/>
      <c r="K1676" s="126" t="s">
        <v>8432</v>
      </c>
      <c r="L1676" s="126" t="s">
        <v>8433</v>
      </c>
      <c r="M1676" s="126" t="s">
        <v>399</v>
      </c>
      <c r="N1676" s="126"/>
      <c r="O1676" s="126"/>
      <c r="Q1676" s="3">
        <f t="shared" si="53"/>
        <v>5.45</v>
      </c>
      <c r="S1676" s="55" t="s">
        <v>9013</v>
      </c>
      <c r="U1676" s="3" t="str">
        <f t="shared" si="54"/>
        <v/>
      </c>
    </row>
    <row r="1677" spans="1:21" x14ac:dyDescent="0.35">
      <c r="A1677" s="126" t="s">
        <v>0</v>
      </c>
      <c r="B1677" s="126" t="s">
        <v>618</v>
      </c>
      <c r="C1677" s="126" t="s">
        <v>2</v>
      </c>
      <c r="D1677" s="126" t="s">
        <v>3</v>
      </c>
      <c r="E1677" s="126">
        <v>5.45</v>
      </c>
      <c r="F1677" s="126" t="s">
        <v>88</v>
      </c>
      <c r="G1677" s="108">
        <v>45569</v>
      </c>
      <c r="H1677" s="126" t="s">
        <v>89</v>
      </c>
      <c r="I1677" s="126" t="s">
        <v>8521</v>
      </c>
      <c r="J1677" s="126"/>
      <c r="K1677" s="126" t="s">
        <v>8522</v>
      </c>
      <c r="L1677" s="126" t="s">
        <v>8523</v>
      </c>
      <c r="M1677" s="126" t="s">
        <v>399</v>
      </c>
      <c r="Q1677" s="3">
        <f t="shared" si="53"/>
        <v>5.45</v>
      </c>
      <c r="S1677" s="55" t="s">
        <v>9013</v>
      </c>
      <c r="U1677" s="3" t="str">
        <f t="shared" si="54"/>
        <v/>
      </c>
    </row>
    <row r="1678" spans="1:21" x14ac:dyDescent="0.35">
      <c r="A1678" s="126" t="s">
        <v>0</v>
      </c>
      <c r="B1678" s="126" t="s">
        <v>618</v>
      </c>
      <c r="C1678" s="126" t="s">
        <v>2</v>
      </c>
      <c r="D1678" s="126" t="s">
        <v>3</v>
      </c>
      <c r="E1678" s="126">
        <v>5.45</v>
      </c>
      <c r="F1678" s="126" t="s">
        <v>88</v>
      </c>
      <c r="G1678" s="108">
        <v>45611</v>
      </c>
      <c r="H1678" s="126" t="s">
        <v>89</v>
      </c>
      <c r="I1678" s="126" t="s">
        <v>8734</v>
      </c>
      <c r="J1678" s="126"/>
      <c r="K1678" s="126" t="s">
        <v>8522</v>
      </c>
      <c r="L1678" s="126" t="s">
        <v>8736</v>
      </c>
      <c r="M1678" s="126" t="s">
        <v>399</v>
      </c>
      <c r="Q1678" s="3">
        <f t="shared" si="53"/>
        <v>5.45</v>
      </c>
      <c r="S1678" s="55" t="s">
        <v>9013</v>
      </c>
      <c r="U1678" s="3" t="str">
        <f t="shared" si="54"/>
        <v/>
      </c>
    </row>
    <row r="1679" spans="1:21" x14ac:dyDescent="0.35">
      <c r="A1679" s="126" t="s">
        <v>35</v>
      </c>
      <c r="B1679" s="126" t="s">
        <v>708</v>
      </c>
      <c r="C1679" s="126" t="s">
        <v>2</v>
      </c>
      <c r="D1679" s="126" t="s">
        <v>3</v>
      </c>
      <c r="E1679" s="126">
        <v>5.45</v>
      </c>
      <c r="F1679" s="126" t="s">
        <v>88</v>
      </c>
      <c r="G1679" s="108">
        <v>45624</v>
      </c>
      <c r="H1679" s="126" t="s">
        <v>94</v>
      </c>
      <c r="I1679" s="126" t="s">
        <v>8809</v>
      </c>
      <c r="J1679" s="126" t="s">
        <v>7713</v>
      </c>
      <c r="K1679" s="126"/>
      <c r="L1679" s="126"/>
      <c r="M1679" s="126"/>
      <c r="N1679" s="126"/>
      <c r="O1679" s="126" t="s">
        <v>551</v>
      </c>
      <c r="Q1679" s="3">
        <f t="shared" si="53"/>
        <v>5.45</v>
      </c>
      <c r="S1679" s="55" t="s">
        <v>9014</v>
      </c>
      <c r="U1679" s="3" t="str">
        <f t="shared" si="54"/>
        <v/>
      </c>
    </row>
    <row r="1680" spans="1:21" x14ac:dyDescent="0.35">
      <c r="A1680" s="126" t="s">
        <v>0</v>
      </c>
      <c r="B1680" s="126" t="s">
        <v>618</v>
      </c>
      <c r="C1680" s="126" t="s">
        <v>2</v>
      </c>
      <c r="D1680" s="126" t="s">
        <v>3</v>
      </c>
      <c r="E1680" s="126">
        <v>5.45</v>
      </c>
      <c r="F1680" s="126" t="s">
        <v>88</v>
      </c>
      <c r="G1680" s="108">
        <v>45635</v>
      </c>
      <c r="H1680" s="126" t="s">
        <v>89</v>
      </c>
      <c r="I1680" s="126" t="s">
        <v>8878</v>
      </c>
      <c r="J1680" s="126"/>
      <c r="K1680" s="126" t="s">
        <v>8879</v>
      </c>
      <c r="L1680" s="126" t="s">
        <v>8880</v>
      </c>
      <c r="M1680" s="126" t="s">
        <v>399</v>
      </c>
      <c r="Q1680" s="3">
        <f t="shared" si="53"/>
        <v>5.45</v>
      </c>
      <c r="S1680" s="55" t="s">
        <v>9013</v>
      </c>
      <c r="U1680" s="3" t="str">
        <f t="shared" si="54"/>
        <v/>
      </c>
    </row>
    <row r="1681" spans="1:21" x14ac:dyDescent="0.35">
      <c r="A1681" s="126" t="s">
        <v>35</v>
      </c>
      <c r="B1681" s="126" t="s">
        <v>615</v>
      </c>
      <c r="C1681" s="126" t="s">
        <v>2</v>
      </c>
      <c r="D1681" s="126" t="s">
        <v>3</v>
      </c>
      <c r="E1681" s="126">
        <v>5.41</v>
      </c>
      <c r="F1681" s="126" t="s">
        <v>88</v>
      </c>
      <c r="G1681" s="108">
        <v>45390</v>
      </c>
      <c r="H1681" s="126" t="s">
        <v>94</v>
      </c>
      <c r="I1681" s="126" t="s">
        <v>447</v>
      </c>
      <c r="J1681" s="126" t="s">
        <v>7686</v>
      </c>
      <c r="K1681" s="126"/>
      <c r="L1681" s="126"/>
      <c r="M1681" s="126"/>
      <c r="N1681" s="126"/>
      <c r="O1681" s="126" t="s">
        <v>521</v>
      </c>
      <c r="Q1681" s="3">
        <f t="shared" si="53"/>
        <v>5.41</v>
      </c>
      <c r="S1681" s="55" t="s">
        <v>9014</v>
      </c>
      <c r="U1681" s="3" t="str">
        <f t="shared" si="54"/>
        <v/>
      </c>
    </row>
    <row r="1682" spans="1:21" x14ac:dyDescent="0.35">
      <c r="A1682" s="126" t="s">
        <v>35</v>
      </c>
      <c r="B1682" s="126" t="s">
        <v>615</v>
      </c>
      <c r="C1682" s="126" t="s">
        <v>2</v>
      </c>
      <c r="D1682" s="126" t="s">
        <v>3</v>
      </c>
      <c r="E1682" s="126">
        <v>5.41</v>
      </c>
      <c r="F1682" s="126" t="s">
        <v>88</v>
      </c>
      <c r="G1682" s="108">
        <v>45622</v>
      </c>
      <c r="H1682" s="126" t="s">
        <v>94</v>
      </c>
      <c r="I1682" s="126" t="s">
        <v>447</v>
      </c>
      <c r="J1682" s="126" t="s">
        <v>332</v>
      </c>
      <c r="K1682" s="126"/>
      <c r="L1682" s="126"/>
      <c r="M1682" s="126"/>
      <c r="N1682" s="126"/>
      <c r="O1682" s="126" t="s">
        <v>521</v>
      </c>
      <c r="Q1682" s="3">
        <f t="shared" si="53"/>
        <v>5.41</v>
      </c>
      <c r="U1682" s="3" t="str">
        <f t="shared" si="54"/>
        <v/>
      </c>
    </row>
    <row r="1683" spans="1:21" x14ac:dyDescent="0.35">
      <c r="A1683" s="126" t="s">
        <v>35</v>
      </c>
      <c r="B1683" s="126" t="s">
        <v>615</v>
      </c>
      <c r="C1683" s="126" t="s">
        <v>2</v>
      </c>
      <c r="D1683" s="126" t="s">
        <v>3</v>
      </c>
      <c r="E1683" s="126">
        <v>5.41</v>
      </c>
      <c r="F1683" s="126" t="s">
        <v>88</v>
      </c>
      <c r="G1683" s="108">
        <v>45625</v>
      </c>
      <c r="H1683" s="126" t="s">
        <v>94</v>
      </c>
      <c r="I1683" s="126" t="s">
        <v>447</v>
      </c>
      <c r="J1683" s="126" t="s">
        <v>8813</v>
      </c>
      <c r="K1683" s="126"/>
      <c r="L1683" s="126"/>
      <c r="M1683" s="126"/>
      <c r="N1683" s="126"/>
      <c r="O1683" s="126" t="s">
        <v>521</v>
      </c>
      <c r="Q1683" s="3">
        <f t="shared" si="53"/>
        <v>5.41</v>
      </c>
      <c r="S1683" s="55" t="s">
        <v>9014</v>
      </c>
      <c r="U1683" s="3" t="str">
        <f t="shared" si="54"/>
        <v/>
      </c>
    </row>
    <row r="1684" spans="1:21" x14ac:dyDescent="0.35">
      <c r="A1684" s="126" t="s">
        <v>0</v>
      </c>
      <c r="B1684" s="126" t="s">
        <v>5980</v>
      </c>
      <c r="C1684" s="126" t="s">
        <v>2</v>
      </c>
      <c r="D1684" s="126" t="s">
        <v>3</v>
      </c>
      <c r="E1684" s="126">
        <v>5.35</v>
      </c>
      <c r="F1684" s="126" t="s">
        <v>88</v>
      </c>
      <c r="G1684" s="108">
        <v>45432</v>
      </c>
      <c r="H1684" s="126" t="s">
        <v>89</v>
      </c>
      <c r="I1684" s="126" t="s">
        <v>7839</v>
      </c>
      <c r="J1684" s="126"/>
      <c r="K1684" s="126" t="s">
        <v>7840</v>
      </c>
      <c r="L1684" s="126" t="s">
        <v>7841</v>
      </c>
      <c r="M1684" s="126" t="s">
        <v>399</v>
      </c>
      <c r="N1684" s="35"/>
      <c r="O1684" s="35"/>
      <c r="Q1684" s="3">
        <f t="shared" si="53"/>
        <v>5.35</v>
      </c>
      <c r="S1684" s="55" t="s">
        <v>9013</v>
      </c>
      <c r="U1684" s="3" t="str">
        <f t="shared" si="54"/>
        <v/>
      </c>
    </row>
    <row r="1685" spans="1:21" x14ac:dyDescent="0.35">
      <c r="A1685" s="126" t="s">
        <v>0</v>
      </c>
      <c r="B1685" s="126" t="s">
        <v>5980</v>
      </c>
      <c r="C1685" s="126" t="s">
        <v>2</v>
      </c>
      <c r="D1685" s="126" t="s">
        <v>3</v>
      </c>
      <c r="E1685" s="126">
        <v>5.35</v>
      </c>
      <c r="F1685" s="126" t="s">
        <v>88</v>
      </c>
      <c r="G1685" s="108">
        <v>45454</v>
      </c>
      <c r="H1685" s="126" t="s">
        <v>89</v>
      </c>
      <c r="I1685" s="126" t="s">
        <v>7958</v>
      </c>
      <c r="J1685" s="126"/>
      <c r="K1685" s="126" t="s">
        <v>7959</v>
      </c>
      <c r="L1685" s="126" t="s">
        <v>7960</v>
      </c>
      <c r="M1685" s="126" t="s">
        <v>399</v>
      </c>
      <c r="N1685" s="126"/>
      <c r="O1685" s="126"/>
      <c r="Q1685" s="3">
        <f t="shared" si="53"/>
        <v>5.35</v>
      </c>
      <c r="S1685" s="55" t="s">
        <v>9013</v>
      </c>
      <c r="U1685" s="3" t="str">
        <f t="shared" si="54"/>
        <v/>
      </c>
    </row>
    <row r="1686" spans="1:21" x14ac:dyDescent="0.35">
      <c r="A1686" s="126" t="s">
        <v>0</v>
      </c>
      <c r="B1686" s="126" t="s">
        <v>5980</v>
      </c>
      <c r="C1686" s="126" t="s">
        <v>2</v>
      </c>
      <c r="D1686" s="126" t="s">
        <v>3</v>
      </c>
      <c r="E1686" s="126">
        <v>5.35</v>
      </c>
      <c r="F1686" s="126" t="s">
        <v>88</v>
      </c>
      <c r="G1686" s="108">
        <v>45485</v>
      </c>
      <c r="H1686" s="126" t="s">
        <v>89</v>
      </c>
      <c r="I1686" s="126" t="s">
        <v>8134</v>
      </c>
      <c r="J1686" s="126"/>
      <c r="K1686" s="126" t="s">
        <v>8135</v>
      </c>
      <c r="L1686" s="126" t="s">
        <v>8136</v>
      </c>
      <c r="M1686" s="126" t="s">
        <v>399</v>
      </c>
      <c r="N1686" s="126"/>
      <c r="O1686" s="126"/>
      <c r="Q1686" s="3">
        <f t="shared" si="53"/>
        <v>5.35</v>
      </c>
      <c r="S1686" s="55" t="s">
        <v>9013</v>
      </c>
      <c r="U1686" s="3" t="str">
        <f t="shared" si="54"/>
        <v/>
      </c>
    </row>
    <row r="1687" spans="1:21" x14ac:dyDescent="0.35">
      <c r="A1687" s="126" t="s">
        <v>35</v>
      </c>
      <c r="B1687" s="126" t="s">
        <v>909</v>
      </c>
      <c r="C1687" s="126" t="s">
        <v>2</v>
      </c>
      <c r="D1687" s="126" t="s">
        <v>3</v>
      </c>
      <c r="E1687" s="126">
        <v>5.32</v>
      </c>
      <c r="F1687" s="126" t="s">
        <v>88</v>
      </c>
      <c r="G1687" s="108">
        <v>45406</v>
      </c>
      <c r="H1687" s="126" t="s">
        <v>94</v>
      </c>
      <c r="I1687" s="126" t="s">
        <v>469</v>
      </c>
      <c r="J1687" s="126" t="s">
        <v>470</v>
      </c>
      <c r="K1687" s="126"/>
      <c r="L1687" s="126"/>
      <c r="M1687" s="126"/>
      <c r="N1687" s="126"/>
      <c r="O1687" s="126" t="s">
        <v>552</v>
      </c>
      <c r="Q1687" s="3">
        <f t="shared" si="53"/>
        <v>5.32</v>
      </c>
      <c r="S1687" s="55" t="s">
        <v>9014</v>
      </c>
      <c r="U1687" s="3" t="str">
        <f t="shared" si="54"/>
        <v/>
      </c>
    </row>
    <row r="1688" spans="1:21" x14ac:dyDescent="0.35">
      <c r="A1688" s="126" t="s">
        <v>35</v>
      </c>
      <c r="B1688" s="126" t="s">
        <v>909</v>
      </c>
      <c r="C1688" s="126" t="s">
        <v>2</v>
      </c>
      <c r="D1688" s="126" t="s">
        <v>3</v>
      </c>
      <c r="E1688" s="126">
        <v>5.32</v>
      </c>
      <c r="F1688" s="126" t="s">
        <v>88</v>
      </c>
      <c r="G1688" s="108">
        <v>45425</v>
      </c>
      <c r="H1688" s="126" t="s">
        <v>94</v>
      </c>
      <c r="I1688" s="126" t="s">
        <v>500</v>
      </c>
      <c r="J1688" s="126" t="s">
        <v>470</v>
      </c>
      <c r="K1688" s="126"/>
      <c r="L1688" s="126"/>
      <c r="M1688" s="126"/>
      <c r="N1688" s="126"/>
      <c r="O1688" s="126" t="s">
        <v>552</v>
      </c>
      <c r="Q1688" s="3">
        <f t="shared" si="53"/>
        <v>5.32</v>
      </c>
      <c r="S1688" s="55" t="s">
        <v>9014</v>
      </c>
      <c r="U1688" s="3" t="str">
        <f t="shared" si="54"/>
        <v/>
      </c>
    </row>
    <row r="1689" spans="1:21" x14ac:dyDescent="0.35">
      <c r="A1689" s="126" t="s">
        <v>35</v>
      </c>
      <c r="B1689" s="126" t="s">
        <v>909</v>
      </c>
      <c r="C1689" s="126" t="s">
        <v>2</v>
      </c>
      <c r="D1689" s="126" t="s">
        <v>3</v>
      </c>
      <c r="E1689" s="126">
        <v>5.32</v>
      </c>
      <c r="F1689" s="126" t="s">
        <v>88</v>
      </c>
      <c r="G1689" s="108">
        <v>45454</v>
      </c>
      <c r="H1689" s="126" t="s">
        <v>94</v>
      </c>
      <c r="I1689" s="126" t="s">
        <v>469</v>
      </c>
      <c r="J1689" s="126" t="s">
        <v>470</v>
      </c>
      <c r="K1689" s="126"/>
      <c r="L1689" s="126"/>
      <c r="M1689" s="126"/>
      <c r="N1689" s="126"/>
      <c r="O1689" s="126" t="s">
        <v>552</v>
      </c>
      <c r="Q1689" s="3">
        <f t="shared" si="53"/>
        <v>5.32</v>
      </c>
      <c r="S1689" s="55" t="s">
        <v>9014</v>
      </c>
      <c r="U1689" s="3" t="str">
        <f t="shared" si="54"/>
        <v/>
      </c>
    </row>
    <row r="1690" spans="1:21" x14ac:dyDescent="0.35">
      <c r="A1690" s="126" t="s">
        <v>35</v>
      </c>
      <c r="B1690" s="126" t="s">
        <v>909</v>
      </c>
      <c r="C1690" s="126" t="s">
        <v>2</v>
      </c>
      <c r="D1690" s="126" t="s">
        <v>3</v>
      </c>
      <c r="E1690" s="126">
        <v>5.32</v>
      </c>
      <c r="F1690" s="126" t="s">
        <v>88</v>
      </c>
      <c r="G1690" s="108">
        <v>45467</v>
      </c>
      <c r="H1690" s="126" t="s">
        <v>94</v>
      </c>
      <c r="I1690" s="126" t="s">
        <v>469</v>
      </c>
      <c r="J1690" s="126" t="s">
        <v>470</v>
      </c>
      <c r="K1690" s="126"/>
      <c r="L1690" s="126"/>
      <c r="M1690" s="126"/>
      <c r="N1690" s="126"/>
      <c r="O1690" s="126" t="s">
        <v>552</v>
      </c>
      <c r="Q1690" s="3">
        <f t="shared" si="53"/>
        <v>5.32</v>
      </c>
      <c r="S1690" s="55" t="s">
        <v>9014</v>
      </c>
      <c r="U1690" s="3" t="str">
        <f t="shared" si="54"/>
        <v/>
      </c>
    </row>
    <row r="1691" spans="1:21" x14ac:dyDescent="0.35">
      <c r="A1691" s="126" t="s">
        <v>35</v>
      </c>
      <c r="B1691" s="126" t="s">
        <v>909</v>
      </c>
      <c r="C1691" s="126" t="s">
        <v>2</v>
      </c>
      <c r="D1691" s="126" t="s">
        <v>3</v>
      </c>
      <c r="E1691" s="126">
        <v>5.32</v>
      </c>
      <c r="F1691" s="126" t="s">
        <v>88</v>
      </c>
      <c r="G1691" s="108">
        <v>45555</v>
      </c>
      <c r="H1691" s="126" t="s">
        <v>94</v>
      </c>
      <c r="I1691" s="126" t="s">
        <v>500</v>
      </c>
      <c r="J1691" s="126" t="s">
        <v>470</v>
      </c>
      <c r="K1691" s="126"/>
      <c r="L1691" s="126"/>
      <c r="M1691" s="126"/>
      <c r="N1691" s="126"/>
      <c r="O1691" s="126" t="s">
        <v>552</v>
      </c>
      <c r="Q1691" s="3">
        <f t="shared" si="53"/>
        <v>5.32</v>
      </c>
      <c r="S1691" s="55" t="s">
        <v>9014</v>
      </c>
      <c r="U1691" s="3" t="str">
        <f t="shared" si="54"/>
        <v/>
      </c>
    </row>
    <row r="1692" spans="1:21" x14ac:dyDescent="0.35">
      <c r="A1692" s="126" t="s">
        <v>35</v>
      </c>
      <c r="B1692" s="126" t="s">
        <v>909</v>
      </c>
      <c r="C1692" s="126" t="s">
        <v>2</v>
      </c>
      <c r="D1692" s="126" t="s">
        <v>3</v>
      </c>
      <c r="E1692" s="126">
        <v>5.32</v>
      </c>
      <c r="F1692" s="126" t="s">
        <v>88</v>
      </c>
      <c r="G1692" s="108">
        <v>45595</v>
      </c>
      <c r="H1692" s="126" t="s">
        <v>94</v>
      </c>
      <c r="I1692" s="126" t="s">
        <v>469</v>
      </c>
      <c r="J1692" s="126" t="s">
        <v>470</v>
      </c>
      <c r="K1692" s="126"/>
      <c r="L1692" s="126"/>
      <c r="M1692" s="126"/>
      <c r="N1692" s="126"/>
      <c r="O1692" s="126" t="s">
        <v>552</v>
      </c>
      <c r="Q1692" s="3">
        <f t="shared" si="53"/>
        <v>5.32</v>
      </c>
      <c r="S1692" s="55" t="s">
        <v>9014</v>
      </c>
      <c r="U1692" s="3" t="str">
        <f t="shared" si="54"/>
        <v/>
      </c>
    </row>
    <row r="1693" spans="1:21" x14ac:dyDescent="0.35">
      <c r="A1693" s="126" t="s">
        <v>35</v>
      </c>
      <c r="B1693" s="126" t="s">
        <v>909</v>
      </c>
      <c r="C1693" s="126" t="s">
        <v>2</v>
      </c>
      <c r="D1693" s="126" t="s">
        <v>3</v>
      </c>
      <c r="E1693" s="126">
        <v>5.32</v>
      </c>
      <c r="F1693" s="126" t="s">
        <v>88</v>
      </c>
      <c r="G1693" s="108">
        <v>45628</v>
      </c>
      <c r="H1693" s="126" t="s">
        <v>94</v>
      </c>
      <c r="I1693" s="126" t="s">
        <v>469</v>
      </c>
      <c r="J1693" s="126" t="s">
        <v>470</v>
      </c>
      <c r="K1693" s="126"/>
      <c r="L1693" s="126"/>
      <c r="M1693" s="126"/>
      <c r="N1693" s="126"/>
      <c r="O1693" s="126" t="s">
        <v>552</v>
      </c>
      <c r="Q1693" s="3">
        <f t="shared" si="53"/>
        <v>5.32</v>
      </c>
      <c r="S1693" s="55" t="s">
        <v>9014</v>
      </c>
      <c r="U1693" s="3" t="str">
        <f t="shared" si="54"/>
        <v/>
      </c>
    </row>
    <row r="1694" spans="1:21" x14ac:dyDescent="0.35">
      <c r="A1694" s="126" t="s">
        <v>35</v>
      </c>
      <c r="B1694" s="126" t="s">
        <v>825</v>
      </c>
      <c r="C1694" s="126" t="s">
        <v>2</v>
      </c>
      <c r="D1694" s="126" t="s">
        <v>3</v>
      </c>
      <c r="E1694" s="126">
        <v>5.27</v>
      </c>
      <c r="F1694" s="126" t="s">
        <v>88</v>
      </c>
      <c r="G1694" s="108">
        <v>45483</v>
      </c>
      <c r="H1694" s="126" t="s">
        <v>94</v>
      </c>
      <c r="I1694" s="126" t="s">
        <v>448</v>
      </c>
      <c r="J1694" s="126" t="s">
        <v>235</v>
      </c>
      <c r="K1694" s="126"/>
      <c r="L1694" s="126"/>
      <c r="M1694" s="126"/>
      <c r="N1694" s="126"/>
      <c r="O1694" s="126" t="s">
        <v>564</v>
      </c>
      <c r="Q1694" s="3">
        <f t="shared" si="53"/>
        <v>5.27</v>
      </c>
      <c r="U1694" s="3" t="str">
        <f t="shared" si="54"/>
        <v/>
      </c>
    </row>
    <row r="1695" spans="1:21" x14ac:dyDescent="0.35">
      <c r="A1695" s="126" t="s">
        <v>35</v>
      </c>
      <c r="B1695" s="126" t="s">
        <v>677</v>
      </c>
      <c r="C1695" s="126" t="s">
        <v>2</v>
      </c>
      <c r="D1695" s="126" t="s">
        <v>3</v>
      </c>
      <c r="E1695" s="126">
        <v>5.15</v>
      </c>
      <c r="F1695" s="126" t="s">
        <v>88</v>
      </c>
      <c r="G1695" s="108">
        <v>45442</v>
      </c>
      <c r="H1695" s="126" t="s">
        <v>94</v>
      </c>
      <c r="I1695" s="126" t="s">
        <v>437</v>
      </c>
      <c r="J1695" s="126" t="s">
        <v>465</v>
      </c>
      <c r="K1695" s="126"/>
      <c r="L1695" s="126"/>
      <c r="M1695" s="126"/>
      <c r="N1695" s="126"/>
      <c r="O1695" s="126" t="s">
        <v>548</v>
      </c>
      <c r="Q1695" s="3">
        <f t="shared" si="53"/>
        <v>5.15</v>
      </c>
      <c r="S1695" s="55" t="s">
        <v>9014</v>
      </c>
      <c r="U1695" s="3" t="str">
        <f t="shared" si="54"/>
        <v/>
      </c>
    </row>
    <row r="1696" spans="1:21" x14ac:dyDescent="0.35">
      <c r="A1696" s="126" t="s">
        <v>35</v>
      </c>
      <c r="B1696" s="126" t="s">
        <v>677</v>
      </c>
      <c r="C1696" s="126" t="s">
        <v>2</v>
      </c>
      <c r="D1696" s="126" t="s">
        <v>3</v>
      </c>
      <c r="E1696" s="126">
        <v>5.15</v>
      </c>
      <c r="F1696" s="126" t="s">
        <v>88</v>
      </c>
      <c r="G1696" s="108">
        <v>45448</v>
      </c>
      <c r="H1696" s="126" t="s">
        <v>94</v>
      </c>
      <c r="I1696" s="126" t="s">
        <v>437</v>
      </c>
      <c r="J1696" s="126" t="s">
        <v>465</v>
      </c>
      <c r="K1696" s="126"/>
      <c r="L1696" s="126"/>
      <c r="M1696" s="126"/>
      <c r="N1696" s="126"/>
      <c r="O1696" s="126" t="s">
        <v>548</v>
      </c>
      <c r="Q1696" s="3">
        <f t="shared" si="53"/>
        <v>5.15</v>
      </c>
      <c r="S1696" s="55" t="s">
        <v>9014</v>
      </c>
      <c r="U1696" s="3" t="str">
        <f t="shared" si="54"/>
        <v/>
      </c>
    </row>
    <row r="1697" spans="1:21" x14ac:dyDescent="0.35">
      <c r="A1697" s="126" t="s">
        <v>35</v>
      </c>
      <c r="B1697" s="126" t="s">
        <v>677</v>
      </c>
      <c r="C1697" s="126" t="s">
        <v>2</v>
      </c>
      <c r="D1697" s="126" t="s">
        <v>3</v>
      </c>
      <c r="E1697" s="126">
        <v>5.15</v>
      </c>
      <c r="F1697" s="126" t="s">
        <v>88</v>
      </c>
      <c r="G1697" s="108">
        <v>45457</v>
      </c>
      <c r="H1697" s="126" t="s">
        <v>94</v>
      </c>
      <c r="I1697" s="126" t="s">
        <v>437</v>
      </c>
      <c r="J1697" s="126" t="s">
        <v>465</v>
      </c>
      <c r="K1697" s="126"/>
      <c r="L1697" s="126"/>
      <c r="M1697" s="126"/>
      <c r="N1697" s="126"/>
      <c r="O1697" s="126" t="s">
        <v>548</v>
      </c>
      <c r="Q1697" s="3">
        <f t="shared" si="53"/>
        <v>5.15</v>
      </c>
      <c r="S1697" s="55" t="s">
        <v>9014</v>
      </c>
      <c r="U1697" s="3" t="str">
        <f t="shared" si="54"/>
        <v/>
      </c>
    </row>
    <row r="1698" spans="1:21" x14ac:dyDescent="0.35">
      <c r="A1698" s="126" t="s">
        <v>35</v>
      </c>
      <c r="B1698" s="126" t="s">
        <v>677</v>
      </c>
      <c r="C1698" s="126" t="s">
        <v>2</v>
      </c>
      <c r="D1698" s="126" t="s">
        <v>3</v>
      </c>
      <c r="E1698" s="126">
        <v>5.15</v>
      </c>
      <c r="F1698" s="126" t="s">
        <v>88</v>
      </c>
      <c r="G1698" s="108">
        <v>45484</v>
      </c>
      <c r="H1698" s="126" t="s">
        <v>94</v>
      </c>
      <c r="I1698" s="126" t="s">
        <v>437</v>
      </c>
      <c r="J1698" s="126" t="s">
        <v>465</v>
      </c>
      <c r="K1698" s="126"/>
      <c r="L1698" s="126"/>
      <c r="M1698" s="126"/>
      <c r="N1698" s="126"/>
      <c r="O1698" s="126" t="s">
        <v>548</v>
      </c>
      <c r="Q1698" s="3">
        <f t="shared" si="53"/>
        <v>5.15</v>
      </c>
      <c r="S1698" s="55" t="s">
        <v>9014</v>
      </c>
      <c r="U1698" s="3" t="str">
        <f t="shared" si="54"/>
        <v/>
      </c>
    </row>
    <row r="1699" spans="1:21" x14ac:dyDescent="0.35">
      <c r="A1699" s="126" t="s">
        <v>35</v>
      </c>
      <c r="B1699" s="126" t="s">
        <v>677</v>
      </c>
      <c r="C1699" s="126" t="s">
        <v>2</v>
      </c>
      <c r="D1699" s="126" t="s">
        <v>3</v>
      </c>
      <c r="E1699" s="126">
        <v>5.15</v>
      </c>
      <c r="F1699" s="126" t="s">
        <v>88</v>
      </c>
      <c r="G1699" s="108">
        <v>45489</v>
      </c>
      <c r="H1699" s="126" t="s">
        <v>94</v>
      </c>
      <c r="I1699" s="126" t="s">
        <v>437</v>
      </c>
      <c r="J1699" s="126" t="s">
        <v>465</v>
      </c>
      <c r="K1699" s="126"/>
      <c r="L1699" s="126"/>
      <c r="M1699" s="126"/>
      <c r="N1699" s="126"/>
      <c r="O1699" s="126" t="s">
        <v>548</v>
      </c>
      <c r="Q1699" s="3">
        <f t="shared" si="53"/>
        <v>5.15</v>
      </c>
      <c r="S1699" s="55" t="s">
        <v>9014</v>
      </c>
      <c r="U1699" s="3" t="str">
        <f t="shared" si="54"/>
        <v/>
      </c>
    </row>
    <row r="1700" spans="1:21" x14ac:dyDescent="0.35">
      <c r="A1700" s="126" t="s">
        <v>35</v>
      </c>
      <c r="B1700" s="126" t="s">
        <v>768</v>
      </c>
      <c r="C1700" s="126" t="s">
        <v>2</v>
      </c>
      <c r="D1700" s="126" t="s">
        <v>3</v>
      </c>
      <c r="E1700" s="126">
        <v>5.0999999999999996</v>
      </c>
      <c r="F1700" s="126" t="s">
        <v>88</v>
      </c>
      <c r="G1700" s="108">
        <v>45642</v>
      </c>
      <c r="H1700" s="126" t="s">
        <v>94</v>
      </c>
      <c r="I1700" s="126" t="s">
        <v>494</v>
      </c>
      <c r="J1700" s="126" t="s">
        <v>307</v>
      </c>
      <c r="K1700" s="126"/>
      <c r="L1700" s="126"/>
      <c r="M1700" s="126"/>
      <c r="N1700" s="126"/>
      <c r="O1700" s="126" t="s">
        <v>8975</v>
      </c>
      <c r="Q1700" s="3">
        <f t="shared" si="53"/>
        <v>5.0999999999999996</v>
      </c>
      <c r="S1700" s="55" t="s">
        <v>9014</v>
      </c>
      <c r="U1700" s="3" t="str">
        <f t="shared" si="54"/>
        <v/>
      </c>
    </row>
    <row r="1701" spans="1:21" x14ac:dyDescent="0.35">
      <c r="A1701" s="126" t="s">
        <v>35</v>
      </c>
      <c r="B1701" s="126" t="s">
        <v>677</v>
      </c>
      <c r="C1701" s="126" t="s">
        <v>2</v>
      </c>
      <c r="D1701" s="126" t="s">
        <v>3</v>
      </c>
      <c r="E1701" s="126">
        <v>5</v>
      </c>
      <c r="F1701" s="126" t="s">
        <v>88</v>
      </c>
      <c r="G1701" s="108">
        <v>45414</v>
      </c>
      <c r="H1701" s="126" t="s">
        <v>94</v>
      </c>
      <c r="I1701" s="126" t="s">
        <v>436</v>
      </c>
      <c r="J1701" s="126" t="s">
        <v>465</v>
      </c>
      <c r="K1701" s="126"/>
      <c r="L1701" s="126"/>
      <c r="M1701" s="126"/>
      <c r="N1701" s="126"/>
      <c r="O1701" s="126" t="s">
        <v>7790</v>
      </c>
      <c r="Q1701" s="3">
        <f t="shared" si="53"/>
        <v>5</v>
      </c>
      <c r="S1701" s="55" t="s">
        <v>9014</v>
      </c>
      <c r="U1701" s="3" t="str">
        <f t="shared" si="54"/>
        <v/>
      </c>
    </row>
    <row r="1702" spans="1:21" x14ac:dyDescent="0.35">
      <c r="A1702" s="126" t="s">
        <v>35</v>
      </c>
      <c r="B1702" s="126" t="s">
        <v>768</v>
      </c>
      <c r="C1702" s="126" t="s">
        <v>2</v>
      </c>
      <c r="D1702" s="126" t="s">
        <v>3</v>
      </c>
      <c r="E1702" s="126">
        <v>5</v>
      </c>
      <c r="F1702" s="126" t="s">
        <v>88</v>
      </c>
      <c r="G1702" s="108">
        <v>45621</v>
      </c>
      <c r="H1702" s="126" t="s">
        <v>94</v>
      </c>
      <c r="I1702" s="126" t="s">
        <v>115</v>
      </c>
      <c r="J1702" s="126" t="s">
        <v>8790</v>
      </c>
      <c r="K1702" s="126"/>
      <c r="L1702" s="126"/>
      <c r="M1702" s="126"/>
      <c r="N1702" s="126"/>
      <c r="O1702" s="126" t="s">
        <v>8791</v>
      </c>
      <c r="Q1702" s="3">
        <f t="shared" si="53"/>
        <v>5</v>
      </c>
      <c r="U1702" s="3" t="str">
        <f t="shared" si="54"/>
        <v/>
      </c>
    </row>
    <row r="1703" spans="1:21" x14ac:dyDescent="0.35">
      <c r="A1703" s="126" t="s">
        <v>0</v>
      </c>
      <c r="B1703" s="126" t="s">
        <v>969</v>
      </c>
      <c r="C1703" s="126" t="s">
        <v>2</v>
      </c>
      <c r="D1703" s="126" t="s">
        <v>3</v>
      </c>
      <c r="E1703" s="126">
        <v>5</v>
      </c>
      <c r="F1703" s="126" t="s">
        <v>88</v>
      </c>
      <c r="G1703" s="108">
        <v>45629</v>
      </c>
      <c r="H1703" s="126" t="s">
        <v>89</v>
      </c>
      <c r="I1703" s="126" t="s">
        <v>8838</v>
      </c>
      <c r="J1703" s="126"/>
      <c r="K1703" s="126" t="s">
        <v>7655</v>
      </c>
      <c r="L1703" s="126" t="s">
        <v>8839</v>
      </c>
      <c r="M1703" s="126" t="s">
        <v>420</v>
      </c>
      <c r="N1703" s="126"/>
      <c r="O1703" s="126"/>
      <c r="Q1703" s="3">
        <f t="shared" si="53"/>
        <v>5</v>
      </c>
      <c r="U1703" s="3" t="str">
        <f t="shared" si="54"/>
        <v/>
      </c>
    </row>
    <row r="1704" spans="1:21" x14ac:dyDescent="0.35">
      <c r="A1704" s="126" t="s">
        <v>35</v>
      </c>
      <c r="B1704" s="126" t="s">
        <v>1533</v>
      </c>
      <c r="C1704" s="126" t="s">
        <v>2</v>
      </c>
      <c r="D1704" s="126" t="s">
        <v>3</v>
      </c>
      <c r="E1704" s="126">
        <v>5</v>
      </c>
      <c r="F1704" s="126" t="s">
        <v>88</v>
      </c>
      <c r="G1704" s="108">
        <v>45643</v>
      </c>
      <c r="H1704" s="126" t="s">
        <v>94</v>
      </c>
      <c r="I1704" s="126" t="s">
        <v>8440</v>
      </c>
      <c r="J1704" s="126" t="s">
        <v>307</v>
      </c>
      <c r="K1704" s="126"/>
      <c r="L1704" s="126"/>
      <c r="M1704" s="126"/>
      <c r="N1704" s="126"/>
      <c r="O1704" s="126" t="s">
        <v>557</v>
      </c>
      <c r="Q1704" s="3">
        <f t="shared" si="53"/>
        <v>5</v>
      </c>
      <c r="S1704" s="55" t="s">
        <v>9014</v>
      </c>
      <c r="U1704" s="3" t="str">
        <f t="shared" si="54"/>
        <v/>
      </c>
    </row>
    <row r="1705" spans="1:21" x14ac:dyDescent="0.35">
      <c r="A1705" s="126" t="s">
        <v>35</v>
      </c>
      <c r="B1705" s="126" t="s">
        <v>768</v>
      </c>
      <c r="C1705" s="126" t="s">
        <v>2</v>
      </c>
      <c r="D1705" s="126" t="s">
        <v>3</v>
      </c>
      <c r="E1705" s="126">
        <v>4.8499999999999996</v>
      </c>
      <c r="F1705" s="126" t="s">
        <v>88</v>
      </c>
      <c r="G1705" s="108">
        <v>45517</v>
      </c>
      <c r="H1705" s="126" t="s">
        <v>94</v>
      </c>
      <c r="I1705" s="126" t="s">
        <v>406</v>
      </c>
      <c r="J1705" s="126" t="s">
        <v>483</v>
      </c>
      <c r="K1705" s="126"/>
      <c r="L1705" s="126"/>
      <c r="M1705" s="126"/>
      <c r="N1705" s="126"/>
      <c r="O1705" s="126" t="s">
        <v>7946</v>
      </c>
      <c r="Q1705" s="3">
        <f t="shared" si="53"/>
        <v>4.8499999999999996</v>
      </c>
      <c r="S1705" s="55" t="s">
        <v>9014</v>
      </c>
      <c r="U1705" s="3" t="str">
        <f t="shared" si="54"/>
        <v/>
      </c>
    </row>
    <row r="1706" spans="1:21" x14ac:dyDescent="0.35">
      <c r="A1706" s="126" t="s">
        <v>35</v>
      </c>
      <c r="B1706" s="126" t="s">
        <v>768</v>
      </c>
      <c r="C1706" s="126" t="s">
        <v>2</v>
      </c>
      <c r="D1706" s="126" t="s">
        <v>3</v>
      </c>
      <c r="E1706" s="126">
        <v>4.8499999999999996</v>
      </c>
      <c r="F1706" s="126" t="s">
        <v>88</v>
      </c>
      <c r="G1706" s="108">
        <v>45575</v>
      </c>
      <c r="H1706" s="126" t="s">
        <v>94</v>
      </c>
      <c r="I1706" s="126" t="s">
        <v>406</v>
      </c>
      <c r="J1706" s="126" t="s">
        <v>483</v>
      </c>
      <c r="K1706" s="126"/>
      <c r="L1706" s="126"/>
      <c r="M1706" s="126"/>
      <c r="N1706" s="126"/>
      <c r="O1706" s="126" t="s">
        <v>517</v>
      </c>
      <c r="Q1706" s="3">
        <f t="shared" si="53"/>
        <v>4.8499999999999996</v>
      </c>
      <c r="S1706" s="55" t="s">
        <v>9014</v>
      </c>
      <c r="U1706" s="3" t="str">
        <f t="shared" si="54"/>
        <v/>
      </c>
    </row>
    <row r="1707" spans="1:21" x14ac:dyDescent="0.35">
      <c r="A1707" s="126" t="s">
        <v>35</v>
      </c>
      <c r="B1707" s="126" t="s">
        <v>768</v>
      </c>
      <c r="C1707" s="126" t="s">
        <v>2</v>
      </c>
      <c r="D1707" s="126" t="s">
        <v>3</v>
      </c>
      <c r="E1707" s="126">
        <v>4.8499999999999996</v>
      </c>
      <c r="F1707" s="126" t="s">
        <v>88</v>
      </c>
      <c r="G1707" s="108">
        <v>45628</v>
      </c>
      <c r="H1707" s="126" t="s">
        <v>94</v>
      </c>
      <c r="I1707" s="126" t="s">
        <v>406</v>
      </c>
      <c r="J1707" s="126" t="s">
        <v>483</v>
      </c>
      <c r="K1707" s="126"/>
      <c r="L1707" s="126"/>
      <c r="M1707" s="126"/>
      <c r="N1707" s="126"/>
      <c r="O1707" s="126" t="s">
        <v>517</v>
      </c>
      <c r="Q1707" s="3">
        <f t="shared" si="53"/>
        <v>4.8499999999999996</v>
      </c>
      <c r="S1707" s="55" t="s">
        <v>9014</v>
      </c>
      <c r="U1707" s="3" t="str">
        <f t="shared" si="54"/>
        <v/>
      </c>
    </row>
    <row r="1708" spans="1:21" x14ac:dyDescent="0.35">
      <c r="A1708" s="126" t="s">
        <v>35</v>
      </c>
      <c r="B1708" s="126" t="s">
        <v>861</v>
      </c>
      <c r="C1708" s="126" t="s">
        <v>2</v>
      </c>
      <c r="D1708" s="126" t="s">
        <v>3</v>
      </c>
      <c r="E1708" s="126">
        <v>4.7</v>
      </c>
      <c r="F1708" s="126" t="s">
        <v>88</v>
      </c>
      <c r="G1708" s="108">
        <v>45527</v>
      </c>
      <c r="H1708" s="126" t="s">
        <v>94</v>
      </c>
      <c r="I1708" s="126" t="s">
        <v>410</v>
      </c>
      <c r="J1708" s="126" t="s">
        <v>307</v>
      </c>
      <c r="K1708" s="126"/>
      <c r="L1708" s="126"/>
      <c r="M1708" s="126"/>
      <c r="N1708" s="126"/>
      <c r="O1708" s="126" t="s">
        <v>519</v>
      </c>
      <c r="Q1708" s="3">
        <f t="shared" si="53"/>
        <v>4.7</v>
      </c>
      <c r="S1708" s="55" t="s">
        <v>9014</v>
      </c>
      <c r="U1708" s="3" t="str">
        <f t="shared" si="54"/>
        <v/>
      </c>
    </row>
    <row r="1709" spans="1:21" x14ac:dyDescent="0.35">
      <c r="A1709" s="126" t="s">
        <v>0</v>
      </c>
      <c r="B1709" s="126" t="s">
        <v>7695</v>
      </c>
      <c r="C1709" s="126" t="s">
        <v>2</v>
      </c>
      <c r="D1709" s="126" t="s">
        <v>3</v>
      </c>
      <c r="E1709" s="126">
        <v>4.6900000000000004</v>
      </c>
      <c r="F1709" s="126" t="s">
        <v>88</v>
      </c>
      <c r="G1709" s="108">
        <v>45391</v>
      </c>
      <c r="H1709" s="126" t="s">
        <v>89</v>
      </c>
      <c r="I1709" s="126" t="s">
        <v>7691</v>
      </c>
      <c r="J1709" s="126"/>
      <c r="K1709" s="126" t="s">
        <v>7672</v>
      </c>
      <c r="L1709" s="126" t="s">
        <v>7692</v>
      </c>
      <c r="M1709" s="126" t="s">
        <v>399</v>
      </c>
      <c r="N1709" s="35"/>
      <c r="O1709" s="35"/>
      <c r="Q1709" s="3">
        <f t="shared" si="53"/>
        <v>4.6900000000000004</v>
      </c>
      <c r="S1709" s="55" t="s">
        <v>9013</v>
      </c>
      <c r="U1709" s="3" t="str">
        <f t="shared" si="54"/>
        <v/>
      </c>
    </row>
    <row r="1710" spans="1:21" x14ac:dyDescent="0.35">
      <c r="A1710" s="126" t="s">
        <v>0</v>
      </c>
      <c r="B1710" s="126" t="s">
        <v>7695</v>
      </c>
      <c r="C1710" s="126" t="s">
        <v>2</v>
      </c>
      <c r="D1710" s="126" t="s">
        <v>3</v>
      </c>
      <c r="E1710" s="126">
        <v>4.6900000000000004</v>
      </c>
      <c r="F1710" s="126" t="s">
        <v>88</v>
      </c>
      <c r="G1710" s="108">
        <v>45432</v>
      </c>
      <c r="H1710" s="126" t="s">
        <v>89</v>
      </c>
      <c r="I1710" s="126" t="s">
        <v>7839</v>
      </c>
      <c r="J1710" s="126"/>
      <c r="K1710" s="126" t="s">
        <v>7840</v>
      </c>
      <c r="L1710" s="126" t="s">
        <v>7841</v>
      </c>
      <c r="M1710" s="126" t="s">
        <v>399</v>
      </c>
      <c r="N1710" s="35"/>
      <c r="O1710" s="35"/>
      <c r="Q1710" s="3">
        <f t="shared" si="53"/>
        <v>4.6900000000000004</v>
      </c>
      <c r="S1710" s="55" t="s">
        <v>9013</v>
      </c>
      <c r="U1710" s="3" t="str">
        <f t="shared" si="54"/>
        <v/>
      </c>
    </row>
    <row r="1711" spans="1:21" x14ac:dyDescent="0.35">
      <c r="A1711" s="126" t="s">
        <v>0</v>
      </c>
      <c r="B1711" s="126" t="s">
        <v>7695</v>
      </c>
      <c r="C1711" s="126" t="s">
        <v>2</v>
      </c>
      <c r="D1711" s="126" t="s">
        <v>3</v>
      </c>
      <c r="E1711" s="126">
        <v>4.6900000000000004</v>
      </c>
      <c r="F1711" s="126" t="s">
        <v>88</v>
      </c>
      <c r="G1711" s="108">
        <v>45454</v>
      </c>
      <c r="H1711" s="126" t="s">
        <v>89</v>
      </c>
      <c r="I1711" s="126" t="s">
        <v>7958</v>
      </c>
      <c r="J1711" s="126"/>
      <c r="K1711" s="126" t="s">
        <v>7959</v>
      </c>
      <c r="L1711" s="126" t="s">
        <v>7960</v>
      </c>
      <c r="M1711" s="126" t="s">
        <v>399</v>
      </c>
      <c r="Q1711" s="3">
        <f t="shared" si="53"/>
        <v>4.6900000000000004</v>
      </c>
      <c r="S1711" s="55" t="s">
        <v>9013</v>
      </c>
      <c r="U1711" s="3" t="str">
        <f t="shared" si="54"/>
        <v/>
      </c>
    </row>
    <row r="1712" spans="1:21" x14ac:dyDescent="0.35">
      <c r="A1712" s="126" t="s">
        <v>0</v>
      </c>
      <c r="B1712" s="126" t="s">
        <v>7695</v>
      </c>
      <c r="C1712" s="126" t="s">
        <v>2</v>
      </c>
      <c r="D1712" s="126" t="s">
        <v>3</v>
      </c>
      <c r="E1712" s="126">
        <v>4.6900000000000004</v>
      </c>
      <c r="F1712" s="126" t="s">
        <v>88</v>
      </c>
      <c r="G1712" s="108">
        <v>45485</v>
      </c>
      <c r="H1712" s="126" t="s">
        <v>89</v>
      </c>
      <c r="I1712" s="126" t="s">
        <v>8134</v>
      </c>
      <c r="J1712" s="126"/>
      <c r="K1712" s="126" t="s">
        <v>8135</v>
      </c>
      <c r="L1712" s="126" t="s">
        <v>8136</v>
      </c>
      <c r="M1712" s="126" t="s">
        <v>399</v>
      </c>
      <c r="Q1712" s="3">
        <f t="shared" si="53"/>
        <v>4.6900000000000004</v>
      </c>
      <c r="S1712" s="55" t="s">
        <v>9013</v>
      </c>
      <c r="U1712" s="3" t="str">
        <f t="shared" si="54"/>
        <v/>
      </c>
    </row>
    <row r="1713" spans="1:21" x14ac:dyDescent="0.35">
      <c r="A1713" s="126" t="s">
        <v>0</v>
      </c>
      <c r="B1713" s="126" t="s">
        <v>7695</v>
      </c>
      <c r="C1713" s="126" t="s">
        <v>2</v>
      </c>
      <c r="D1713" s="126" t="s">
        <v>3</v>
      </c>
      <c r="E1713" s="126">
        <v>4.6900000000000004</v>
      </c>
      <c r="F1713" s="126" t="s">
        <v>88</v>
      </c>
      <c r="G1713" s="108">
        <v>45517</v>
      </c>
      <c r="H1713" s="126" t="s">
        <v>89</v>
      </c>
      <c r="I1713" s="126" t="s">
        <v>8320</v>
      </c>
      <c r="J1713" s="126"/>
      <c r="K1713" s="126" t="s">
        <v>8321</v>
      </c>
      <c r="L1713" s="126" t="s">
        <v>8322</v>
      </c>
      <c r="M1713" s="126" t="s">
        <v>399</v>
      </c>
      <c r="Q1713" s="3">
        <f t="shared" si="53"/>
        <v>4.6900000000000004</v>
      </c>
      <c r="S1713" s="55" t="s">
        <v>9013</v>
      </c>
      <c r="U1713" s="3" t="str">
        <f t="shared" si="54"/>
        <v/>
      </c>
    </row>
    <row r="1714" spans="1:21" x14ac:dyDescent="0.35">
      <c r="A1714" s="126" t="s">
        <v>0</v>
      </c>
      <c r="B1714" s="126" t="s">
        <v>7695</v>
      </c>
      <c r="C1714" s="126" t="s">
        <v>2</v>
      </c>
      <c r="D1714" s="126" t="s">
        <v>3</v>
      </c>
      <c r="E1714" s="126">
        <v>4.6900000000000004</v>
      </c>
      <c r="F1714" s="126" t="s">
        <v>88</v>
      </c>
      <c r="G1714" s="108">
        <v>45551</v>
      </c>
      <c r="H1714" s="126" t="s">
        <v>89</v>
      </c>
      <c r="I1714" s="126" t="s">
        <v>8431</v>
      </c>
      <c r="J1714" s="126"/>
      <c r="K1714" s="126" t="s">
        <v>8432</v>
      </c>
      <c r="L1714" s="126" t="s">
        <v>8433</v>
      </c>
      <c r="M1714" s="126" t="s">
        <v>399</v>
      </c>
      <c r="Q1714" s="3">
        <f t="shared" si="53"/>
        <v>4.6900000000000004</v>
      </c>
      <c r="S1714" s="55" t="s">
        <v>9013</v>
      </c>
      <c r="U1714" s="3" t="str">
        <f t="shared" si="54"/>
        <v/>
      </c>
    </row>
    <row r="1715" spans="1:21" x14ac:dyDescent="0.35">
      <c r="A1715" s="126" t="s">
        <v>0</v>
      </c>
      <c r="B1715" s="126" t="s">
        <v>7695</v>
      </c>
      <c r="C1715" s="126" t="s">
        <v>2</v>
      </c>
      <c r="D1715" s="126" t="s">
        <v>3</v>
      </c>
      <c r="E1715" s="126">
        <v>4.6900000000000004</v>
      </c>
      <c r="F1715" s="126" t="s">
        <v>88</v>
      </c>
      <c r="G1715" s="108">
        <v>45569</v>
      </c>
      <c r="H1715" s="126" t="s">
        <v>89</v>
      </c>
      <c r="I1715" s="126" t="s">
        <v>8521</v>
      </c>
      <c r="J1715" s="126"/>
      <c r="K1715" s="126" t="s">
        <v>8522</v>
      </c>
      <c r="L1715" s="126" t="s">
        <v>8523</v>
      </c>
      <c r="M1715" s="126" t="s">
        <v>399</v>
      </c>
      <c r="Q1715" s="3">
        <f t="shared" si="53"/>
        <v>4.6900000000000004</v>
      </c>
      <c r="S1715" s="55" t="s">
        <v>9013</v>
      </c>
      <c r="U1715" s="3" t="str">
        <f t="shared" si="54"/>
        <v/>
      </c>
    </row>
    <row r="1716" spans="1:21" x14ac:dyDescent="0.35">
      <c r="A1716" s="126" t="s">
        <v>0</v>
      </c>
      <c r="B1716" s="126" t="s">
        <v>7695</v>
      </c>
      <c r="C1716" s="126" t="s">
        <v>2</v>
      </c>
      <c r="D1716" s="126" t="s">
        <v>3</v>
      </c>
      <c r="E1716" s="126">
        <v>4.6900000000000004</v>
      </c>
      <c r="F1716" s="126" t="s">
        <v>88</v>
      </c>
      <c r="G1716" s="108">
        <v>45611</v>
      </c>
      <c r="H1716" s="126" t="s">
        <v>89</v>
      </c>
      <c r="I1716" s="126" t="s">
        <v>8734</v>
      </c>
      <c r="J1716" s="126"/>
      <c r="K1716" s="126" t="s">
        <v>8735</v>
      </c>
      <c r="L1716" s="126" t="s">
        <v>8736</v>
      </c>
      <c r="M1716" s="126" t="s">
        <v>399</v>
      </c>
      <c r="N1716" s="126"/>
      <c r="O1716" s="126"/>
      <c r="Q1716" s="3">
        <f t="shared" si="53"/>
        <v>4.6900000000000004</v>
      </c>
      <c r="S1716" s="55" t="s">
        <v>9013</v>
      </c>
      <c r="U1716" s="3" t="str">
        <f t="shared" si="54"/>
        <v/>
      </c>
    </row>
    <row r="1717" spans="1:21" x14ac:dyDescent="0.35">
      <c r="A1717" s="126" t="s">
        <v>0</v>
      </c>
      <c r="B1717" s="126" t="s">
        <v>7695</v>
      </c>
      <c r="C1717" s="126" t="s">
        <v>2</v>
      </c>
      <c r="D1717" s="126" t="s">
        <v>3</v>
      </c>
      <c r="E1717" s="126">
        <v>4.6900000000000004</v>
      </c>
      <c r="F1717" s="126" t="s">
        <v>88</v>
      </c>
      <c r="G1717" s="108">
        <v>45635</v>
      </c>
      <c r="H1717" s="126" t="s">
        <v>89</v>
      </c>
      <c r="I1717" s="126" t="s">
        <v>8878</v>
      </c>
      <c r="J1717" s="126"/>
      <c r="K1717" s="126" t="s">
        <v>8879</v>
      </c>
      <c r="L1717" s="126" t="s">
        <v>8880</v>
      </c>
      <c r="M1717" s="126" t="s">
        <v>399</v>
      </c>
      <c r="Q1717" s="3">
        <f t="shared" si="53"/>
        <v>4.6900000000000004</v>
      </c>
      <c r="S1717" s="55" t="s">
        <v>9013</v>
      </c>
      <c r="U1717" s="3" t="str">
        <f t="shared" si="54"/>
        <v/>
      </c>
    </row>
    <row r="1718" spans="1:21" x14ac:dyDescent="0.35">
      <c r="A1718" s="126" t="s">
        <v>35</v>
      </c>
      <c r="B1718" s="126" t="s">
        <v>677</v>
      </c>
      <c r="C1718" s="126" t="s">
        <v>2</v>
      </c>
      <c r="D1718" s="126" t="s">
        <v>3</v>
      </c>
      <c r="E1718" s="126">
        <v>4.68</v>
      </c>
      <c r="F1718" s="126" t="s">
        <v>88</v>
      </c>
      <c r="G1718" s="108">
        <v>45384</v>
      </c>
      <c r="H1718" s="126" t="s">
        <v>94</v>
      </c>
      <c r="I1718" s="126" t="s">
        <v>437</v>
      </c>
      <c r="J1718" s="126" t="s">
        <v>465</v>
      </c>
      <c r="K1718" s="126"/>
      <c r="L1718" s="126"/>
      <c r="M1718" s="126"/>
      <c r="N1718" s="126"/>
      <c r="O1718" s="126" t="s">
        <v>548</v>
      </c>
      <c r="Q1718" s="3">
        <f t="shared" si="53"/>
        <v>4.68</v>
      </c>
      <c r="S1718" s="55" t="s">
        <v>9014</v>
      </c>
      <c r="U1718" s="3" t="str">
        <f t="shared" si="54"/>
        <v/>
      </c>
    </row>
    <row r="1719" spans="1:21" x14ac:dyDescent="0.35">
      <c r="A1719" s="126" t="s">
        <v>35</v>
      </c>
      <c r="B1719" s="126" t="s">
        <v>2543</v>
      </c>
      <c r="C1719" s="126" t="s">
        <v>2</v>
      </c>
      <c r="D1719" s="126" t="s">
        <v>3</v>
      </c>
      <c r="E1719" s="126">
        <v>4.5999999999999996</v>
      </c>
      <c r="F1719" s="126" t="s">
        <v>88</v>
      </c>
      <c r="G1719" s="108">
        <v>45524</v>
      </c>
      <c r="H1719" s="126" t="s">
        <v>94</v>
      </c>
      <c r="I1719" s="126" t="s">
        <v>456</v>
      </c>
      <c r="J1719" s="126" t="s">
        <v>417</v>
      </c>
      <c r="K1719" s="126"/>
      <c r="L1719" s="126"/>
      <c r="M1719" s="126"/>
      <c r="N1719" s="126"/>
      <c r="O1719" s="126" t="s">
        <v>559</v>
      </c>
      <c r="Q1719" s="3">
        <f t="shared" si="53"/>
        <v>4.5999999999999996</v>
      </c>
      <c r="S1719" s="55" t="s">
        <v>9014</v>
      </c>
      <c r="U1719" s="3" t="str">
        <f t="shared" si="54"/>
        <v/>
      </c>
    </row>
    <row r="1720" spans="1:21" x14ac:dyDescent="0.35">
      <c r="A1720" s="126" t="s">
        <v>35</v>
      </c>
      <c r="B1720" s="126" t="s">
        <v>2543</v>
      </c>
      <c r="C1720" s="126" t="s">
        <v>2</v>
      </c>
      <c r="D1720" s="126" t="s">
        <v>3</v>
      </c>
      <c r="E1720" s="126">
        <v>4.5999999999999996</v>
      </c>
      <c r="F1720" s="126" t="s">
        <v>88</v>
      </c>
      <c r="G1720" s="108">
        <v>45601</v>
      </c>
      <c r="H1720" s="126" t="s">
        <v>94</v>
      </c>
      <c r="I1720" s="126" t="s">
        <v>456</v>
      </c>
      <c r="J1720" s="126" t="s">
        <v>417</v>
      </c>
      <c r="K1720" s="126"/>
      <c r="L1720" s="126"/>
      <c r="M1720" s="126"/>
      <c r="N1720" s="126"/>
      <c r="O1720" s="126" t="s">
        <v>559</v>
      </c>
      <c r="Q1720" s="3">
        <f t="shared" si="53"/>
        <v>4.5999999999999996</v>
      </c>
      <c r="S1720" s="55" t="s">
        <v>9014</v>
      </c>
      <c r="U1720" s="3" t="str">
        <f t="shared" si="54"/>
        <v/>
      </c>
    </row>
    <row r="1721" spans="1:21" x14ac:dyDescent="0.35">
      <c r="A1721" s="126" t="s">
        <v>35</v>
      </c>
      <c r="B1721" s="126" t="s">
        <v>2543</v>
      </c>
      <c r="C1721" s="126" t="s">
        <v>2</v>
      </c>
      <c r="D1721" s="126" t="s">
        <v>3</v>
      </c>
      <c r="E1721" s="126">
        <v>4.5999999999999996</v>
      </c>
      <c r="F1721" s="126" t="s">
        <v>88</v>
      </c>
      <c r="G1721" s="108">
        <v>45632</v>
      </c>
      <c r="H1721" s="126" t="s">
        <v>94</v>
      </c>
      <c r="I1721" s="126" t="s">
        <v>456</v>
      </c>
      <c r="J1721" s="126" t="s">
        <v>417</v>
      </c>
      <c r="K1721" s="126"/>
      <c r="L1721" s="126"/>
      <c r="M1721" s="126"/>
      <c r="N1721" s="126"/>
      <c r="O1721" s="126" t="s">
        <v>559</v>
      </c>
      <c r="Q1721" s="3">
        <f t="shared" si="53"/>
        <v>4.5999999999999996</v>
      </c>
      <c r="S1721" s="55" t="s">
        <v>9014</v>
      </c>
      <c r="U1721" s="3" t="str">
        <f t="shared" si="54"/>
        <v/>
      </c>
    </row>
    <row r="1722" spans="1:21" x14ac:dyDescent="0.35">
      <c r="A1722" s="126" t="s">
        <v>35</v>
      </c>
      <c r="B1722" s="126" t="s">
        <v>601</v>
      </c>
      <c r="C1722" s="126" t="s">
        <v>2</v>
      </c>
      <c r="D1722" s="126" t="s">
        <v>3</v>
      </c>
      <c r="E1722" s="126">
        <v>4.55</v>
      </c>
      <c r="F1722" s="126" t="s">
        <v>88</v>
      </c>
      <c r="G1722" s="108">
        <v>45384</v>
      </c>
      <c r="H1722" s="126" t="s">
        <v>94</v>
      </c>
      <c r="I1722" s="126" t="s">
        <v>2935</v>
      </c>
      <c r="J1722" s="126" t="s">
        <v>332</v>
      </c>
      <c r="K1722" s="126"/>
      <c r="L1722" s="126"/>
      <c r="M1722" s="126"/>
      <c r="N1722" s="126"/>
      <c r="O1722" s="126" t="s">
        <v>556</v>
      </c>
      <c r="Q1722" s="3">
        <f t="shared" si="53"/>
        <v>4.55</v>
      </c>
      <c r="U1722" s="3" t="str">
        <f t="shared" si="54"/>
        <v/>
      </c>
    </row>
    <row r="1723" spans="1:21" x14ac:dyDescent="0.35">
      <c r="A1723" s="126" t="s">
        <v>35</v>
      </c>
      <c r="B1723" s="126" t="s">
        <v>2543</v>
      </c>
      <c r="C1723" s="126" t="s">
        <v>2</v>
      </c>
      <c r="D1723" s="126" t="s">
        <v>3</v>
      </c>
      <c r="E1723" s="126">
        <v>4.55</v>
      </c>
      <c r="F1723" s="126" t="s">
        <v>88</v>
      </c>
      <c r="G1723" s="108">
        <v>45406</v>
      </c>
      <c r="H1723" s="126" t="s">
        <v>94</v>
      </c>
      <c r="I1723" s="126" t="s">
        <v>456</v>
      </c>
      <c r="J1723" s="126" t="s">
        <v>417</v>
      </c>
      <c r="K1723" s="126"/>
      <c r="L1723" s="126"/>
      <c r="M1723" s="126"/>
      <c r="N1723" s="126"/>
      <c r="O1723" s="126" t="s">
        <v>559</v>
      </c>
      <c r="Q1723" s="3">
        <f t="shared" si="53"/>
        <v>4.55</v>
      </c>
      <c r="S1723" s="55" t="s">
        <v>9014</v>
      </c>
      <c r="U1723" s="3" t="str">
        <f t="shared" si="54"/>
        <v/>
      </c>
    </row>
    <row r="1724" spans="1:21" x14ac:dyDescent="0.35">
      <c r="A1724" s="126" t="s">
        <v>35</v>
      </c>
      <c r="B1724" s="126" t="s">
        <v>2543</v>
      </c>
      <c r="C1724" s="126" t="s">
        <v>2</v>
      </c>
      <c r="D1724" s="126" t="s">
        <v>3</v>
      </c>
      <c r="E1724" s="126">
        <v>4.55</v>
      </c>
      <c r="F1724" s="126" t="s">
        <v>88</v>
      </c>
      <c r="G1724" s="108">
        <v>45456</v>
      </c>
      <c r="H1724" s="126" t="s">
        <v>94</v>
      </c>
      <c r="I1724" s="126" t="s">
        <v>456</v>
      </c>
      <c r="J1724" s="126" t="s">
        <v>417</v>
      </c>
      <c r="K1724" s="126"/>
      <c r="L1724" s="126"/>
      <c r="M1724" s="126"/>
      <c r="N1724" s="126"/>
      <c r="O1724" s="126" t="s">
        <v>559</v>
      </c>
      <c r="Q1724" s="3">
        <f t="shared" si="53"/>
        <v>4.55</v>
      </c>
      <c r="S1724" s="55" t="s">
        <v>9014</v>
      </c>
      <c r="U1724" s="3" t="str">
        <f t="shared" si="54"/>
        <v/>
      </c>
    </row>
    <row r="1725" spans="1:21" x14ac:dyDescent="0.35">
      <c r="A1725" s="126" t="s">
        <v>35</v>
      </c>
      <c r="B1725" s="126" t="s">
        <v>868</v>
      </c>
      <c r="C1725" s="126" t="s">
        <v>2</v>
      </c>
      <c r="D1725" s="126" t="s">
        <v>3</v>
      </c>
      <c r="E1725" s="126">
        <v>4.55</v>
      </c>
      <c r="F1725" s="126" t="s">
        <v>88</v>
      </c>
      <c r="G1725" s="108">
        <v>45464</v>
      </c>
      <c r="H1725" s="126" t="s">
        <v>94</v>
      </c>
      <c r="I1725" s="126" t="s">
        <v>416</v>
      </c>
      <c r="J1725" s="126" t="s">
        <v>417</v>
      </c>
      <c r="K1725" s="126"/>
      <c r="L1725" s="126"/>
      <c r="M1725" s="126"/>
      <c r="N1725" s="126"/>
      <c r="O1725" s="126" t="s">
        <v>520</v>
      </c>
      <c r="Q1725" s="3">
        <f t="shared" si="53"/>
        <v>4.55</v>
      </c>
      <c r="S1725" s="55" t="s">
        <v>9014</v>
      </c>
      <c r="U1725" s="3" t="str">
        <f t="shared" si="54"/>
        <v/>
      </c>
    </row>
    <row r="1726" spans="1:21" x14ac:dyDescent="0.35">
      <c r="A1726" s="126" t="s">
        <v>35</v>
      </c>
      <c r="B1726" s="126" t="s">
        <v>6156</v>
      </c>
      <c r="C1726" s="126" t="s">
        <v>2</v>
      </c>
      <c r="D1726" s="126" t="s">
        <v>3</v>
      </c>
      <c r="E1726" s="126">
        <v>4.55</v>
      </c>
      <c r="F1726" s="126" t="s">
        <v>88</v>
      </c>
      <c r="G1726" s="108">
        <v>45485</v>
      </c>
      <c r="H1726" s="126" t="s">
        <v>94</v>
      </c>
      <c r="I1726" s="126" t="s">
        <v>8000</v>
      </c>
      <c r="J1726" s="126" t="s">
        <v>8154</v>
      </c>
      <c r="K1726" s="126"/>
      <c r="L1726" s="126"/>
      <c r="M1726" s="126"/>
      <c r="N1726" s="126"/>
      <c r="O1726" s="126" t="s">
        <v>530</v>
      </c>
      <c r="Q1726" s="3">
        <f t="shared" si="53"/>
        <v>4.55</v>
      </c>
      <c r="S1726" s="55" t="s">
        <v>9014</v>
      </c>
      <c r="U1726" s="3" t="str">
        <f t="shared" si="54"/>
        <v/>
      </c>
    </row>
    <row r="1727" spans="1:21" x14ac:dyDescent="0.35">
      <c r="A1727" s="126" t="s">
        <v>35</v>
      </c>
      <c r="B1727" s="126" t="s">
        <v>606</v>
      </c>
      <c r="C1727" s="126" t="s">
        <v>2</v>
      </c>
      <c r="D1727" s="126" t="s">
        <v>3</v>
      </c>
      <c r="E1727" s="126">
        <v>4.55</v>
      </c>
      <c r="F1727" s="126" t="s">
        <v>88</v>
      </c>
      <c r="G1727" s="108">
        <v>45524</v>
      </c>
      <c r="H1727" s="126" t="s">
        <v>94</v>
      </c>
      <c r="I1727" s="126" t="s">
        <v>8000</v>
      </c>
      <c r="J1727" s="126" t="s">
        <v>8001</v>
      </c>
      <c r="K1727" s="126"/>
      <c r="L1727" s="126"/>
      <c r="M1727" s="126"/>
      <c r="N1727" s="126"/>
      <c r="O1727" s="126" t="s">
        <v>530</v>
      </c>
      <c r="Q1727" s="3">
        <f t="shared" si="53"/>
        <v>4.55</v>
      </c>
      <c r="S1727" s="55" t="s">
        <v>9014</v>
      </c>
      <c r="U1727" s="3" t="str">
        <f t="shared" si="54"/>
        <v/>
      </c>
    </row>
    <row r="1728" spans="1:21" x14ac:dyDescent="0.35">
      <c r="A1728" s="126" t="s">
        <v>35</v>
      </c>
      <c r="B1728" s="126" t="s">
        <v>969</v>
      </c>
      <c r="C1728" s="126" t="s">
        <v>2</v>
      </c>
      <c r="D1728" s="126" t="s">
        <v>3</v>
      </c>
      <c r="E1728" s="126">
        <v>4.55</v>
      </c>
      <c r="F1728" s="126" t="s">
        <v>88</v>
      </c>
      <c r="G1728" s="108">
        <v>45575</v>
      </c>
      <c r="H1728" s="126" t="s">
        <v>94</v>
      </c>
      <c r="I1728" s="126" t="s">
        <v>8553</v>
      </c>
      <c r="J1728" s="126" t="s">
        <v>8554</v>
      </c>
      <c r="K1728" s="126"/>
      <c r="L1728" s="126"/>
      <c r="M1728" s="126"/>
      <c r="N1728" s="126"/>
      <c r="O1728" s="126" t="s">
        <v>8555</v>
      </c>
      <c r="Q1728" s="3">
        <f t="shared" si="53"/>
        <v>4.55</v>
      </c>
      <c r="U1728" s="3" t="str">
        <f t="shared" si="54"/>
        <v/>
      </c>
    </row>
    <row r="1729" spans="1:21" x14ac:dyDescent="0.35">
      <c r="A1729" s="126" t="s">
        <v>35</v>
      </c>
      <c r="B1729" s="126" t="s">
        <v>868</v>
      </c>
      <c r="C1729" s="126" t="s">
        <v>2</v>
      </c>
      <c r="D1729" s="126" t="s">
        <v>3</v>
      </c>
      <c r="E1729" s="126">
        <v>4.55</v>
      </c>
      <c r="F1729" s="126" t="s">
        <v>88</v>
      </c>
      <c r="G1729" s="108">
        <v>45594</v>
      </c>
      <c r="H1729" s="126" t="s">
        <v>94</v>
      </c>
      <c r="I1729" s="126" t="s">
        <v>8607</v>
      </c>
      <c r="J1729" s="126" t="s">
        <v>417</v>
      </c>
      <c r="K1729" s="126"/>
      <c r="L1729" s="126"/>
      <c r="M1729" s="126"/>
      <c r="N1729" s="126"/>
      <c r="O1729" s="126" t="s">
        <v>8608</v>
      </c>
      <c r="Q1729" s="3">
        <f t="shared" si="53"/>
        <v>4.55</v>
      </c>
      <c r="S1729" s="55" t="s">
        <v>9014</v>
      </c>
      <c r="U1729" s="3" t="str">
        <f t="shared" si="54"/>
        <v/>
      </c>
    </row>
    <row r="1730" spans="1:21" x14ac:dyDescent="0.35">
      <c r="A1730" s="126" t="s">
        <v>35</v>
      </c>
      <c r="B1730" s="126" t="s">
        <v>868</v>
      </c>
      <c r="C1730" s="126" t="s">
        <v>2</v>
      </c>
      <c r="D1730" s="126" t="s">
        <v>3</v>
      </c>
      <c r="E1730" s="126">
        <v>4.55</v>
      </c>
      <c r="F1730" s="126" t="s">
        <v>88</v>
      </c>
      <c r="G1730" s="108">
        <v>45608</v>
      </c>
      <c r="H1730" s="126" t="s">
        <v>94</v>
      </c>
      <c r="I1730" s="126" t="s">
        <v>416</v>
      </c>
      <c r="J1730" s="126" t="s">
        <v>417</v>
      </c>
      <c r="K1730" s="126"/>
      <c r="L1730" s="126"/>
      <c r="M1730" s="126"/>
      <c r="N1730" s="126"/>
      <c r="O1730" s="126" t="s">
        <v>520</v>
      </c>
      <c r="Q1730" s="3">
        <f t="shared" si="53"/>
        <v>4.55</v>
      </c>
      <c r="S1730" s="55" t="s">
        <v>9014</v>
      </c>
      <c r="U1730" s="3" t="str">
        <f t="shared" si="54"/>
        <v/>
      </c>
    </row>
    <row r="1731" spans="1:21" x14ac:dyDescent="0.35">
      <c r="A1731" s="126" t="s">
        <v>35</v>
      </c>
      <c r="B1731" s="126" t="s">
        <v>768</v>
      </c>
      <c r="C1731" s="126" t="s">
        <v>2</v>
      </c>
      <c r="D1731" s="126" t="s">
        <v>3</v>
      </c>
      <c r="E1731" s="126">
        <v>4.5</v>
      </c>
      <c r="F1731" s="126" t="s">
        <v>88</v>
      </c>
      <c r="G1731" s="108">
        <v>45384</v>
      </c>
      <c r="H1731" s="126" t="s">
        <v>94</v>
      </c>
      <c r="I1731" s="126" t="s">
        <v>406</v>
      </c>
      <c r="J1731" s="126" t="s">
        <v>407</v>
      </c>
      <c r="K1731" s="126"/>
      <c r="L1731" s="126"/>
      <c r="M1731" s="126"/>
      <c r="N1731" s="126"/>
      <c r="O1731" s="126" t="s">
        <v>517</v>
      </c>
      <c r="Q1731" s="3">
        <f t="shared" si="53"/>
        <v>4.5</v>
      </c>
      <c r="U1731" s="3" t="str">
        <f t="shared" si="54"/>
        <v/>
      </c>
    </row>
    <row r="1732" spans="1:21" x14ac:dyDescent="0.35">
      <c r="A1732" s="126" t="s">
        <v>35</v>
      </c>
      <c r="B1732" s="126" t="s">
        <v>698</v>
      </c>
      <c r="C1732" s="126" t="s">
        <v>2</v>
      </c>
      <c r="D1732" s="126" t="s">
        <v>3</v>
      </c>
      <c r="E1732" s="126">
        <v>4.5</v>
      </c>
      <c r="F1732" s="126" t="s">
        <v>88</v>
      </c>
      <c r="G1732" s="108">
        <v>45468</v>
      </c>
      <c r="H1732" s="126" t="s">
        <v>94</v>
      </c>
      <c r="I1732" s="126" t="s">
        <v>2634</v>
      </c>
      <c r="J1732" s="126" t="s">
        <v>8063</v>
      </c>
      <c r="K1732" s="126"/>
      <c r="L1732" s="126"/>
      <c r="M1732" s="126"/>
      <c r="N1732" s="126"/>
      <c r="O1732" s="126" t="s">
        <v>4447</v>
      </c>
      <c r="Q1732" s="3">
        <f t="shared" si="53"/>
        <v>4.5</v>
      </c>
      <c r="S1732" s="55" t="s">
        <v>9014</v>
      </c>
      <c r="U1732" s="3" t="str">
        <f t="shared" si="54"/>
        <v/>
      </c>
    </row>
    <row r="1733" spans="1:21" x14ac:dyDescent="0.35">
      <c r="A1733" s="126" t="s">
        <v>35</v>
      </c>
      <c r="B1733" s="126" t="s">
        <v>861</v>
      </c>
      <c r="C1733" s="126" t="s">
        <v>2</v>
      </c>
      <c r="D1733" s="126" t="s">
        <v>3</v>
      </c>
      <c r="E1733" s="126">
        <v>4.5</v>
      </c>
      <c r="F1733" s="126" t="s">
        <v>88</v>
      </c>
      <c r="G1733" s="108">
        <v>45470</v>
      </c>
      <c r="H1733" s="126" t="s">
        <v>94</v>
      </c>
      <c r="I1733" s="126" t="s">
        <v>410</v>
      </c>
      <c r="J1733" s="126" t="s">
        <v>307</v>
      </c>
      <c r="K1733" s="126"/>
      <c r="L1733" s="126"/>
      <c r="M1733" s="126"/>
      <c r="N1733" s="126"/>
      <c r="O1733" s="126" t="s">
        <v>519</v>
      </c>
      <c r="Q1733" s="3">
        <f t="shared" si="53"/>
        <v>4.5</v>
      </c>
      <c r="S1733" s="55" t="s">
        <v>9014</v>
      </c>
      <c r="U1733" s="3" t="str">
        <f t="shared" si="54"/>
        <v/>
      </c>
    </row>
    <row r="1734" spans="1:21" x14ac:dyDescent="0.35">
      <c r="A1734" s="126" t="s">
        <v>35</v>
      </c>
      <c r="B1734" s="126" t="s">
        <v>3422</v>
      </c>
      <c r="C1734" s="126" t="s">
        <v>2</v>
      </c>
      <c r="D1734" s="126" t="s">
        <v>3</v>
      </c>
      <c r="E1734" s="126">
        <v>4.5</v>
      </c>
      <c r="F1734" s="126" t="s">
        <v>88</v>
      </c>
      <c r="G1734" s="108">
        <v>45565</v>
      </c>
      <c r="H1734" s="126" t="s">
        <v>94</v>
      </c>
      <c r="I1734" s="126" t="s">
        <v>4435</v>
      </c>
      <c r="J1734" s="126" t="s">
        <v>7661</v>
      </c>
      <c r="K1734" s="126"/>
      <c r="L1734" s="126"/>
      <c r="M1734" s="126"/>
      <c r="N1734" s="126"/>
      <c r="O1734" s="126" t="s">
        <v>538</v>
      </c>
      <c r="Q1734" s="3">
        <f t="shared" si="53"/>
        <v>4.5</v>
      </c>
      <c r="U1734" s="3" t="str">
        <f t="shared" si="54"/>
        <v/>
      </c>
    </row>
    <row r="1735" spans="1:21" x14ac:dyDescent="0.35">
      <c r="A1735" s="126" t="s">
        <v>0</v>
      </c>
      <c r="B1735" s="126" t="s">
        <v>1075</v>
      </c>
      <c r="C1735" s="126" t="s">
        <v>2</v>
      </c>
      <c r="D1735" s="126" t="s">
        <v>3</v>
      </c>
      <c r="E1735" s="126">
        <v>4.5</v>
      </c>
      <c r="F1735" s="126" t="s">
        <v>88</v>
      </c>
      <c r="G1735" s="108">
        <v>45601</v>
      </c>
      <c r="H1735" s="126" t="s">
        <v>89</v>
      </c>
      <c r="I1735" s="126" t="s">
        <v>8651</v>
      </c>
      <c r="J1735" s="126"/>
      <c r="K1735" s="126" t="s">
        <v>309</v>
      </c>
      <c r="L1735" s="126" t="s">
        <v>8652</v>
      </c>
      <c r="M1735" s="126" t="s">
        <v>396</v>
      </c>
      <c r="N1735" s="126"/>
      <c r="O1735" s="126"/>
      <c r="Q1735" s="3">
        <f t="shared" si="53"/>
        <v>4.5</v>
      </c>
      <c r="U1735" s="3" t="str">
        <f t="shared" si="54"/>
        <v/>
      </c>
    </row>
    <row r="1736" spans="1:21" x14ac:dyDescent="0.35">
      <c r="A1736" s="126" t="s">
        <v>35</v>
      </c>
      <c r="B1736" s="126" t="s">
        <v>633</v>
      </c>
      <c r="C1736" s="126" t="s">
        <v>2</v>
      </c>
      <c r="D1736" s="126" t="s">
        <v>3</v>
      </c>
      <c r="E1736" s="126">
        <v>4.45</v>
      </c>
      <c r="F1736" s="126" t="s">
        <v>88</v>
      </c>
      <c r="G1736" s="108">
        <v>45534</v>
      </c>
      <c r="H1736" s="126" t="s">
        <v>94</v>
      </c>
      <c r="I1736" s="126" t="s">
        <v>8375</v>
      </c>
      <c r="J1736" s="126" t="s">
        <v>8376</v>
      </c>
      <c r="K1736" s="126"/>
      <c r="L1736" s="126"/>
      <c r="M1736" s="126"/>
      <c r="N1736" s="126"/>
      <c r="O1736" s="126" t="s">
        <v>5899</v>
      </c>
      <c r="Q1736" s="3">
        <f t="shared" ref="Q1736:Q1799" si="55">ABS(E1736)</f>
        <v>4.45</v>
      </c>
      <c r="S1736" s="55" t="s">
        <v>9014</v>
      </c>
      <c r="U1736" s="3" t="str">
        <f t="shared" ref="U1736:U1799" si="56">IF(T1736="Y",E1736,"")</f>
        <v/>
      </c>
    </row>
    <row r="1737" spans="1:21" x14ac:dyDescent="0.35">
      <c r="A1737" s="126" t="s">
        <v>35</v>
      </c>
      <c r="B1737" s="126" t="s">
        <v>868</v>
      </c>
      <c r="C1737" s="126" t="s">
        <v>2</v>
      </c>
      <c r="D1737" s="126" t="s">
        <v>3</v>
      </c>
      <c r="E1737" s="126">
        <v>4.3600000000000003</v>
      </c>
      <c r="F1737" s="126" t="s">
        <v>88</v>
      </c>
      <c r="G1737" s="108">
        <v>45425</v>
      </c>
      <c r="H1737" s="126" t="s">
        <v>94</v>
      </c>
      <c r="I1737" s="126" t="s">
        <v>416</v>
      </c>
      <c r="J1737" s="126" t="s">
        <v>417</v>
      </c>
      <c r="K1737" s="126"/>
      <c r="L1737" s="126"/>
      <c r="M1737" s="126"/>
      <c r="N1737" s="126"/>
      <c r="O1737" s="126" t="s">
        <v>7818</v>
      </c>
      <c r="Q1737" s="3">
        <f t="shared" si="55"/>
        <v>4.3600000000000003</v>
      </c>
      <c r="S1737" s="55" t="s">
        <v>9014</v>
      </c>
      <c r="U1737" s="3" t="str">
        <f t="shared" si="56"/>
        <v/>
      </c>
    </row>
    <row r="1738" spans="1:21" x14ac:dyDescent="0.35">
      <c r="A1738" s="126" t="s">
        <v>35</v>
      </c>
      <c r="B1738" s="126" t="s">
        <v>893</v>
      </c>
      <c r="C1738" s="126" t="s">
        <v>2</v>
      </c>
      <c r="D1738" s="126" t="s">
        <v>3</v>
      </c>
      <c r="E1738" s="126">
        <v>4.3600000000000003</v>
      </c>
      <c r="F1738" s="126" t="s">
        <v>88</v>
      </c>
      <c r="G1738" s="108">
        <v>45607</v>
      </c>
      <c r="H1738" s="126" t="s">
        <v>94</v>
      </c>
      <c r="I1738" s="126" t="s">
        <v>4458</v>
      </c>
      <c r="J1738" s="126" t="s">
        <v>327</v>
      </c>
      <c r="K1738" s="126"/>
      <c r="L1738" s="126"/>
      <c r="M1738" s="126"/>
      <c r="N1738" s="126"/>
      <c r="O1738" s="126" t="s">
        <v>571</v>
      </c>
      <c r="Q1738" s="3">
        <f t="shared" si="55"/>
        <v>4.3600000000000003</v>
      </c>
      <c r="U1738" s="3" t="str">
        <f t="shared" si="56"/>
        <v/>
      </c>
    </row>
    <row r="1739" spans="1:21" x14ac:dyDescent="0.35">
      <c r="A1739" s="126" t="s">
        <v>35</v>
      </c>
      <c r="B1739" s="126" t="s">
        <v>768</v>
      </c>
      <c r="C1739" s="126" t="s">
        <v>2</v>
      </c>
      <c r="D1739" s="126" t="s">
        <v>3</v>
      </c>
      <c r="E1739" s="126">
        <v>4.3499999999999996</v>
      </c>
      <c r="F1739" s="126" t="s">
        <v>88</v>
      </c>
      <c r="G1739" s="108">
        <v>45449</v>
      </c>
      <c r="H1739" s="126" t="s">
        <v>94</v>
      </c>
      <c r="I1739" s="126" t="s">
        <v>406</v>
      </c>
      <c r="J1739" s="126" t="s">
        <v>483</v>
      </c>
      <c r="K1739" s="126"/>
      <c r="L1739" s="126"/>
      <c r="M1739" s="126"/>
      <c r="N1739" s="126"/>
      <c r="O1739" s="126" t="s">
        <v>7946</v>
      </c>
      <c r="Q1739" s="3">
        <f t="shared" si="55"/>
        <v>4.3499999999999996</v>
      </c>
      <c r="S1739" s="55" t="s">
        <v>9014</v>
      </c>
      <c r="U1739" s="3" t="str">
        <f t="shared" si="56"/>
        <v/>
      </c>
    </row>
    <row r="1740" spans="1:21" x14ac:dyDescent="0.35">
      <c r="A1740" s="126" t="s">
        <v>35</v>
      </c>
      <c r="B1740" s="126" t="s">
        <v>768</v>
      </c>
      <c r="C1740" s="126" t="s">
        <v>2</v>
      </c>
      <c r="D1740" s="126" t="s">
        <v>3</v>
      </c>
      <c r="E1740" s="126">
        <v>4.3499999999999996</v>
      </c>
      <c r="F1740" s="126" t="s">
        <v>88</v>
      </c>
      <c r="G1740" s="108">
        <v>45470</v>
      </c>
      <c r="H1740" s="126" t="s">
        <v>94</v>
      </c>
      <c r="I1740" s="126" t="s">
        <v>406</v>
      </c>
      <c r="J1740" s="126" t="s">
        <v>483</v>
      </c>
      <c r="K1740" s="126"/>
      <c r="L1740" s="126"/>
      <c r="M1740" s="126"/>
      <c r="N1740" s="126"/>
      <c r="O1740" s="126" t="s">
        <v>517</v>
      </c>
      <c r="Q1740" s="3">
        <f t="shared" si="55"/>
        <v>4.3499999999999996</v>
      </c>
      <c r="S1740" s="55" t="s">
        <v>9014</v>
      </c>
      <c r="U1740" s="3" t="str">
        <f t="shared" si="56"/>
        <v/>
      </c>
    </row>
    <row r="1741" spans="1:21" x14ac:dyDescent="0.35">
      <c r="A1741" s="126" t="s">
        <v>35</v>
      </c>
      <c r="B1741" s="126" t="s">
        <v>868</v>
      </c>
      <c r="C1741" s="126" t="s">
        <v>2</v>
      </c>
      <c r="D1741" s="126" t="s">
        <v>3</v>
      </c>
      <c r="E1741" s="126">
        <v>4.2699999999999996</v>
      </c>
      <c r="F1741" s="126" t="s">
        <v>88</v>
      </c>
      <c r="G1741" s="108">
        <v>45456</v>
      </c>
      <c r="H1741" s="126" t="s">
        <v>94</v>
      </c>
      <c r="I1741" s="126" t="s">
        <v>2920</v>
      </c>
      <c r="J1741" s="126" t="s">
        <v>417</v>
      </c>
      <c r="K1741" s="126"/>
      <c r="L1741" s="126"/>
      <c r="M1741" s="126"/>
      <c r="N1741" s="126"/>
      <c r="O1741" s="126" t="s">
        <v>7924</v>
      </c>
      <c r="Q1741" s="3">
        <f t="shared" si="55"/>
        <v>4.2699999999999996</v>
      </c>
      <c r="S1741" s="55" t="s">
        <v>9014</v>
      </c>
      <c r="U1741" s="3" t="str">
        <f t="shared" si="56"/>
        <v/>
      </c>
    </row>
    <row r="1742" spans="1:21" x14ac:dyDescent="0.35">
      <c r="A1742" s="126" t="s">
        <v>35</v>
      </c>
      <c r="B1742" s="126" t="s">
        <v>1533</v>
      </c>
      <c r="C1742" s="126" t="s">
        <v>2</v>
      </c>
      <c r="D1742" s="126" t="s">
        <v>3</v>
      </c>
      <c r="E1742" s="126">
        <v>4.2</v>
      </c>
      <c r="F1742" s="126" t="s">
        <v>88</v>
      </c>
      <c r="G1742" s="108">
        <v>45609</v>
      </c>
      <c r="H1742" s="126" t="s">
        <v>94</v>
      </c>
      <c r="I1742" s="126" t="s">
        <v>474</v>
      </c>
      <c r="J1742" s="126" t="s">
        <v>332</v>
      </c>
      <c r="K1742" s="126"/>
      <c r="L1742" s="126"/>
      <c r="M1742" s="126"/>
      <c r="N1742" s="126"/>
      <c r="O1742" s="126" t="s">
        <v>557</v>
      </c>
      <c r="Q1742" s="3">
        <f t="shared" si="55"/>
        <v>4.2</v>
      </c>
      <c r="U1742" s="3" t="str">
        <f t="shared" si="56"/>
        <v/>
      </c>
    </row>
    <row r="1743" spans="1:21" x14ac:dyDescent="0.35">
      <c r="A1743" s="126" t="s">
        <v>35</v>
      </c>
      <c r="B1743" s="126" t="s">
        <v>633</v>
      </c>
      <c r="C1743" s="126" t="s">
        <v>2</v>
      </c>
      <c r="D1743" s="126" t="s">
        <v>3</v>
      </c>
      <c r="E1743" s="126">
        <v>4.09</v>
      </c>
      <c r="F1743" s="126" t="s">
        <v>88</v>
      </c>
      <c r="G1743" s="108">
        <v>45384</v>
      </c>
      <c r="H1743" s="126" t="s">
        <v>94</v>
      </c>
      <c r="I1743" s="126" t="s">
        <v>491</v>
      </c>
      <c r="J1743" s="126" t="s">
        <v>492</v>
      </c>
      <c r="K1743" s="126"/>
      <c r="L1743" s="126"/>
      <c r="M1743" s="126"/>
      <c r="N1743" s="126"/>
      <c r="O1743" s="126" t="s">
        <v>566</v>
      </c>
      <c r="Q1743" s="3">
        <f t="shared" si="55"/>
        <v>4.09</v>
      </c>
      <c r="U1743" s="3" t="str">
        <f t="shared" si="56"/>
        <v/>
      </c>
    </row>
    <row r="1744" spans="1:21" x14ac:dyDescent="0.35">
      <c r="A1744" s="126" t="s">
        <v>35</v>
      </c>
      <c r="B1744" s="126" t="s">
        <v>909</v>
      </c>
      <c r="C1744" s="126" t="s">
        <v>2</v>
      </c>
      <c r="D1744" s="126" t="s">
        <v>3</v>
      </c>
      <c r="E1744" s="126">
        <v>4.09</v>
      </c>
      <c r="F1744" s="126" t="s">
        <v>88</v>
      </c>
      <c r="G1744" s="108">
        <v>45401</v>
      </c>
      <c r="H1744" s="126" t="s">
        <v>94</v>
      </c>
      <c r="I1744" s="126" t="s">
        <v>469</v>
      </c>
      <c r="J1744" s="126" t="s">
        <v>470</v>
      </c>
      <c r="K1744" s="126"/>
      <c r="L1744" s="126"/>
      <c r="M1744" s="126"/>
      <c r="N1744" s="126"/>
      <c r="O1744" s="126" t="s">
        <v>552</v>
      </c>
      <c r="Q1744" s="3">
        <f t="shared" si="55"/>
        <v>4.09</v>
      </c>
      <c r="S1744" s="55" t="s">
        <v>9014</v>
      </c>
      <c r="U1744" s="3" t="str">
        <f t="shared" si="56"/>
        <v/>
      </c>
    </row>
    <row r="1745" spans="1:21" x14ac:dyDescent="0.35">
      <c r="A1745" s="126" t="s">
        <v>35</v>
      </c>
      <c r="B1745" s="126" t="s">
        <v>2728</v>
      </c>
      <c r="C1745" s="126" t="s">
        <v>2</v>
      </c>
      <c r="D1745" s="126" t="s">
        <v>3</v>
      </c>
      <c r="E1745" s="126">
        <v>4.09</v>
      </c>
      <c r="F1745" s="126" t="s">
        <v>88</v>
      </c>
      <c r="G1745" s="108">
        <v>45401</v>
      </c>
      <c r="H1745" s="126" t="s">
        <v>94</v>
      </c>
      <c r="I1745" s="126" t="s">
        <v>3025</v>
      </c>
      <c r="J1745" s="126" t="s">
        <v>307</v>
      </c>
      <c r="K1745" s="126"/>
      <c r="L1745" s="126"/>
      <c r="M1745" s="126"/>
      <c r="N1745" s="126"/>
      <c r="O1745" s="126" t="s">
        <v>519</v>
      </c>
      <c r="Q1745" s="3">
        <f t="shared" si="55"/>
        <v>4.09</v>
      </c>
      <c r="S1745" s="55" t="s">
        <v>9014</v>
      </c>
      <c r="U1745" s="3" t="str">
        <f t="shared" si="56"/>
        <v/>
      </c>
    </row>
    <row r="1746" spans="1:21" x14ac:dyDescent="0.35">
      <c r="A1746" s="126" t="s">
        <v>35</v>
      </c>
      <c r="B1746" s="126" t="s">
        <v>909</v>
      </c>
      <c r="C1746" s="126" t="s">
        <v>2</v>
      </c>
      <c r="D1746" s="126" t="s">
        <v>3</v>
      </c>
      <c r="E1746" s="126">
        <v>4.09</v>
      </c>
      <c r="F1746" s="126" t="s">
        <v>88</v>
      </c>
      <c r="G1746" s="108">
        <v>45454</v>
      </c>
      <c r="H1746" s="126" t="s">
        <v>94</v>
      </c>
      <c r="I1746" s="126" t="s">
        <v>500</v>
      </c>
      <c r="J1746" s="126" t="s">
        <v>470</v>
      </c>
      <c r="K1746" s="126"/>
      <c r="L1746" s="126"/>
      <c r="M1746" s="126"/>
      <c r="N1746" s="126"/>
      <c r="O1746" s="126" t="s">
        <v>552</v>
      </c>
      <c r="Q1746" s="3">
        <f t="shared" si="55"/>
        <v>4.09</v>
      </c>
      <c r="S1746" s="55" t="s">
        <v>9014</v>
      </c>
      <c r="U1746" s="3" t="str">
        <f t="shared" si="56"/>
        <v/>
      </c>
    </row>
    <row r="1747" spans="1:21" x14ac:dyDescent="0.35">
      <c r="A1747" s="126" t="s">
        <v>35</v>
      </c>
      <c r="B1747" s="126" t="s">
        <v>909</v>
      </c>
      <c r="C1747" s="126" t="s">
        <v>2</v>
      </c>
      <c r="D1747" s="126" t="s">
        <v>3</v>
      </c>
      <c r="E1747" s="126">
        <v>4.09</v>
      </c>
      <c r="F1747" s="126" t="s">
        <v>88</v>
      </c>
      <c r="G1747" s="108">
        <v>45467</v>
      </c>
      <c r="H1747" s="126" t="s">
        <v>94</v>
      </c>
      <c r="I1747" s="126" t="s">
        <v>500</v>
      </c>
      <c r="J1747" s="126" t="s">
        <v>470</v>
      </c>
      <c r="K1747" s="126"/>
      <c r="L1747" s="126"/>
      <c r="M1747" s="126"/>
      <c r="N1747" s="126"/>
      <c r="O1747" s="126" t="s">
        <v>552</v>
      </c>
      <c r="Q1747" s="3">
        <f t="shared" si="55"/>
        <v>4.09</v>
      </c>
      <c r="S1747" s="55" t="s">
        <v>9014</v>
      </c>
      <c r="U1747" s="3" t="str">
        <f t="shared" si="56"/>
        <v/>
      </c>
    </row>
    <row r="1748" spans="1:21" x14ac:dyDescent="0.35">
      <c r="A1748" s="126" t="s">
        <v>35</v>
      </c>
      <c r="B1748" s="126" t="s">
        <v>909</v>
      </c>
      <c r="C1748" s="126" t="s">
        <v>2</v>
      </c>
      <c r="D1748" s="126" t="s">
        <v>3</v>
      </c>
      <c r="E1748" s="126">
        <v>4.09</v>
      </c>
      <c r="F1748" s="126" t="s">
        <v>88</v>
      </c>
      <c r="G1748" s="108">
        <v>45478</v>
      </c>
      <c r="H1748" s="126" t="s">
        <v>94</v>
      </c>
      <c r="I1748" s="126" t="s">
        <v>500</v>
      </c>
      <c r="J1748" s="126" t="s">
        <v>470</v>
      </c>
      <c r="K1748" s="126"/>
      <c r="L1748" s="126"/>
      <c r="M1748" s="126"/>
      <c r="N1748" s="126"/>
      <c r="O1748" s="126" t="s">
        <v>552</v>
      </c>
      <c r="Q1748" s="3">
        <f t="shared" si="55"/>
        <v>4.09</v>
      </c>
      <c r="S1748" s="55" t="s">
        <v>9014</v>
      </c>
      <c r="U1748" s="3" t="str">
        <f t="shared" si="56"/>
        <v/>
      </c>
    </row>
    <row r="1749" spans="1:21" x14ac:dyDescent="0.35">
      <c r="A1749" s="126" t="s">
        <v>35</v>
      </c>
      <c r="B1749" s="126" t="s">
        <v>1480</v>
      </c>
      <c r="C1749" s="126" t="s">
        <v>2</v>
      </c>
      <c r="D1749" s="126" t="s">
        <v>3</v>
      </c>
      <c r="E1749" s="126">
        <v>4.09</v>
      </c>
      <c r="F1749" s="126" t="s">
        <v>88</v>
      </c>
      <c r="G1749" s="108">
        <v>45510</v>
      </c>
      <c r="H1749" s="126" t="s">
        <v>94</v>
      </c>
      <c r="I1749" s="126" t="s">
        <v>326</v>
      </c>
      <c r="J1749" s="126" t="s">
        <v>327</v>
      </c>
      <c r="K1749" s="126"/>
      <c r="L1749" s="126"/>
      <c r="M1749" s="126"/>
      <c r="N1749" s="126"/>
      <c r="O1749" s="126" t="s">
        <v>550</v>
      </c>
      <c r="Q1749" s="3">
        <f t="shared" si="55"/>
        <v>4.09</v>
      </c>
      <c r="U1749" s="3" t="str">
        <f t="shared" si="56"/>
        <v/>
      </c>
    </row>
    <row r="1750" spans="1:21" x14ac:dyDescent="0.35">
      <c r="A1750" s="126" t="s">
        <v>35</v>
      </c>
      <c r="B1750" s="126" t="s">
        <v>708</v>
      </c>
      <c r="C1750" s="126" t="s">
        <v>2</v>
      </c>
      <c r="D1750" s="126" t="s">
        <v>3</v>
      </c>
      <c r="E1750" s="126">
        <v>4.09</v>
      </c>
      <c r="F1750" s="126" t="s">
        <v>88</v>
      </c>
      <c r="G1750" s="108">
        <v>45558</v>
      </c>
      <c r="H1750" s="126" t="s">
        <v>94</v>
      </c>
      <c r="I1750" s="126" t="s">
        <v>8473</v>
      </c>
      <c r="J1750" s="126" t="s">
        <v>488</v>
      </c>
      <c r="K1750" s="126"/>
      <c r="L1750" s="126"/>
      <c r="M1750" s="126"/>
      <c r="N1750" s="126"/>
      <c r="O1750" s="126" t="s">
        <v>8474</v>
      </c>
      <c r="Q1750" s="3">
        <f t="shared" si="55"/>
        <v>4.09</v>
      </c>
      <c r="S1750" s="55" t="s">
        <v>9014</v>
      </c>
      <c r="U1750" s="3" t="str">
        <f t="shared" si="56"/>
        <v/>
      </c>
    </row>
    <row r="1751" spans="1:21" x14ac:dyDescent="0.35">
      <c r="A1751" s="126" t="s">
        <v>35</v>
      </c>
      <c r="B1751" s="126" t="s">
        <v>909</v>
      </c>
      <c r="C1751" s="126" t="s">
        <v>2</v>
      </c>
      <c r="D1751" s="126" t="s">
        <v>3</v>
      </c>
      <c r="E1751" s="126">
        <v>4.09</v>
      </c>
      <c r="F1751" s="126" t="s">
        <v>88</v>
      </c>
      <c r="G1751" s="108">
        <v>45579</v>
      </c>
      <c r="H1751" s="126" t="s">
        <v>94</v>
      </c>
      <c r="I1751" s="126" t="s">
        <v>500</v>
      </c>
      <c r="J1751" s="126" t="s">
        <v>470</v>
      </c>
      <c r="K1751" s="126"/>
      <c r="L1751" s="126"/>
      <c r="M1751" s="126"/>
      <c r="N1751" s="126"/>
      <c r="O1751" s="126" t="s">
        <v>552</v>
      </c>
      <c r="Q1751" s="3">
        <f t="shared" si="55"/>
        <v>4.09</v>
      </c>
      <c r="S1751" s="55" t="s">
        <v>9014</v>
      </c>
      <c r="U1751" s="3" t="str">
        <f t="shared" si="56"/>
        <v/>
      </c>
    </row>
    <row r="1752" spans="1:21" x14ac:dyDescent="0.35">
      <c r="A1752" s="126" t="s">
        <v>35</v>
      </c>
      <c r="B1752" s="126" t="s">
        <v>633</v>
      </c>
      <c r="C1752" s="126" t="s">
        <v>2</v>
      </c>
      <c r="D1752" s="126" t="s">
        <v>3</v>
      </c>
      <c r="E1752" s="126">
        <v>4.09</v>
      </c>
      <c r="F1752" s="126" t="s">
        <v>88</v>
      </c>
      <c r="G1752" s="108">
        <v>45581</v>
      </c>
      <c r="H1752" s="126" t="s">
        <v>94</v>
      </c>
      <c r="I1752" s="126" t="s">
        <v>491</v>
      </c>
      <c r="J1752" s="126" t="s">
        <v>492</v>
      </c>
      <c r="K1752" s="126"/>
      <c r="L1752" s="126"/>
      <c r="M1752" s="126"/>
      <c r="N1752" s="126"/>
      <c r="O1752" s="126" t="s">
        <v>566</v>
      </c>
      <c r="Q1752" s="3">
        <f t="shared" si="55"/>
        <v>4.09</v>
      </c>
      <c r="U1752" s="3" t="str">
        <f t="shared" si="56"/>
        <v/>
      </c>
    </row>
    <row r="1753" spans="1:21" x14ac:dyDescent="0.35">
      <c r="A1753" s="126" t="s">
        <v>35</v>
      </c>
      <c r="B1753" s="126" t="s">
        <v>698</v>
      </c>
      <c r="C1753" s="126" t="s">
        <v>2</v>
      </c>
      <c r="D1753" s="126" t="s">
        <v>3</v>
      </c>
      <c r="E1753" s="126">
        <v>4.09</v>
      </c>
      <c r="F1753" s="126" t="s">
        <v>88</v>
      </c>
      <c r="G1753" s="108">
        <v>45607</v>
      </c>
      <c r="H1753" s="126" t="s">
        <v>94</v>
      </c>
      <c r="I1753" s="126" t="s">
        <v>8710</v>
      </c>
      <c r="J1753" s="126" t="s">
        <v>8711</v>
      </c>
      <c r="K1753" s="126"/>
      <c r="L1753" s="126"/>
      <c r="M1753" s="126"/>
      <c r="N1753" s="126"/>
      <c r="O1753" s="126" t="s">
        <v>4447</v>
      </c>
      <c r="Q1753" s="3">
        <f t="shared" si="55"/>
        <v>4.09</v>
      </c>
      <c r="U1753" s="3" t="str">
        <f t="shared" si="56"/>
        <v/>
      </c>
    </row>
    <row r="1754" spans="1:21" x14ac:dyDescent="0.35">
      <c r="A1754" s="126" t="s">
        <v>35</v>
      </c>
      <c r="B1754" s="126" t="s">
        <v>1480</v>
      </c>
      <c r="C1754" s="126" t="s">
        <v>2</v>
      </c>
      <c r="D1754" s="126" t="s">
        <v>3</v>
      </c>
      <c r="E1754" s="126">
        <v>4.08</v>
      </c>
      <c r="F1754" s="126" t="s">
        <v>88</v>
      </c>
      <c r="G1754" s="108">
        <v>45537</v>
      </c>
      <c r="H1754" s="126" t="s">
        <v>94</v>
      </c>
      <c r="I1754" s="126" t="s">
        <v>326</v>
      </c>
      <c r="J1754" s="126" t="s">
        <v>327</v>
      </c>
      <c r="K1754" s="126"/>
      <c r="L1754" s="126"/>
      <c r="M1754" s="126"/>
      <c r="N1754" s="126"/>
      <c r="O1754" s="126" t="s">
        <v>550</v>
      </c>
      <c r="Q1754" s="3">
        <f t="shared" si="55"/>
        <v>4.08</v>
      </c>
      <c r="U1754" s="3" t="str">
        <f t="shared" si="56"/>
        <v/>
      </c>
    </row>
    <row r="1755" spans="1:21" x14ac:dyDescent="0.35">
      <c r="A1755" s="126" t="s">
        <v>35</v>
      </c>
      <c r="B1755" s="126" t="s">
        <v>1480</v>
      </c>
      <c r="C1755" s="126" t="s">
        <v>2</v>
      </c>
      <c r="D1755" s="126" t="s">
        <v>3</v>
      </c>
      <c r="E1755" s="126">
        <v>4.08</v>
      </c>
      <c r="F1755" s="126" t="s">
        <v>88</v>
      </c>
      <c r="G1755" s="108">
        <v>45587</v>
      </c>
      <c r="H1755" s="126" t="s">
        <v>94</v>
      </c>
      <c r="I1755" s="126" t="s">
        <v>326</v>
      </c>
      <c r="J1755" s="126" t="s">
        <v>327</v>
      </c>
      <c r="K1755" s="126"/>
      <c r="L1755" s="126"/>
      <c r="M1755" s="126"/>
      <c r="N1755" s="126"/>
      <c r="O1755" s="126" t="s">
        <v>550</v>
      </c>
      <c r="Q1755" s="3">
        <f t="shared" si="55"/>
        <v>4.08</v>
      </c>
      <c r="U1755" s="3" t="str">
        <f t="shared" si="56"/>
        <v/>
      </c>
    </row>
    <row r="1756" spans="1:21" x14ac:dyDescent="0.35">
      <c r="A1756" s="126" t="s">
        <v>35</v>
      </c>
      <c r="B1756" s="126" t="s">
        <v>1480</v>
      </c>
      <c r="C1756" s="126" t="s">
        <v>2</v>
      </c>
      <c r="D1756" s="126" t="s">
        <v>3</v>
      </c>
      <c r="E1756" s="126">
        <v>4.08</v>
      </c>
      <c r="F1756" s="126" t="s">
        <v>88</v>
      </c>
      <c r="G1756" s="108">
        <v>45600</v>
      </c>
      <c r="H1756" s="126" t="s">
        <v>94</v>
      </c>
      <c r="I1756" s="126" t="s">
        <v>326</v>
      </c>
      <c r="J1756" s="126" t="s">
        <v>327</v>
      </c>
      <c r="K1756" s="126"/>
      <c r="L1756" s="126"/>
      <c r="M1756" s="126"/>
      <c r="N1756" s="126"/>
      <c r="O1756" s="126" t="s">
        <v>550</v>
      </c>
      <c r="Q1756" s="3">
        <f t="shared" si="55"/>
        <v>4.08</v>
      </c>
      <c r="U1756" s="3" t="str">
        <f t="shared" si="56"/>
        <v/>
      </c>
    </row>
    <row r="1757" spans="1:21" x14ac:dyDescent="0.35">
      <c r="A1757" s="126" t="s">
        <v>0</v>
      </c>
      <c r="B1757" s="126" t="s">
        <v>7693</v>
      </c>
      <c r="C1757" s="126" t="s">
        <v>2</v>
      </c>
      <c r="D1757" s="126" t="s">
        <v>3</v>
      </c>
      <c r="E1757" s="126">
        <v>4.03</v>
      </c>
      <c r="F1757" s="126" t="s">
        <v>88</v>
      </c>
      <c r="G1757" s="108">
        <v>45391</v>
      </c>
      <c r="H1757" s="126" t="s">
        <v>89</v>
      </c>
      <c r="I1757" s="126" t="s">
        <v>7691</v>
      </c>
      <c r="J1757" s="126"/>
      <c r="K1757" s="126" t="s">
        <v>7672</v>
      </c>
      <c r="L1757" s="126" t="s">
        <v>7692</v>
      </c>
      <c r="M1757" s="126" t="s">
        <v>399</v>
      </c>
      <c r="N1757" s="35"/>
      <c r="O1757" s="35"/>
      <c r="Q1757" s="3">
        <f t="shared" si="55"/>
        <v>4.03</v>
      </c>
      <c r="S1757" s="55" t="s">
        <v>9013</v>
      </c>
      <c r="U1757" s="3" t="str">
        <f t="shared" si="56"/>
        <v/>
      </c>
    </row>
    <row r="1758" spans="1:21" x14ac:dyDescent="0.35">
      <c r="A1758" s="126" t="s">
        <v>0</v>
      </c>
      <c r="B1758" s="126" t="s">
        <v>7693</v>
      </c>
      <c r="C1758" s="126" t="s">
        <v>2</v>
      </c>
      <c r="D1758" s="126" t="s">
        <v>3</v>
      </c>
      <c r="E1758" s="126">
        <v>4.03</v>
      </c>
      <c r="F1758" s="126" t="s">
        <v>88</v>
      </c>
      <c r="G1758" s="108">
        <v>45432</v>
      </c>
      <c r="H1758" s="126" t="s">
        <v>89</v>
      </c>
      <c r="I1758" s="126" t="s">
        <v>7839</v>
      </c>
      <c r="J1758" s="126"/>
      <c r="K1758" s="126" t="s">
        <v>7840</v>
      </c>
      <c r="L1758" s="126" t="s">
        <v>7841</v>
      </c>
      <c r="M1758" s="126" t="s">
        <v>399</v>
      </c>
      <c r="N1758" s="35"/>
      <c r="O1758" s="35"/>
      <c r="Q1758" s="3">
        <f t="shared" si="55"/>
        <v>4.03</v>
      </c>
      <c r="S1758" s="55" t="s">
        <v>9013</v>
      </c>
      <c r="U1758" s="3" t="str">
        <f t="shared" si="56"/>
        <v/>
      </c>
    </row>
    <row r="1759" spans="1:21" x14ac:dyDescent="0.35">
      <c r="A1759" s="126" t="s">
        <v>0</v>
      </c>
      <c r="B1759" s="126" t="s">
        <v>7693</v>
      </c>
      <c r="C1759" s="126" t="s">
        <v>2</v>
      </c>
      <c r="D1759" s="126" t="s">
        <v>3</v>
      </c>
      <c r="E1759" s="126">
        <v>4.03</v>
      </c>
      <c r="F1759" s="126" t="s">
        <v>88</v>
      </c>
      <c r="G1759" s="108">
        <v>45454</v>
      </c>
      <c r="H1759" s="126" t="s">
        <v>89</v>
      </c>
      <c r="I1759" s="126" t="s">
        <v>7958</v>
      </c>
      <c r="J1759" s="126"/>
      <c r="K1759" s="126" t="s">
        <v>7959</v>
      </c>
      <c r="L1759" s="126" t="s">
        <v>7960</v>
      </c>
      <c r="M1759" s="126" t="s">
        <v>399</v>
      </c>
      <c r="Q1759" s="3">
        <f t="shared" si="55"/>
        <v>4.03</v>
      </c>
      <c r="S1759" s="55" t="s">
        <v>9013</v>
      </c>
      <c r="U1759" s="3" t="str">
        <f t="shared" si="56"/>
        <v/>
      </c>
    </row>
    <row r="1760" spans="1:21" x14ac:dyDescent="0.35">
      <c r="A1760" s="126" t="s">
        <v>0</v>
      </c>
      <c r="B1760" s="126" t="s">
        <v>7693</v>
      </c>
      <c r="C1760" s="126" t="s">
        <v>2</v>
      </c>
      <c r="D1760" s="126" t="s">
        <v>3</v>
      </c>
      <c r="E1760" s="126">
        <v>4.03</v>
      </c>
      <c r="F1760" s="126" t="s">
        <v>88</v>
      </c>
      <c r="G1760" s="108">
        <v>45485</v>
      </c>
      <c r="H1760" s="126" t="s">
        <v>89</v>
      </c>
      <c r="I1760" s="126" t="s">
        <v>8134</v>
      </c>
      <c r="J1760" s="126"/>
      <c r="K1760" s="126" t="s">
        <v>8135</v>
      </c>
      <c r="L1760" s="126" t="s">
        <v>8136</v>
      </c>
      <c r="M1760" s="126" t="s">
        <v>399</v>
      </c>
      <c r="N1760" s="126"/>
      <c r="O1760" s="126"/>
      <c r="Q1760" s="3">
        <f t="shared" si="55"/>
        <v>4.03</v>
      </c>
      <c r="S1760" s="55" t="s">
        <v>9013</v>
      </c>
      <c r="U1760" s="3" t="str">
        <f t="shared" si="56"/>
        <v/>
      </c>
    </row>
    <row r="1761" spans="1:21" x14ac:dyDescent="0.35">
      <c r="A1761" s="126" t="s">
        <v>0</v>
      </c>
      <c r="B1761" s="126" t="s">
        <v>7693</v>
      </c>
      <c r="C1761" s="126" t="s">
        <v>2</v>
      </c>
      <c r="D1761" s="126" t="s">
        <v>3</v>
      </c>
      <c r="E1761" s="126">
        <v>4.03</v>
      </c>
      <c r="F1761" s="126" t="s">
        <v>88</v>
      </c>
      <c r="G1761" s="108">
        <v>45517</v>
      </c>
      <c r="H1761" s="126" t="s">
        <v>89</v>
      </c>
      <c r="I1761" s="126" t="s">
        <v>8320</v>
      </c>
      <c r="J1761" s="126"/>
      <c r="K1761" s="126" t="s">
        <v>8321</v>
      </c>
      <c r="L1761" s="126" t="s">
        <v>8322</v>
      </c>
      <c r="M1761" s="126" t="s">
        <v>399</v>
      </c>
      <c r="Q1761" s="3">
        <f t="shared" si="55"/>
        <v>4.03</v>
      </c>
      <c r="S1761" s="55" t="s">
        <v>9013</v>
      </c>
      <c r="U1761" s="3" t="str">
        <f t="shared" si="56"/>
        <v/>
      </c>
    </row>
    <row r="1762" spans="1:21" x14ac:dyDescent="0.35">
      <c r="A1762" s="126" t="s">
        <v>0</v>
      </c>
      <c r="B1762" s="126" t="s">
        <v>7693</v>
      </c>
      <c r="C1762" s="126" t="s">
        <v>2</v>
      </c>
      <c r="D1762" s="126" t="s">
        <v>3</v>
      </c>
      <c r="E1762" s="126">
        <v>4.03</v>
      </c>
      <c r="F1762" s="126" t="s">
        <v>88</v>
      </c>
      <c r="G1762" s="108">
        <v>45551</v>
      </c>
      <c r="H1762" s="126" t="s">
        <v>89</v>
      </c>
      <c r="I1762" s="126" t="s">
        <v>8431</v>
      </c>
      <c r="J1762" s="126"/>
      <c r="K1762" s="126" t="s">
        <v>8432</v>
      </c>
      <c r="L1762" s="126" t="s">
        <v>8433</v>
      </c>
      <c r="M1762" s="126" t="s">
        <v>399</v>
      </c>
      <c r="N1762" s="126"/>
      <c r="O1762" s="126"/>
      <c r="Q1762" s="3">
        <f t="shared" si="55"/>
        <v>4.03</v>
      </c>
      <c r="S1762" s="55" t="s">
        <v>9013</v>
      </c>
      <c r="U1762" s="3" t="str">
        <f t="shared" si="56"/>
        <v/>
      </c>
    </row>
    <row r="1763" spans="1:21" x14ac:dyDescent="0.35">
      <c r="A1763" s="126" t="s">
        <v>0</v>
      </c>
      <c r="B1763" s="126" t="s">
        <v>7693</v>
      </c>
      <c r="C1763" s="126" t="s">
        <v>2</v>
      </c>
      <c r="D1763" s="126" t="s">
        <v>3</v>
      </c>
      <c r="E1763" s="126">
        <v>4.03</v>
      </c>
      <c r="F1763" s="126" t="s">
        <v>88</v>
      </c>
      <c r="G1763" s="108">
        <v>45569</v>
      </c>
      <c r="H1763" s="126" t="s">
        <v>89</v>
      </c>
      <c r="I1763" s="126" t="s">
        <v>8521</v>
      </c>
      <c r="J1763" s="126"/>
      <c r="K1763" s="126" t="s">
        <v>8522</v>
      </c>
      <c r="L1763" s="126" t="s">
        <v>8523</v>
      </c>
      <c r="M1763" s="126" t="s">
        <v>399</v>
      </c>
      <c r="Q1763" s="3">
        <f t="shared" si="55"/>
        <v>4.03</v>
      </c>
      <c r="S1763" s="55" t="s">
        <v>9013</v>
      </c>
      <c r="U1763" s="3" t="str">
        <f t="shared" si="56"/>
        <v/>
      </c>
    </row>
    <row r="1764" spans="1:21" x14ac:dyDescent="0.35">
      <c r="A1764" s="126" t="s">
        <v>0</v>
      </c>
      <c r="B1764" s="126" t="s">
        <v>7693</v>
      </c>
      <c r="C1764" s="126" t="s">
        <v>2</v>
      </c>
      <c r="D1764" s="126" t="s">
        <v>3</v>
      </c>
      <c r="E1764" s="126">
        <v>4.03</v>
      </c>
      <c r="F1764" s="126" t="s">
        <v>88</v>
      </c>
      <c r="G1764" s="108">
        <v>45611</v>
      </c>
      <c r="H1764" s="126" t="s">
        <v>89</v>
      </c>
      <c r="I1764" s="126" t="s">
        <v>8734</v>
      </c>
      <c r="J1764" s="126"/>
      <c r="K1764" s="126" t="s">
        <v>8522</v>
      </c>
      <c r="L1764" s="126" t="s">
        <v>8736</v>
      </c>
      <c r="M1764" s="126" t="s">
        <v>399</v>
      </c>
      <c r="Q1764" s="3">
        <f t="shared" si="55"/>
        <v>4.03</v>
      </c>
      <c r="S1764" s="55" t="s">
        <v>9013</v>
      </c>
      <c r="U1764" s="3" t="str">
        <f t="shared" si="56"/>
        <v/>
      </c>
    </row>
    <row r="1765" spans="1:21" x14ac:dyDescent="0.35">
      <c r="A1765" s="126" t="s">
        <v>0</v>
      </c>
      <c r="B1765" s="126" t="s">
        <v>7693</v>
      </c>
      <c r="C1765" s="126" t="s">
        <v>2</v>
      </c>
      <c r="D1765" s="126" t="s">
        <v>3</v>
      </c>
      <c r="E1765" s="126">
        <v>4.03</v>
      </c>
      <c r="F1765" s="126" t="s">
        <v>88</v>
      </c>
      <c r="G1765" s="108">
        <v>45635</v>
      </c>
      <c r="H1765" s="126" t="s">
        <v>89</v>
      </c>
      <c r="I1765" s="126" t="s">
        <v>8878</v>
      </c>
      <c r="J1765" s="126"/>
      <c r="K1765" s="126" t="s">
        <v>8879</v>
      </c>
      <c r="L1765" s="126" t="s">
        <v>8880</v>
      </c>
      <c r="M1765" s="126" t="s">
        <v>399</v>
      </c>
      <c r="Q1765" s="3">
        <f t="shared" si="55"/>
        <v>4.03</v>
      </c>
      <c r="S1765" s="55" t="s">
        <v>9013</v>
      </c>
      <c r="U1765" s="3" t="str">
        <f t="shared" si="56"/>
        <v/>
      </c>
    </row>
    <row r="1766" spans="1:21" x14ac:dyDescent="0.35">
      <c r="A1766" s="126" t="s">
        <v>35</v>
      </c>
      <c r="B1766" s="126" t="s">
        <v>768</v>
      </c>
      <c r="C1766" s="126" t="s">
        <v>2</v>
      </c>
      <c r="D1766" s="126" t="s">
        <v>3</v>
      </c>
      <c r="E1766" s="126">
        <v>4</v>
      </c>
      <c r="F1766" s="126" t="s">
        <v>88</v>
      </c>
      <c r="G1766" s="108">
        <v>45426</v>
      </c>
      <c r="H1766" s="126" t="s">
        <v>94</v>
      </c>
      <c r="I1766" s="126" t="s">
        <v>406</v>
      </c>
      <c r="J1766" s="126" t="s">
        <v>483</v>
      </c>
      <c r="K1766" s="126"/>
      <c r="L1766" s="126"/>
      <c r="M1766" s="126"/>
      <c r="N1766" s="126"/>
      <c r="O1766" s="126" t="s">
        <v>517</v>
      </c>
      <c r="Q1766" s="3">
        <f t="shared" si="55"/>
        <v>4</v>
      </c>
      <c r="S1766" s="55" t="s">
        <v>9014</v>
      </c>
      <c r="U1766" s="3" t="str">
        <f t="shared" si="56"/>
        <v/>
      </c>
    </row>
    <row r="1767" spans="1:21" x14ac:dyDescent="0.35">
      <c r="A1767" s="126" t="s">
        <v>35</v>
      </c>
      <c r="B1767" s="126" t="s">
        <v>768</v>
      </c>
      <c r="C1767" s="126" t="s">
        <v>2</v>
      </c>
      <c r="D1767" s="126" t="s">
        <v>3</v>
      </c>
      <c r="E1767" s="126">
        <v>4</v>
      </c>
      <c r="F1767" s="126" t="s">
        <v>88</v>
      </c>
      <c r="G1767" s="108">
        <v>45614</v>
      </c>
      <c r="H1767" s="126" t="s">
        <v>94</v>
      </c>
      <c r="I1767" s="126" t="s">
        <v>406</v>
      </c>
      <c r="J1767" s="126" t="s">
        <v>483</v>
      </c>
      <c r="K1767" s="126"/>
      <c r="L1767" s="126"/>
      <c r="M1767" s="126"/>
      <c r="N1767" s="126"/>
      <c r="O1767" s="126" t="s">
        <v>517</v>
      </c>
      <c r="Q1767" s="3">
        <f t="shared" si="55"/>
        <v>4</v>
      </c>
      <c r="S1767" s="55" t="s">
        <v>9014</v>
      </c>
      <c r="U1767" s="3" t="str">
        <f t="shared" si="56"/>
        <v/>
      </c>
    </row>
    <row r="1768" spans="1:21" x14ac:dyDescent="0.35">
      <c r="A1768" s="126" t="s">
        <v>0</v>
      </c>
      <c r="B1768" s="126" t="s">
        <v>969</v>
      </c>
      <c r="C1768" s="126" t="s">
        <v>2</v>
      </c>
      <c r="D1768" s="126" t="s">
        <v>3</v>
      </c>
      <c r="E1768" s="126">
        <v>3.95</v>
      </c>
      <c r="F1768" s="126" t="s">
        <v>88</v>
      </c>
      <c r="G1768" s="108">
        <v>45386</v>
      </c>
      <c r="H1768" s="126" t="s">
        <v>89</v>
      </c>
      <c r="I1768" s="126" t="s">
        <v>7654</v>
      </c>
      <c r="J1768" s="126"/>
      <c r="K1768" s="126" t="s">
        <v>7655</v>
      </c>
      <c r="L1768" s="126" t="s">
        <v>7656</v>
      </c>
      <c r="M1768" s="126" t="s">
        <v>420</v>
      </c>
      <c r="N1768" s="126"/>
      <c r="O1768" s="126"/>
      <c r="Q1768" s="3">
        <f t="shared" si="55"/>
        <v>3.95</v>
      </c>
      <c r="U1768" s="3" t="str">
        <f t="shared" si="56"/>
        <v/>
      </c>
    </row>
    <row r="1769" spans="1:21" x14ac:dyDescent="0.35">
      <c r="A1769" s="126" t="s">
        <v>35</v>
      </c>
      <c r="B1769" s="126" t="s">
        <v>909</v>
      </c>
      <c r="C1769" s="126" t="s">
        <v>2</v>
      </c>
      <c r="D1769" s="126" t="s">
        <v>3</v>
      </c>
      <c r="E1769" s="126">
        <v>3.95</v>
      </c>
      <c r="F1769" s="126" t="s">
        <v>88</v>
      </c>
      <c r="G1769" s="108">
        <v>45635</v>
      </c>
      <c r="H1769" s="126" t="s">
        <v>94</v>
      </c>
      <c r="I1769" s="126" t="s">
        <v>469</v>
      </c>
      <c r="J1769" s="126" t="s">
        <v>470</v>
      </c>
      <c r="K1769" s="126"/>
      <c r="L1769" s="126"/>
      <c r="M1769" s="126"/>
      <c r="N1769" s="126"/>
      <c r="O1769" s="126" t="s">
        <v>552</v>
      </c>
      <c r="Q1769" s="3">
        <f t="shared" si="55"/>
        <v>3.95</v>
      </c>
      <c r="S1769" s="55" t="s">
        <v>9014</v>
      </c>
      <c r="U1769" s="3" t="str">
        <f t="shared" si="56"/>
        <v/>
      </c>
    </row>
    <row r="1770" spans="1:21" x14ac:dyDescent="0.35">
      <c r="A1770" s="126" t="s">
        <v>35</v>
      </c>
      <c r="B1770" s="126" t="s">
        <v>633</v>
      </c>
      <c r="C1770" s="126" t="s">
        <v>2</v>
      </c>
      <c r="D1770" s="126" t="s">
        <v>3</v>
      </c>
      <c r="E1770" s="126">
        <v>3.91</v>
      </c>
      <c r="F1770" s="126" t="s">
        <v>88</v>
      </c>
      <c r="G1770" s="108">
        <v>45485</v>
      </c>
      <c r="H1770" s="126" t="s">
        <v>94</v>
      </c>
      <c r="I1770" s="126" t="s">
        <v>491</v>
      </c>
      <c r="J1770" s="126" t="s">
        <v>492</v>
      </c>
      <c r="K1770" s="126"/>
      <c r="L1770" s="126"/>
      <c r="M1770" s="126"/>
      <c r="N1770" s="126"/>
      <c r="O1770" s="126" t="s">
        <v>565</v>
      </c>
      <c r="Q1770" s="3">
        <f t="shared" si="55"/>
        <v>3.91</v>
      </c>
      <c r="U1770" s="3" t="str">
        <f t="shared" si="56"/>
        <v/>
      </c>
    </row>
    <row r="1771" spans="1:21" x14ac:dyDescent="0.35">
      <c r="A1771" s="126" t="s">
        <v>35</v>
      </c>
      <c r="B1771" s="126" t="s">
        <v>615</v>
      </c>
      <c r="C1771" s="126" t="s">
        <v>2</v>
      </c>
      <c r="D1771" s="126" t="s">
        <v>3</v>
      </c>
      <c r="E1771" s="126">
        <v>3.9</v>
      </c>
      <c r="F1771" s="126" t="s">
        <v>88</v>
      </c>
      <c r="G1771" s="108">
        <v>45432</v>
      </c>
      <c r="H1771" s="126" t="s">
        <v>94</v>
      </c>
      <c r="I1771" s="126" t="s">
        <v>421</v>
      </c>
      <c r="J1771" s="126" t="s">
        <v>422</v>
      </c>
      <c r="K1771" s="126"/>
      <c r="L1771" s="126"/>
      <c r="M1771" s="126"/>
      <c r="N1771" s="126"/>
      <c r="O1771" s="126" t="s">
        <v>521</v>
      </c>
      <c r="Q1771" s="3">
        <f t="shared" si="55"/>
        <v>3.9</v>
      </c>
      <c r="S1771" s="55" t="s">
        <v>9014</v>
      </c>
      <c r="U1771" s="3" t="str">
        <f t="shared" si="56"/>
        <v/>
      </c>
    </row>
    <row r="1772" spans="1:21" x14ac:dyDescent="0.35">
      <c r="A1772" s="126" t="s">
        <v>35</v>
      </c>
      <c r="B1772" s="126" t="s">
        <v>6156</v>
      </c>
      <c r="C1772" s="126" t="s">
        <v>2</v>
      </c>
      <c r="D1772" s="126" t="s">
        <v>3</v>
      </c>
      <c r="E1772" s="126">
        <v>3.82</v>
      </c>
      <c r="F1772" s="126" t="s">
        <v>88</v>
      </c>
      <c r="G1772" s="108">
        <v>45454</v>
      </c>
      <c r="H1772" s="126" t="s">
        <v>94</v>
      </c>
      <c r="I1772" s="126" t="s">
        <v>7978</v>
      </c>
      <c r="J1772" s="126" t="s">
        <v>7979</v>
      </c>
      <c r="K1772" s="126"/>
      <c r="L1772" s="126"/>
      <c r="M1772" s="126"/>
      <c r="N1772" s="126"/>
      <c r="O1772" s="126" t="s">
        <v>7980</v>
      </c>
      <c r="Q1772" s="3">
        <f t="shared" si="55"/>
        <v>3.82</v>
      </c>
      <c r="U1772" s="3" t="str">
        <f t="shared" si="56"/>
        <v/>
      </c>
    </row>
    <row r="1773" spans="1:21" x14ac:dyDescent="0.35">
      <c r="A1773" s="126" t="s">
        <v>35</v>
      </c>
      <c r="B1773" s="126" t="s">
        <v>1480</v>
      </c>
      <c r="C1773" s="126" t="s">
        <v>2</v>
      </c>
      <c r="D1773" s="126" t="s">
        <v>3</v>
      </c>
      <c r="E1773" s="126">
        <v>3.82</v>
      </c>
      <c r="F1773" s="126" t="s">
        <v>88</v>
      </c>
      <c r="G1773" s="108">
        <v>45498</v>
      </c>
      <c r="H1773" s="126" t="s">
        <v>94</v>
      </c>
      <c r="I1773" s="126" t="s">
        <v>326</v>
      </c>
      <c r="J1773" s="126" t="s">
        <v>327</v>
      </c>
      <c r="K1773" s="126"/>
      <c r="L1773" s="126"/>
      <c r="M1773" s="126"/>
      <c r="N1773" s="126"/>
      <c r="O1773" s="126" t="s">
        <v>549</v>
      </c>
      <c r="Q1773" s="3">
        <f t="shared" si="55"/>
        <v>3.82</v>
      </c>
      <c r="U1773" s="3" t="str">
        <f t="shared" si="56"/>
        <v/>
      </c>
    </row>
    <row r="1774" spans="1:21" x14ac:dyDescent="0.35">
      <c r="A1774" s="126" t="s">
        <v>35</v>
      </c>
      <c r="B1774" s="126" t="s">
        <v>1533</v>
      </c>
      <c r="C1774" s="126" t="s">
        <v>2</v>
      </c>
      <c r="D1774" s="126" t="s">
        <v>3</v>
      </c>
      <c r="E1774" s="126">
        <v>3.82</v>
      </c>
      <c r="F1774" s="126" t="s">
        <v>88</v>
      </c>
      <c r="G1774" s="108">
        <v>45590</v>
      </c>
      <c r="H1774" s="126" t="s">
        <v>94</v>
      </c>
      <c r="I1774" s="126" t="s">
        <v>474</v>
      </c>
      <c r="J1774" s="126" t="s">
        <v>332</v>
      </c>
      <c r="K1774" s="126"/>
      <c r="L1774" s="126"/>
      <c r="M1774" s="126"/>
      <c r="N1774" s="126"/>
      <c r="O1774" s="126" t="s">
        <v>557</v>
      </c>
      <c r="Q1774" s="3">
        <f t="shared" si="55"/>
        <v>3.82</v>
      </c>
      <c r="U1774" s="3" t="str">
        <f t="shared" si="56"/>
        <v/>
      </c>
    </row>
    <row r="1775" spans="1:21" x14ac:dyDescent="0.35">
      <c r="A1775" s="126" t="s">
        <v>35</v>
      </c>
      <c r="B1775" s="126" t="s">
        <v>1533</v>
      </c>
      <c r="C1775" s="126" t="s">
        <v>2</v>
      </c>
      <c r="D1775" s="126" t="s">
        <v>3</v>
      </c>
      <c r="E1775" s="126">
        <v>3.82</v>
      </c>
      <c r="F1775" s="126" t="s">
        <v>88</v>
      </c>
      <c r="G1775" s="108">
        <v>45614</v>
      </c>
      <c r="H1775" s="126" t="s">
        <v>94</v>
      </c>
      <c r="I1775" s="126" t="s">
        <v>8440</v>
      </c>
      <c r="J1775" s="126" t="s">
        <v>8441</v>
      </c>
      <c r="K1775" s="126"/>
      <c r="L1775" s="126"/>
      <c r="M1775" s="126"/>
      <c r="N1775" s="126"/>
      <c r="O1775" s="126" t="s">
        <v>557</v>
      </c>
      <c r="Q1775" s="3">
        <f t="shared" si="55"/>
        <v>3.82</v>
      </c>
      <c r="S1775" s="55" t="s">
        <v>586</v>
      </c>
      <c r="U1775" s="3" t="str">
        <f t="shared" si="56"/>
        <v/>
      </c>
    </row>
    <row r="1776" spans="1:21" x14ac:dyDescent="0.35">
      <c r="A1776" s="126" t="s">
        <v>35</v>
      </c>
      <c r="B1776" s="126" t="s">
        <v>1533</v>
      </c>
      <c r="C1776" s="126" t="s">
        <v>2</v>
      </c>
      <c r="D1776" s="126" t="s">
        <v>3</v>
      </c>
      <c r="E1776" s="126">
        <v>3.8</v>
      </c>
      <c r="F1776" s="126" t="s">
        <v>88</v>
      </c>
      <c r="G1776" s="108">
        <v>45391</v>
      </c>
      <c r="H1776" s="126" t="s">
        <v>94</v>
      </c>
      <c r="I1776" s="126" t="s">
        <v>474</v>
      </c>
      <c r="J1776" s="126" t="s">
        <v>332</v>
      </c>
      <c r="K1776" s="126"/>
      <c r="L1776" s="126"/>
      <c r="M1776" s="126"/>
      <c r="N1776" s="126"/>
      <c r="O1776" s="126" t="s">
        <v>557</v>
      </c>
      <c r="Q1776" s="3">
        <f t="shared" si="55"/>
        <v>3.8</v>
      </c>
      <c r="U1776" s="3" t="str">
        <f t="shared" si="56"/>
        <v/>
      </c>
    </row>
    <row r="1777" spans="1:21" x14ac:dyDescent="0.35">
      <c r="A1777" s="126" t="s">
        <v>0</v>
      </c>
      <c r="B1777" s="126" t="s">
        <v>1075</v>
      </c>
      <c r="C1777" s="126" t="s">
        <v>2</v>
      </c>
      <c r="D1777" s="126" t="s">
        <v>3</v>
      </c>
      <c r="E1777" s="126">
        <v>3.8</v>
      </c>
      <c r="F1777" s="126" t="s">
        <v>88</v>
      </c>
      <c r="G1777" s="108">
        <v>45448</v>
      </c>
      <c r="H1777" s="126" t="s">
        <v>89</v>
      </c>
      <c r="I1777" s="126" t="s">
        <v>7944</v>
      </c>
      <c r="J1777" s="126"/>
      <c r="K1777" s="126" t="s">
        <v>7880</v>
      </c>
      <c r="L1777" s="126" t="s">
        <v>7945</v>
      </c>
      <c r="M1777" s="126" t="s">
        <v>396</v>
      </c>
      <c r="N1777" s="126"/>
      <c r="O1777" s="126"/>
      <c r="Q1777" s="3">
        <f t="shared" si="55"/>
        <v>3.8</v>
      </c>
      <c r="S1777" s="55" t="s">
        <v>9016</v>
      </c>
      <c r="U1777" s="3" t="str">
        <f t="shared" si="56"/>
        <v/>
      </c>
    </row>
    <row r="1778" spans="1:21" x14ac:dyDescent="0.35">
      <c r="A1778" s="126" t="s">
        <v>35</v>
      </c>
      <c r="B1778" s="126" t="s">
        <v>1075</v>
      </c>
      <c r="C1778" s="126" t="s">
        <v>2</v>
      </c>
      <c r="D1778" s="126" t="s">
        <v>3</v>
      </c>
      <c r="E1778" s="126">
        <v>3.8</v>
      </c>
      <c r="F1778" s="126" t="s">
        <v>88</v>
      </c>
      <c r="G1778" s="108">
        <v>45448</v>
      </c>
      <c r="H1778" s="126" t="s">
        <v>89</v>
      </c>
      <c r="I1778" s="126" t="s">
        <v>7944</v>
      </c>
      <c r="J1778" s="126"/>
      <c r="K1778" s="126" t="s">
        <v>7880</v>
      </c>
      <c r="L1778" s="126" t="s">
        <v>7945</v>
      </c>
      <c r="M1778" s="126" t="s">
        <v>396</v>
      </c>
      <c r="N1778" s="126"/>
      <c r="O1778" s="126"/>
      <c r="Q1778" s="3">
        <f t="shared" si="55"/>
        <v>3.8</v>
      </c>
      <c r="S1778" s="55" t="s">
        <v>9016</v>
      </c>
      <c r="U1778" s="3" t="str">
        <f t="shared" si="56"/>
        <v/>
      </c>
    </row>
    <row r="1779" spans="1:21" x14ac:dyDescent="0.35">
      <c r="A1779" s="126" t="s">
        <v>35</v>
      </c>
      <c r="B1779" s="126" t="s">
        <v>1075</v>
      </c>
      <c r="C1779" s="126" t="s">
        <v>2</v>
      </c>
      <c r="D1779" s="126" t="s">
        <v>3</v>
      </c>
      <c r="E1779" s="126">
        <v>-3.8</v>
      </c>
      <c r="F1779" s="126" t="s">
        <v>88</v>
      </c>
      <c r="G1779" s="108">
        <v>45455</v>
      </c>
      <c r="H1779" s="126" t="s">
        <v>89</v>
      </c>
      <c r="I1779" s="126" t="s">
        <v>7944</v>
      </c>
      <c r="J1779" s="126"/>
      <c r="K1779" s="126" t="s">
        <v>7880</v>
      </c>
      <c r="L1779" s="126" t="s">
        <v>7945</v>
      </c>
      <c r="M1779" s="126" t="s">
        <v>396</v>
      </c>
      <c r="N1779" s="126"/>
      <c r="O1779" s="126"/>
      <c r="Q1779" s="3">
        <f t="shared" si="55"/>
        <v>3.8</v>
      </c>
      <c r="S1779" s="55" t="s">
        <v>9016</v>
      </c>
      <c r="U1779" s="3" t="str">
        <f t="shared" si="56"/>
        <v/>
      </c>
    </row>
    <row r="1780" spans="1:21" x14ac:dyDescent="0.35">
      <c r="A1780" s="126" t="s">
        <v>35</v>
      </c>
      <c r="B1780" s="126" t="s">
        <v>677</v>
      </c>
      <c r="C1780" s="126" t="s">
        <v>2</v>
      </c>
      <c r="D1780" s="126" t="s">
        <v>3</v>
      </c>
      <c r="E1780" s="126">
        <v>3.75</v>
      </c>
      <c r="F1780" s="126" t="s">
        <v>88</v>
      </c>
      <c r="G1780" s="108">
        <v>45425</v>
      </c>
      <c r="H1780" s="126" t="s">
        <v>94</v>
      </c>
      <c r="I1780" s="126" t="s">
        <v>437</v>
      </c>
      <c r="J1780" s="126" t="s">
        <v>465</v>
      </c>
      <c r="K1780" s="126"/>
      <c r="L1780" s="126"/>
      <c r="M1780" s="126"/>
      <c r="N1780" s="126"/>
      <c r="O1780" s="126" t="s">
        <v>7819</v>
      </c>
      <c r="Q1780" s="3">
        <f t="shared" si="55"/>
        <v>3.75</v>
      </c>
      <c r="S1780" s="55" t="s">
        <v>9014</v>
      </c>
      <c r="U1780" s="3" t="str">
        <f t="shared" si="56"/>
        <v/>
      </c>
    </row>
    <row r="1781" spans="1:21" x14ac:dyDescent="0.35">
      <c r="A1781" s="126" t="s">
        <v>35</v>
      </c>
      <c r="B1781" s="126" t="s">
        <v>3466</v>
      </c>
      <c r="C1781" s="126" t="s">
        <v>2</v>
      </c>
      <c r="D1781" s="126" t="s">
        <v>3</v>
      </c>
      <c r="E1781" s="126">
        <v>3.64</v>
      </c>
      <c r="F1781" s="126" t="s">
        <v>88</v>
      </c>
      <c r="G1781" s="108">
        <v>45531</v>
      </c>
      <c r="H1781" s="126" t="s">
        <v>94</v>
      </c>
      <c r="I1781" s="126" t="s">
        <v>8221</v>
      </c>
      <c r="J1781" s="126" t="s">
        <v>7713</v>
      </c>
      <c r="K1781" s="126"/>
      <c r="L1781" s="126"/>
      <c r="M1781" s="126"/>
      <c r="N1781" s="126"/>
      <c r="O1781" s="126" t="s">
        <v>553</v>
      </c>
      <c r="Q1781" s="3">
        <f t="shared" si="55"/>
        <v>3.64</v>
      </c>
      <c r="S1781" s="55" t="s">
        <v>9014</v>
      </c>
      <c r="U1781" s="3" t="str">
        <f t="shared" si="56"/>
        <v/>
      </c>
    </row>
    <row r="1782" spans="1:21" x14ac:dyDescent="0.35">
      <c r="A1782" s="126" t="s">
        <v>35</v>
      </c>
      <c r="B1782" s="126" t="s">
        <v>1533</v>
      </c>
      <c r="C1782" s="126" t="s">
        <v>2</v>
      </c>
      <c r="D1782" s="126" t="s">
        <v>3</v>
      </c>
      <c r="E1782" s="126">
        <v>3.64</v>
      </c>
      <c r="F1782" s="126" t="s">
        <v>88</v>
      </c>
      <c r="G1782" s="108">
        <v>45551</v>
      </c>
      <c r="H1782" s="126" t="s">
        <v>94</v>
      </c>
      <c r="I1782" s="126" t="s">
        <v>8440</v>
      </c>
      <c r="J1782" s="126" t="s">
        <v>8441</v>
      </c>
      <c r="K1782" s="126"/>
      <c r="L1782" s="126"/>
      <c r="M1782" s="126"/>
      <c r="N1782" s="126"/>
      <c r="O1782" s="126" t="s">
        <v>557</v>
      </c>
      <c r="Q1782" s="3">
        <f t="shared" si="55"/>
        <v>3.64</v>
      </c>
      <c r="S1782" s="55" t="s">
        <v>586</v>
      </c>
      <c r="U1782" s="3" t="str">
        <f t="shared" si="56"/>
        <v/>
      </c>
    </row>
    <row r="1783" spans="1:21" x14ac:dyDescent="0.35">
      <c r="A1783" s="126" t="s">
        <v>35</v>
      </c>
      <c r="B1783" s="126" t="s">
        <v>1423</v>
      </c>
      <c r="C1783" s="126" t="s">
        <v>2</v>
      </c>
      <c r="D1783" s="126" t="s">
        <v>3</v>
      </c>
      <c r="E1783" s="126">
        <v>3.64</v>
      </c>
      <c r="F1783" s="126" t="s">
        <v>88</v>
      </c>
      <c r="G1783" s="108">
        <v>45621</v>
      </c>
      <c r="H1783" s="126" t="s">
        <v>94</v>
      </c>
      <c r="I1783" s="126" t="s">
        <v>8794</v>
      </c>
      <c r="J1783" s="126" t="s">
        <v>8795</v>
      </c>
      <c r="K1783" s="126"/>
      <c r="L1783" s="126"/>
      <c r="M1783" s="126"/>
      <c r="N1783" s="126"/>
      <c r="O1783" s="126" t="s">
        <v>8796</v>
      </c>
      <c r="Q1783" s="3">
        <f t="shared" si="55"/>
        <v>3.64</v>
      </c>
      <c r="U1783" s="3" t="str">
        <f t="shared" si="56"/>
        <v/>
      </c>
    </row>
    <row r="1784" spans="1:21" x14ac:dyDescent="0.35">
      <c r="A1784" s="126" t="s">
        <v>35</v>
      </c>
      <c r="B1784" s="126" t="s">
        <v>633</v>
      </c>
      <c r="C1784" s="126" t="s">
        <v>2</v>
      </c>
      <c r="D1784" s="126" t="s">
        <v>3</v>
      </c>
      <c r="E1784" s="126">
        <v>3.64</v>
      </c>
      <c r="F1784" s="126" t="s">
        <v>88</v>
      </c>
      <c r="G1784" s="108">
        <v>45649</v>
      </c>
      <c r="H1784" s="126" t="s">
        <v>94</v>
      </c>
      <c r="I1784" s="126" t="s">
        <v>491</v>
      </c>
      <c r="J1784" s="126" t="s">
        <v>492</v>
      </c>
      <c r="K1784" s="126"/>
      <c r="L1784" s="126"/>
      <c r="M1784" s="126"/>
      <c r="N1784" s="126"/>
      <c r="O1784" s="126" t="s">
        <v>566</v>
      </c>
      <c r="Q1784" s="3">
        <f t="shared" si="55"/>
        <v>3.64</v>
      </c>
      <c r="U1784" s="3" t="str">
        <f t="shared" si="56"/>
        <v/>
      </c>
    </row>
    <row r="1785" spans="1:21" x14ac:dyDescent="0.35">
      <c r="A1785" s="126" t="s">
        <v>0</v>
      </c>
      <c r="B1785" s="126" t="s">
        <v>5980</v>
      </c>
      <c r="C1785" s="126" t="s">
        <v>2</v>
      </c>
      <c r="D1785" s="126" t="s">
        <v>3</v>
      </c>
      <c r="E1785" s="126">
        <v>3.62</v>
      </c>
      <c r="F1785" s="126" t="s">
        <v>88</v>
      </c>
      <c r="G1785" s="108">
        <v>45611</v>
      </c>
      <c r="H1785" s="126" t="s">
        <v>89</v>
      </c>
      <c r="I1785" s="126" t="s">
        <v>8734</v>
      </c>
      <c r="J1785" s="126"/>
      <c r="K1785" s="126" t="s">
        <v>8522</v>
      </c>
      <c r="L1785" s="126" t="s">
        <v>8736</v>
      </c>
      <c r="M1785" s="126" t="s">
        <v>399</v>
      </c>
      <c r="Q1785" s="3">
        <f t="shared" si="55"/>
        <v>3.62</v>
      </c>
      <c r="S1785" s="55" t="s">
        <v>9013</v>
      </c>
      <c r="U1785" s="3" t="str">
        <f t="shared" si="56"/>
        <v/>
      </c>
    </row>
    <row r="1786" spans="1:21" x14ac:dyDescent="0.35">
      <c r="A1786" s="126" t="s">
        <v>0</v>
      </c>
      <c r="B1786" s="126" t="s">
        <v>5980</v>
      </c>
      <c r="C1786" s="126" t="s">
        <v>2</v>
      </c>
      <c r="D1786" s="126" t="s">
        <v>3</v>
      </c>
      <c r="E1786" s="126">
        <v>3.62</v>
      </c>
      <c r="F1786" s="126" t="s">
        <v>88</v>
      </c>
      <c r="G1786" s="108">
        <v>45635</v>
      </c>
      <c r="H1786" s="126" t="s">
        <v>89</v>
      </c>
      <c r="I1786" s="126" t="s">
        <v>8878</v>
      </c>
      <c r="J1786" s="126"/>
      <c r="K1786" s="126" t="s">
        <v>8879</v>
      </c>
      <c r="L1786" s="126" t="s">
        <v>8880</v>
      </c>
      <c r="M1786" s="126" t="s">
        <v>399</v>
      </c>
      <c r="Q1786" s="3">
        <f t="shared" si="55"/>
        <v>3.62</v>
      </c>
      <c r="S1786" s="55" t="s">
        <v>9013</v>
      </c>
      <c r="U1786" s="3" t="str">
        <f t="shared" si="56"/>
        <v/>
      </c>
    </row>
    <row r="1787" spans="1:21" x14ac:dyDescent="0.35">
      <c r="A1787" s="126" t="s">
        <v>35</v>
      </c>
      <c r="B1787" s="126" t="s">
        <v>953</v>
      </c>
      <c r="C1787" s="126" t="s">
        <v>2</v>
      </c>
      <c r="D1787" s="126" t="s">
        <v>3</v>
      </c>
      <c r="E1787" s="126">
        <v>3.59</v>
      </c>
      <c r="F1787" s="126" t="s">
        <v>88</v>
      </c>
      <c r="G1787" s="108">
        <v>45435</v>
      </c>
      <c r="H1787" s="126" t="s">
        <v>94</v>
      </c>
      <c r="I1787" s="126" t="s">
        <v>7882</v>
      </c>
      <c r="J1787" s="126" t="s">
        <v>7713</v>
      </c>
      <c r="K1787" s="126"/>
      <c r="L1787" s="126"/>
      <c r="M1787" s="126"/>
      <c r="N1787" s="126"/>
      <c r="O1787" s="126" t="s">
        <v>7883</v>
      </c>
      <c r="Q1787" s="3">
        <f t="shared" si="55"/>
        <v>3.59</v>
      </c>
      <c r="S1787" s="55" t="s">
        <v>9014</v>
      </c>
      <c r="U1787" s="3" t="str">
        <f t="shared" si="56"/>
        <v/>
      </c>
    </row>
    <row r="1788" spans="1:21" x14ac:dyDescent="0.35">
      <c r="A1788" s="126" t="s">
        <v>35</v>
      </c>
      <c r="B1788" s="126" t="s">
        <v>909</v>
      </c>
      <c r="C1788" s="126" t="s">
        <v>2</v>
      </c>
      <c r="D1788" s="126" t="s">
        <v>3</v>
      </c>
      <c r="E1788" s="126">
        <v>3.59</v>
      </c>
      <c r="F1788" s="126" t="s">
        <v>88</v>
      </c>
      <c r="G1788" s="108">
        <v>45509</v>
      </c>
      <c r="H1788" s="126" t="s">
        <v>94</v>
      </c>
      <c r="I1788" s="126" t="s">
        <v>500</v>
      </c>
      <c r="J1788" s="126" t="s">
        <v>470</v>
      </c>
      <c r="K1788" s="126"/>
      <c r="L1788" s="126"/>
      <c r="M1788" s="126"/>
      <c r="N1788" s="126"/>
      <c r="O1788" s="126" t="s">
        <v>552</v>
      </c>
      <c r="Q1788" s="3">
        <f t="shared" si="55"/>
        <v>3.59</v>
      </c>
      <c r="S1788" s="55" t="s">
        <v>9014</v>
      </c>
      <c r="U1788" s="3" t="str">
        <f t="shared" si="56"/>
        <v/>
      </c>
    </row>
    <row r="1789" spans="1:21" x14ac:dyDescent="0.35">
      <c r="A1789" s="126" t="s">
        <v>35</v>
      </c>
      <c r="B1789" s="126" t="s">
        <v>909</v>
      </c>
      <c r="C1789" s="126" t="s">
        <v>2</v>
      </c>
      <c r="D1789" s="126" t="s">
        <v>3</v>
      </c>
      <c r="E1789" s="126">
        <v>3.59</v>
      </c>
      <c r="F1789" s="126" t="s">
        <v>88</v>
      </c>
      <c r="G1789" s="108">
        <v>45523</v>
      </c>
      <c r="H1789" s="126" t="s">
        <v>94</v>
      </c>
      <c r="I1789" s="126" t="s">
        <v>500</v>
      </c>
      <c r="J1789" s="126" t="s">
        <v>470</v>
      </c>
      <c r="K1789" s="126"/>
      <c r="L1789" s="126"/>
      <c r="M1789" s="126"/>
      <c r="N1789" s="126"/>
      <c r="O1789" s="126" t="s">
        <v>552</v>
      </c>
      <c r="Q1789" s="3">
        <f t="shared" si="55"/>
        <v>3.59</v>
      </c>
      <c r="S1789" s="55" t="s">
        <v>9014</v>
      </c>
      <c r="U1789" s="3" t="str">
        <f t="shared" si="56"/>
        <v/>
      </c>
    </row>
    <row r="1790" spans="1:21" x14ac:dyDescent="0.35">
      <c r="A1790" s="126" t="s">
        <v>35</v>
      </c>
      <c r="B1790" s="126" t="s">
        <v>606</v>
      </c>
      <c r="C1790" s="126" t="s">
        <v>2</v>
      </c>
      <c r="D1790" s="126" t="s">
        <v>3</v>
      </c>
      <c r="E1790" s="126">
        <v>3.36</v>
      </c>
      <c r="F1790" s="126" t="s">
        <v>88</v>
      </c>
      <c r="G1790" s="108">
        <v>45631</v>
      </c>
      <c r="H1790" s="126" t="s">
        <v>94</v>
      </c>
      <c r="I1790" s="126" t="s">
        <v>8857</v>
      </c>
      <c r="J1790" s="126" t="s">
        <v>8858</v>
      </c>
      <c r="K1790" s="126"/>
      <c r="L1790" s="126"/>
      <c r="M1790" s="126"/>
      <c r="N1790" s="126"/>
      <c r="O1790" s="126" t="s">
        <v>530</v>
      </c>
      <c r="Q1790" s="3">
        <f t="shared" si="55"/>
        <v>3.36</v>
      </c>
      <c r="U1790" s="3" t="str">
        <f t="shared" si="56"/>
        <v/>
      </c>
    </row>
    <row r="1791" spans="1:21" x14ac:dyDescent="0.35">
      <c r="A1791" s="126" t="s">
        <v>0</v>
      </c>
      <c r="B1791" s="126" t="s">
        <v>656</v>
      </c>
      <c r="C1791" s="126" t="s">
        <v>2</v>
      </c>
      <c r="D1791" s="126" t="s">
        <v>3</v>
      </c>
      <c r="E1791" s="126">
        <v>3.31</v>
      </c>
      <c r="F1791" s="126" t="s">
        <v>88</v>
      </c>
      <c r="G1791" s="108">
        <v>45432</v>
      </c>
      <c r="H1791" s="126" t="s">
        <v>89</v>
      </c>
      <c r="I1791" s="126" t="s">
        <v>7839</v>
      </c>
      <c r="J1791" s="126"/>
      <c r="K1791" s="126" t="s">
        <v>7840</v>
      </c>
      <c r="L1791" s="126" t="s">
        <v>7841</v>
      </c>
      <c r="M1791" s="126" t="s">
        <v>399</v>
      </c>
      <c r="N1791" s="35"/>
      <c r="O1791" s="35"/>
      <c r="Q1791" s="3">
        <f t="shared" si="55"/>
        <v>3.31</v>
      </c>
      <c r="S1791" s="55" t="s">
        <v>9013</v>
      </c>
      <c r="U1791" s="3" t="str">
        <f t="shared" si="56"/>
        <v/>
      </c>
    </row>
    <row r="1792" spans="1:21" x14ac:dyDescent="0.35">
      <c r="A1792" s="126" t="s">
        <v>0</v>
      </c>
      <c r="B1792" s="126" t="s">
        <v>656</v>
      </c>
      <c r="C1792" s="126" t="s">
        <v>2</v>
      </c>
      <c r="D1792" s="126" t="s">
        <v>3</v>
      </c>
      <c r="E1792" s="126">
        <v>3.31</v>
      </c>
      <c r="F1792" s="126" t="s">
        <v>88</v>
      </c>
      <c r="G1792" s="108">
        <v>45454</v>
      </c>
      <c r="H1792" s="126" t="s">
        <v>89</v>
      </c>
      <c r="I1792" s="126" t="s">
        <v>7958</v>
      </c>
      <c r="J1792" s="126"/>
      <c r="K1792" s="126" t="s">
        <v>7959</v>
      </c>
      <c r="L1792" s="126" t="s">
        <v>7960</v>
      </c>
      <c r="M1792" s="126" t="s">
        <v>399</v>
      </c>
      <c r="Q1792" s="3">
        <f t="shared" si="55"/>
        <v>3.31</v>
      </c>
      <c r="S1792" s="55" t="s">
        <v>9013</v>
      </c>
      <c r="U1792" s="3" t="str">
        <f t="shared" si="56"/>
        <v/>
      </c>
    </row>
    <row r="1793" spans="1:21" x14ac:dyDescent="0.35">
      <c r="A1793" s="126" t="s">
        <v>0</v>
      </c>
      <c r="B1793" s="126" t="s">
        <v>656</v>
      </c>
      <c r="C1793" s="126" t="s">
        <v>2</v>
      </c>
      <c r="D1793" s="126" t="s">
        <v>3</v>
      </c>
      <c r="E1793" s="126">
        <v>3.31</v>
      </c>
      <c r="F1793" s="126" t="s">
        <v>88</v>
      </c>
      <c r="G1793" s="108">
        <v>45485</v>
      </c>
      <c r="H1793" s="126" t="s">
        <v>89</v>
      </c>
      <c r="I1793" s="126" t="s">
        <v>8134</v>
      </c>
      <c r="J1793" s="126"/>
      <c r="K1793" s="126" t="s">
        <v>8135</v>
      </c>
      <c r="L1793" s="126" t="s">
        <v>8136</v>
      </c>
      <c r="M1793" s="126" t="s">
        <v>399</v>
      </c>
      <c r="N1793" s="126"/>
      <c r="O1793" s="126"/>
      <c r="Q1793" s="3">
        <f t="shared" si="55"/>
        <v>3.31</v>
      </c>
      <c r="S1793" s="55" t="s">
        <v>9013</v>
      </c>
      <c r="U1793" s="3" t="str">
        <f t="shared" si="56"/>
        <v/>
      </c>
    </row>
    <row r="1794" spans="1:21" x14ac:dyDescent="0.35">
      <c r="A1794" s="126" t="s">
        <v>0</v>
      </c>
      <c r="B1794" s="126" t="s">
        <v>656</v>
      </c>
      <c r="C1794" s="126" t="s">
        <v>2</v>
      </c>
      <c r="D1794" s="126" t="s">
        <v>3</v>
      </c>
      <c r="E1794" s="126">
        <v>3.31</v>
      </c>
      <c r="F1794" s="126" t="s">
        <v>88</v>
      </c>
      <c r="G1794" s="108">
        <v>45517</v>
      </c>
      <c r="H1794" s="126" t="s">
        <v>89</v>
      </c>
      <c r="I1794" s="126" t="s">
        <v>8320</v>
      </c>
      <c r="J1794" s="126"/>
      <c r="K1794" s="126" t="s">
        <v>8321</v>
      </c>
      <c r="L1794" s="126" t="s">
        <v>8322</v>
      </c>
      <c r="M1794" s="126" t="s">
        <v>399</v>
      </c>
      <c r="Q1794" s="3">
        <f t="shared" si="55"/>
        <v>3.31</v>
      </c>
      <c r="S1794" s="55" t="s">
        <v>9013</v>
      </c>
      <c r="U1794" s="3" t="str">
        <f t="shared" si="56"/>
        <v/>
      </c>
    </row>
    <row r="1795" spans="1:21" x14ac:dyDescent="0.35">
      <c r="A1795" s="126" t="s">
        <v>0</v>
      </c>
      <c r="B1795" s="126" t="s">
        <v>656</v>
      </c>
      <c r="C1795" s="126" t="s">
        <v>2</v>
      </c>
      <c r="D1795" s="126" t="s">
        <v>3</v>
      </c>
      <c r="E1795" s="126">
        <v>3.31</v>
      </c>
      <c r="F1795" s="126" t="s">
        <v>88</v>
      </c>
      <c r="G1795" s="108">
        <v>45551</v>
      </c>
      <c r="H1795" s="126" t="s">
        <v>89</v>
      </c>
      <c r="I1795" s="126" t="s">
        <v>8431</v>
      </c>
      <c r="J1795" s="126"/>
      <c r="K1795" s="126" t="s">
        <v>8432</v>
      </c>
      <c r="L1795" s="126" t="s">
        <v>8433</v>
      </c>
      <c r="M1795" s="126" t="s">
        <v>399</v>
      </c>
      <c r="N1795" s="126"/>
      <c r="O1795" s="126"/>
      <c r="Q1795" s="3">
        <f t="shared" si="55"/>
        <v>3.31</v>
      </c>
      <c r="S1795" s="55" t="s">
        <v>9013</v>
      </c>
      <c r="U1795" s="3" t="str">
        <f t="shared" si="56"/>
        <v/>
      </c>
    </row>
    <row r="1796" spans="1:21" x14ac:dyDescent="0.35">
      <c r="A1796" s="126" t="s">
        <v>0</v>
      </c>
      <c r="B1796" s="126" t="s">
        <v>656</v>
      </c>
      <c r="C1796" s="126" t="s">
        <v>2</v>
      </c>
      <c r="D1796" s="126" t="s">
        <v>3</v>
      </c>
      <c r="E1796" s="126">
        <v>3.31</v>
      </c>
      <c r="F1796" s="126" t="s">
        <v>88</v>
      </c>
      <c r="G1796" s="108">
        <v>45569</v>
      </c>
      <c r="H1796" s="126" t="s">
        <v>89</v>
      </c>
      <c r="I1796" s="126" t="s">
        <v>8521</v>
      </c>
      <c r="J1796" s="126"/>
      <c r="K1796" s="126" t="s">
        <v>8522</v>
      </c>
      <c r="L1796" s="126" t="s">
        <v>8523</v>
      </c>
      <c r="M1796" s="126" t="s">
        <v>399</v>
      </c>
      <c r="Q1796" s="3">
        <f t="shared" si="55"/>
        <v>3.31</v>
      </c>
      <c r="S1796" s="55" t="s">
        <v>9013</v>
      </c>
      <c r="U1796" s="3" t="str">
        <f t="shared" si="56"/>
        <v/>
      </c>
    </row>
    <row r="1797" spans="1:21" x14ac:dyDescent="0.35">
      <c r="A1797" s="126" t="s">
        <v>0</v>
      </c>
      <c r="B1797" s="126" t="s">
        <v>656</v>
      </c>
      <c r="C1797" s="126" t="s">
        <v>2</v>
      </c>
      <c r="D1797" s="126" t="s">
        <v>3</v>
      </c>
      <c r="E1797" s="126">
        <v>3.31</v>
      </c>
      <c r="F1797" s="126" t="s">
        <v>88</v>
      </c>
      <c r="G1797" s="108">
        <v>45611</v>
      </c>
      <c r="H1797" s="126" t="s">
        <v>89</v>
      </c>
      <c r="I1797" s="126" t="s">
        <v>8734</v>
      </c>
      <c r="J1797" s="126"/>
      <c r="K1797" s="126" t="s">
        <v>8522</v>
      </c>
      <c r="L1797" s="126" t="s">
        <v>8736</v>
      </c>
      <c r="M1797" s="126" t="s">
        <v>399</v>
      </c>
      <c r="Q1797" s="3">
        <f t="shared" si="55"/>
        <v>3.31</v>
      </c>
      <c r="S1797" s="55" t="s">
        <v>9013</v>
      </c>
      <c r="U1797" s="3" t="str">
        <f t="shared" si="56"/>
        <v/>
      </c>
    </row>
    <row r="1798" spans="1:21" x14ac:dyDescent="0.35">
      <c r="A1798" s="126" t="s">
        <v>0</v>
      </c>
      <c r="B1798" s="126" t="s">
        <v>656</v>
      </c>
      <c r="C1798" s="126" t="s">
        <v>2</v>
      </c>
      <c r="D1798" s="126" t="s">
        <v>3</v>
      </c>
      <c r="E1798" s="126">
        <v>3.31</v>
      </c>
      <c r="F1798" s="126" t="s">
        <v>88</v>
      </c>
      <c r="G1798" s="108">
        <v>45635</v>
      </c>
      <c r="H1798" s="126" t="s">
        <v>89</v>
      </c>
      <c r="I1798" s="126" t="s">
        <v>8878</v>
      </c>
      <c r="J1798" s="126"/>
      <c r="K1798" s="126" t="s">
        <v>8879</v>
      </c>
      <c r="L1798" s="126" t="s">
        <v>8880</v>
      </c>
      <c r="M1798" s="126" t="s">
        <v>399</v>
      </c>
      <c r="Q1798" s="3">
        <f t="shared" si="55"/>
        <v>3.31</v>
      </c>
      <c r="S1798" s="55" t="s">
        <v>9013</v>
      </c>
      <c r="U1798" s="3" t="str">
        <f t="shared" si="56"/>
        <v/>
      </c>
    </row>
    <row r="1799" spans="1:21" x14ac:dyDescent="0.35">
      <c r="A1799" s="126" t="s">
        <v>0</v>
      </c>
      <c r="B1799" s="126" t="s">
        <v>656</v>
      </c>
      <c r="C1799" s="126" t="s">
        <v>2</v>
      </c>
      <c r="D1799" s="126" t="s">
        <v>3</v>
      </c>
      <c r="E1799" s="126">
        <v>3.3</v>
      </c>
      <c r="F1799" s="126" t="s">
        <v>88</v>
      </c>
      <c r="G1799" s="108">
        <v>45391</v>
      </c>
      <c r="H1799" s="126" t="s">
        <v>89</v>
      </c>
      <c r="I1799" s="126" t="s">
        <v>7691</v>
      </c>
      <c r="J1799" s="126"/>
      <c r="K1799" s="126" t="s">
        <v>7672</v>
      </c>
      <c r="L1799" s="126" t="s">
        <v>7692</v>
      </c>
      <c r="M1799" s="126" t="s">
        <v>399</v>
      </c>
      <c r="N1799" s="35"/>
      <c r="O1799" s="35"/>
      <c r="Q1799" s="3">
        <f t="shared" si="55"/>
        <v>3.3</v>
      </c>
      <c r="S1799" s="55" t="s">
        <v>9013</v>
      </c>
      <c r="U1799" s="3" t="str">
        <f t="shared" si="56"/>
        <v/>
      </c>
    </row>
    <row r="1800" spans="1:21" x14ac:dyDescent="0.35">
      <c r="A1800" s="126" t="s">
        <v>35</v>
      </c>
      <c r="B1800" s="126" t="s">
        <v>606</v>
      </c>
      <c r="C1800" s="126" t="s">
        <v>2</v>
      </c>
      <c r="D1800" s="126" t="s">
        <v>3</v>
      </c>
      <c r="E1800" s="126">
        <v>3.18</v>
      </c>
      <c r="F1800" s="126" t="s">
        <v>88</v>
      </c>
      <c r="G1800" s="108">
        <v>45457</v>
      </c>
      <c r="H1800" s="126" t="s">
        <v>94</v>
      </c>
      <c r="I1800" s="126" t="s">
        <v>8000</v>
      </c>
      <c r="J1800" s="126" t="s">
        <v>8001</v>
      </c>
      <c r="K1800" s="126"/>
      <c r="L1800" s="126"/>
      <c r="M1800" s="126"/>
      <c r="N1800" s="126"/>
      <c r="O1800" s="126" t="s">
        <v>530</v>
      </c>
      <c r="Q1800" s="3">
        <f t="shared" ref="Q1800:Q1824" si="57">ABS(E1800)</f>
        <v>3.18</v>
      </c>
      <c r="S1800" s="55" t="s">
        <v>9014</v>
      </c>
      <c r="U1800" s="3" t="str">
        <f t="shared" ref="U1800:U1824" si="58">IF(T1800="Y",E1800,"")</f>
        <v/>
      </c>
    </row>
    <row r="1801" spans="1:21" x14ac:dyDescent="0.35">
      <c r="A1801" s="126" t="s">
        <v>35</v>
      </c>
      <c r="B1801" s="126" t="s">
        <v>677</v>
      </c>
      <c r="C1801" s="126" t="s">
        <v>2</v>
      </c>
      <c r="D1801" s="126" t="s">
        <v>3</v>
      </c>
      <c r="E1801" s="126">
        <v>3.05</v>
      </c>
      <c r="F1801" s="126" t="s">
        <v>88</v>
      </c>
      <c r="G1801" s="108">
        <v>45474</v>
      </c>
      <c r="H1801" s="126" t="s">
        <v>94</v>
      </c>
      <c r="I1801" s="126" t="s">
        <v>437</v>
      </c>
      <c r="J1801" s="126" t="s">
        <v>465</v>
      </c>
      <c r="K1801" s="126"/>
      <c r="L1801" s="126"/>
      <c r="M1801" s="126"/>
      <c r="N1801" s="126"/>
      <c r="O1801" s="126" t="s">
        <v>7819</v>
      </c>
      <c r="Q1801" s="3">
        <f t="shared" si="57"/>
        <v>3.05</v>
      </c>
      <c r="S1801" s="55" t="s">
        <v>9014</v>
      </c>
      <c r="U1801" s="3" t="str">
        <f t="shared" si="58"/>
        <v/>
      </c>
    </row>
    <row r="1802" spans="1:21" x14ac:dyDescent="0.35">
      <c r="A1802" s="126" t="s">
        <v>35</v>
      </c>
      <c r="B1802" s="126" t="s">
        <v>768</v>
      </c>
      <c r="C1802" s="126" t="s">
        <v>2</v>
      </c>
      <c r="D1802" s="126" t="s">
        <v>3</v>
      </c>
      <c r="E1802" s="126">
        <v>3</v>
      </c>
      <c r="F1802" s="126" t="s">
        <v>88</v>
      </c>
      <c r="G1802" s="108">
        <v>45644</v>
      </c>
      <c r="H1802" s="126" t="s">
        <v>94</v>
      </c>
      <c r="I1802" s="126" t="s">
        <v>406</v>
      </c>
      <c r="J1802" s="126" t="s">
        <v>483</v>
      </c>
      <c r="K1802" s="126"/>
      <c r="L1802" s="126"/>
      <c r="M1802" s="126"/>
      <c r="N1802" s="126"/>
      <c r="O1802" s="126" t="s">
        <v>517</v>
      </c>
      <c r="Q1802" s="3">
        <f t="shared" si="57"/>
        <v>3</v>
      </c>
      <c r="S1802" s="55" t="s">
        <v>9014</v>
      </c>
      <c r="U1802" s="3" t="str">
        <f t="shared" si="58"/>
        <v/>
      </c>
    </row>
    <row r="1803" spans="1:21" x14ac:dyDescent="0.35">
      <c r="A1803" s="126" t="s">
        <v>35</v>
      </c>
      <c r="B1803" s="126" t="s">
        <v>788</v>
      </c>
      <c r="C1803" s="126" t="s">
        <v>2</v>
      </c>
      <c r="D1803" s="126" t="s">
        <v>3</v>
      </c>
      <c r="E1803" s="126">
        <v>2.82</v>
      </c>
      <c r="F1803" s="126" t="s">
        <v>88</v>
      </c>
      <c r="G1803" s="108">
        <v>45394</v>
      </c>
      <c r="H1803" s="126" t="s">
        <v>94</v>
      </c>
      <c r="I1803" s="126" t="s">
        <v>438</v>
      </c>
      <c r="J1803" s="126" t="s">
        <v>7713</v>
      </c>
      <c r="K1803" s="126"/>
      <c r="L1803" s="126"/>
      <c r="M1803" s="126"/>
      <c r="N1803" s="126"/>
      <c r="O1803" s="126" t="s">
        <v>567</v>
      </c>
      <c r="Q1803" s="3">
        <f t="shared" si="57"/>
        <v>2.82</v>
      </c>
      <c r="S1803" s="55" t="s">
        <v>9014</v>
      </c>
      <c r="U1803" s="3" t="str">
        <f t="shared" si="58"/>
        <v/>
      </c>
    </row>
    <row r="1804" spans="1:21" x14ac:dyDescent="0.35">
      <c r="A1804" s="126" t="s">
        <v>35</v>
      </c>
      <c r="B1804" s="126" t="s">
        <v>909</v>
      </c>
      <c r="C1804" s="126" t="s">
        <v>2</v>
      </c>
      <c r="D1804" s="126" t="s">
        <v>3</v>
      </c>
      <c r="E1804" s="126">
        <v>2.82</v>
      </c>
      <c r="F1804" s="126" t="s">
        <v>88</v>
      </c>
      <c r="G1804" s="108">
        <v>45401</v>
      </c>
      <c r="H1804" s="126" t="s">
        <v>94</v>
      </c>
      <c r="I1804" s="126" t="s">
        <v>500</v>
      </c>
      <c r="J1804" s="126" t="s">
        <v>470</v>
      </c>
      <c r="K1804" s="126"/>
      <c r="L1804" s="126"/>
      <c r="M1804" s="126"/>
      <c r="N1804" s="126"/>
      <c r="O1804" s="126" t="s">
        <v>552</v>
      </c>
      <c r="Q1804" s="3">
        <f t="shared" si="57"/>
        <v>2.82</v>
      </c>
      <c r="S1804" s="55" t="s">
        <v>9014</v>
      </c>
      <c r="U1804" s="3" t="str">
        <f t="shared" si="58"/>
        <v/>
      </c>
    </row>
    <row r="1805" spans="1:21" x14ac:dyDescent="0.35">
      <c r="A1805" s="126" t="s">
        <v>35</v>
      </c>
      <c r="B1805" s="126" t="s">
        <v>633</v>
      </c>
      <c r="C1805" s="126" t="s">
        <v>2</v>
      </c>
      <c r="D1805" s="126" t="s">
        <v>3</v>
      </c>
      <c r="E1805" s="126">
        <v>2.82</v>
      </c>
      <c r="F1805" s="126" t="s">
        <v>88</v>
      </c>
      <c r="G1805" s="108">
        <v>45439</v>
      </c>
      <c r="H1805" s="126" t="s">
        <v>94</v>
      </c>
      <c r="I1805" s="126" t="s">
        <v>491</v>
      </c>
      <c r="J1805" s="126" t="s">
        <v>492</v>
      </c>
      <c r="K1805" s="126"/>
      <c r="L1805" s="126"/>
      <c r="M1805" s="126"/>
      <c r="N1805" s="126"/>
      <c r="O1805" s="126" t="s">
        <v>565</v>
      </c>
      <c r="Q1805" s="3">
        <f t="shared" si="57"/>
        <v>2.82</v>
      </c>
      <c r="U1805" s="3" t="str">
        <f t="shared" si="58"/>
        <v/>
      </c>
    </row>
    <row r="1806" spans="1:21" x14ac:dyDescent="0.35">
      <c r="A1806" s="126" t="s">
        <v>0</v>
      </c>
      <c r="B1806" s="126" t="s">
        <v>5980</v>
      </c>
      <c r="C1806" s="126" t="s">
        <v>2</v>
      </c>
      <c r="D1806" s="126" t="s">
        <v>3</v>
      </c>
      <c r="E1806" s="126">
        <v>2.52</v>
      </c>
      <c r="F1806" s="126" t="s">
        <v>88</v>
      </c>
      <c r="G1806" s="108">
        <v>45569</v>
      </c>
      <c r="H1806" s="126" t="s">
        <v>89</v>
      </c>
      <c r="I1806" s="126" t="s">
        <v>8521</v>
      </c>
      <c r="J1806" s="126"/>
      <c r="K1806" s="126" t="s">
        <v>8522</v>
      </c>
      <c r="L1806" s="126" t="s">
        <v>8523</v>
      </c>
      <c r="M1806" s="126" t="s">
        <v>399</v>
      </c>
      <c r="Q1806" s="3">
        <f t="shared" si="57"/>
        <v>2.52</v>
      </c>
      <c r="S1806" s="55" t="s">
        <v>9013</v>
      </c>
      <c r="U1806" s="3" t="str">
        <f t="shared" si="58"/>
        <v/>
      </c>
    </row>
    <row r="1807" spans="1:21" x14ac:dyDescent="0.35">
      <c r="A1807" s="126" t="s">
        <v>0</v>
      </c>
      <c r="B1807" s="126" t="s">
        <v>770</v>
      </c>
      <c r="C1807" s="126" t="s">
        <v>2</v>
      </c>
      <c r="D1807" s="126" t="s">
        <v>3</v>
      </c>
      <c r="E1807" s="126">
        <v>2.4500000000000002</v>
      </c>
      <c r="F1807" s="126" t="s">
        <v>88</v>
      </c>
      <c r="G1807" s="108">
        <v>45432</v>
      </c>
      <c r="H1807" s="126" t="s">
        <v>89</v>
      </c>
      <c r="I1807" s="126" t="s">
        <v>7839</v>
      </c>
      <c r="J1807" s="126"/>
      <c r="K1807" s="126" t="s">
        <v>7840</v>
      </c>
      <c r="L1807" s="126" t="s">
        <v>7841</v>
      </c>
      <c r="M1807" s="126" t="s">
        <v>399</v>
      </c>
      <c r="N1807" s="35"/>
      <c r="O1807" s="35"/>
      <c r="Q1807" s="3">
        <f t="shared" si="57"/>
        <v>2.4500000000000002</v>
      </c>
      <c r="S1807" s="55" t="s">
        <v>9013</v>
      </c>
      <c r="U1807" s="3" t="str">
        <f t="shared" si="58"/>
        <v/>
      </c>
    </row>
    <row r="1808" spans="1:21" x14ac:dyDescent="0.35">
      <c r="A1808" s="126" t="s">
        <v>0</v>
      </c>
      <c r="B1808" s="126" t="s">
        <v>770</v>
      </c>
      <c r="C1808" s="126" t="s">
        <v>2</v>
      </c>
      <c r="D1808" s="126" t="s">
        <v>3</v>
      </c>
      <c r="E1808" s="126">
        <v>2.4500000000000002</v>
      </c>
      <c r="F1808" s="126" t="s">
        <v>88</v>
      </c>
      <c r="G1808" s="108">
        <v>45454</v>
      </c>
      <c r="H1808" s="126" t="s">
        <v>89</v>
      </c>
      <c r="I1808" s="126" t="s">
        <v>7958</v>
      </c>
      <c r="J1808" s="126"/>
      <c r="K1808" s="126" t="s">
        <v>7959</v>
      </c>
      <c r="L1808" s="126" t="s">
        <v>7960</v>
      </c>
      <c r="M1808" s="126" t="s">
        <v>399</v>
      </c>
      <c r="Q1808" s="3">
        <f t="shared" si="57"/>
        <v>2.4500000000000002</v>
      </c>
      <c r="S1808" s="55" t="s">
        <v>9013</v>
      </c>
      <c r="U1808" s="3" t="str">
        <f t="shared" si="58"/>
        <v/>
      </c>
    </row>
    <row r="1809" spans="1:21" x14ac:dyDescent="0.35">
      <c r="A1809" s="126" t="s">
        <v>0</v>
      </c>
      <c r="B1809" s="126" t="s">
        <v>770</v>
      </c>
      <c r="C1809" s="126" t="s">
        <v>2</v>
      </c>
      <c r="D1809" s="126" t="s">
        <v>3</v>
      </c>
      <c r="E1809" s="126">
        <v>2.4500000000000002</v>
      </c>
      <c r="F1809" s="126" t="s">
        <v>88</v>
      </c>
      <c r="G1809" s="108">
        <v>45485</v>
      </c>
      <c r="H1809" s="126" t="s">
        <v>89</v>
      </c>
      <c r="I1809" s="126" t="s">
        <v>8134</v>
      </c>
      <c r="J1809" s="126"/>
      <c r="K1809" s="126" t="s">
        <v>8135</v>
      </c>
      <c r="L1809" s="126" t="s">
        <v>8136</v>
      </c>
      <c r="M1809" s="126" t="s">
        <v>399</v>
      </c>
      <c r="Q1809" s="3">
        <f t="shared" si="57"/>
        <v>2.4500000000000002</v>
      </c>
      <c r="S1809" s="55" t="s">
        <v>9013</v>
      </c>
      <c r="U1809" s="3" t="str">
        <f t="shared" si="58"/>
        <v/>
      </c>
    </row>
    <row r="1810" spans="1:21" x14ac:dyDescent="0.35">
      <c r="A1810" s="126" t="s">
        <v>0</v>
      </c>
      <c r="B1810" s="126" t="s">
        <v>770</v>
      </c>
      <c r="C1810" s="126" t="s">
        <v>2</v>
      </c>
      <c r="D1810" s="126" t="s">
        <v>3</v>
      </c>
      <c r="E1810" s="126">
        <v>2.4500000000000002</v>
      </c>
      <c r="F1810" s="126" t="s">
        <v>88</v>
      </c>
      <c r="G1810" s="108">
        <v>45517</v>
      </c>
      <c r="H1810" s="126" t="s">
        <v>89</v>
      </c>
      <c r="I1810" s="126" t="s">
        <v>8320</v>
      </c>
      <c r="J1810" s="126"/>
      <c r="K1810" s="126" t="s">
        <v>8321</v>
      </c>
      <c r="L1810" s="126" t="s">
        <v>8322</v>
      </c>
      <c r="M1810" s="126" t="s">
        <v>399</v>
      </c>
      <c r="Q1810" s="3">
        <f t="shared" si="57"/>
        <v>2.4500000000000002</v>
      </c>
      <c r="S1810" s="55" t="s">
        <v>9013</v>
      </c>
      <c r="U1810" s="3" t="str">
        <f t="shared" si="58"/>
        <v/>
      </c>
    </row>
    <row r="1811" spans="1:21" x14ac:dyDescent="0.35">
      <c r="A1811" s="126" t="s">
        <v>0</v>
      </c>
      <c r="B1811" s="126" t="s">
        <v>770</v>
      </c>
      <c r="C1811" s="126" t="s">
        <v>2</v>
      </c>
      <c r="D1811" s="126" t="s">
        <v>3</v>
      </c>
      <c r="E1811" s="126">
        <v>2.4500000000000002</v>
      </c>
      <c r="F1811" s="126" t="s">
        <v>88</v>
      </c>
      <c r="G1811" s="108">
        <v>45551</v>
      </c>
      <c r="H1811" s="126" t="s">
        <v>89</v>
      </c>
      <c r="I1811" s="126" t="s">
        <v>8431</v>
      </c>
      <c r="J1811" s="126"/>
      <c r="K1811" s="126" t="s">
        <v>8432</v>
      </c>
      <c r="L1811" s="126" t="s">
        <v>8433</v>
      </c>
      <c r="M1811" s="126" t="s">
        <v>399</v>
      </c>
      <c r="N1811" s="126"/>
      <c r="O1811" s="126"/>
      <c r="Q1811" s="3">
        <f t="shared" si="57"/>
        <v>2.4500000000000002</v>
      </c>
      <c r="S1811" s="55" t="s">
        <v>9013</v>
      </c>
      <c r="U1811" s="3" t="str">
        <f t="shared" si="58"/>
        <v/>
      </c>
    </row>
    <row r="1812" spans="1:21" x14ac:dyDescent="0.35">
      <c r="A1812" s="126" t="s">
        <v>0</v>
      </c>
      <c r="B1812" s="126" t="s">
        <v>770</v>
      </c>
      <c r="C1812" s="126" t="s">
        <v>2</v>
      </c>
      <c r="D1812" s="126" t="s">
        <v>3</v>
      </c>
      <c r="E1812" s="126">
        <v>2.4500000000000002</v>
      </c>
      <c r="F1812" s="126" t="s">
        <v>88</v>
      </c>
      <c r="G1812" s="108">
        <v>45569</v>
      </c>
      <c r="H1812" s="126" t="s">
        <v>89</v>
      </c>
      <c r="I1812" s="126" t="s">
        <v>8521</v>
      </c>
      <c r="J1812" s="126"/>
      <c r="K1812" s="126" t="s">
        <v>8522</v>
      </c>
      <c r="L1812" s="126" t="s">
        <v>8523</v>
      </c>
      <c r="M1812" s="126" t="s">
        <v>399</v>
      </c>
      <c r="Q1812" s="3">
        <f t="shared" si="57"/>
        <v>2.4500000000000002</v>
      </c>
      <c r="S1812" s="55" t="s">
        <v>9013</v>
      </c>
      <c r="U1812" s="3" t="str">
        <f t="shared" si="58"/>
        <v/>
      </c>
    </row>
    <row r="1813" spans="1:21" x14ac:dyDescent="0.35">
      <c r="A1813" s="126" t="s">
        <v>0</v>
      </c>
      <c r="B1813" s="126" t="s">
        <v>770</v>
      </c>
      <c r="C1813" s="126" t="s">
        <v>2</v>
      </c>
      <c r="D1813" s="126" t="s">
        <v>3</v>
      </c>
      <c r="E1813" s="126">
        <v>2.4500000000000002</v>
      </c>
      <c r="F1813" s="126" t="s">
        <v>88</v>
      </c>
      <c r="G1813" s="108">
        <v>45611</v>
      </c>
      <c r="H1813" s="126" t="s">
        <v>89</v>
      </c>
      <c r="I1813" s="126" t="s">
        <v>8734</v>
      </c>
      <c r="J1813" s="126"/>
      <c r="K1813" s="126" t="s">
        <v>8735</v>
      </c>
      <c r="L1813" s="126" t="s">
        <v>8736</v>
      </c>
      <c r="M1813" s="126" t="s">
        <v>399</v>
      </c>
      <c r="Q1813" s="3">
        <f t="shared" si="57"/>
        <v>2.4500000000000002</v>
      </c>
      <c r="S1813" s="55" t="s">
        <v>9013</v>
      </c>
      <c r="U1813" s="3" t="str">
        <f t="shared" si="58"/>
        <v/>
      </c>
    </row>
    <row r="1814" spans="1:21" x14ac:dyDescent="0.35">
      <c r="A1814" s="126" t="s">
        <v>0</v>
      </c>
      <c r="B1814" s="126" t="s">
        <v>770</v>
      </c>
      <c r="C1814" s="126" t="s">
        <v>2</v>
      </c>
      <c r="D1814" s="126" t="s">
        <v>3</v>
      </c>
      <c r="E1814" s="126">
        <v>2.4500000000000002</v>
      </c>
      <c r="F1814" s="126" t="s">
        <v>88</v>
      </c>
      <c r="G1814" s="108">
        <v>45635</v>
      </c>
      <c r="H1814" s="126" t="s">
        <v>89</v>
      </c>
      <c r="I1814" s="126" t="s">
        <v>8878</v>
      </c>
      <c r="J1814" s="126"/>
      <c r="K1814" s="126" t="s">
        <v>8879</v>
      </c>
      <c r="L1814" s="126" t="s">
        <v>8880</v>
      </c>
      <c r="M1814" s="126" t="s">
        <v>399</v>
      </c>
      <c r="Q1814" s="3">
        <f t="shared" si="57"/>
        <v>2.4500000000000002</v>
      </c>
      <c r="S1814" s="55" t="s">
        <v>9013</v>
      </c>
      <c r="U1814" s="3" t="str">
        <f t="shared" si="58"/>
        <v/>
      </c>
    </row>
    <row r="1815" spans="1:21" x14ac:dyDescent="0.35">
      <c r="A1815" s="126" t="s">
        <v>0</v>
      </c>
      <c r="B1815" s="126" t="s">
        <v>770</v>
      </c>
      <c r="C1815" s="126" t="s">
        <v>2</v>
      </c>
      <c r="D1815" s="126" t="s">
        <v>3</v>
      </c>
      <c r="E1815" s="126">
        <v>2.38</v>
      </c>
      <c r="F1815" s="126" t="s">
        <v>88</v>
      </c>
      <c r="G1815" s="108">
        <v>45391</v>
      </c>
      <c r="H1815" s="126" t="s">
        <v>89</v>
      </c>
      <c r="I1815" s="126" t="s">
        <v>7691</v>
      </c>
      <c r="J1815" s="126"/>
      <c r="K1815" s="126" t="s">
        <v>7672</v>
      </c>
      <c r="L1815" s="126" t="s">
        <v>7692</v>
      </c>
      <c r="M1815" s="126" t="s">
        <v>399</v>
      </c>
      <c r="N1815" s="35"/>
      <c r="O1815" s="35"/>
      <c r="Q1815" s="3">
        <f t="shared" si="57"/>
        <v>2.38</v>
      </c>
      <c r="S1815" s="55" t="s">
        <v>9013</v>
      </c>
      <c r="U1815" s="3" t="str">
        <f t="shared" si="58"/>
        <v/>
      </c>
    </row>
    <row r="1816" spans="1:21" x14ac:dyDescent="0.35">
      <c r="A1816" s="126" t="s">
        <v>0</v>
      </c>
      <c r="B1816" s="126" t="s">
        <v>6400</v>
      </c>
      <c r="C1816" s="126" t="s">
        <v>2</v>
      </c>
      <c r="D1816" s="126" t="s">
        <v>3</v>
      </c>
      <c r="E1816" s="126">
        <v>1.84</v>
      </c>
      <c r="F1816" s="126" t="s">
        <v>88</v>
      </c>
      <c r="G1816" s="108">
        <v>45391</v>
      </c>
      <c r="H1816" s="126" t="s">
        <v>89</v>
      </c>
      <c r="I1816" s="126" t="s">
        <v>7691</v>
      </c>
      <c r="J1816" s="126"/>
      <c r="K1816" s="126" t="s">
        <v>7672</v>
      </c>
      <c r="L1816" s="126" t="s">
        <v>7692</v>
      </c>
      <c r="M1816" s="126" t="s">
        <v>399</v>
      </c>
      <c r="N1816" s="35"/>
      <c r="O1816" s="35"/>
      <c r="Q1816" s="3">
        <f t="shared" si="57"/>
        <v>1.84</v>
      </c>
      <c r="S1816" s="55" t="s">
        <v>9013</v>
      </c>
      <c r="U1816" s="3" t="str">
        <f t="shared" si="58"/>
        <v/>
      </c>
    </row>
    <row r="1817" spans="1:21" x14ac:dyDescent="0.35">
      <c r="A1817" s="126" t="s">
        <v>0</v>
      </c>
      <c r="B1817" s="126" t="s">
        <v>6400</v>
      </c>
      <c r="C1817" s="126" t="s">
        <v>2</v>
      </c>
      <c r="D1817" s="126" t="s">
        <v>3</v>
      </c>
      <c r="E1817" s="126">
        <v>1.81</v>
      </c>
      <c r="F1817" s="126" t="s">
        <v>88</v>
      </c>
      <c r="G1817" s="108">
        <v>45432</v>
      </c>
      <c r="H1817" s="126" t="s">
        <v>89</v>
      </c>
      <c r="I1817" s="126" t="s">
        <v>7839</v>
      </c>
      <c r="J1817" s="126"/>
      <c r="K1817" s="126" t="s">
        <v>7840</v>
      </c>
      <c r="L1817" s="126" t="s">
        <v>7841</v>
      </c>
      <c r="M1817" s="126" t="s">
        <v>399</v>
      </c>
      <c r="N1817" s="35"/>
      <c r="O1817" s="35"/>
      <c r="Q1817" s="3">
        <f t="shared" si="57"/>
        <v>1.81</v>
      </c>
      <c r="S1817" s="55" t="s">
        <v>9013</v>
      </c>
      <c r="U1817" s="3" t="str">
        <f t="shared" si="58"/>
        <v/>
      </c>
    </row>
    <row r="1818" spans="1:21" x14ac:dyDescent="0.35">
      <c r="A1818" s="126" t="s">
        <v>0</v>
      </c>
      <c r="B1818" s="126" t="s">
        <v>6400</v>
      </c>
      <c r="C1818" s="126" t="s">
        <v>2</v>
      </c>
      <c r="D1818" s="126" t="s">
        <v>3</v>
      </c>
      <c r="E1818" s="126">
        <v>1.81</v>
      </c>
      <c r="F1818" s="126" t="s">
        <v>88</v>
      </c>
      <c r="G1818" s="108">
        <v>45454</v>
      </c>
      <c r="H1818" s="126" t="s">
        <v>89</v>
      </c>
      <c r="I1818" s="126" t="s">
        <v>7958</v>
      </c>
      <c r="J1818" s="126"/>
      <c r="K1818" s="126" t="s">
        <v>7959</v>
      </c>
      <c r="L1818" s="126" t="s">
        <v>7960</v>
      </c>
      <c r="M1818" s="126" t="s">
        <v>399</v>
      </c>
      <c r="Q1818" s="3">
        <f t="shared" si="57"/>
        <v>1.81</v>
      </c>
      <c r="S1818" s="55" t="s">
        <v>9013</v>
      </c>
      <c r="U1818" s="3" t="str">
        <f t="shared" si="58"/>
        <v/>
      </c>
    </row>
    <row r="1819" spans="1:21" x14ac:dyDescent="0.35">
      <c r="A1819" s="126" t="s">
        <v>0</v>
      </c>
      <c r="B1819" s="126" t="s">
        <v>6400</v>
      </c>
      <c r="C1819" s="126" t="s">
        <v>2</v>
      </c>
      <c r="D1819" s="126" t="s">
        <v>3</v>
      </c>
      <c r="E1819" s="126">
        <v>1.81</v>
      </c>
      <c r="F1819" s="126" t="s">
        <v>88</v>
      </c>
      <c r="G1819" s="108">
        <v>45485</v>
      </c>
      <c r="H1819" s="126" t="s">
        <v>89</v>
      </c>
      <c r="I1819" s="126" t="s">
        <v>8134</v>
      </c>
      <c r="J1819" s="126"/>
      <c r="K1819" s="126" t="s">
        <v>8135</v>
      </c>
      <c r="L1819" s="126" t="s">
        <v>8136</v>
      </c>
      <c r="M1819" s="126" t="s">
        <v>399</v>
      </c>
      <c r="N1819" s="126"/>
      <c r="O1819" s="126"/>
      <c r="Q1819" s="3">
        <f t="shared" si="57"/>
        <v>1.81</v>
      </c>
      <c r="S1819" s="55" t="s">
        <v>9013</v>
      </c>
      <c r="U1819" s="3" t="str">
        <f t="shared" si="58"/>
        <v/>
      </c>
    </row>
    <row r="1820" spans="1:21" x14ac:dyDescent="0.35">
      <c r="A1820" s="126" t="s">
        <v>0</v>
      </c>
      <c r="B1820" s="126" t="s">
        <v>5980</v>
      </c>
      <c r="C1820" s="126" t="s">
        <v>2</v>
      </c>
      <c r="D1820" s="126" t="s">
        <v>3</v>
      </c>
      <c r="E1820" s="126">
        <v>1.81</v>
      </c>
      <c r="F1820" s="126" t="s">
        <v>88</v>
      </c>
      <c r="G1820" s="108">
        <v>45551</v>
      </c>
      <c r="H1820" s="126" t="s">
        <v>89</v>
      </c>
      <c r="I1820" s="126" t="s">
        <v>8431</v>
      </c>
      <c r="J1820" s="126"/>
      <c r="K1820" s="126" t="s">
        <v>8432</v>
      </c>
      <c r="L1820" s="126" t="s">
        <v>8433</v>
      </c>
      <c r="M1820" s="126" t="s">
        <v>399</v>
      </c>
      <c r="N1820" s="126"/>
      <c r="O1820" s="126"/>
      <c r="Q1820" s="3">
        <f t="shared" si="57"/>
        <v>1.81</v>
      </c>
      <c r="S1820" s="55" t="s">
        <v>9013</v>
      </c>
      <c r="U1820" s="3" t="str">
        <f t="shared" si="58"/>
        <v/>
      </c>
    </row>
    <row r="1821" spans="1:21" x14ac:dyDescent="0.35">
      <c r="A1821" s="126" t="s">
        <v>35</v>
      </c>
      <c r="B1821" s="126" t="s">
        <v>915</v>
      </c>
      <c r="C1821" s="126" t="s">
        <v>2</v>
      </c>
      <c r="D1821" s="126" t="s">
        <v>3</v>
      </c>
      <c r="E1821" s="126">
        <v>0.91</v>
      </c>
      <c r="F1821" s="126" t="s">
        <v>88</v>
      </c>
      <c r="G1821" s="108">
        <v>45586</v>
      </c>
      <c r="H1821" s="126" t="s">
        <v>94</v>
      </c>
      <c r="I1821" s="126" t="s">
        <v>7766</v>
      </c>
      <c r="J1821" s="126" t="s">
        <v>8597</v>
      </c>
      <c r="K1821" s="126"/>
      <c r="L1821" s="126"/>
      <c r="M1821" s="126"/>
      <c r="N1821" s="126"/>
      <c r="O1821" s="126" t="s">
        <v>8598</v>
      </c>
      <c r="Q1821" s="3">
        <f t="shared" si="57"/>
        <v>0.91</v>
      </c>
      <c r="U1821" s="3" t="str">
        <f t="shared" si="58"/>
        <v/>
      </c>
    </row>
    <row r="1822" spans="1:21" x14ac:dyDescent="0.35">
      <c r="A1822" s="126" t="s">
        <v>35</v>
      </c>
      <c r="B1822" s="126" t="s">
        <v>1411</v>
      </c>
      <c r="C1822" s="126" t="s">
        <v>2</v>
      </c>
      <c r="D1822" s="126" t="s">
        <v>3</v>
      </c>
      <c r="E1822" s="126">
        <v>0.72</v>
      </c>
      <c r="F1822" s="126" t="s">
        <v>88</v>
      </c>
      <c r="G1822" s="108">
        <v>45616</v>
      </c>
      <c r="H1822" s="126" t="s">
        <v>94</v>
      </c>
      <c r="I1822" s="126" t="s">
        <v>7912</v>
      </c>
      <c r="J1822" s="126" t="s">
        <v>8764</v>
      </c>
      <c r="K1822" s="126"/>
      <c r="L1822" s="126"/>
      <c r="M1822" s="126"/>
      <c r="N1822" s="126"/>
      <c r="O1822" s="126" t="s">
        <v>7779</v>
      </c>
      <c r="Q1822" s="3">
        <f t="shared" si="57"/>
        <v>0.72</v>
      </c>
      <c r="S1822" s="55" t="s">
        <v>9014</v>
      </c>
      <c r="U1822" s="3" t="str">
        <f t="shared" si="58"/>
        <v/>
      </c>
    </row>
    <row r="1823" spans="1:21" x14ac:dyDescent="0.35">
      <c r="A1823" s="126" t="s">
        <v>35</v>
      </c>
      <c r="B1823" s="126" t="s">
        <v>1411</v>
      </c>
      <c r="C1823" s="126" t="s">
        <v>2</v>
      </c>
      <c r="D1823" s="126" t="s">
        <v>3</v>
      </c>
      <c r="E1823" s="126">
        <v>0.71</v>
      </c>
      <c r="F1823" s="126" t="s">
        <v>88</v>
      </c>
      <c r="G1823" s="108">
        <v>45616</v>
      </c>
      <c r="H1823" s="126" t="s">
        <v>94</v>
      </c>
      <c r="I1823" s="126" t="s">
        <v>7912</v>
      </c>
      <c r="J1823" s="126" t="s">
        <v>8765</v>
      </c>
      <c r="K1823" s="126"/>
      <c r="L1823" s="126"/>
      <c r="M1823" s="126"/>
      <c r="N1823" s="126"/>
      <c r="O1823" s="126" t="s">
        <v>7779</v>
      </c>
      <c r="Q1823" s="3">
        <f t="shared" si="57"/>
        <v>0.71</v>
      </c>
      <c r="S1823" s="55" t="s">
        <v>9014</v>
      </c>
      <c r="U1823" s="3" t="str">
        <f t="shared" si="58"/>
        <v/>
      </c>
    </row>
    <row r="1824" spans="1:21" x14ac:dyDescent="0.35">
      <c r="A1824" s="126" t="s">
        <v>35</v>
      </c>
      <c r="B1824" s="126" t="s">
        <v>1075</v>
      </c>
      <c r="C1824" s="126" t="s">
        <v>2</v>
      </c>
      <c r="D1824" s="126" t="s">
        <v>3</v>
      </c>
      <c r="E1824" s="126">
        <v>0.3</v>
      </c>
      <c r="F1824" s="126" t="s">
        <v>88</v>
      </c>
      <c r="G1824" s="108">
        <v>45516</v>
      </c>
      <c r="H1824" s="126" t="s">
        <v>89</v>
      </c>
      <c r="I1824" s="126" t="s">
        <v>8307</v>
      </c>
      <c r="J1824" s="126"/>
      <c r="K1824" s="126" t="s">
        <v>8308</v>
      </c>
      <c r="L1824" s="126" t="s">
        <v>8309</v>
      </c>
      <c r="M1824" s="126" t="s">
        <v>396</v>
      </c>
      <c r="N1824" s="126"/>
      <c r="O1824" s="126"/>
      <c r="Q1824" s="3">
        <f t="shared" si="57"/>
        <v>0.3</v>
      </c>
      <c r="U1824" s="3" t="str">
        <f t="shared" si="58"/>
        <v/>
      </c>
    </row>
  </sheetData>
  <autoFilter ref="A7:AE1824" xr:uid="{A9A73452-DFDE-4253-BABE-9313CDFBA6FE}">
    <sortState xmlns:xlrd2="http://schemas.microsoft.com/office/spreadsheetml/2017/richdata2" ref="A8:AE1824">
      <sortCondition descending="1" ref="AC7:AC1824"/>
    </sortState>
  </autoFilter>
  <sortState xmlns:xlrd2="http://schemas.microsoft.com/office/spreadsheetml/2017/richdata2" ref="A7:Q310">
    <sortCondition descending="1" ref="Q7:Q310"/>
  </sortState>
  <mergeCells count="1">
    <mergeCell ref="AC6:AD6"/>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3F80E-F9B9-48E6-A1FF-3ACF05F25968}">
  <dimension ref="A1:AF77"/>
  <sheetViews>
    <sheetView workbookViewId="0">
      <selection activeCell="C3" sqref="C3"/>
    </sheetView>
  </sheetViews>
  <sheetFormatPr defaultRowHeight="14.5" x14ac:dyDescent="0.35"/>
  <cols>
    <col min="1" max="2" width="6" customWidth="1"/>
    <col min="3" max="3" width="10.7265625" customWidth="1"/>
    <col min="4" max="4" width="5.453125" style="3" customWidth="1"/>
    <col min="5" max="5" width="5.453125" style="19" customWidth="1"/>
    <col min="6" max="6" width="5.453125" customWidth="1"/>
    <col min="7" max="7" width="5.453125" style="62" customWidth="1"/>
    <col min="8" max="8" width="5.453125" style="55" customWidth="1"/>
    <col min="9" max="9" width="14.54296875" style="55" customWidth="1"/>
    <col min="10" max="10" width="4.1796875" customWidth="1"/>
    <col min="11" max="11" width="27.81640625" style="55" bestFit="1" customWidth="1"/>
    <col min="12" max="12" width="9.7265625" customWidth="1"/>
    <col min="13" max="13" width="22.54296875" style="55" customWidth="1"/>
    <col min="14" max="14" width="13.453125" style="55" customWidth="1"/>
    <col min="15" max="15" width="16.453125" style="55" customWidth="1"/>
    <col min="16" max="16" width="3.54296875" style="5" customWidth="1"/>
    <col min="17" max="17" width="10.1796875" style="3" bestFit="1" customWidth="1"/>
    <col min="18" max="18" width="2.453125" style="55" customWidth="1"/>
    <col min="19" max="19" width="13.81640625" style="55" customWidth="1"/>
    <col min="21" max="21" width="4.453125" customWidth="1"/>
    <col min="22" max="22" width="11.81640625" style="3" bestFit="1" customWidth="1"/>
    <col min="23" max="23" width="2.1796875" customWidth="1"/>
    <col min="24" max="28" width="2" customWidth="1"/>
    <col min="30" max="30" width="8" customWidth="1"/>
    <col min="31" max="31" width="11" bestFit="1" customWidth="1"/>
  </cols>
  <sheetData>
    <row r="1" spans="1:32" x14ac:dyDescent="0.35">
      <c r="A1" t="s">
        <v>69</v>
      </c>
      <c r="C1" s="143" t="s">
        <v>41</v>
      </c>
    </row>
    <row r="2" spans="1:32" x14ac:dyDescent="0.35">
      <c r="A2" t="s">
        <v>70</v>
      </c>
      <c r="C2" t="s">
        <v>42</v>
      </c>
      <c r="F2" t="s">
        <v>141</v>
      </c>
    </row>
    <row r="3" spans="1:32" x14ac:dyDescent="0.35">
      <c r="A3" t="s">
        <v>71</v>
      </c>
      <c r="C3" s="22">
        <v>108523.61</v>
      </c>
      <c r="T3" s="24" t="s">
        <v>0</v>
      </c>
      <c r="U3" s="24"/>
      <c r="V3" s="3">
        <f>SUMIF($A$8:$A$22176,"AU001",V8:V22176)</f>
        <v>0</v>
      </c>
      <c r="AC3" t="s">
        <v>0</v>
      </c>
      <c r="AD3" s="3">
        <f>SUMIF($A$8:$A$18204,"AU001",AD8:AD18204)</f>
        <v>0</v>
      </c>
      <c r="AE3" s="3">
        <f>SUMIF($A$8:$A$18204,"AU001",AE8:AE18204)</f>
        <v>0</v>
      </c>
    </row>
    <row r="4" spans="1:32" x14ac:dyDescent="0.35">
      <c r="A4" t="s">
        <v>45</v>
      </c>
      <c r="C4" s="22">
        <f>SUM(E:E)</f>
        <v>108523.61000000003</v>
      </c>
      <c r="T4" s="24" t="s">
        <v>35</v>
      </c>
      <c r="U4" s="24"/>
      <c r="V4" s="3">
        <f>SUMIF($A$8:$A$22177,"AU052",V8:V22177)</f>
        <v>440.18</v>
      </c>
      <c r="AC4" t="s">
        <v>35</v>
      </c>
      <c r="AD4" s="3">
        <f>SUMIF($A$8:$A$18204,"AU052",AD8:AD18204)</f>
        <v>0</v>
      </c>
      <c r="AE4" s="3">
        <f>SUMIF($A$8:$A$18204,"AU052",AE8:AE18204)</f>
        <v>455.42</v>
      </c>
    </row>
    <row r="5" spans="1:32" ht="15" thickBot="1" x14ac:dyDescent="0.4">
      <c r="A5" t="s">
        <v>72</v>
      </c>
      <c r="C5" s="3">
        <f>C3-C4</f>
        <v>0</v>
      </c>
      <c r="Q5" s="30"/>
      <c r="R5" s="57"/>
      <c r="V5" s="3">
        <v>0</v>
      </c>
    </row>
    <row r="6" spans="1:32" ht="15" thickBot="1" x14ac:dyDescent="0.4">
      <c r="F6" s="19"/>
      <c r="AD6" s="191" t="s">
        <v>44</v>
      </c>
      <c r="AE6" s="192"/>
    </row>
    <row r="7" spans="1:32" ht="46" customHeight="1" thickBot="1" x14ac:dyDescent="0.4">
      <c r="A7" s="144" t="s">
        <v>74</v>
      </c>
      <c r="B7" s="144" t="s">
        <v>597</v>
      </c>
      <c r="C7" s="144" t="s">
        <v>75</v>
      </c>
      <c r="D7" s="144" t="s">
        <v>76</v>
      </c>
      <c r="E7" s="144" t="s">
        <v>77</v>
      </c>
      <c r="F7" s="144" t="s">
        <v>78</v>
      </c>
      <c r="G7" s="107" t="s">
        <v>79</v>
      </c>
      <c r="H7" s="144" t="s">
        <v>80</v>
      </c>
      <c r="I7" s="144" t="s">
        <v>81</v>
      </c>
      <c r="J7" s="144" t="s">
        <v>82</v>
      </c>
      <c r="K7" s="184" t="s">
        <v>83</v>
      </c>
      <c r="L7" s="144" t="s">
        <v>84</v>
      </c>
      <c r="M7" s="184" t="s">
        <v>85</v>
      </c>
      <c r="N7" s="184" t="s">
        <v>86</v>
      </c>
      <c r="O7" s="184" t="s">
        <v>585</v>
      </c>
      <c r="Q7" s="31" t="s">
        <v>136</v>
      </c>
      <c r="R7" s="25" t="s">
        <v>87</v>
      </c>
      <c r="S7" s="8" t="s">
        <v>46</v>
      </c>
      <c r="T7" s="7" t="s">
        <v>47</v>
      </c>
      <c r="U7" s="7" t="s">
        <v>1286</v>
      </c>
      <c r="V7" s="65" t="s">
        <v>48</v>
      </c>
      <c r="W7" s="9" t="s">
        <v>49</v>
      </c>
      <c r="X7" s="10" t="s">
        <v>50</v>
      </c>
      <c r="Y7" s="11" t="s">
        <v>51</v>
      </c>
      <c r="Z7" s="12" t="s">
        <v>52</v>
      </c>
      <c r="AA7" s="13" t="s">
        <v>53</v>
      </c>
      <c r="AB7" s="13" t="s">
        <v>54</v>
      </c>
      <c r="AC7" s="13" t="s">
        <v>55</v>
      </c>
      <c r="AD7" s="14" t="s">
        <v>56</v>
      </c>
      <c r="AE7" s="14" t="s">
        <v>57</v>
      </c>
      <c r="AF7" s="15" t="s">
        <v>58</v>
      </c>
    </row>
    <row r="8" spans="1:32" ht="29" x14ac:dyDescent="0.35">
      <c r="A8" s="143" t="s">
        <v>0</v>
      </c>
      <c r="B8" s="143" t="s">
        <v>638</v>
      </c>
      <c r="C8" s="143" t="s">
        <v>41</v>
      </c>
      <c r="D8" s="143" t="s">
        <v>42</v>
      </c>
      <c r="E8" s="143">
        <v>25600</v>
      </c>
      <c r="F8" s="143" t="s">
        <v>88</v>
      </c>
      <c r="G8" s="108">
        <v>45635</v>
      </c>
      <c r="H8" s="143" t="s">
        <v>89</v>
      </c>
      <c r="I8" s="143" t="s">
        <v>9139</v>
      </c>
      <c r="J8" s="143"/>
      <c r="K8" s="185" t="s">
        <v>9140</v>
      </c>
      <c r="L8" s="143" t="s">
        <v>9141</v>
      </c>
      <c r="M8" s="185" t="s">
        <v>2709</v>
      </c>
      <c r="N8" s="185"/>
      <c r="O8" s="185"/>
      <c r="Q8" s="3">
        <f t="shared" ref="Q8:Q39" si="0">ABS(E8)</f>
        <v>25600</v>
      </c>
      <c r="S8" s="55" t="s">
        <v>9239</v>
      </c>
      <c r="V8" s="3" t="str">
        <f t="shared" ref="V8:V16" si="1">IF(T8="Y",E8,"")</f>
        <v/>
      </c>
    </row>
    <row r="9" spans="1:32" x14ac:dyDescent="0.35">
      <c r="A9" s="143" t="s">
        <v>0</v>
      </c>
      <c r="B9" s="143" t="s">
        <v>2162</v>
      </c>
      <c r="C9" s="143" t="s">
        <v>41</v>
      </c>
      <c r="D9" s="143" t="s">
        <v>42</v>
      </c>
      <c r="E9" s="143">
        <v>14000</v>
      </c>
      <c r="F9" s="143" t="s">
        <v>88</v>
      </c>
      <c r="G9" s="108">
        <v>45597</v>
      </c>
      <c r="H9" s="143" t="s">
        <v>89</v>
      </c>
      <c r="I9" s="143" t="s">
        <v>9113</v>
      </c>
      <c r="J9" s="143"/>
      <c r="K9" s="185" t="s">
        <v>9114</v>
      </c>
      <c r="L9" s="143" t="s">
        <v>9115</v>
      </c>
      <c r="M9" s="185" t="s">
        <v>9116</v>
      </c>
      <c r="N9" s="185"/>
      <c r="O9" s="185"/>
      <c r="Q9" s="3">
        <f t="shared" si="0"/>
        <v>14000</v>
      </c>
      <c r="V9" s="3" t="str">
        <f t="shared" si="1"/>
        <v/>
      </c>
    </row>
    <row r="10" spans="1:32" ht="29" x14ac:dyDescent="0.35">
      <c r="A10" s="143" t="s">
        <v>0</v>
      </c>
      <c r="B10" s="143" t="s">
        <v>2140</v>
      </c>
      <c r="C10" s="143" t="s">
        <v>41</v>
      </c>
      <c r="D10" s="143" t="s">
        <v>42</v>
      </c>
      <c r="E10" s="143">
        <v>10902.2</v>
      </c>
      <c r="F10" s="143" t="s">
        <v>88</v>
      </c>
      <c r="G10" s="108">
        <v>45635</v>
      </c>
      <c r="H10" s="143" t="s">
        <v>89</v>
      </c>
      <c r="I10" s="143" t="s">
        <v>9142</v>
      </c>
      <c r="J10" s="143"/>
      <c r="K10" s="185" t="s">
        <v>9143</v>
      </c>
      <c r="L10" s="143" t="s">
        <v>9144</v>
      </c>
      <c r="M10" s="185" t="s">
        <v>3450</v>
      </c>
      <c r="N10" s="185"/>
      <c r="O10" s="185"/>
      <c r="Q10" s="3">
        <f t="shared" si="0"/>
        <v>10902.2</v>
      </c>
      <c r="V10" s="3" t="str">
        <f t="shared" si="1"/>
        <v/>
      </c>
    </row>
    <row r="11" spans="1:32" ht="29" x14ac:dyDescent="0.35">
      <c r="A11" s="143" t="s">
        <v>0</v>
      </c>
      <c r="B11" s="143" t="s">
        <v>2258</v>
      </c>
      <c r="C11" s="143" t="s">
        <v>41</v>
      </c>
      <c r="D11" s="143" t="s">
        <v>42</v>
      </c>
      <c r="E11" s="143">
        <v>6000</v>
      </c>
      <c r="F11" s="143" t="s">
        <v>88</v>
      </c>
      <c r="G11" s="108">
        <v>45610</v>
      </c>
      <c r="H11" s="143" t="s">
        <v>89</v>
      </c>
      <c r="I11" s="143" t="s">
        <v>9126</v>
      </c>
      <c r="J11" s="143"/>
      <c r="K11" s="185" t="s">
        <v>2280</v>
      </c>
      <c r="L11" s="143" t="s">
        <v>9127</v>
      </c>
      <c r="M11" s="185" t="s">
        <v>9128</v>
      </c>
      <c r="N11" s="185"/>
      <c r="O11" s="185"/>
      <c r="Q11" s="3">
        <f t="shared" si="0"/>
        <v>6000</v>
      </c>
      <c r="V11" s="3" t="str">
        <f t="shared" si="1"/>
        <v/>
      </c>
    </row>
    <row r="12" spans="1:32" x14ac:dyDescent="0.35">
      <c r="A12" s="143" t="s">
        <v>0</v>
      </c>
      <c r="B12" s="143" t="s">
        <v>952</v>
      </c>
      <c r="C12" s="143" t="s">
        <v>41</v>
      </c>
      <c r="D12" s="143" t="s">
        <v>42</v>
      </c>
      <c r="E12" s="143">
        <v>5250</v>
      </c>
      <c r="F12" s="143" t="s">
        <v>88</v>
      </c>
      <c r="G12" s="108">
        <v>45447</v>
      </c>
      <c r="H12" s="143" t="s">
        <v>89</v>
      </c>
      <c r="I12" s="143" t="s">
        <v>9103</v>
      </c>
      <c r="J12" s="143"/>
      <c r="K12" s="185" t="s">
        <v>9104</v>
      </c>
      <c r="L12" s="143" t="s">
        <v>9105</v>
      </c>
      <c r="M12" s="185" t="s">
        <v>9106</v>
      </c>
      <c r="N12" s="185"/>
      <c r="O12" s="185"/>
      <c r="Q12" s="3">
        <f t="shared" si="0"/>
        <v>5250</v>
      </c>
      <c r="V12" s="3" t="str">
        <f t="shared" si="1"/>
        <v/>
      </c>
    </row>
    <row r="13" spans="1:32" x14ac:dyDescent="0.35">
      <c r="A13" s="143" t="s">
        <v>0</v>
      </c>
      <c r="B13" s="143" t="s">
        <v>2170</v>
      </c>
      <c r="C13" s="143" t="s">
        <v>41</v>
      </c>
      <c r="D13" s="143" t="s">
        <v>42</v>
      </c>
      <c r="E13" s="143">
        <v>5000</v>
      </c>
      <c r="F13" s="143" t="s">
        <v>88</v>
      </c>
      <c r="G13" s="108">
        <v>45432</v>
      </c>
      <c r="H13" s="143" t="s">
        <v>89</v>
      </c>
      <c r="I13" s="143" t="s">
        <v>9095</v>
      </c>
      <c r="J13" s="143"/>
      <c r="K13" s="185" t="s">
        <v>9096</v>
      </c>
      <c r="L13" s="143" t="s">
        <v>9097</v>
      </c>
      <c r="M13" s="185" t="s">
        <v>9098</v>
      </c>
      <c r="N13" s="185"/>
      <c r="O13" s="185"/>
      <c r="Q13" s="3">
        <f t="shared" si="0"/>
        <v>5000</v>
      </c>
      <c r="V13" s="3" t="str">
        <f t="shared" si="1"/>
        <v/>
      </c>
    </row>
    <row r="14" spans="1:32" x14ac:dyDescent="0.35">
      <c r="A14" s="143" t="s">
        <v>0</v>
      </c>
      <c r="B14" s="143" t="s">
        <v>2158</v>
      </c>
      <c r="C14" s="143" t="s">
        <v>41</v>
      </c>
      <c r="D14" s="143" t="s">
        <v>42</v>
      </c>
      <c r="E14" s="143">
        <v>5000</v>
      </c>
      <c r="F14" s="143" t="s">
        <v>88</v>
      </c>
      <c r="G14" s="108">
        <v>45616</v>
      </c>
      <c r="H14" s="143" t="s">
        <v>89</v>
      </c>
      <c r="I14" s="143" t="s">
        <v>9129</v>
      </c>
      <c r="J14" s="143"/>
      <c r="K14" s="185" t="s">
        <v>9130</v>
      </c>
      <c r="L14" s="143" t="s">
        <v>9131</v>
      </c>
      <c r="M14" s="185" t="s">
        <v>9098</v>
      </c>
      <c r="N14" s="185"/>
      <c r="O14" s="185"/>
      <c r="Q14" s="3">
        <f t="shared" si="0"/>
        <v>5000</v>
      </c>
      <c r="V14" s="3" t="str">
        <f t="shared" si="1"/>
        <v/>
      </c>
    </row>
    <row r="15" spans="1:32" ht="29" x14ac:dyDescent="0.35">
      <c r="A15" s="143" t="s">
        <v>0</v>
      </c>
      <c r="B15" s="143" t="s">
        <v>2162</v>
      </c>
      <c r="C15" s="143" t="s">
        <v>41</v>
      </c>
      <c r="D15" s="143" t="s">
        <v>42</v>
      </c>
      <c r="E15" s="143">
        <v>4955.55</v>
      </c>
      <c r="F15" s="143" t="s">
        <v>88</v>
      </c>
      <c r="G15" s="108">
        <v>45602</v>
      </c>
      <c r="H15" s="143" t="s">
        <v>89</v>
      </c>
      <c r="I15" s="143" t="s">
        <v>9122</v>
      </c>
      <c r="J15" s="143"/>
      <c r="K15" s="185" t="s">
        <v>9123</v>
      </c>
      <c r="L15" s="143" t="s">
        <v>9124</v>
      </c>
      <c r="M15" s="185" t="s">
        <v>9125</v>
      </c>
      <c r="N15" s="185"/>
      <c r="O15" s="185"/>
      <c r="Q15" s="3">
        <f t="shared" si="0"/>
        <v>4955.55</v>
      </c>
      <c r="V15" s="3" t="str">
        <f t="shared" si="1"/>
        <v/>
      </c>
    </row>
    <row r="16" spans="1:32" ht="43.5" x14ac:dyDescent="0.35">
      <c r="A16" s="143" t="s">
        <v>0</v>
      </c>
      <c r="B16" s="143" t="s">
        <v>2263</v>
      </c>
      <c r="C16" s="143" t="s">
        <v>41</v>
      </c>
      <c r="D16" s="143" t="s">
        <v>42</v>
      </c>
      <c r="E16" s="143">
        <v>4955.55</v>
      </c>
      <c r="F16" s="143" t="s">
        <v>88</v>
      </c>
      <c r="G16" s="108">
        <v>45628</v>
      </c>
      <c r="H16" s="143" t="s">
        <v>89</v>
      </c>
      <c r="I16" s="143" t="s">
        <v>9132</v>
      </c>
      <c r="J16" s="143"/>
      <c r="K16" s="185" t="s">
        <v>9133</v>
      </c>
      <c r="L16" s="143" t="s">
        <v>9134</v>
      </c>
      <c r="M16" s="185" t="s">
        <v>9135</v>
      </c>
      <c r="N16" s="185"/>
      <c r="O16" s="185"/>
      <c r="Q16" s="3">
        <f t="shared" si="0"/>
        <v>4955.55</v>
      </c>
      <c r="V16" s="3" t="str">
        <f t="shared" si="1"/>
        <v/>
      </c>
    </row>
    <row r="17" spans="1:31" ht="29" x14ac:dyDescent="0.35">
      <c r="A17" s="143" t="s">
        <v>35</v>
      </c>
      <c r="B17" s="143" t="s">
        <v>732</v>
      </c>
      <c r="C17" s="143" t="s">
        <v>41</v>
      </c>
      <c r="D17" s="143" t="s">
        <v>42</v>
      </c>
      <c r="E17" s="143">
        <v>4805.28</v>
      </c>
      <c r="F17" s="143" t="s">
        <v>88</v>
      </c>
      <c r="G17" s="108">
        <v>45462</v>
      </c>
      <c r="H17" s="143" t="s">
        <v>89</v>
      </c>
      <c r="I17" s="143" t="s">
        <v>9173</v>
      </c>
      <c r="J17" s="143"/>
      <c r="K17" s="185" t="s">
        <v>101</v>
      </c>
      <c r="L17" s="143" t="s">
        <v>9174</v>
      </c>
      <c r="M17" s="185" t="s">
        <v>9175</v>
      </c>
      <c r="N17" s="185"/>
      <c r="O17" s="185"/>
      <c r="Q17" s="3">
        <f t="shared" si="0"/>
        <v>4805.28</v>
      </c>
    </row>
    <row r="18" spans="1:31" ht="29" x14ac:dyDescent="0.35">
      <c r="A18" s="143" t="s">
        <v>0</v>
      </c>
      <c r="B18" s="143" t="s">
        <v>599</v>
      </c>
      <c r="C18" s="143" t="s">
        <v>41</v>
      </c>
      <c r="D18" s="143" t="s">
        <v>42</v>
      </c>
      <c r="E18" s="143">
        <v>3087.05</v>
      </c>
      <c r="F18" s="143" t="s">
        <v>88</v>
      </c>
      <c r="G18" s="108">
        <v>45643</v>
      </c>
      <c r="H18" s="143" t="s">
        <v>89</v>
      </c>
      <c r="I18" s="143" t="s">
        <v>9149</v>
      </c>
      <c r="J18" s="143"/>
      <c r="K18" s="185" t="s">
        <v>9150</v>
      </c>
      <c r="L18" s="143" t="s">
        <v>9151</v>
      </c>
      <c r="M18" s="185" t="s">
        <v>9152</v>
      </c>
      <c r="N18" s="185"/>
      <c r="O18" s="185"/>
      <c r="Q18" s="3">
        <f t="shared" si="0"/>
        <v>3087.05</v>
      </c>
      <c r="V18" s="3" t="str">
        <f>IF(T18="Y",E18,"")</f>
        <v/>
      </c>
    </row>
    <row r="19" spans="1:31" ht="29" x14ac:dyDescent="0.35">
      <c r="A19" s="143" t="s">
        <v>0</v>
      </c>
      <c r="B19" s="143" t="s">
        <v>2258</v>
      </c>
      <c r="C19" s="143" t="s">
        <v>41</v>
      </c>
      <c r="D19" s="143" t="s">
        <v>42</v>
      </c>
      <c r="E19" s="143">
        <v>3000</v>
      </c>
      <c r="F19" s="143" t="s">
        <v>88</v>
      </c>
      <c r="G19" s="108">
        <v>45628</v>
      </c>
      <c r="H19" s="143" t="s">
        <v>89</v>
      </c>
      <c r="I19" s="143" t="s">
        <v>9136</v>
      </c>
      <c r="J19" s="143"/>
      <c r="K19" s="185" t="s">
        <v>9137</v>
      </c>
      <c r="L19" s="143" t="s">
        <v>1953</v>
      </c>
      <c r="M19" s="185" t="s">
        <v>9138</v>
      </c>
      <c r="N19" s="185"/>
      <c r="O19" s="185"/>
      <c r="Q19" s="3">
        <f t="shared" si="0"/>
        <v>3000</v>
      </c>
      <c r="V19" s="3" t="str">
        <f>IF(T19="Y",E19,"")</f>
        <v/>
      </c>
    </row>
    <row r="20" spans="1:31" ht="29" x14ac:dyDescent="0.35">
      <c r="A20" s="143" t="s">
        <v>0</v>
      </c>
      <c r="B20" s="143" t="s">
        <v>2720</v>
      </c>
      <c r="C20" s="143" t="s">
        <v>41</v>
      </c>
      <c r="D20" s="143" t="s">
        <v>42</v>
      </c>
      <c r="E20" s="143">
        <v>2500</v>
      </c>
      <c r="F20" s="143" t="s">
        <v>88</v>
      </c>
      <c r="G20" s="108">
        <v>45434</v>
      </c>
      <c r="H20" s="143" t="s">
        <v>89</v>
      </c>
      <c r="I20" s="143" t="s">
        <v>9099</v>
      </c>
      <c r="J20" s="143"/>
      <c r="K20" s="185" t="s">
        <v>9100</v>
      </c>
      <c r="L20" s="143" t="s">
        <v>9101</v>
      </c>
      <c r="M20" s="185" t="s">
        <v>9102</v>
      </c>
      <c r="N20" s="185"/>
      <c r="O20" s="185"/>
      <c r="Q20" s="3">
        <f t="shared" si="0"/>
        <v>2500</v>
      </c>
      <c r="V20" s="3" t="str">
        <f>IF(T20="Y",E20,"")</f>
        <v/>
      </c>
    </row>
    <row r="21" spans="1:31" ht="29" x14ac:dyDescent="0.35">
      <c r="A21" s="143" t="s">
        <v>0</v>
      </c>
      <c r="B21" s="143" t="s">
        <v>9145</v>
      </c>
      <c r="C21" s="143" t="s">
        <v>41</v>
      </c>
      <c r="D21" s="143" t="s">
        <v>42</v>
      </c>
      <c r="E21" s="143">
        <v>1635.33</v>
      </c>
      <c r="F21" s="143" t="s">
        <v>88</v>
      </c>
      <c r="G21" s="108">
        <v>45635</v>
      </c>
      <c r="H21" s="143" t="s">
        <v>89</v>
      </c>
      <c r="I21" s="143" t="s">
        <v>9146</v>
      </c>
      <c r="J21" s="143"/>
      <c r="K21" s="185" t="s">
        <v>9147</v>
      </c>
      <c r="L21" s="143" t="s">
        <v>9148</v>
      </c>
      <c r="M21" s="185" t="s">
        <v>6699</v>
      </c>
      <c r="N21" s="185"/>
      <c r="O21" s="185"/>
      <c r="Q21" s="3">
        <f t="shared" si="0"/>
        <v>1635.33</v>
      </c>
      <c r="V21" s="3" t="str">
        <f>IF(T21="Y",E21,"")</f>
        <v/>
      </c>
    </row>
    <row r="22" spans="1:31" x14ac:dyDescent="0.35">
      <c r="A22" s="143" t="s">
        <v>35</v>
      </c>
      <c r="B22" s="143" t="s">
        <v>6392</v>
      </c>
      <c r="C22" s="143" t="s">
        <v>41</v>
      </c>
      <c r="D22" s="143" t="s">
        <v>42</v>
      </c>
      <c r="E22" s="143">
        <v>1427.96</v>
      </c>
      <c r="F22" s="143" t="s">
        <v>88</v>
      </c>
      <c r="G22" s="108">
        <v>45469</v>
      </c>
      <c r="H22" s="143" t="s">
        <v>9176</v>
      </c>
      <c r="I22" s="143" t="s">
        <v>9177</v>
      </c>
      <c r="J22" s="143"/>
      <c r="K22" s="185"/>
      <c r="L22" s="143"/>
      <c r="M22" s="185"/>
      <c r="N22" s="185"/>
      <c r="O22" s="185"/>
      <c r="Q22" s="3">
        <f t="shared" si="0"/>
        <v>1427.96</v>
      </c>
    </row>
    <row r="23" spans="1:31" x14ac:dyDescent="0.35">
      <c r="A23" s="143" t="s">
        <v>35</v>
      </c>
      <c r="B23" s="143" t="s">
        <v>6392</v>
      </c>
      <c r="C23" s="143" t="s">
        <v>41</v>
      </c>
      <c r="D23" s="143" t="s">
        <v>42</v>
      </c>
      <c r="E23" s="143">
        <v>-1427.96</v>
      </c>
      <c r="F23" s="143" t="s">
        <v>88</v>
      </c>
      <c r="G23" s="108">
        <v>45474</v>
      </c>
      <c r="H23" s="143" t="s">
        <v>9176</v>
      </c>
      <c r="I23" s="143" t="s">
        <v>9177</v>
      </c>
      <c r="J23" s="143"/>
      <c r="K23" s="185"/>
      <c r="L23" s="143"/>
      <c r="M23" s="185"/>
      <c r="N23" s="185"/>
      <c r="O23" s="185"/>
      <c r="Q23" s="3">
        <f t="shared" si="0"/>
        <v>1427.96</v>
      </c>
    </row>
    <row r="24" spans="1:31" ht="29" x14ac:dyDescent="0.35">
      <c r="A24" s="143" t="s">
        <v>0</v>
      </c>
      <c r="B24" s="143" t="s">
        <v>6392</v>
      </c>
      <c r="C24" s="143" t="s">
        <v>41</v>
      </c>
      <c r="D24" s="143" t="s">
        <v>42</v>
      </c>
      <c r="E24" s="143">
        <v>1427.95</v>
      </c>
      <c r="F24" s="143" t="s">
        <v>88</v>
      </c>
      <c r="G24" s="108">
        <v>45474</v>
      </c>
      <c r="H24" s="143" t="s">
        <v>89</v>
      </c>
      <c r="I24" s="143" t="s">
        <v>9107</v>
      </c>
      <c r="J24" s="143"/>
      <c r="K24" s="185" t="s">
        <v>9108</v>
      </c>
      <c r="L24" s="143" t="s">
        <v>9109</v>
      </c>
      <c r="M24" s="185" t="s">
        <v>2709</v>
      </c>
      <c r="N24" s="185"/>
      <c r="O24" s="185"/>
      <c r="Q24" s="3">
        <f t="shared" si="0"/>
        <v>1427.95</v>
      </c>
      <c r="V24" s="3" t="str">
        <f>IF(T24="Y",E24,"")</f>
        <v/>
      </c>
    </row>
    <row r="25" spans="1:31" x14ac:dyDescent="0.35">
      <c r="A25" s="143" t="s">
        <v>0</v>
      </c>
      <c r="B25" s="143" t="s">
        <v>623</v>
      </c>
      <c r="C25" s="143" t="s">
        <v>41</v>
      </c>
      <c r="D25" s="143" t="s">
        <v>42</v>
      </c>
      <c r="E25" s="143">
        <v>1199.24</v>
      </c>
      <c r="F25" s="143" t="s">
        <v>88</v>
      </c>
      <c r="G25" s="108">
        <v>45510</v>
      </c>
      <c r="H25" s="143" t="s">
        <v>89</v>
      </c>
      <c r="I25" s="143" t="s">
        <v>9110</v>
      </c>
      <c r="J25" s="143"/>
      <c r="K25" s="185" t="s">
        <v>9111</v>
      </c>
      <c r="L25" s="143" t="s">
        <v>9112</v>
      </c>
      <c r="M25" s="185" t="s">
        <v>2182</v>
      </c>
      <c r="N25" s="185"/>
      <c r="O25" s="185"/>
      <c r="Q25" s="3">
        <f t="shared" si="0"/>
        <v>1199.24</v>
      </c>
      <c r="V25" s="3" t="str">
        <f>IF(T25="Y",E25,"")</f>
        <v/>
      </c>
    </row>
    <row r="26" spans="1:31" ht="29" x14ac:dyDescent="0.35">
      <c r="A26" s="143" t="s">
        <v>35</v>
      </c>
      <c r="B26" s="143" t="s">
        <v>1092</v>
      </c>
      <c r="C26" s="143" t="s">
        <v>41</v>
      </c>
      <c r="D26" s="143" t="s">
        <v>42</v>
      </c>
      <c r="E26" s="143">
        <v>601</v>
      </c>
      <c r="F26" s="143" t="s">
        <v>88</v>
      </c>
      <c r="G26" s="108">
        <v>45516</v>
      </c>
      <c r="H26" s="143" t="s">
        <v>94</v>
      </c>
      <c r="I26" s="143" t="s">
        <v>9198</v>
      </c>
      <c r="K26" s="185" t="s">
        <v>9199</v>
      </c>
      <c r="L26" s="143"/>
      <c r="M26" s="185"/>
      <c r="N26" s="185"/>
      <c r="O26" s="185" t="s">
        <v>9200</v>
      </c>
      <c r="Q26" s="3">
        <f t="shared" si="0"/>
        <v>601</v>
      </c>
    </row>
    <row r="27" spans="1:31" x14ac:dyDescent="0.35">
      <c r="A27" s="143" t="s">
        <v>35</v>
      </c>
      <c r="B27" s="143" t="s">
        <v>9145</v>
      </c>
      <c r="C27" s="143" t="s">
        <v>41</v>
      </c>
      <c r="D27" s="143" t="s">
        <v>42</v>
      </c>
      <c r="E27" s="143">
        <v>545.11</v>
      </c>
      <c r="F27" s="143" t="s">
        <v>88</v>
      </c>
      <c r="G27" s="108">
        <v>45621</v>
      </c>
      <c r="H27" s="143" t="s">
        <v>89</v>
      </c>
      <c r="I27" s="143" t="s">
        <v>9229</v>
      </c>
      <c r="J27" s="143"/>
      <c r="K27" s="185" t="s">
        <v>9230</v>
      </c>
      <c r="L27" s="143" t="s">
        <v>3832</v>
      </c>
      <c r="M27" s="185" t="s">
        <v>5181</v>
      </c>
      <c r="N27" s="185"/>
      <c r="O27" s="185"/>
      <c r="Q27" s="3">
        <f t="shared" si="0"/>
        <v>545.11</v>
      </c>
    </row>
    <row r="28" spans="1:31" ht="29" x14ac:dyDescent="0.35">
      <c r="A28" s="143" t="s">
        <v>35</v>
      </c>
      <c r="B28" s="143" t="s">
        <v>869</v>
      </c>
      <c r="C28" s="143" t="s">
        <v>41</v>
      </c>
      <c r="D28" s="143" t="s">
        <v>42</v>
      </c>
      <c r="E28" s="143">
        <v>540</v>
      </c>
      <c r="F28" s="143" t="s">
        <v>88</v>
      </c>
      <c r="G28" s="108">
        <v>45616</v>
      </c>
      <c r="H28" s="143" t="s">
        <v>94</v>
      </c>
      <c r="I28" s="143" t="s">
        <v>9227</v>
      </c>
      <c r="K28" s="185" t="s">
        <v>9228</v>
      </c>
      <c r="L28" s="143"/>
      <c r="M28" s="185"/>
      <c r="N28" s="185"/>
      <c r="O28" s="185" t="s">
        <v>9221</v>
      </c>
      <c r="Q28" s="3">
        <f t="shared" si="0"/>
        <v>540</v>
      </c>
    </row>
    <row r="29" spans="1:31" ht="58" x14ac:dyDescent="0.35">
      <c r="A29" s="143" t="s">
        <v>35</v>
      </c>
      <c r="B29" s="143" t="s">
        <v>708</v>
      </c>
      <c r="C29" s="143" t="s">
        <v>41</v>
      </c>
      <c r="D29" s="143" t="s">
        <v>42</v>
      </c>
      <c r="E29" s="143">
        <v>455.42</v>
      </c>
      <c r="F29" s="143" t="s">
        <v>88</v>
      </c>
      <c r="G29" s="108">
        <v>45516</v>
      </c>
      <c r="H29" s="143" t="s">
        <v>94</v>
      </c>
      <c r="I29" s="143" t="s">
        <v>9195</v>
      </c>
      <c r="K29" s="185" t="s">
        <v>9196</v>
      </c>
      <c r="L29" s="143"/>
      <c r="M29" s="185"/>
      <c r="N29" s="185"/>
      <c r="O29" s="185" t="s">
        <v>9197</v>
      </c>
      <c r="Q29" s="3">
        <f t="shared" si="0"/>
        <v>455.42</v>
      </c>
      <c r="S29" s="55" t="s">
        <v>9240</v>
      </c>
      <c r="AE29" s="26">
        <f>Q29</f>
        <v>455.42</v>
      </c>
    </row>
    <row r="30" spans="1:31" ht="29" x14ac:dyDescent="0.35">
      <c r="A30" s="143" t="s">
        <v>35</v>
      </c>
      <c r="B30" s="143" t="s">
        <v>708</v>
      </c>
      <c r="C30" s="143" t="s">
        <v>41</v>
      </c>
      <c r="D30" s="143" t="s">
        <v>42</v>
      </c>
      <c r="E30" s="143">
        <v>440.18</v>
      </c>
      <c r="F30" s="143" t="s">
        <v>88</v>
      </c>
      <c r="G30" s="108">
        <v>45624</v>
      </c>
      <c r="H30" s="143" t="s">
        <v>94</v>
      </c>
      <c r="I30" s="143" t="s">
        <v>9231</v>
      </c>
      <c r="K30" s="185" t="s">
        <v>9232</v>
      </c>
      <c r="L30" s="143"/>
      <c r="M30" s="185"/>
      <c r="N30" s="185"/>
      <c r="O30" s="185" t="s">
        <v>9233</v>
      </c>
      <c r="Q30" s="3">
        <f t="shared" si="0"/>
        <v>440.18</v>
      </c>
      <c r="S30" s="55" t="s">
        <v>53</v>
      </c>
      <c r="T30" t="s">
        <v>64</v>
      </c>
      <c r="U30" t="str">
        <f>B30</f>
        <v>AU030613</v>
      </c>
      <c r="V30" s="3">
        <f>E30</f>
        <v>440.18</v>
      </c>
    </row>
    <row r="31" spans="1:31" ht="43.5" x14ac:dyDescent="0.35">
      <c r="A31" s="143" t="s">
        <v>35</v>
      </c>
      <c r="B31" s="143" t="s">
        <v>1627</v>
      </c>
      <c r="C31" s="143" t="s">
        <v>41</v>
      </c>
      <c r="D31" s="143" t="s">
        <v>42</v>
      </c>
      <c r="E31" s="143">
        <v>381.82</v>
      </c>
      <c r="F31" s="143" t="s">
        <v>88</v>
      </c>
      <c r="G31" s="108">
        <v>45484</v>
      </c>
      <c r="H31" s="143" t="s">
        <v>94</v>
      </c>
      <c r="I31" s="143" t="s">
        <v>9178</v>
      </c>
      <c r="K31" s="185" t="s">
        <v>9179</v>
      </c>
      <c r="L31" s="143"/>
      <c r="M31" s="185"/>
      <c r="N31" s="185"/>
      <c r="O31" s="185" t="s">
        <v>9180</v>
      </c>
      <c r="Q31" s="3">
        <f t="shared" si="0"/>
        <v>381.82</v>
      </c>
    </row>
    <row r="32" spans="1:31" ht="29" x14ac:dyDescent="0.35">
      <c r="A32" s="143" t="s">
        <v>35</v>
      </c>
      <c r="B32" s="143" t="s">
        <v>869</v>
      </c>
      <c r="C32" s="143" t="s">
        <v>41</v>
      </c>
      <c r="D32" s="143" t="s">
        <v>42</v>
      </c>
      <c r="E32" s="143">
        <v>240</v>
      </c>
      <c r="F32" s="143" t="s">
        <v>88</v>
      </c>
      <c r="G32" s="108">
        <v>45594</v>
      </c>
      <c r="H32" s="143" t="s">
        <v>94</v>
      </c>
      <c r="I32" s="143" t="s">
        <v>9219</v>
      </c>
      <c r="K32" s="185" t="s">
        <v>9220</v>
      </c>
      <c r="L32" s="143"/>
      <c r="M32" s="185"/>
      <c r="N32" s="185"/>
      <c r="O32" s="185" t="s">
        <v>9221</v>
      </c>
      <c r="Q32" s="3">
        <f t="shared" si="0"/>
        <v>240</v>
      </c>
    </row>
    <row r="33" spans="1:22" x14ac:dyDescent="0.35">
      <c r="A33" s="143" t="s">
        <v>35</v>
      </c>
      <c r="B33" s="143" t="s">
        <v>638</v>
      </c>
      <c r="C33" s="143" t="s">
        <v>41</v>
      </c>
      <c r="D33" s="143" t="s">
        <v>42</v>
      </c>
      <c r="E33" s="143">
        <v>235</v>
      </c>
      <c r="F33" s="143" t="s">
        <v>88</v>
      </c>
      <c r="G33" s="108">
        <v>45610</v>
      </c>
      <c r="H33" s="143" t="s">
        <v>9222</v>
      </c>
      <c r="I33" s="143" t="s">
        <v>9223</v>
      </c>
      <c r="J33" s="143"/>
      <c r="K33" s="185"/>
      <c r="L33" s="143"/>
      <c r="M33" s="185"/>
      <c r="N33" s="185"/>
      <c r="O33" s="185"/>
      <c r="Q33" s="3">
        <f t="shared" si="0"/>
        <v>235</v>
      </c>
    </row>
    <row r="34" spans="1:22" x14ac:dyDescent="0.35">
      <c r="A34" s="143" t="s">
        <v>35</v>
      </c>
      <c r="B34" s="143" t="s">
        <v>638</v>
      </c>
      <c r="C34" s="143" t="s">
        <v>41</v>
      </c>
      <c r="D34" s="143" t="s">
        <v>42</v>
      </c>
      <c r="E34" s="143">
        <v>225</v>
      </c>
      <c r="F34" s="143" t="s">
        <v>88</v>
      </c>
      <c r="G34" s="108">
        <v>45639</v>
      </c>
      <c r="H34" s="143" t="s">
        <v>9234</v>
      </c>
      <c r="I34" s="143" t="s">
        <v>9235</v>
      </c>
      <c r="J34" s="143"/>
      <c r="K34" s="185"/>
      <c r="L34" s="143"/>
      <c r="M34" s="185"/>
      <c r="N34" s="185"/>
      <c r="O34" s="185"/>
      <c r="Q34" s="3">
        <f t="shared" si="0"/>
        <v>225</v>
      </c>
    </row>
    <row r="35" spans="1:22" x14ac:dyDescent="0.35">
      <c r="A35" s="143" t="s">
        <v>35</v>
      </c>
      <c r="B35" s="143" t="s">
        <v>638</v>
      </c>
      <c r="C35" s="143" t="s">
        <v>41</v>
      </c>
      <c r="D35" s="143" t="s">
        <v>42</v>
      </c>
      <c r="E35" s="143">
        <v>215</v>
      </c>
      <c r="F35" s="143" t="s">
        <v>88</v>
      </c>
      <c r="G35" s="108">
        <v>45394</v>
      </c>
      <c r="H35" s="143" t="s">
        <v>9153</v>
      </c>
      <c r="I35" s="143" t="s">
        <v>9155</v>
      </c>
      <c r="J35" s="143"/>
      <c r="K35" s="185"/>
      <c r="L35" s="143"/>
      <c r="M35" s="185"/>
      <c r="N35" s="185"/>
      <c r="O35" s="185"/>
      <c r="Q35" s="3">
        <f t="shared" si="0"/>
        <v>215</v>
      </c>
      <c r="V35" s="3" t="str">
        <f>IF(T35="Y",E35,"")</f>
        <v/>
      </c>
    </row>
    <row r="36" spans="1:22" x14ac:dyDescent="0.35">
      <c r="A36" s="143" t="s">
        <v>35</v>
      </c>
      <c r="B36" s="143" t="s">
        <v>638</v>
      </c>
      <c r="C36" s="143" t="s">
        <v>41</v>
      </c>
      <c r="D36" s="143" t="s">
        <v>42</v>
      </c>
      <c r="E36" s="143">
        <v>215</v>
      </c>
      <c r="F36" s="143" t="s">
        <v>88</v>
      </c>
      <c r="G36" s="108">
        <v>45426</v>
      </c>
      <c r="H36" s="143" t="s">
        <v>9163</v>
      </c>
      <c r="I36" s="143" t="s">
        <v>9165</v>
      </c>
      <c r="J36" s="143"/>
      <c r="K36" s="185"/>
      <c r="L36" s="143"/>
      <c r="M36" s="185"/>
      <c r="N36" s="185"/>
      <c r="O36" s="185"/>
      <c r="Q36" s="3">
        <f t="shared" si="0"/>
        <v>215</v>
      </c>
    </row>
    <row r="37" spans="1:22" x14ac:dyDescent="0.35">
      <c r="A37" s="143" t="s">
        <v>35</v>
      </c>
      <c r="B37" s="143" t="s">
        <v>638</v>
      </c>
      <c r="C37" s="143" t="s">
        <v>41</v>
      </c>
      <c r="D37" s="143" t="s">
        <v>42</v>
      </c>
      <c r="E37" s="143">
        <v>215</v>
      </c>
      <c r="F37" s="143" t="s">
        <v>88</v>
      </c>
      <c r="G37" s="108">
        <v>45457</v>
      </c>
      <c r="H37" s="143" t="s">
        <v>9168</v>
      </c>
      <c r="I37" s="143" t="s">
        <v>9170</v>
      </c>
      <c r="J37" s="143"/>
      <c r="K37" s="185"/>
      <c r="L37" s="143"/>
      <c r="M37" s="185"/>
      <c r="N37" s="185"/>
      <c r="O37" s="185"/>
      <c r="Q37" s="3">
        <f t="shared" si="0"/>
        <v>215</v>
      </c>
    </row>
    <row r="38" spans="1:22" x14ac:dyDescent="0.35">
      <c r="A38" s="143" t="s">
        <v>35</v>
      </c>
      <c r="B38" s="143" t="s">
        <v>638</v>
      </c>
      <c r="C38" s="143" t="s">
        <v>41</v>
      </c>
      <c r="D38" s="143" t="s">
        <v>42</v>
      </c>
      <c r="E38" s="143">
        <v>215</v>
      </c>
      <c r="F38" s="143" t="s">
        <v>88</v>
      </c>
      <c r="G38" s="108">
        <v>45485</v>
      </c>
      <c r="H38" s="143" t="s">
        <v>9181</v>
      </c>
      <c r="I38" s="143" t="s">
        <v>9183</v>
      </c>
      <c r="J38" s="143"/>
      <c r="K38" s="185"/>
      <c r="L38" s="143"/>
      <c r="M38" s="185"/>
      <c r="N38" s="185"/>
      <c r="O38" s="185"/>
      <c r="Q38" s="3">
        <f t="shared" si="0"/>
        <v>215</v>
      </c>
    </row>
    <row r="39" spans="1:22" x14ac:dyDescent="0.35">
      <c r="A39" s="143" t="s">
        <v>35</v>
      </c>
      <c r="B39" s="143" t="s">
        <v>638</v>
      </c>
      <c r="C39" s="143" t="s">
        <v>41</v>
      </c>
      <c r="D39" s="143" t="s">
        <v>42</v>
      </c>
      <c r="E39" s="143">
        <v>215</v>
      </c>
      <c r="F39" s="143" t="s">
        <v>88</v>
      </c>
      <c r="G39" s="108">
        <v>45518</v>
      </c>
      <c r="H39" s="143" t="s">
        <v>9201</v>
      </c>
      <c r="I39" s="143" t="s">
        <v>9203</v>
      </c>
      <c r="J39" s="143"/>
      <c r="K39" s="185"/>
      <c r="L39" s="143"/>
      <c r="M39" s="185"/>
      <c r="N39" s="185"/>
      <c r="O39" s="185"/>
      <c r="Q39" s="3">
        <f t="shared" si="0"/>
        <v>215</v>
      </c>
    </row>
    <row r="40" spans="1:22" x14ac:dyDescent="0.35">
      <c r="A40" s="143" t="s">
        <v>35</v>
      </c>
      <c r="B40" s="143" t="s">
        <v>638</v>
      </c>
      <c r="C40" s="143" t="s">
        <v>41</v>
      </c>
      <c r="D40" s="143" t="s">
        <v>42</v>
      </c>
      <c r="E40" s="143">
        <v>215</v>
      </c>
      <c r="F40" s="143" t="s">
        <v>88</v>
      </c>
      <c r="G40" s="108">
        <v>45548</v>
      </c>
      <c r="H40" s="143" t="s">
        <v>9209</v>
      </c>
      <c r="I40" s="143" t="s">
        <v>9211</v>
      </c>
      <c r="J40" s="143"/>
      <c r="K40" s="185"/>
      <c r="L40" s="143"/>
      <c r="M40" s="185"/>
      <c r="N40" s="185"/>
      <c r="O40" s="185"/>
      <c r="Q40" s="3">
        <f t="shared" ref="Q40:Q76" si="2">ABS(E40)</f>
        <v>215</v>
      </c>
    </row>
    <row r="41" spans="1:22" x14ac:dyDescent="0.35">
      <c r="A41" s="143" t="s">
        <v>35</v>
      </c>
      <c r="B41" s="143" t="s">
        <v>638</v>
      </c>
      <c r="C41" s="143" t="s">
        <v>41</v>
      </c>
      <c r="D41" s="143" t="s">
        <v>42</v>
      </c>
      <c r="E41" s="143">
        <v>215</v>
      </c>
      <c r="F41" s="143" t="s">
        <v>88</v>
      </c>
      <c r="G41" s="108">
        <v>45579</v>
      </c>
      <c r="H41" s="143" t="s">
        <v>9214</v>
      </c>
      <c r="I41" s="143" t="s">
        <v>9216</v>
      </c>
      <c r="J41" s="143"/>
      <c r="K41" s="185"/>
      <c r="L41" s="143"/>
      <c r="M41" s="185"/>
      <c r="N41" s="185"/>
      <c r="O41" s="185"/>
      <c r="Q41" s="3">
        <f t="shared" si="2"/>
        <v>215</v>
      </c>
    </row>
    <row r="42" spans="1:22" x14ac:dyDescent="0.35">
      <c r="A42" s="143" t="s">
        <v>35</v>
      </c>
      <c r="B42" s="143" t="s">
        <v>638</v>
      </c>
      <c r="C42" s="143" t="s">
        <v>41</v>
      </c>
      <c r="D42" s="143" t="s">
        <v>42</v>
      </c>
      <c r="E42" s="143">
        <v>215</v>
      </c>
      <c r="F42" s="143" t="s">
        <v>88</v>
      </c>
      <c r="G42" s="108">
        <v>45610</v>
      </c>
      <c r="H42" s="143" t="s">
        <v>9222</v>
      </c>
      <c r="I42" s="143" t="s">
        <v>9224</v>
      </c>
      <c r="J42" s="143"/>
      <c r="K42" s="185"/>
      <c r="L42" s="143"/>
      <c r="M42" s="185"/>
      <c r="N42" s="185"/>
      <c r="O42" s="185"/>
      <c r="Q42" s="3">
        <f t="shared" si="2"/>
        <v>215</v>
      </c>
    </row>
    <row r="43" spans="1:22" x14ac:dyDescent="0.35">
      <c r="A43" s="143" t="s">
        <v>35</v>
      </c>
      <c r="B43" s="143" t="s">
        <v>638</v>
      </c>
      <c r="C43" s="143" t="s">
        <v>41</v>
      </c>
      <c r="D43" s="143" t="s">
        <v>42</v>
      </c>
      <c r="E43" s="143">
        <v>210</v>
      </c>
      <c r="F43" s="143" t="s">
        <v>88</v>
      </c>
      <c r="G43" s="108">
        <v>45394</v>
      </c>
      <c r="H43" s="143" t="s">
        <v>9153</v>
      </c>
      <c r="I43" s="143" t="s">
        <v>9154</v>
      </c>
      <c r="J43" s="143"/>
      <c r="K43" s="185"/>
      <c r="L43" s="143"/>
      <c r="M43" s="185"/>
      <c r="N43" s="185"/>
      <c r="O43" s="185"/>
      <c r="Q43" s="3">
        <f t="shared" si="2"/>
        <v>210</v>
      </c>
      <c r="V43" s="3" t="str">
        <f>IF(T43="Y",E43,"")</f>
        <v/>
      </c>
    </row>
    <row r="44" spans="1:22" x14ac:dyDescent="0.35">
      <c r="A44" s="143" t="s">
        <v>35</v>
      </c>
      <c r="B44" s="143" t="s">
        <v>638</v>
      </c>
      <c r="C44" s="143" t="s">
        <v>41</v>
      </c>
      <c r="D44" s="143" t="s">
        <v>42</v>
      </c>
      <c r="E44" s="143">
        <v>210</v>
      </c>
      <c r="F44" s="143" t="s">
        <v>88</v>
      </c>
      <c r="G44" s="108">
        <v>45426</v>
      </c>
      <c r="H44" s="143" t="s">
        <v>9163</v>
      </c>
      <c r="I44" s="143" t="s">
        <v>9164</v>
      </c>
      <c r="J44" s="143"/>
      <c r="K44" s="185"/>
      <c r="L44" s="143"/>
      <c r="M44" s="185"/>
      <c r="N44" s="185"/>
      <c r="O44" s="185"/>
      <c r="Q44" s="3">
        <f t="shared" si="2"/>
        <v>210</v>
      </c>
    </row>
    <row r="45" spans="1:22" x14ac:dyDescent="0.35">
      <c r="A45" s="143" t="s">
        <v>35</v>
      </c>
      <c r="B45" s="143" t="s">
        <v>638</v>
      </c>
      <c r="C45" s="143" t="s">
        <v>41</v>
      </c>
      <c r="D45" s="143" t="s">
        <v>42</v>
      </c>
      <c r="E45" s="143">
        <v>210</v>
      </c>
      <c r="F45" s="143" t="s">
        <v>88</v>
      </c>
      <c r="G45" s="108">
        <v>45457</v>
      </c>
      <c r="H45" s="143" t="s">
        <v>9168</v>
      </c>
      <c r="I45" s="143" t="s">
        <v>9169</v>
      </c>
      <c r="J45" s="143"/>
      <c r="K45" s="185"/>
      <c r="L45" s="143"/>
      <c r="M45" s="185"/>
      <c r="N45" s="185"/>
      <c r="O45" s="185"/>
      <c r="Q45" s="3">
        <f t="shared" si="2"/>
        <v>210</v>
      </c>
    </row>
    <row r="46" spans="1:22" x14ac:dyDescent="0.35">
      <c r="A46" s="143" t="s">
        <v>35</v>
      </c>
      <c r="B46" s="143" t="s">
        <v>638</v>
      </c>
      <c r="C46" s="143" t="s">
        <v>41</v>
      </c>
      <c r="D46" s="143" t="s">
        <v>42</v>
      </c>
      <c r="E46" s="143">
        <v>210</v>
      </c>
      <c r="F46" s="143" t="s">
        <v>88</v>
      </c>
      <c r="G46" s="108">
        <v>45485</v>
      </c>
      <c r="H46" s="143" t="s">
        <v>9181</v>
      </c>
      <c r="I46" s="143" t="s">
        <v>9182</v>
      </c>
      <c r="J46" s="143"/>
      <c r="K46" s="185"/>
      <c r="L46" s="143"/>
      <c r="M46" s="185"/>
      <c r="N46" s="185"/>
      <c r="O46" s="185"/>
      <c r="Q46" s="3">
        <f t="shared" si="2"/>
        <v>210</v>
      </c>
    </row>
    <row r="47" spans="1:22" x14ac:dyDescent="0.35">
      <c r="A47" s="143" t="s">
        <v>35</v>
      </c>
      <c r="B47" s="143" t="s">
        <v>638</v>
      </c>
      <c r="C47" s="143" t="s">
        <v>41</v>
      </c>
      <c r="D47" s="143" t="s">
        <v>42</v>
      </c>
      <c r="E47" s="143">
        <v>210</v>
      </c>
      <c r="F47" s="143" t="s">
        <v>88</v>
      </c>
      <c r="G47" s="108">
        <v>45579</v>
      </c>
      <c r="H47" s="143" t="s">
        <v>9214</v>
      </c>
      <c r="I47" s="143" t="s">
        <v>9215</v>
      </c>
      <c r="J47" s="143"/>
      <c r="K47" s="185"/>
      <c r="L47" s="143"/>
      <c r="M47" s="185"/>
      <c r="N47" s="185"/>
      <c r="O47" s="185"/>
      <c r="Q47" s="3">
        <f t="shared" si="2"/>
        <v>210</v>
      </c>
    </row>
    <row r="48" spans="1:22" x14ac:dyDescent="0.35">
      <c r="A48" s="143" t="s">
        <v>35</v>
      </c>
      <c r="B48" s="143" t="s">
        <v>638</v>
      </c>
      <c r="C48" s="143" t="s">
        <v>41</v>
      </c>
      <c r="D48" s="143" t="s">
        <v>42</v>
      </c>
      <c r="E48" s="143">
        <v>210</v>
      </c>
      <c r="F48" s="143" t="s">
        <v>88</v>
      </c>
      <c r="G48" s="108">
        <v>45639</v>
      </c>
      <c r="H48" s="143" t="s">
        <v>9234</v>
      </c>
      <c r="I48" s="143" t="s">
        <v>9236</v>
      </c>
      <c r="J48" s="143"/>
      <c r="K48" s="185"/>
      <c r="L48" s="143"/>
      <c r="M48" s="185"/>
      <c r="N48" s="185"/>
      <c r="O48" s="185"/>
      <c r="Q48" s="3">
        <f t="shared" si="2"/>
        <v>210</v>
      </c>
    </row>
    <row r="49" spans="1:22" x14ac:dyDescent="0.35">
      <c r="A49" s="143" t="s">
        <v>35</v>
      </c>
      <c r="B49" s="143" t="s">
        <v>638</v>
      </c>
      <c r="C49" s="143" t="s">
        <v>41</v>
      </c>
      <c r="D49" s="143" t="s">
        <v>42</v>
      </c>
      <c r="E49" s="143">
        <v>200</v>
      </c>
      <c r="F49" s="143" t="s">
        <v>88</v>
      </c>
      <c r="G49" s="108">
        <v>45518</v>
      </c>
      <c r="H49" s="143" t="s">
        <v>9201</v>
      </c>
      <c r="I49" s="143" t="s">
        <v>9202</v>
      </c>
      <c r="J49" s="143"/>
      <c r="K49" s="185"/>
      <c r="L49" s="143"/>
      <c r="M49" s="185"/>
      <c r="N49" s="185"/>
      <c r="O49" s="185"/>
      <c r="Q49" s="3">
        <f t="shared" si="2"/>
        <v>200</v>
      </c>
    </row>
    <row r="50" spans="1:22" x14ac:dyDescent="0.35">
      <c r="A50" s="143" t="s">
        <v>35</v>
      </c>
      <c r="B50" s="143" t="s">
        <v>638</v>
      </c>
      <c r="C50" s="143" t="s">
        <v>41</v>
      </c>
      <c r="D50" s="143" t="s">
        <v>42</v>
      </c>
      <c r="E50" s="143">
        <v>200</v>
      </c>
      <c r="F50" s="143" t="s">
        <v>88</v>
      </c>
      <c r="G50" s="108">
        <v>45548</v>
      </c>
      <c r="H50" s="143" t="s">
        <v>9209</v>
      </c>
      <c r="I50" s="143" t="s">
        <v>9210</v>
      </c>
      <c r="J50" s="143"/>
      <c r="K50" s="185"/>
      <c r="L50" s="143"/>
      <c r="M50" s="185"/>
      <c r="N50" s="185"/>
      <c r="O50" s="185"/>
      <c r="Q50" s="3">
        <f t="shared" si="2"/>
        <v>200</v>
      </c>
    </row>
    <row r="51" spans="1:22" x14ac:dyDescent="0.35">
      <c r="A51" s="143" t="s">
        <v>35</v>
      </c>
      <c r="B51" s="143" t="s">
        <v>6044</v>
      </c>
      <c r="C51" s="143" t="s">
        <v>41</v>
      </c>
      <c r="D51" s="143" t="s">
        <v>42</v>
      </c>
      <c r="E51" s="143">
        <v>187.69</v>
      </c>
      <c r="F51" s="143" t="s">
        <v>88</v>
      </c>
      <c r="G51" s="108">
        <v>45413</v>
      </c>
      <c r="H51" s="143" t="s">
        <v>94</v>
      </c>
      <c r="I51" s="143" t="s">
        <v>7976</v>
      </c>
      <c r="J51" s="143" t="s">
        <v>9161</v>
      </c>
      <c r="K51" s="185"/>
      <c r="L51" s="143"/>
      <c r="M51" s="185"/>
      <c r="N51" s="185"/>
      <c r="O51" s="185" t="s">
        <v>9162</v>
      </c>
      <c r="Q51" s="3">
        <f t="shared" si="2"/>
        <v>187.69</v>
      </c>
      <c r="V51" s="3" t="str">
        <f>IF(T51="Y",E51,"")</f>
        <v/>
      </c>
    </row>
    <row r="52" spans="1:22" x14ac:dyDescent="0.35">
      <c r="A52" s="143" t="s">
        <v>35</v>
      </c>
      <c r="B52" s="143" t="s">
        <v>1411</v>
      </c>
      <c r="C52" s="143" t="s">
        <v>41</v>
      </c>
      <c r="D52" s="143" t="s">
        <v>42</v>
      </c>
      <c r="E52" s="143">
        <v>184.36</v>
      </c>
      <c r="F52" s="143" t="s">
        <v>88</v>
      </c>
      <c r="G52" s="108">
        <v>45408</v>
      </c>
      <c r="H52" s="143" t="s">
        <v>94</v>
      </c>
      <c r="I52" s="143" t="s">
        <v>9158</v>
      </c>
      <c r="J52" s="143" t="s">
        <v>9159</v>
      </c>
      <c r="K52" s="185"/>
      <c r="L52" s="143"/>
      <c r="M52" s="185"/>
      <c r="N52" s="185"/>
      <c r="O52" s="185" t="s">
        <v>9160</v>
      </c>
      <c r="Q52" s="3">
        <f t="shared" si="2"/>
        <v>184.36</v>
      </c>
      <c r="V52" s="3" t="str">
        <f>IF(T52="Y",E52,"")</f>
        <v/>
      </c>
    </row>
    <row r="53" spans="1:22" x14ac:dyDescent="0.35">
      <c r="A53" s="143" t="s">
        <v>35</v>
      </c>
      <c r="B53" s="143" t="s">
        <v>638</v>
      </c>
      <c r="C53" s="143" t="s">
        <v>41</v>
      </c>
      <c r="D53" s="143" t="s">
        <v>42</v>
      </c>
      <c r="E53" s="143">
        <v>126</v>
      </c>
      <c r="F53" s="143" t="s">
        <v>88</v>
      </c>
      <c r="G53" s="108">
        <v>45394</v>
      </c>
      <c r="H53" s="143" t="s">
        <v>9153</v>
      </c>
      <c r="I53" s="143" t="s">
        <v>9156</v>
      </c>
      <c r="J53" s="143"/>
      <c r="K53" s="185"/>
      <c r="L53" s="143"/>
      <c r="M53" s="185"/>
      <c r="N53" s="185"/>
      <c r="O53" s="185"/>
      <c r="Q53" s="3">
        <f t="shared" si="2"/>
        <v>126</v>
      </c>
      <c r="V53" s="3" t="str">
        <f>IF(T53="Y",E53,"")</f>
        <v/>
      </c>
    </row>
    <row r="54" spans="1:22" x14ac:dyDescent="0.35">
      <c r="A54" s="143" t="s">
        <v>35</v>
      </c>
      <c r="B54" s="143" t="s">
        <v>638</v>
      </c>
      <c r="C54" s="143" t="s">
        <v>41</v>
      </c>
      <c r="D54" s="143" t="s">
        <v>42</v>
      </c>
      <c r="E54" s="143">
        <v>126</v>
      </c>
      <c r="F54" s="143" t="s">
        <v>88</v>
      </c>
      <c r="G54" s="108">
        <v>45426</v>
      </c>
      <c r="H54" s="143" t="s">
        <v>9163</v>
      </c>
      <c r="I54" s="143" t="s">
        <v>9166</v>
      </c>
      <c r="J54" s="143"/>
      <c r="K54" s="185"/>
      <c r="L54" s="143"/>
      <c r="M54" s="185"/>
      <c r="N54" s="185"/>
      <c r="O54" s="185"/>
      <c r="Q54" s="3">
        <f t="shared" si="2"/>
        <v>126</v>
      </c>
    </row>
    <row r="55" spans="1:22" x14ac:dyDescent="0.35">
      <c r="A55" s="143" t="s">
        <v>35</v>
      </c>
      <c r="B55" s="143" t="s">
        <v>638</v>
      </c>
      <c r="C55" s="143" t="s">
        <v>41</v>
      </c>
      <c r="D55" s="143" t="s">
        <v>42</v>
      </c>
      <c r="E55" s="143">
        <v>126</v>
      </c>
      <c r="F55" s="143" t="s">
        <v>88</v>
      </c>
      <c r="G55" s="108">
        <v>45457</v>
      </c>
      <c r="H55" s="143" t="s">
        <v>9168</v>
      </c>
      <c r="I55" s="143" t="s">
        <v>9171</v>
      </c>
      <c r="J55" s="143"/>
      <c r="K55" s="185"/>
      <c r="L55" s="143"/>
      <c r="M55" s="185"/>
      <c r="N55" s="185"/>
      <c r="O55" s="185"/>
      <c r="Q55" s="3">
        <f t="shared" si="2"/>
        <v>126</v>
      </c>
    </row>
    <row r="56" spans="1:22" x14ac:dyDescent="0.35">
      <c r="A56" s="143" t="s">
        <v>0</v>
      </c>
      <c r="B56" s="143" t="s">
        <v>9117</v>
      </c>
      <c r="C56" s="143" t="s">
        <v>41</v>
      </c>
      <c r="D56" s="143" t="s">
        <v>42</v>
      </c>
      <c r="E56" s="143">
        <v>114.69</v>
      </c>
      <c r="F56" s="143" t="s">
        <v>88</v>
      </c>
      <c r="G56" s="108">
        <v>45601</v>
      </c>
      <c r="H56" s="143" t="s">
        <v>89</v>
      </c>
      <c r="I56" s="143" t="s">
        <v>9118</v>
      </c>
      <c r="J56" s="143"/>
      <c r="K56" s="185" t="s">
        <v>9119</v>
      </c>
      <c r="L56" s="143" t="s">
        <v>9120</v>
      </c>
      <c r="M56" s="185" t="s">
        <v>9121</v>
      </c>
      <c r="N56" s="185"/>
      <c r="O56" s="185"/>
      <c r="Q56" s="3">
        <f t="shared" si="2"/>
        <v>114.69</v>
      </c>
      <c r="V56" s="3" t="str">
        <f>IF(T56="Y",E56,"")</f>
        <v/>
      </c>
    </row>
    <row r="57" spans="1:22" ht="29" x14ac:dyDescent="0.35">
      <c r="A57" s="143" t="s">
        <v>35</v>
      </c>
      <c r="B57" s="143" t="s">
        <v>6044</v>
      </c>
      <c r="C57" s="143" t="s">
        <v>41</v>
      </c>
      <c r="D57" s="143" t="s">
        <v>42</v>
      </c>
      <c r="E57" s="143">
        <v>110.91</v>
      </c>
      <c r="F57" s="143" t="s">
        <v>88</v>
      </c>
      <c r="G57" s="108">
        <v>45512</v>
      </c>
      <c r="H57" s="143" t="s">
        <v>94</v>
      </c>
      <c r="I57" s="143" t="s">
        <v>7976</v>
      </c>
      <c r="K57" s="143" t="s">
        <v>9193</v>
      </c>
      <c r="L57" s="143"/>
      <c r="M57" s="185"/>
      <c r="N57" s="185"/>
      <c r="O57" s="185" t="s">
        <v>9194</v>
      </c>
      <c r="Q57" s="3">
        <f t="shared" si="2"/>
        <v>110.91</v>
      </c>
    </row>
    <row r="58" spans="1:22" x14ac:dyDescent="0.35">
      <c r="A58" s="143" t="s">
        <v>35</v>
      </c>
      <c r="B58" s="143" t="s">
        <v>638</v>
      </c>
      <c r="C58" s="143" t="s">
        <v>41</v>
      </c>
      <c r="D58" s="143" t="s">
        <v>42</v>
      </c>
      <c r="E58" s="143">
        <v>110</v>
      </c>
      <c r="F58" s="143" t="s">
        <v>88</v>
      </c>
      <c r="G58" s="108">
        <v>45610</v>
      </c>
      <c r="H58" s="143" t="s">
        <v>9222</v>
      </c>
      <c r="I58" s="143" t="s">
        <v>9226</v>
      </c>
      <c r="J58" s="143"/>
      <c r="K58" s="185"/>
      <c r="L58" s="143"/>
      <c r="M58" s="185"/>
      <c r="N58" s="185"/>
      <c r="O58" s="185"/>
      <c r="Q58" s="3">
        <f t="shared" si="2"/>
        <v>110</v>
      </c>
    </row>
    <row r="59" spans="1:22" x14ac:dyDescent="0.35">
      <c r="A59" s="143" t="s">
        <v>35</v>
      </c>
      <c r="B59" s="143" t="s">
        <v>638</v>
      </c>
      <c r="C59" s="143" t="s">
        <v>41</v>
      </c>
      <c r="D59" s="143" t="s">
        <v>42</v>
      </c>
      <c r="E59" s="143">
        <v>100</v>
      </c>
      <c r="F59" s="143" t="s">
        <v>88</v>
      </c>
      <c r="G59" s="108">
        <v>45639</v>
      </c>
      <c r="H59" s="143" t="s">
        <v>9234</v>
      </c>
      <c r="I59" s="143" t="s">
        <v>9238</v>
      </c>
      <c r="J59" s="143"/>
      <c r="K59" s="185"/>
      <c r="L59" s="143"/>
      <c r="M59" s="185"/>
      <c r="N59" s="185"/>
      <c r="O59" s="185"/>
      <c r="Q59" s="3">
        <f t="shared" si="2"/>
        <v>100</v>
      </c>
    </row>
    <row r="60" spans="1:22" x14ac:dyDescent="0.35">
      <c r="A60" s="143" t="s">
        <v>35</v>
      </c>
      <c r="B60" s="143" t="s">
        <v>638</v>
      </c>
      <c r="C60" s="143" t="s">
        <v>41</v>
      </c>
      <c r="D60" s="143" t="s">
        <v>42</v>
      </c>
      <c r="E60" s="143">
        <v>80</v>
      </c>
      <c r="F60" s="143" t="s">
        <v>88</v>
      </c>
      <c r="G60" s="108">
        <v>45394</v>
      </c>
      <c r="H60" s="143" t="s">
        <v>9153</v>
      </c>
      <c r="I60" s="143" t="s">
        <v>9157</v>
      </c>
      <c r="J60" s="143"/>
      <c r="K60" s="185"/>
      <c r="L60" s="143"/>
      <c r="M60" s="185"/>
      <c r="N60" s="185"/>
      <c r="O60" s="185"/>
      <c r="Q60" s="3">
        <f t="shared" si="2"/>
        <v>80</v>
      </c>
      <c r="V60" s="3" t="str">
        <f>IF(T60="Y",E60,"")</f>
        <v/>
      </c>
    </row>
    <row r="61" spans="1:22" x14ac:dyDescent="0.35">
      <c r="A61" s="143" t="s">
        <v>35</v>
      </c>
      <c r="B61" s="143" t="s">
        <v>638</v>
      </c>
      <c r="C61" s="143" t="s">
        <v>41</v>
      </c>
      <c r="D61" s="143" t="s">
        <v>42</v>
      </c>
      <c r="E61" s="143">
        <v>80</v>
      </c>
      <c r="F61" s="143" t="s">
        <v>88</v>
      </c>
      <c r="G61" s="108">
        <v>45426</v>
      </c>
      <c r="H61" s="143" t="s">
        <v>9163</v>
      </c>
      <c r="I61" s="143" t="s">
        <v>9167</v>
      </c>
      <c r="J61" s="143"/>
      <c r="K61" s="185"/>
      <c r="L61" s="143"/>
      <c r="M61" s="185"/>
      <c r="N61" s="185"/>
      <c r="O61" s="185"/>
      <c r="Q61" s="3">
        <f t="shared" si="2"/>
        <v>80</v>
      </c>
    </row>
    <row r="62" spans="1:22" x14ac:dyDescent="0.35">
      <c r="A62" s="143" t="s">
        <v>35</v>
      </c>
      <c r="B62" s="143" t="s">
        <v>638</v>
      </c>
      <c r="C62" s="143" t="s">
        <v>41</v>
      </c>
      <c r="D62" s="143" t="s">
        <v>42</v>
      </c>
      <c r="E62" s="143">
        <v>80</v>
      </c>
      <c r="F62" s="143" t="s">
        <v>88</v>
      </c>
      <c r="G62" s="108">
        <v>45457</v>
      </c>
      <c r="H62" s="143" t="s">
        <v>9168</v>
      </c>
      <c r="I62" s="143" t="s">
        <v>9172</v>
      </c>
      <c r="J62" s="143"/>
      <c r="K62" s="185"/>
      <c r="L62" s="143"/>
      <c r="M62" s="185"/>
      <c r="N62" s="185"/>
      <c r="O62" s="185"/>
      <c r="Q62" s="3">
        <f t="shared" si="2"/>
        <v>80</v>
      </c>
    </row>
    <row r="63" spans="1:22" x14ac:dyDescent="0.35">
      <c r="A63" s="143" t="s">
        <v>35</v>
      </c>
      <c r="B63" s="143" t="s">
        <v>638</v>
      </c>
      <c r="C63" s="143" t="s">
        <v>41</v>
      </c>
      <c r="D63" s="143" t="s">
        <v>42</v>
      </c>
      <c r="E63" s="143">
        <v>80</v>
      </c>
      <c r="F63" s="143" t="s">
        <v>88</v>
      </c>
      <c r="G63" s="108">
        <v>45485</v>
      </c>
      <c r="H63" s="143" t="s">
        <v>9181</v>
      </c>
      <c r="I63" s="143" t="s">
        <v>9185</v>
      </c>
      <c r="J63" s="143"/>
      <c r="K63" s="185"/>
      <c r="L63" s="143"/>
      <c r="M63" s="185"/>
      <c r="N63" s="185"/>
      <c r="O63" s="185"/>
      <c r="Q63" s="3">
        <f t="shared" si="2"/>
        <v>80</v>
      </c>
    </row>
    <row r="64" spans="1:22" x14ac:dyDescent="0.35">
      <c r="A64" s="143" t="s">
        <v>35</v>
      </c>
      <c r="B64" s="143" t="s">
        <v>638</v>
      </c>
      <c r="C64" s="143" t="s">
        <v>41</v>
      </c>
      <c r="D64" s="143" t="s">
        <v>42</v>
      </c>
      <c r="E64" s="143">
        <v>60</v>
      </c>
      <c r="F64" s="143" t="s">
        <v>88</v>
      </c>
      <c r="G64" s="108">
        <v>45518</v>
      </c>
      <c r="H64" s="143" t="s">
        <v>9201</v>
      </c>
      <c r="I64" s="143" t="s">
        <v>9205</v>
      </c>
      <c r="J64" s="143"/>
      <c r="K64" s="185"/>
      <c r="L64" s="143"/>
      <c r="M64" s="185"/>
      <c r="N64" s="185"/>
      <c r="O64" s="185"/>
      <c r="Q64" s="3">
        <f t="shared" si="2"/>
        <v>60</v>
      </c>
    </row>
    <row r="65" spans="1:17" x14ac:dyDescent="0.35">
      <c r="A65" s="143" t="s">
        <v>35</v>
      </c>
      <c r="B65" s="143" t="s">
        <v>638</v>
      </c>
      <c r="C65" s="143" t="s">
        <v>41</v>
      </c>
      <c r="D65" s="143" t="s">
        <v>42</v>
      </c>
      <c r="E65" s="143">
        <v>60</v>
      </c>
      <c r="F65" s="143" t="s">
        <v>88</v>
      </c>
      <c r="G65" s="108">
        <v>45548</v>
      </c>
      <c r="H65" s="143" t="s">
        <v>9209</v>
      </c>
      <c r="I65" s="143" t="s">
        <v>9213</v>
      </c>
      <c r="J65" s="143"/>
      <c r="K65" s="185"/>
      <c r="L65" s="143"/>
      <c r="M65" s="185"/>
      <c r="N65" s="185"/>
      <c r="O65" s="185"/>
      <c r="Q65" s="3">
        <f t="shared" si="2"/>
        <v>60</v>
      </c>
    </row>
    <row r="66" spans="1:17" x14ac:dyDescent="0.35">
      <c r="A66" s="143" t="s">
        <v>35</v>
      </c>
      <c r="B66" s="143" t="s">
        <v>638</v>
      </c>
      <c r="C66" s="143" t="s">
        <v>41</v>
      </c>
      <c r="D66" s="143" t="s">
        <v>42</v>
      </c>
      <c r="E66" s="143">
        <v>60</v>
      </c>
      <c r="F66" s="143" t="s">
        <v>88</v>
      </c>
      <c r="G66" s="108">
        <v>45579</v>
      </c>
      <c r="H66" s="143" t="s">
        <v>9214</v>
      </c>
      <c r="I66" s="143" t="s">
        <v>9218</v>
      </c>
      <c r="J66" s="143"/>
      <c r="K66" s="185"/>
      <c r="L66" s="143"/>
      <c r="M66" s="185"/>
      <c r="N66" s="185"/>
      <c r="O66" s="185"/>
      <c r="Q66" s="3">
        <f t="shared" si="2"/>
        <v>60</v>
      </c>
    </row>
    <row r="67" spans="1:17" x14ac:dyDescent="0.35">
      <c r="A67" s="143" t="s">
        <v>35</v>
      </c>
      <c r="B67" s="143" t="s">
        <v>638</v>
      </c>
      <c r="C67" s="143" t="s">
        <v>41</v>
      </c>
      <c r="D67" s="143" t="s">
        <v>42</v>
      </c>
      <c r="E67" s="143">
        <v>55</v>
      </c>
      <c r="F67" s="143" t="s">
        <v>88</v>
      </c>
      <c r="G67" s="108">
        <v>45485</v>
      </c>
      <c r="H67" s="143" t="s">
        <v>9181</v>
      </c>
      <c r="I67" s="143" t="s">
        <v>9184</v>
      </c>
      <c r="J67" s="143"/>
      <c r="K67" s="185"/>
      <c r="L67" s="143"/>
      <c r="M67" s="185"/>
      <c r="N67" s="185"/>
      <c r="O67" s="185"/>
      <c r="Q67" s="3">
        <f t="shared" si="2"/>
        <v>55</v>
      </c>
    </row>
    <row r="68" spans="1:17" x14ac:dyDescent="0.35">
      <c r="A68" s="143" t="s">
        <v>35</v>
      </c>
      <c r="B68" s="143" t="s">
        <v>638</v>
      </c>
      <c r="C68" s="143" t="s">
        <v>41</v>
      </c>
      <c r="D68" s="143" t="s">
        <v>42</v>
      </c>
      <c r="E68" s="143">
        <v>55</v>
      </c>
      <c r="F68" s="143" t="s">
        <v>88</v>
      </c>
      <c r="G68" s="108">
        <v>45518</v>
      </c>
      <c r="H68" s="143" t="s">
        <v>9201</v>
      </c>
      <c r="I68" s="143" t="s">
        <v>9204</v>
      </c>
      <c r="J68" s="143"/>
      <c r="K68" s="185"/>
      <c r="L68" s="143"/>
      <c r="M68" s="185"/>
      <c r="N68" s="185"/>
      <c r="O68" s="185"/>
      <c r="Q68" s="3">
        <f t="shared" si="2"/>
        <v>55</v>
      </c>
    </row>
    <row r="69" spans="1:17" x14ac:dyDescent="0.35">
      <c r="A69" s="143" t="s">
        <v>35</v>
      </c>
      <c r="B69" s="143" t="s">
        <v>638</v>
      </c>
      <c r="C69" s="143" t="s">
        <v>41</v>
      </c>
      <c r="D69" s="143" t="s">
        <v>42</v>
      </c>
      <c r="E69" s="143">
        <v>55</v>
      </c>
      <c r="F69" s="143" t="s">
        <v>88</v>
      </c>
      <c r="G69" s="108">
        <v>45548</v>
      </c>
      <c r="H69" s="143" t="s">
        <v>9209</v>
      </c>
      <c r="I69" s="143" t="s">
        <v>9212</v>
      </c>
      <c r="J69" s="143"/>
      <c r="K69" s="185"/>
      <c r="L69" s="143"/>
      <c r="M69" s="185"/>
      <c r="N69" s="185"/>
      <c r="O69" s="185"/>
      <c r="Q69" s="3">
        <f t="shared" si="2"/>
        <v>55</v>
      </c>
    </row>
    <row r="70" spans="1:17" x14ac:dyDescent="0.35">
      <c r="A70" s="143" t="s">
        <v>35</v>
      </c>
      <c r="B70" s="143" t="s">
        <v>638</v>
      </c>
      <c r="C70" s="143" t="s">
        <v>41</v>
      </c>
      <c r="D70" s="143" t="s">
        <v>42</v>
      </c>
      <c r="E70" s="143">
        <v>55</v>
      </c>
      <c r="F70" s="143" t="s">
        <v>88</v>
      </c>
      <c r="G70" s="108">
        <v>45579</v>
      </c>
      <c r="H70" s="143" t="s">
        <v>9214</v>
      </c>
      <c r="I70" s="143" t="s">
        <v>9217</v>
      </c>
      <c r="J70" s="143"/>
      <c r="K70" s="185"/>
      <c r="L70" s="143"/>
      <c r="M70" s="185"/>
      <c r="N70" s="185"/>
      <c r="O70" s="185"/>
      <c r="Q70" s="3">
        <f t="shared" si="2"/>
        <v>55</v>
      </c>
    </row>
    <row r="71" spans="1:17" x14ac:dyDescent="0.35">
      <c r="A71" s="143" t="s">
        <v>35</v>
      </c>
      <c r="B71" s="143" t="s">
        <v>638</v>
      </c>
      <c r="C71" s="143" t="s">
        <v>41</v>
      </c>
      <c r="D71" s="143" t="s">
        <v>42</v>
      </c>
      <c r="E71" s="143">
        <v>55</v>
      </c>
      <c r="F71" s="143" t="s">
        <v>88</v>
      </c>
      <c r="G71" s="108">
        <v>45610</v>
      </c>
      <c r="H71" s="143" t="s">
        <v>9222</v>
      </c>
      <c r="I71" s="143" t="s">
        <v>9225</v>
      </c>
      <c r="J71" s="143"/>
      <c r="K71" s="185"/>
      <c r="L71" s="143"/>
      <c r="M71" s="185"/>
      <c r="N71" s="185"/>
      <c r="O71" s="185"/>
      <c r="Q71" s="3">
        <f t="shared" si="2"/>
        <v>55</v>
      </c>
    </row>
    <row r="72" spans="1:17" ht="58" x14ac:dyDescent="0.35">
      <c r="A72" s="143" t="s">
        <v>35</v>
      </c>
      <c r="B72" s="143" t="s">
        <v>2208</v>
      </c>
      <c r="C72" s="143" t="s">
        <v>41</v>
      </c>
      <c r="D72" s="143" t="s">
        <v>42</v>
      </c>
      <c r="E72" s="143">
        <v>50.82</v>
      </c>
      <c r="F72" s="143" t="s">
        <v>88</v>
      </c>
      <c r="G72" s="108">
        <v>45509</v>
      </c>
      <c r="H72" s="143" t="s">
        <v>94</v>
      </c>
      <c r="I72" s="143" t="s">
        <v>9190</v>
      </c>
      <c r="K72" s="185" t="s">
        <v>9191</v>
      </c>
      <c r="L72" s="143"/>
      <c r="M72" s="185"/>
      <c r="N72" s="185"/>
      <c r="O72" s="185" t="s">
        <v>9192</v>
      </c>
      <c r="Q72" s="3">
        <f t="shared" si="2"/>
        <v>50.82</v>
      </c>
    </row>
    <row r="73" spans="1:17" x14ac:dyDescent="0.35">
      <c r="A73" s="143" t="s">
        <v>35</v>
      </c>
      <c r="B73" s="143" t="s">
        <v>638</v>
      </c>
      <c r="C73" s="143" t="s">
        <v>41</v>
      </c>
      <c r="D73" s="143" t="s">
        <v>42</v>
      </c>
      <c r="E73" s="143">
        <v>50</v>
      </c>
      <c r="F73" s="143" t="s">
        <v>88</v>
      </c>
      <c r="G73" s="108">
        <v>45639</v>
      </c>
      <c r="H73" s="143" t="s">
        <v>9234</v>
      </c>
      <c r="I73" s="143" t="s">
        <v>9237</v>
      </c>
      <c r="K73" s="185"/>
      <c r="L73" s="143"/>
      <c r="M73" s="185"/>
      <c r="N73" s="185"/>
      <c r="O73" s="185"/>
      <c r="Q73" s="3">
        <f t="shared" si="2"/>
        <v>50</v>
      </c>
    </row>
    <row r="74" spans="1:17" ht="43.5" x14ac:dyDescent="0.35">
      <c r="A74" s="143" t="s">
        <v>35</v>
      </c>
      <c r="B74" s="143" t="s">
        <v>819</v>
      </c>
      <c r="C74" s="143" t="s">
        <v>41</v>
      </c>
      <c r="D74" s="143" t="s">
        <v>42</v>
      </c>
      <c r="E74" s="143">
        <v>44.5</v>
      </c>
      <c r="F74" s="143" t="s">
        <v>88</v>
      </c>
      <c r="G74" s="108">
        <v>45509</v>
      </c>
      <c r="H74" s="143" t="s">
        <v>94</v>
      </c>
      <c r="I74" s="143" t="s">
        <v>9189</v>
      </c>
      <c r="K74" s="185" t="s">
        <v>9187</v>
      </c>
      <c r="L74" s="143"/>
      <c r="M74" s="185"/>
      <c r="N74" s="185"/>
      <c r="O74" s="185" t="s">
        <v>561</v>
      </c>
      <c r="Q74" s="3">
        <f t="shared" si="2"/>
        <v>44.5</v>
      </c>
    </row>
    <row r="75" spans="1:17" ht="29" x14ac:dyDescent="0.35">
      <c r="A75" s="143" t="s">
        <v>35</v>
      </c>
      <c r="B75" s="143" t="s">
        <v>708</v>
      </c>
      <c r="C75" s="143" t="s">
        <v>41</v>
      </c>
      <c r="D75" s="143" t="s">
        <v>42</v>
      </c>
      <c r="E75" s="143">
        <v>28.14</v>
      </c>
      <c r="F75" s="143" t="s">
        <v>88</v>
      </c>
      <c r="G75" s="108">
        <v>45534</v>
      </c>
      <c r="H75" s="143" t="s">
        <v>94</v>
      </c>
      <c r="I75" s="143" t="s">
        <v>9206</v>
      </c>
      <c r="K75" s="185" t="s">
        <v>9207</v>
      </c>
      <c r="L75" s="143"/>
      <c r="M75" s="185"/>
      <c r="N75" s="185"/>
      <c r="O75" s="185" t="s">
        <v>9208</v>
      </c>
      <c r="Q75" s="3">
        <f t="shared" si="2"/>
        <v>28.14</v>
      </c>
    </row>
    <row r="76" spans="1:17" ht="43.5" x14ac:dyDescent="0.35">
      <c r="A76" s="143" t="s">
        <v>35</v>
      </c>
      <c r="B76" s="143" t="s">
        <v>819</v>
      </c>
      <c r="C76" s="143" t="s">
        <v>41</v>
      </c>
      <c r="D76" s="143" t="s">
        <v>42</v>
      </c>
      <c r="E76" s="143">
        <v>27.82</v>
      </c>
      <c r="F76" s="143" t="s">
        <v>88</v>
      </c>
      <c r="G76" s="108">
        <v>45509</v>
      </c>
      <c r="H76" s="143" t="s">
        <v>94</v>
      </c>
      <c r="I76" s="143" t="s">
        <v>9186</v>
      </c>
      <c r="K76" s="185" t="s">
        <v>9187</v>
      </c>
      <c r="L76" s="143"/>
      <c r="M76" s="185"/>
      <c r="N76" s="185"/>
      <c r="O76" s="185" t="s">
        <v>9188</v>
      </c>
      <c r="Q76" s="3">
        <f t="shared" si="2"/>
        <v>27.82</v>
      </c>
    </row>
    <row r="77" spans="1:17" x14ac:dyDescent="0.35">
      <c r="Q77" s="3">
        <f t="shared" ref="Q77" si="3">ABS(E77)</f>
        <v>0</v>
      </c>
    </row>
  </sheetData>
  <autoFilter ref="A7:AG76" xr:uid="{EB53F80E-F9B9-48E6-A1FF-3ACF05F25968}">
    <sortState xmlns:xlrd2="http://schemas.microsoft.com/office/spreadsheetml/2017/richdata2" ref="A8:AG76">
      <sortCondition descending="1" ref="Q7"/>
    </sortState>
  </autoFilter>
  <mergeCells count="1">
    <mergeCell ref="AD6:AE6"/>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6481D-046F-4335-8E5C-B05D3DBAD81A}">
  <dimension ref="A1:AE29"/>
  <sheetViews>
    <sheetView workbookViewId="0">
      <selection activeCell="C3" sqref="C3"/>
    </sheetView>
  </sheetViews>
  <sheetFormatPr defaultRowHeight="14.5" x14ac:dyDescent="0.35"/>
  <cols>
    <col min="1" max="2" width="6.26953125" customWidth="1"/>
    <col min="3" max="3" width="10.7265625" customWidth="1"/>
    <col min="4" max="4" width="6" style="3" customWidth="1"/>
    <col min="5" max="5" width="6" style="19" customWidth="1"/>
    <col min="6" max="6" width="6" customWidth="1"/>
    <col min="7" max="7" width="6" style="62" customWidth="1"/>
    <col min="8" max="8" width="6" style="55" customWidth="1"/>
    <col min="9" max="9" width="31.1796875" style="55" bestFit="1" customWidth="1"/>
    <col min="10" max="10" width="19.81640625" customWidth="1"/>
    <col min="11" max="11" width="9.1796875" customWidth="1"/>
    <col min="12" max="12" width="9.7265625" customWidth="1"/>
    <col min="13" max="13" width="12.26953125" customWidth="1"/>
    <col min="14" max="14" width="14.81640625" customWidth="1"/>
    <col min="15" max="15" width="16.1796875" customWidth="1"/>
    <col min="16" max="16" width="3.54296875" style="5" customWidth="1"/>
    <col min="17" max="17" width="10.1796875" style="3" bestFit="1" customWidth="1"/>
    <col min="18" max="18" width="1.81640625" style="55" customWidth="1"/>
    <col min="19" max="19" width="6.453125" style="55" customWidth="1"/>
    <col min="21" max="21" width="11.81640625" style="3" bestFit="1" customWidth="1"/>
    <col min="22" max="27" width="1.453125" customWidth="1"/>
    <col min="29" max="29" width="10.54296875" bestFit="1" customWidth="1"/>
    <col min="30" max="30" width="11" bestFit="1" customWidth="1"/>
  </cols>
  <sheetData>
    <row r="1" spans="1:31" x14ac:dyDescent="0.35">
      <c r="A1" t="s">
        <v>69</v>
      </c>
      <c r="C1">
        <v>5160002000</v>
      </c>
    </row>
    <row r="2" spans="1:31" x14ac:dyDescent="0.35">
      <c r="A2" t="s">
        <v>70</v>
      </c>
      <c r="C2" t="s">
        <v>39</v>
      </c>
      <c r="H2" t="s">
        <v>141</v>
      </c>
    </row>
    <row r="3" spans="1:31" x14ac:dyDescent="0.35">
      <c r="A3" t="s">
        <v>71</v>
      </c>
      <c r="C3" s="22">
        <v>3910.8900000000003</v>
      </c>
      <c r="T3" s="24" t="s">
        <v>0</v>
      </c>
      <c r="U3" s="3">
        <f>SUMIF($A$8:$A$22177,"AU001",U8:U22177)</f>
        <v>0</v>
      </c>
      <c r="AB3" t="s">
        <v>0</v>
      </c>
      <c r="AC3" s="3">
        <f>SUMIF($A$8:$A$18205,"AU001",AC8:AC18205)</f>
        <v>0</v>
      </c>
      <c r="AD3" s="3">
        <f>SUMIF($A$8:$A$18205,"AU001",AD8:AD18205)</f>
        <v>0</v>
      </c>
    </row>
    <row r="4" spans="1:31" x14ac:dyDescent="0.35">
      <c r="A4" t="s">
        <v>45</v>
      </c>
      <c r="C4" s="22">
        <f>SUM(E:E)</f>
        <v>3910.889999999999</v>
      </c>
      <c r="T4" s="24" t="s">
        <v>35</v>
      </c>
      <c r="U4" s="3">
        <f>SUMIF($A$8:$A$22178,"AU052",U8:U22178)</f>
        <v>0</v>
      </c>
      <c r="AB4" t="s">
        <v>35</v>
      </c>
      <c r="AC4" s="3">
        <f>SUMIF($A$8:$A$18205,"AU052",AC8:AC18205)</f>
        <v>0</v>
      </c>
      <c r="AD4" s="3">
        <f>SUMIF($A$8:$A$18205,"AU052",AD8:AD18205)</f>
        <v>0</v>
      </c>
    </row>
    <row r="5" spans="1:31" ht="15" thickBot="1" x14ac:dyDescent="0.4">
      <c r="A5" t="s">
        <v>72</v>
      </c>
      <c r="C5" s="3">
        <f>C3-C4</f>
        <v>0</v>
      </c>
      <c r="Q5" s="30"/>
      <c r="R5" s="57"/>
      <c r="U5" s="3">
        <v>0</v>
      </c>
    </row>
    <row r="6" spans="1:31" ht="15" thickBot="1" x14ac:dyDescent="0.4">
      <c r="F6" s="19"/>
      <c r="AC6" s="191" t="s">
        <v>44</v>
      </c>
      <c r="AD6" s="192"/>
    </row>
    <row r="7" spans="1:31" ht="363" thickBot="1" x14ac:dyDescent="0.4">
      <c r="A7" s="142" t="s">
        <v>74</v>
      </c>
      <c r="B7" s="142" t="s">
        <v>597</v>
      </c>
      <c r="C7" s="142" t="s">
        <v>75</v>
      </c>
      <c r="D7" s="142" t="s">
        <v>76</v>
      </c>
      <c r="E7" s="142" t="s">
        <v>77</v>
      </c>
      <c r="F7" s="142" t="s">
        <v>78</v>
      </c>
      <c r="G7" s="107" t="s">
        <v>79</v>
      </c>
      <c r="H7" s="142" t="s">
        <v>80</v>
      </c>
      <c r="I7" s="142" t="s">
        <v>81</v>
      </c>
      <c r="J7" s="142" t="s">
        <v>82</v>
      </c>
      <c r="K7" s="142" t="s">
        <v>83</v>
      </c>
      <c r="L7" s="142" t="s">
        <v>84</v>
      </c>
      <c r="M7" s="142" t="s">
        <v>85</v>
      </c>
      <c r="N7" s="142" t="s">
        <v>86</v>
      </c>
      <c r="O7" s="142" t="s">
        <v>585</v>
      </c>
      <c r="Q7" s="31" t="s">
        <v>136</v>
      </c>
      <c r="R7" s="25" t="s">
        <v>87</v>
      </c>
      <c r="S7" s="8" t="s">
        <v>46</v>
      </c>
      <c r="T7" s="7" t="s">
        <v>47</v>
      </c>
      <c r="U7" s="65" t="s">
        <v>48</v>
      </c>
      <c r="V7" s="9" t="s">
        <v>49</v>
      </c>
      <c r="W7" s="10" t="s">
        <v>50</v>
      </c>
      <c r="X7" s="11" t="s">
        <v>51</v>
      </c>
      <c r="Y7" s="12" t="s">
        <v>52</v>
      </c>
      <c r="Z7" s="13" t="s">
        <v>53</v>
      </c>
      <c r="AA7" s="13" t="s">
        <v>54</v>
      </c>
      <c r="AB7" s="13" t="s">
        <v>55</v>
      </c>
      <c r="AC7" s="14" t="s">
        <v>56</v>
      </c>
      <c r="AD7" s="14" t="s">
        <v>57</v>
      </c>
      <c r="AE7" s="15" t="s">
        <v>58</v>
      </c>
    </row>
    <row r="8" spans="1:31" x14ac:dyDescent="0.35">
      <c r="A8" s="141" t="s">
        <v>35</v>
      </c>
      <c r="B8" s="141" t="s">
        <v>5696</v>
      </c>
      <c r="C8" s="141" t="s">
        <v>38</v>
      </c>
      <c r="D8" s="141" t="s">
        <v>39</v>
      </c>
      <c r="E8" s="141">
        <v>4.53</v>
      </c>
      <c r="F8" s="141" t="s">
        <v>88</v>
      </c>
      <c r="G8" s="108">
        <v>45384</v>
      </c>
      <c r="H8" s="141" t="s">
        <v>94</v>
      </c>
      <c r="I8" s="141" t="s">
        <v>5697</v>
      </c>
      <c r="J8" s="141" t="s">
        <v>5698</v>
      </c>
      <c r="K8" s="141"/>
      <c r="L8" s="141"/>
      <c r="M8" s="141"/>
      <c r="N8" s="141"/>
      <c r="O8" s="141" t="s">
        <v>9048</v>
      </c>
      <c r="Q8" s="3">
        <f t="shared" ref="Q8:Q29" si="0">ABS(E8)</f>
        <v>4.53</v>
      </c>
      <c r="U8" s="3" t="str">
        <f>IF(T8="Y",E8,"")</f>
        <v/>
      </c>
    </row>
    <row r="9" spans="1:31" x14ac:dyDescent="0.35">
      <c r="A9" s="141" t="s">
        <v>35</v>
      </c>
      <c r="B9" s="141" t="s">
        <v>2543</v>
      </c>
      <c r="C9" s="141" t="s">
        <v>38</v>
      </c>
      <c r="D9" s="141" t="s">
        <v>39</v>
      </c>
      <c r="E9" s="141">
        <v>62.82</v>
      </c>
      <c r="F9" s="141" t="s">
        <v>88</v>
      </c>
      <c r="G9" s="108">
        <v>45386</v>
      </c>
      <c r="H9" s="141" t="s">
        <v>89</v>
      </c>
      <c r="I9" s="141" t="s">
        <v>9049</v>
      </c>
      <c r="J9" s="141" t="s">
        <v>9050</v>
      </c>
      <c r="L9" s="141" t="s">
        <v>9051</v>
      </c>
      <c r="M9" s="141" t="s">
        <v>9052</v>
      </c>
      <c r="N9" s="141"/>
      <c r="O9" s="141"/>
      <c r="Q9" s="3">
        <f t="shared" si="0"/>
        <v>62.82</v>
      </c>
      <c r="U9" s="3" t="str">
        <f t="shared" ref="U9:U29" si="1">IF(T9="Y",E9,"")</f>
        <v/>
      </c>
    </row>
    <row r="10" spans="1:31" x14ac:dyDescent="0.35">
      <c r="A10" s="141" t="s">
        <v>35</v>
      </c>
      <c r="B10" s="141" t="s">
        <v>2543</v>
      </c>
      <c r="C10" s="141" t="s">
        <v>38</v>
      </c>
      <c r="D10" s="141" t="s">
        <v>39</v>
      </c>
      <c r="E10" s="141">
        <v>50.25</v>
      </c>
      <c r="F10" s="141" t="s">
        <v>88</v>
      </c>
      <c r="G10" s="108">
        <v>45413</v>
      </c>
      <c r="H10" s="141" t="s">
        <v>89</v>
      </c>
      <c r="I10" s="141" t="s">
        <v>9053</v>
      </c>
      <c r="J10" s="141" t="s">
        <v>9054</v>
      </c>
      <c r="L10" s="141" t="s">
        <v>9055</v>
      </c>
      <c r="M10" s="141" t="s">
        <v>9052</v>
      </c>
      <c r="N10" s="141"/>
      <c r="O10" s="141"/>
      <c r="Q10" s="3">
        <f t="shared" si="0"/>
        <v>50.25</v>
      </c>
      <c r="U10" s="3" t="str">
        <f t="shared" si="1"/>
        <v/>
      </c>
    </row>
    <row r="11" spans="1:31" x14ac:dyDescent="0.35">
      <c r="A11" s="141" t="s">
        <v>35</v>
      </c>
      <c r="B11" s="141" t="s">
        <v>707</v>
      </c>
      <c r="C11" s="141" t="s">
        <v>38</v>
      </c>
      <c r="D11" s="141" t="s">
        <v>39</v>
      </c>
      <c r="E11" s="141">
        <v>2108.6999999999998</v>
      </c>
      <c r="F11" s="141" t="s">
        <v>88</v>
      </c>
      <c r="G11" s="108">
        <v>45429</v>
      </c>
      <c r="H11" s="141" t="s">
        <v>89</v>
      </c>
      <c r="I11" s="141" t="s">
        <v>9056</v>
      </c>
      <c r="J11" s="141" t="s">
        <v>9057</v>
      </c>
      <c r="L11" s="141" t="s">
        <v>9058</v>
      </c>
      <c r="M11" s="141" t="s">
        <v>9059</v>
      </c>
      <c r="N11" s="141"/>
      <c r="O11" s="141"/>
      <c r="Q11" s="3">
        <f t="shared" si="0"/>
        <v>2108.6999999999998</v>
      </c>
      <c r="U11" s="3" t="str">
        <f t="shared" si="1"/>
        <v/>
      </c>
    </row>
    <row r="12" spans="1:31" x14ac:dyDescent="0.35">
      <c r="A12" s="141" t="s">
        <v>35</v>
      </c>
      <c r="B12" s="141" t="s">
        <v>5696</v>
      </c>
      <c r="C12" s="141" t="s">
        <v>38</v>
      </c>
      <c r="D12" s="141" t="s">
        <v>39</v>
      </c>
      <c r="E12" s="141">
        <v>520.15</v>
      </c>
      <c r="F12" s="141" t="s">
        <v>88</v>
      </c>
      <c r="G12" s="108">
        <v>45433</v>
      </c>
      <c r="H12" s="141" t="s">
        <v>94</v>
      </c>
      <c r="I12" s="141" t="s">
        <v>5697</v>
      </c>
      <c r="J12" s="141" t="s">
        <v>5518</v>
      </c>
      <c r="K12" s="141"/>
      <c r="L12" s="141"/>
      <c r="M12" s="141"/>
      <c r="N12" s="141"/>
      <c r="O12" s="141" t="s">
        <v>5519</v>
      </c>
      <c r="Q12" s="3">
        <f t="shared" si="0"/>
        <v>520.15</v>
      </c>
      <c r="U12" s="3" t="str">
        <f t="shared" si="1"/>
        <v/>
      </c>
    </row>
    <row r="13" spans="1:31" x14ac:dyDescent="0.35">
      <c r="A13" s="141" t="s">
        <v>35</v>
      </c>
      <c r="B13" s="141" t="s">
        <v>5696</v>
      </c>
      <c r="C13" s="141" t="s">
        <v>38</v>
      </c>
      <c r="D13" s="141" t="s">
        <v>39</v>
      </c>
      <c r="E13" s="141">
        <v>328.17</v>
      </c>
      <c r="F13" s="141" t="s">
        <v>88</v>
      </c>
      <c r="G13" s="108">
        <v>45433</v>
      </c>
      <c r="H13" s="141" t="s">
        <v>94</v>
      </c>
      <c r="I13" s="141" t="s">
        <v>9060</v>
      </c>
      <c r="J13" s="141" t="s">
        <v>9061</v>
      </c>
      <c r="K13" s="141"/>
      <c r="L13" s="141"/>
      <c r="M13" s="141"/>
      <c r="N13" s="141"/>
      <c r="O13" s="141" t="s">
        <v>9062</v>
      </c>
      <c r="Q13" s="3">
        <f t="shared" si="0"/>
        <v>328.17</v>
      </c>
      <c r="U13" s="3" t="str">
        <f t="shared" si="1"/>
        <v/>
      </c>
    </row>
    <row r="14" spans="1:31" x14ac:dyDescent="0.35">
      <c r="A14" s="141" t="s">
        <v>35</v>
      </c>
      <c r="B14" s="141" t="s">
        <v>2543</v>
      </c>
      <c r="C14" s="141" t="s">
        <v>38</v>
      </c>
      <c r="D14" s="141" t="s">
        <v>39</v>
      </c>
      <c r="E14" s="141">
        <v>90.67</v>
      </c>
      <c r="F14" s="141" t="s">
        <v>88</v>
      </c>
      <c r="G14" s="108">
        <v>45447</v>
      </c>
      <c r="H14" s="141" t="s">
        <v>89</v>
      </c>
      <c r="I14" s="141" t="s">
        <v>9063</v>
      </c>
      <c r="J14" s="141" t="s">
        <v>9064</v>
      </c>
      <c r="L14" s="141" t="s">
        <v>9065</v>
      </c>
      <c r="M14" s="141" t="s">
        <v>9052</v>
      </c>
      <c r="N14" s="141"/>
      <c r="O14" s="141"/>
      <c r="Q14" s="3">
        <f t="shared" si="0"/>
        <v>90.67</v>
      </c>
      <c r="U14" s="3" t="str">
        <f t="shared" si="1"/>
        <v/>
      </c>
    </row>
    <row r="15" spans="1:31" x14ac:dyDescent="0.35">
      <c r="A15" s="141" t="s">
        <v>35</v>
      </c>
      <c r="B15" s="141" t="s">
        <v>2543</v>
      </c>
      <c r="C15" s="141" t="s">
        <v>38</v>
      </c>
      <c r="D15" s="141" t="s">
        <v>39</v>
      </c>
      <c r="E15" s="141">
        <v>50.25</v>
      </c>
      <c r="F15" s="141" t="s">
        <v>88</v>
      </c>
      <c r="G15" s="108">
        <v>45474</v>
      </c>
      <c r="H15" s="141" t="s">
        <v>89</v>
      </c>
      <c r="I15" s="141" t="s">
        <v>9066</v>
      </c>
      <c r="J15" s="141" t="s">
        <v>9067</v>
      </c>
      <c r="L15" s="141" t="s">
        <v>9068</v>
      </c>
      <c r="M15" s="141" t="s">
        <v>9052</v>
      </c>
      <c r="N15" s="141"/>
      <c r="O15" s="141"/>
      <c r="Q15" s="3">
        <f t="shared" si="0"/>
        <v>50.25</v>
      </c>
      <c r="U15" s="3" t="str">
        <f t="shared" si="1"/>
        <v/>
      </c>
    </row>
    <row r="16" spans="1:31" x14ac:dyDescent="0.35">
      <c r="A16" s="141" t="s">
        <v>35</v>
      </c>
      <c r="B16" s="141" t="s">
        <v>5696</v>
      </c>
      <c r="C16" s="141" t="s">
        <v>38</v>
      </c>
      <c r="D16" s="141" t="s">
        <v>39</v>
      </c>
      <c r="E16" s="141">
        <v>4.53</v>
      </c>
      <c r="F16" s="141" t="s">
        <v>88</v>
      </c>
      <c r="G16" s="108">
        <v>45485</v>
      </c>
      <c r="H16" s="141" t="s">
        <v>94</v>
      </c>
      <c r="I16" s="141" t="s">
        <v>5697</v>
      </c>
      <c r="J16" s="141" t="s">
        <v>9069</v>
      </c>
      <c r="K16" s="141"/>
      <c r="L16" s="141"/>
      <c r="M16" s="141"/>
      <c r="N16" s="141"/>
      <c r="O16" s="141" t="s">
        <v>9070</v>
      </c>
      <c r="Q16" s="3">
        <f t="shared" si="0"/>
        <v>4.53</v>
      </c>
      <c r="U16" s="3" t="str">
        <f t="shared" si="1"/>
        <v/>
      </c>
    </row>
    <row r="17" spans="1:21" x14ac:dyDescent="0.35">
      <c r="A17" s="141" t="s">
        <v>35</v>
      </c>
      <c r="B17" s="141" t="s">
        <v>5696</v>
      </c>
      <c r="C17" s="141" t="s">
        <v>38</v>
      </c>
      <c r="D17" s="141" t="s">
        <v>39</v>
      </c>
      <c r="E17" s="141">
        <v>19.239999999999998</v>
      </c>
      <c r="F17" s="141" t="s">
        <v>88</v>
      </c>
      <c r="G17" s="108">
        <v>45485</v>
      </c>
      <c r="H17" s="141" t="s">
        <v>94</v>
      </c>
      <c r="I17" s="141" t="s">
        <v>5697</v>
      </c>
      <c r="J17" s="141" t="s">
        <v>9071</v>
      </c>
      <c r="K17" s="141"/>
      <c r="L17" s="141"/>
      <c r="M17" s="141"/>
      <c r="N17" s="141"/>
      <c r="O17" s="141" t="s">
        <v>9072</v>
      </c>
      <c r="Q17" s="3">
        <f t="shared" si="0"/>
        <v>19.239999999999998</v>
      </c>
      <c r="U17" s="3" t="str">
        <f t="shared" si="1"/>
        <v/>
      </c>
    </row>
    <row r="18" spans="1:21" x14ac:dyDescent="0.35">
      <c r="A18" s="141" t="s">
        <v>35</v>
      </c>
      <c r="B18" s="141" t="s">
        <v>5696</v>
      </c>
      <c r="C18" s="141" t="s">
        <v>38</v>
      </c>
      <c r="D18" s="141" t="s">
        <v>39</v>
      </c>
      <c r="E18" s="141">
        <v>19.239999999999998</v>
      </c>
      <c r="F18" s="141" t="s">
        <v>88</v>
      </c>
      <c r="G18" s="108">
        <v>45485</v>
      </c>
      <c r="H18" s="141" t="s">
        <v>94</v>
      </c>
      <c r="I18" s="141" t="s">
        <v>5697</v>
      </c>
      <c r="J18" s="141" t="s">
        <v>9071</v>
      </c>
      <c r="K18" s="141"/>
      <c r="L18" s="141"/>
      <c r="M18" s="141"/>
      <c r="N18" s="141"/>
      <c r="O18" s="141" t="s">
        <v>9073</v>
      </c>
      <c r="Q18" s="3">
        <f t="shared" si="0"/>
        <v>19.239999999999998</v>
      </c>
      <c r="U18" s="3" t="str">
        <f t="shared" si="1"/>
        <v/>
      </c>
    </row>
    <row r="19" spans="1:21" x14ac:dyDescent="0.35">
      <c r="A19" s="141" t="s">
        <v>35</v>
      </c>
      <c r="B19" s="141" t="s">
        <v>852</v>
      </c>
      <c r="C19" s="141" t="s">
        <v>38</v>
      </c>
      <c r="D19" s="141" t="s">
        <v>39</v>
      </c>
      <c r="E19" s="141">
        <v>157.27000000000001</v>
      </c>
      <c r="F19" s="141" t="s">
        <v>88</v>
      </c>
      <c r="G19" s="108">
        <v>45492</v>
      </c>
      <c r="H19" s="141" t="s">
        <v>89</v>
      </c>
      <c r="I19" s="141" t="s">
        <v>9074</v>
      </c>
      <c r="J19" s="141" t="s">
        <v>218</v>
      </c>
      <c r="L19" s="141" t="s">
        <v>9075</v>
      </c>
      <c r="M19" s="141" t="s">
        <v>295</v>
      </c>
      <c r="N19" s="141"/>
      <c r="O19" s="141"/>
      <c r="Q19" s="3">
        <f t="shared" si="0"/>
        <v>157.27000000000001</v>
      </c>
      <c r="U19" s="3" t="str">
        <f t="shared" si="1"/>
        <v/>
      </c>
    </row>
    <row r="20" spans="1:21" x14ac:dyDescent="0.35">
      <c r="A20" s="141" t="s">
        <v>35</v>
      </c>
      <c r="B20" s="141" t="s">
        <v>2543</v>
      </c>
      <c r="C20" s="141" t="s">
        <v>38</v>
      </c>
      <c r="D20" s="141" t="s">
        <v>39</v>
      </c>
      <c r="E20" s="141">
        <v>50.25</v>
      </c>
      <c r="F20" s="141" t="s">
        <v>88</v>
      </c>
      <c r="G20" s="108">
        <v>45510</v>
      </c>
      <c r="H20" s="141" t="s">
        <v>89</v>
      </c>
      <c r="I20" s="141" t="s">
        <v>9076</v>
      </c>
      <c r="J20" s="141" t="s">
        <v>9077</v>
      </c>
      <c r="L20" s="141" t="s">
        <v>9078</v>
      </c>
      <c r="M20" s="141" t="s">
        <v>9052</v>
      </c>
      <c r="N20" s="141"/>
      <c r="O20" s="141"/>
      <c r="Q20" s="3">
        <f t="shared" si="0"/>
        <v>50.25</v>
      </c>
      <c r="U20" s="3" t="str">
        <f t="shared" si="1"/>
        <v/>
      </c>
    </row>
    <row r="21" spans="1:21" x14ac:dyDescent="0.35">
      <c r="A21" s="141" t="s">
        <v>35</v>
      </c>
      <c r="B21" s="141" t="s">
        <v>5696</v>
      </c>
      <c r="C21" s="141" t="s">
        <v>38</v>
      </c>
      <c r="D21" s="141" t="s">
        <v>39</v>
      </c>
      <c r="E21" s="141">
        <v>19.239999999999998</v>
      </c>
      <c r="F21" s="141" t="s">
        <v>88</v>
      </c>
      <c r="G21" s="108">
        <v>45510</v>
      </c>
      <c r="H21" s="141" t="s">
        <v>94</v>
      </c>
      <c r="I21" s="141" t="s">
        <v>5697</v>
      </c>
      <c r="J21" s="141" t="s">
        <v>9069</v>
      </c>
      <c r="K21" s="141"/>
      <c r="L21" s="141"/>
      <c r="M21" s="141"/>
      <c r="N21" s="141"/>
      <c r="O21" s="141" t="s">
        <v>9079</v>
      </c>
      <c r="Q21" s="3">
        <f t="shared" si="0"/>
        <v>19.239999999999998</v>
      </c>
      <c r="U21" s="3" t="str">
        <f t="shared" si="1"/>
        <v/>
      </c>
    </row>
    <row r="22" spans="1:21" x14ac:dyDescent="0.35">
      <c r="A22" s="141" t="s">
        <v>35</v>
      </c>
      <c r="B22" s="141" t="s">
        <v>2208</v>
      </c>
      <c r="C22" s="141" t="s">
        <v>38</v>
      </c>
      <c r="D22" s="141" t="s">
        <v>39</v>
      </c>
      <c r="E22" s="141">
        <v>31.82</v>
      </c>
      <c r="F22" s="141" t="s">
        <v>88</v>
      </c>
      <c r="G22" s="108">
        <v>45516</v>
      </c>
      <c r="H22" s="141" t="s">
        <v>94</v>
      </c>
      <c r="I22" s="141" t="s">
        <v>9080</v>
      </c>
      <c r="J22" s="141" t="s">
        <v>9081</v>
      </c>
      <c r="K22" s="141"/>
      <c r="L22" s="141"/>
      <c r="M22" s="141"/>
      <c r="N22" s="141"/>
      <c r="O22" s="141" t="s">
        <v>5429</v>
      </c>
      <c r="Q22" s="3">
        <f t="shared" si="0"/>
        <v>31.82</v>
      </c>
      <c r="U22" s="3" t="str">
        <f t="shared" si="1"/>
        <v/>
      </c>
    </row>
    <row r="23" spans="1:21" x14ac:dyDescent="0.35">
      <c r="A23" s="141" t="s">
        <v>35</v>
      </c>
      <c r="B23" s="141" t="s">
        <v>2543</v>
      </c>
      <c r="C23" s="141" t="s">
        <v>38</v>
      </c>
      <c r="D23" s="141" t="s">
        <v>39</v>
      </c>
      <c r="E23" s="141">
        <v>62.81</v>
      </c>
      <c r="F23" s="141" t="s">
        <v>88</v>
      </c>
      <c r="G23" s="108">
        <v>45537</v>
      </c>
      <c r="H23" s="141" t="s">
        <v>89</v>
      </c>
      <c r="I23" s="141" t="s">
        <v>9082</v>
      </c>
      <c r="J23" s="141" t="s">
        <v>9083</v>
      </c>
      <c r="L23" s="141" t="s">
        <v>9084</v>
      </c>
      <c r="M23" s="141" t="s">
        <v>9052</v>
      </c>
      <c r="N23" s="141"/>
      <c r="O23" s="141"/>
      <c r="Q23" s="3">
        <f t="shared" si="0"/>
        <v>62.81</v>
      </c>
      <c r="U23" s="3" t="str">
        <f t="shared" si="1"/>
        <v/>
      </c>
    </row>
    <row r="24" spans="1:21" x14ac:dyDescent="0.35">
      <c r="A24" s="141" t="s">
        <v>35</v>
      </c>
      <c r="B24" s="141" t="s">
        <v>2543</v>
      </c>
      <c r="C24" s="141" t="s">
        <v>38</v>
      </c>
      <c r="D24" s="141" t="s">
        <v>39</v>
      </c>
      <c r="E24" s="141">
        <v>50.25</v>
      </c>
      <c r="F24" s="141" t="s">
        <v>88</v>
      </c>
      <c r="G24" s="108">
        <v>45566</v>
      </c>
      <c r="H24" s="141" t="s">
        <v>89</v>
      </c>
      <c r="I24" s="141" t="s">
        <v>9085</v>
      </c>
      <c r="J24" s="141" t="s">
        <v>218</v>
      </c>
      <c r="L24" s="141" t="s">
        <v>9086</v>
      </c>
      <c r="M24" s="141" t="s">
        <v>9052</v>
      </c>
      <c r="N24" s="141"/>
      <c r="O24" s="141"/>
      <c r="Q24" s="3">
        <f t="shared" si="0"/>
        <v>50.25</v>
      </c>
      <c r="U24" s="3" t="str">
        <f t="shared" si="1"/>
        <v/>
      </c>
    </row>
    <row r="25" spans="1:21" x14ac:dyDescent="0.35">
      <c r="A25" s="141" t="s">
        <v>35</v>
      </c>
      <c r="B25" s="141" t="s">
        <v>2543</v>
      </c>
      <c r="C25" s="141" t="s">
        <v>38</v>
      </c>
      <c r="D25" s="141" t="s">
        <v>39</v>
      </c>
      <c r="E25" s="141">
        <v>50.25</v>
      </c>
      <c r="F25" s="141" t="s">
        <v>88</v>
      </c>
      <c r="G25" s="108">
        <v>45597</v>
      </c>
      <c r="H25" s="141" t="s">
        <v>89</v>
      </c>
      <c r="I25" s="141" t="s">
        <v>9087</v>
      </c>
      <c r="J25" s="141" t="s">
        <v>9088</v>
      </c>
      <c r="L25" s="141" t="s">
        <v>9089</v>
      </c>
      <c r="M25" s="141" t="s">
        <v>9052</v>
      </c>
      <c r="N25" s="141"/>
      <c r="O25" s="141"/>
      <c r="Q25" s="3">
        <f t="shared" si="0"/>
        <v>50.25</v>
      </c>
      <c r="U25" s="3" t="str">
        <f t="shared" si="1"/>
        <v/>
      </c>
    </row>
    <row r="26" spans="1:21" x14ac:dyDescent="0.35">
      <c r="A26" s="141" t="s">
        <v>35</v>
      </c>
      <c r="B26" s="141" t="s">
        <v>5696</v>
      </c>
      <c r="C26" s="141" t="s">
        <v>38</v>
      </c>
      <c r="D26" s="141" t="s">
        <v>39</v>
      </c>
      <c r="E26" s="141">
        <v>19.239999999999998</v>
      </c>
      <c r="F26" s="141" t="s">
        <v>88</v>
      </c>
      <c r="G26" s="108">
        <v>45601</v>
      </c>
      <c r="H26" s="141" t="s">
        <v>94</v>
      </c>
      <c r="I26" s="141" t="s">
        <v>5697</v>
      </c>
      <c r="J26" s="141" t="s">
        <v>9069</v>
      </c>
      <c r="K26" s="141"/>
      <c r="L26" s="141"/>
      <c r="M26" s="141"/>
      <c r="N26" s="141"/>
      <c r="O26" s="141" t="s">
        <v>9090</v>
      </c>
      <c r="Q26" s="3">
        <f t="shared" si="0"/>
        <v>19.239999999999998</v>
      </c>
      <c r="U26" s="3" t="str">
        <f t="shared" si="1"/>
        <v/>
      </c>
    </row>
    <row r="27" spans="1:21" x14ac:dyDescent="0.35">
      <c r="A27" s="141" t="s">
        <v>35</v>
      </c>
      <c r="B27" s="141" t="s">
        <v>5696</v>
      </c>
      <c r="C27" s="141" t="s">
        <v>38</v>
      </c>
      <c r="D27" s="141" t="s">
        <v>39</v>
      </c>
      <c r="E27" s="141">
        <v>19.239999999999998</v>
      </c>
      <c r="F27" s="141" t="s">
        <v>88</v>
      </c>
      <c r="G27" s="108">
        <v>45601</v>
      </c>
      <c r="H27" s="141" t="s">
        <v>94</v>
      </c>
      <c r="I27" s="141" t="s">
        <v>5697</v>
      </c>
      <c r="J27" s="141" t="s">
        <v>9069</v>
      </c>
      <c r="K27" s="141"/>
      <c r="L27" s="141"/>
      <c r="M27" s="141"/>
      <c r="N27" s="141"/>
      <c r="O27" s="141" t="s">
        <v>9091</v>
      </c>
      <c r="Q27" s="3">
        <f t="shared" si="0"/>
        <v>19.239999999999998</v>
      </c>
      <c r="U27" s="3" t="str">
        <f t="shared" si="1"/>
        <v/>
      </c>
    </row>
    <row r="28" spans="1:21" x14ac:dyDescent="0.35">
      <c r="A28" s="141" t="s">
        <v>35</v>
      </c>
      <c r="B28" s="141" t="s">
        <v>867</v>
      </c>
      <c r="C28" s="141" t="s">
        <v>38</v>
      </c>
      <c r="D28" s="141" t="s">
        <v>39</v>
      </c>
      <c r="E28" s="141">
        <v>172.73</v>
      </c>
      <c r="F28" s="141" t="s">
        <v>88</v>
      </c>
      <c r="G28" s="108">
        <v>45635</v>
      </c>
      <c r="H28" s="141" t="s">
        <v>94</v>
      </c>
      <c r="I28" s="141" t="s">
        <v>4811</v>
      </c>
      <c r="J28" s="141" t="s">
        <v>9092</v>
      </c>
      <c r="K28" s="141"/>
      <c r="L28" s="141"/>
      <c r="M28" s="141"/>
      <c r="N28" s="141"/>
      <c r="O28" s="141" t="s">
        <v>9093</v>
      </c>
      <c r="Q28" s="3">
        <f t="shared" si="0"/>
        <v>172.73</v>
      </c>
      <c r="U28" s="3" t="str">
        <f t="shared" si="1"/>
        <v/>
      </c>
    </row>
    <row r="29" spans="1:21" x14ac:dyDescent="0.35">
      <c r="A29" s="141" t="s">
        <v>35</v>
      </c>
      <c r="B29" s="141" t="s">
        <v>5696</v>
      </c>
      <c r="C29" s="141" t="s">
        <v>38</v>
      </c>
      <c r="D29" s="141" t="s">
        <v>39</v>
      </c>
      <c r="E29" s="141">
        <v>19.239999999999998</v>
      </c>
      <c r="F29" s="141" t="s">
        <v>88</v>
      </c>
      <c r="G29" s="108">
        <v>45644</v>
      </c>
      <c r="H29" s="141" t="s">
        <v>94</v>
      </c>
      <c r="I29" s="141" t="s">
        <v>5697</v>
      </c>
      <c r="J29" s="141" t="s">
        <v>9069</v>
      </c>
      <c r="K29" s="141"/>
      <c r="L29" s="141"/>
      <c r="M29" s="141"/>
      <c r="N29" s="141"/>
      <c r="O29" s="141" t="s">
        <v>9094</v>
      </c>
      <c r="Q29" s="3">
        <f t="shared" si="0"/>
        <v>19.239999999999998</v>
      </c>
      <c r="U29" s="3" t="str">
        <f t="shared" si="1"/>
        <v/>
      </c>
    </row>
  </sheetData>
  <mergeCells count="1">
    <mergeCell ref="AC6:AD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C22D2446634A141BFF401DF372378CC" ma:contentTypeVersion="23" ma:contentTypeDescription="Create a new document." ma:contentTypeScope="" ma:versionID="e32af713a51955b747f446c3b631b9fc">
  <xsd:schema xmlns:xsd="http://www.w3.org/2001/XMLSchema" xmlns:xs="http://www.w3.org/2001/XMLSchema" xmlns:p="http://schemas.microsoft.com/office/2006/metadata/properties" xmlns:ns1="http://schemas.microsoft.com/sharepoint/v3" xmlns:ns2="a645c985-50fc-4631-a035-a7c2800b6796" xmlns:ns3="0f39e6d1-abd8-49cf-9a67-a54b2a9c1e42" targetNamespace="http://schemas.microsoft.com/office/2006/metadata/properties" ma:root="true" ma:fieldsID="2dbb6c81000fe3c2132925435bfb487e" ns1:_="" ns2:_="" ns3:_="">
    <xsd:import namespace="http://schemas.microsoft.com/sharepoint/v3"/>
    <xsd:import namespace="a645c985-50fc-4631-a035-a7c2800b6796"/>
    <xsd:import namespace="0f39e6d1-abd8-49cf-9a67-a54b2a9c1e4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REGION" minOccurs="0"/>
                <xsd:element ref="ns2:TAX_x0020_WORK_x0020_TYPE" minOccurs="0"/>
                <xsd:element ref="ns2:DEC_x0020_YE" minOccurs="0"/>
                <xsd:element ref="ns2:TAX_x0020_TYPE" minOccurs="0"/>
                <xsd:element ref="ns2:FINAL" minOccurs="0"/>
                <xsd:element ref="ns2:Narration_x0020__x0028_if_x0020_req_x0029_"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645c985-50fc-4631-a035-a7c2800b679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REGION" ma:index="11" nillable="true" ma:displayName="REGION" ma:description="Doc relates to AU only, NZ only or RANZ (being neither, both, other)" ma:format="Dropdown" ma:internalName="REGION">
      <xsd:simpleType>
        <xsd:restriction base="dms:Text">
          <xsd:maxLength value="255"/>
        </xsd:restriction>
      </xsd:simpleType>
    </xsd:element>
    <xsd:element name="TAX_x0020_WORK_x0020_TYPE" ma:index="12" nillable="true" ma:displayName="TAX WORK TYPE" ma:default="COMPLIANCE" ma:description="COMPLIANCE / ADVICE / GOVERNANCE / AUDIT-REVIEWS / OTHER" ma:format="RadioButtons" ma:internalName="TAX_x0020_WORK_x0020_TYPE">
      <xsd:simpleType>
        <xsd:restriction base="dms:Choice">
          <xsd:enumeration value="COMPLIANCE"/>
          <xsd:enumeration value="ADVICE"/>
          <xsd:enumeration value="GOVERNANCE"/>
          <xsd:enumeration value="AUDIT-REVIEWS"/>
          <xsd:enumeration value="OTHER"/>
        </xsd:restriction>
      </xsd:simpleType>
    </xsd:element>
    <xsd:element name="DEC_x0020_YE" ma:index="13" nillable="true" ma:displayName="DEC YE" ma:internalName="DEC_x0020_YE">
      <xsd:simpleType>
        <xsd:restriction base="dms:Text">
          <xsd:maxLength value="255"/>
        </xsd:restriction>
      </xsd:simpleType>
    </xsd:element>
    <xsd:element name="TAX_x0020_TYPE" ma:index="14" nillable="true" ma:displayName="TAX TYPE" ma:default="Income Tax" ma:internalName="TAX_x0020_TYPE">
      <xsd:complexType>
        <xsd:complexContent>
          <xsd:extension base="dms:MultiChoice">
            <xsd:sequence>
              <xsd:element name="Value" maxOccurs="unbounded" minOccurs="0" nillable="true">
                <xsd:simpleType>
                  <xsd:restriction base="dms:Choice">
                    <xsd:enumeration value="Accounting"/>
                    <xsd:enumeration value="Income Tax"/>
                    <xsd:enumeration value="WHT &amp; AIL"/>
                    <xsd:enumeration value="FBT"/>
                    <xsd:enumeration value="GST"/>
                    <xsd:enumeration value="Thin K"/>
                    <xsd:enumeration value="Tfr Pricing"/>
                    <xsd:enumeration value="Other Tax"/>
                  </xsd:restriction>
                </xsd:simpleType>
              </xsd:element>
            </xsd:sequence>
          </xsd:extension>
        </xsd:complexContent>
      </xsd:complexType>
    </xsd:element>
    <xsd:element name="FINAL" ma:index="15" nillable="true" ma:displayName="FINAL" ma:default="0" ma:description="Doc was signed, sent or otherwise shared outside Grp Tax" ma:format="Dropdown" ma:internalName="FINAL">
      <xsd:simpleType>
        <xsd:restriction base="dms:Boolean"/>
      </xsd:simpleType>
    </xsd:element>
    <xsd:element name="Narration_x0020__x0028_if_x0020_req_x0029_" ma:index="16" nillable="true" ma:displayName="Narration (if req)" ma:description="Insert additional info if not clear from, or in addn to, the doc's title" ma:internalName="Narration_x0020__x0028_if_x0020_req_x0029_">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303c4af3-d430-4f28-9747-46973365dcb5"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ServiceDateTaken" ma:index="25" nillable="true" ma:displayName="MediaServiceDateTaken" ma:hidden="true" ma:indexed="true" ma:internalName="MediaServiceDateTaken" ma:readOnly="true">
      <xsd:simpleType>
        <xsd:restriction base="dms:Text"/>
      </xsd:simpleType>
    </xsd:element>
    <xsd:element name="MediaLengthInSeconds" ma:index="26" nillable="true" ma:displayName="MediaLengthInSeconds" ma:hidden="true" ma:internalName="MediaLengthInSeconds" ma:readOnly="true">
      <xsd:simpleType>
        <xsd:restriction base="dms:Unknown"/>
      </xsd:simpleType>
    </xsd:element>
    <xsd:element name="MediaServiceLocation" ma:index="27" nillable="true" ma:displayName="Location" ma:description="" ma:indexed="true" ma:internalName="MediaServiceLocation"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f39e6d1-abd8-49cf-9a67-a54b2a9c1e42"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84c67274-52b3-428c-ab07-87d899d6b19c}" ma:internalName="TaxCatchAll" ma:showField="CatchAllData" ma:web="0f39e6d1-abd8-49cf-9a67-a54b2a9c1e4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_x0020_WORK_x0020_TYPE xmlns="a645c985-50fc-4631-a035-a7c2800b6796">COMPLIANCE</TAX_x0020_WORK_x0020_TYPE>
    <lcf76f155ced4ddcb4097134ff3c332f xmlns="a645c985-50fc-4631-a035-a7c2800b6796">
      <Terms xmlns="http://schemas.microsoft.com/office/infopath/2007/PartnerControls"/>
    </lcf76f155ced4ddcb4097134ff3c332f>
    <TaxCatchAll xmlns="0f39e6d1-abd8-49cf-9a67-a54b2a9c1e42" xsi:nil="true"/>
    <REGION xmlns="a645c985-50fc-4631-a035-a7c2800b6796" xsi:nil="true"/>
    <DEC_x0020_YE xmlns="a645c985-50fc-4631-a035-a7c2800b6796" xsi:nil="true"/>
    <_ip_UnifiedCompliancePolicyProperties xmlns="http://schemas.microsoft.com/sharepoint/v3" xsi:nil="true"/>
    <FINAL xmlns="a645c985-50fc-4631-a035-a7c2800b6796">false</FINAL>
    <Narration_x0020__x0028_if_x0020_req_x0029_ xmlns="a645c985-50fc-4631-a035-a7c2800b6796" xsi:nil="true"/>
    <TAX_x0020_TYPE xmlns="a645c985-50fc-4631-a035-a7c2800b6796">
      <Value>Income Tax</Value>
    </TAX_x0020_TYPE>
  </documentManagement>
</p:properties>
</file>

<file path=customXml/itemProps1.xml><?xml version="1.0" encoding="utf-8"?>
<ds:datastoreItem xmlns:ds="http://schemas.openxmlformats.org/officeDocument/2006/customXml" ds:itemID="{049B64DA-B0DF-4F5D-94F0-C7B88D0C0CB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645c985-50fc-4631-a035-a7c2800b6796"/>
    <ds:schemaRef ds:uri="0f39e6d1-abd8-49cf-9a67-a54b2a9c1e4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E6ADE74-4CC0-47F2-9FD1-E1DAB2440F4C}">
  <ds:schemaRefs>
    <ds:schemaRef ds:uri="http://schemas.microsoft.com/sharepoint/v3/contenttype/forms"/>
  </ds:schemaRefs>
</ds:datastoreItem>
</file>

<file path=customXml/itemProps3.xml><?xml version="1.0" encoding="utf-8"?>
<ds:datastoreItem xmlns:ds="http://schemas.openxmlformats.org/officeDocument/2006/customXml" ds:itemID="{107DC1CB-CF39-4F57-9335-320164A33654}">
  <ds:schemaRefs>
    <ds:schemaRef ds:uri="http://purl.org/dc/terms/"/>
    <ds:schemaRef ds:uri="http://schemas.openxmlformats.org/package/2006/metadata/core-properties"/>
    <ds:schemaRef ds:uri="http://purl.org/dc/elements/1.1/"/>
    <ds:schemaRef ds:uri="http://www.w3.org/XML/1998/namespace"/>
    <ds:schemaRef ds:uri="http://schemas.microsoft.com/office/2006/documentManagement/types"/>
    <ds:schemaRef ds:uri="http://schemas.microsoft.com/office/2006/metadata/properties"/>
    <ds:schemaRef ds:uri="0f39e6d1-abd8-49cf-9a67-a54b2a9c1e42"/>
    <ds:schemaRef ds:uri="http://schemas.microsoft.com/office/infopath/2007/PartnerControls"/>
    <ds:schemaRef ds:uri="a645c985-50fc-4631-a035-a7c2800b6796"/>
    <ds:schemaRef ds:uri="http://schemas.microsoft.com/sharepoint/v3"/>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Summary</vt:lpstr>
      <vt:lpstr>Ext Training</vt:lpstr>
      <vt:lpstr>Training Travel&amp;lodging</vt:lpstr>
      <vt:lpstr>Publicity&amp;Advertising</vt:lpstr>
      <vt:lpstr>Opening Jubilees</vt:lpstr>
      <vt:lpstr>Sponsoring</vt:lpstr>
      <vt:lpstr>Promotional gifts</vt:lpstr>
      <vt:lpstr>Marketing exp</vt:lpstr>
      <vt:lpstr>Business Dev</vt:lpstr>
      <vt:lpstr>Public relations</vt:lpstr>
      <vt:lpstr>Membership</vt:lpstr>
      <vt:lpstr>Meeting costs</vt:lpstr>
      <vt:lpstr>Misc exp</vt:lpstr>
      <vt:lpstr>Sundry exp</vt:lpstr>
      <vt:lpstr>Misc exp (2)</vt:lpstr>
      <vt:lpstr>Other non-bank exp</vt:lpstr>
      <vt:lpstr>Other exp</vt:lpstr>
      <vt:lpstr>Donations</vt:lpstr>
      <vt:lpstr>Client period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Henshall, T (Tracey)</dc:creator>
  <cp:lastModifiedBy>Faccin, L (Luke)</cp:lastModifiedBy>
  <dcterms:created xsi:type="dcterms:W3CDTF">2024-04-09T20:54:19Z</dcterms:created>
  <dcterms:modified xsi:type="dcterms:W3CDTF">2025-11-28T03:24:20Z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0x0101001C22D2446634A141BFF401DF372378CC</vt:lpwstr>
  </property>
  <property fmtid="{D5CDD505-2E9C-101B-9397-08002B2CF9AE}" pid="3" name="MediaServiceImageTags">
    <vt:lpwstr/>
  </property>
</Properties>
</file>